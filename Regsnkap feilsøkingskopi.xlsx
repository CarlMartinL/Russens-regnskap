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innebo07\PycharmProjects\Russeregnskap\"/>
    </mc:Choice>
  </mc:AlternateContent>
  <xr:revisionPtr revIDLastSave="0" documentId="13_ncr:1_{055BDA94-0ACA-4266-A296-FC4204BCF3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" sheetId="1" r:id="rId1"/>
    <sheet name="Master kiosk" sheetId="2" r:id="rId2"/>
    <sheet name="Inn Kiosk" sheetId="3" r:id="rId3"/>
    <sheet name="Vippsutskrifter+ Kiosk" sheetId="5" r:id="rId4"/>
    <sheet name="Terminalutskrifter" sheetId="6" r:id="rId5"/>
    <sheet name="Kjøregodtgjørelse" sheetId="7" r:id="rId6"/>
    <sheet name="Misjonsløp" sheetId="8" r:id="rId7"/>
    <sheet name="Nattcup" sheetId="9" r:id="rId8"/>
    <sheet name="Basar" sheetId="10" r:id="rId9"/>
    <sheet name="Barrista" sheetId="11" r:id="rId10"/>
    <sheet name="Milkshake" sheetId="12" r:id="rId11"/>
    <sheet name="Panteruss" sheetId="13" r:id="rId12"/>
    <sheet name="Isruss" sheetId="14" r:id="rId13"/>
  </sheets>
  <definedNames>
    <definedName name="ExternalData_1" localSheetId="5" hidden="1">Kjøregodtgjørelse!$A$1:$O$10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E21" i="1" l="1"/>
  <c r="D5" i="14"/>
  <c r="D4" i="14"/>
  <c r="D6" i="14" s="1"/>
  <c r="D5" i="13"/>
  <c r="D4" i="13"/>
  <c r="D6" i="13" s="1"/>
  <c r="D5" i="12"/>
  <c r="D6" i="12" s="1"/>
  <c r="D4" i="12"/>
  <c r="D5" i="11"/>
  <c r="D4" i="11"/>
  <c r="D6" i="11" s="1"/>
  <c r="E5" i="10"/>
  <c r="E4" i="10"/>
  <c r="D6" i="9"/>
  <c r="D5" i="9"/>
  <c r="D4" i="9"/>
  <c r="C3" i="8"/>
  <c r="C5" i="8" s="1"/>
  <c r="U2" i="7"/>
  <c r="H6" i="1" s="1"/>
  <c r="B66" i="6"/>
  <c r="F69" i="5"/>
  <c r="B67" i="5"/>
  <c r="E7" i="1" s="1"/>
  <c r="W77" i="3"/>
  <c r="P77" i="3"/>
  <c r="O77" i="3"/>
  <c r="P76" i="3"/>
  <c r="B76" i="3"/>
  <c r="D7" i="1" s="1"/>
  <c r="J68" i="2"/>
  <c r="I67" i="2" a="1"/>
  <c r="I67" i="2"/>
  <c r="H43" i="2"/>
  <c r="G43" i="2"/>
  <c r="B2" i="2" a="1"/>
  <c r="B68" i="2" s="1"/>
  <c r="E1" i="2"/>
  <c r="D1" i="2"/>
  <c r="B1" i="2"/>
  <c r="D19" i="1"/>
  <c r="E18" i="1"/>
  <c r="D18" i="1"/>
  <c r="C18" i="1"/>
  <c r="C16" i="1"/>
  <c r="E15" i="1"/>
  <c r="D15" i="1"/>
  <c r="C15" i="1"/>
  <c r="E14" i="1"/>
  <c r="D14" i="1"/>
  <c r="C14" i="1" s="1"/>
  <c r="C13" i="1"/>
  <c r="D12" i="1"/>
  <c r="C12" i="1"/>
  <c r="E11" i="1"/>
  <c r="C11" i="1"/>
  <c r="E10" i="1"/>
  <c r="C10" i="1" s="1"/>
  <c r="E9" i="1"/>
  <c r="D9" i="1"/>
  <c r="C9" i="1"/>
  <c r="O8" i="1"/>
  <c r="E8" i="1"/>
  <c r="D8" i="1"/>
  <c r="O7" i="1"/>
  <c r="O9" i="1" s="1"/>
  <c r="C5" i="1"/>
  <c r="C4" i="1"/>
  <c r="AE3" i="1"/>
  <c r="Y3" i="1"/>
  <c r="E19" i="1" s="1"/>
  <c r="C19" i="1" s="1"/>
  <c r="C3" i="1"/>
  <c r="R2" i="1"/>
  <c r="C8" i="1" l="1"/>
  <c r="C7" i="1"/>
  <c r="B39" i="2"/>
  <c r="B45" i="2"/>
  <c r="B69" i="2"/>
  <c r="B7" i="2"/>
  <c r="B30" i="2"/>
  <c r="B53" i="2"/>
  <c r="B21" i="2"/>
  <c r="B63" i="2"/>
  <c r="B46" i="2"/>
  <c r="B29" i="2"/>
  <c r="B47" i="2"/>
  <c r="B70" i="2"/>
  <c r="B13" i="2"/>
  <c r="B31" i="2"/>
  <c r="B54" i="2"/>
  <c r="B62" i="2"/>
  <c r="B22" i="2"/>
  <c r="B23" i="2"/>
  <c r="B6" i="2"/>
  <c r="B14" i="2"/>
  <c r="B37" i="2"/>
  <c r="B55" i="2"/>
  <c r="B5" i="2"/>
  <c r="B15" i="2"/>
  <c r="B38" i="2"/>
  <c r="B61" i="2"/>
  <c r="E23" i="1"/>
  <c r="C26" i="1"/>
  <c r="D21" i="1"/>
  <c r="B24" i="2"/>
  <c r="B48" i="2"/>
  <c r="B2" i="2"/>
  <c r="B9" i="2"/>
  <c r="B17" i="2"/>
  <c r="B25" i="2"/>
  <c r="B33" i="2"/>
  <c r="B41" i="2"/>
  <c r="B49" i="2"/>
  <c r="B57" i="2"/>
  <c r="B65" i="2"/>
  <c r="B10" i="2"/>
  <c r="B18" i="2"/>
  <c r="B26" i="2"/>
  <c r="B34" i="2"/>
  <c r="B42" i="2"/>
  <c r="B50" i="2"/>
  <c r="B58" i="2"/>
  <c r="B66" i="2"/>
  <c r="B8" i="2"/>
  <c r="B56" i="2"/>
  <c r="B3" i="2"/>
  <c r="B11" i="2"/>
  <c r="B19" i="2"/>
  <c r="B27" i="2"/>
  <c r="B35" i="2"/>
  <c r="B43" i="2"/>
  <c r="B51" i="2"/>
  <c r="B59" i="2"/>
  <c r="B67" i="2"/>
  <c r="B16" i="2"/>
  <c r="B32" i="2"/>
  <c r="B40" i="2"/>
  <c r="B64" i="2"/>
  <c r="B4" i="2"/>
  <c r="B12" i="2"/>
  <c r="B20" i="2"/>
  <c r="B28" i="2"/>
  <c r="B36" i="2"/>
  <c r="B44" i="2"/>
  <c r="B52" i="2"/>
  <c r="B60" i="2"/>
  <c r="B77" i="3"/>
  <c r="H3" i="1" s="1"/>
  <c r="B65" i="6"/>
  <c r="B67" i="6" s="1"/>
  <c r="H5" i="1" s="1"/>
  <c r="B66" i="5"/>
  <c r="B68" i="5" s="1"/>
  <c r="H4" i="1" s="1"/>
  <c r="E6" i="10"/>
  <c r="H54" i="2" l="1"/>
  <c r="H7" i="1"/>
  <c r="D2" i="2" a="1"/>
  <c r="G14" i="2"/>
  <c r="G29" i="2"/>
  <c r="G54" i="2"/>
  <c r="G22" i="2"/>
  <c r="G30" i="2"/>
  <c r="G46" i="2"/>
  <c r="G53" i="2"/>
  <c r="G13" i="2"/>
  <c r="G37" i="2"/>
  <c r="G62" i="2"/>
  <c r="C21" i="1"/>
  <c r="D23" i="1"/>
  <c r="G5" i="2"/>
  <c r="G45" i="2"/>
  <c r="G6" i="2"/>
  <c r="C28" i="1"/>
  <c r="E26" i="1"/>
  <c r="G38" i="2"/>
  <c r="G61" i="2"/>
  <c r="H21" i="2"/>
  <c r="G21" i="2"/>
  <c r="G60" i="2" l="1"/>
  <c r="G2" i="2"/>
  <c r="H62" i="2"/>
  <c r="G16" i="2"/>
  <c r="G65" i="2"/>
  <c r="G32" i="2"/>
  <c r="H5" i="2"/>
  <c r="G63" i="2"/>
  <c r="G42" i="2"/>
  <c r="G27" i="2"/>
  <c r="G56" i="2"/>
  <c r="G36" i="2"/>
  <c r="G8" i="2"/>
  <c r="G9" i="2"/>
  <c r="G31" i="2"/>
  <c r="H38" i="2"/>
  <c r="L38" i="2" s="1"/>
  <c r="G35" i="2"/>
  <c r="G44" i="2"/>
  <c r="G64" i="2"/>
  <c r="G12" i="2"/>
  <c r="G18" i="2"/>
  <c r="G3" i="2"/>
  <c r="G15" i="2"/>
  <c r="H6" i="2"/>
  <c r="G33" i="2"/>
  <c r="H37" i="2"/>
  <c r="H22" i="2"/>
  <c r="G59" i="2"/>
  <c r="G58" i="2"/>
  <c r="G39" i="2"/>
  <c r="G28" i="2"/>
  <c r="H30" i="2"/>
  <c r="H45" i="2"/>
  <c r="G34" i="2"/>
  <c r="H20" i="2"/>
  <c r="G20" i="2"/>
  <c r="G57" i="2"/>
  <c r="G50" i="2"/>
  <c r="H46" i="2"/>
  <c r="L46" i="2" s="1"/>
  <c r="G52" i="2"/>
  <c r="H29" i="2"/>
  <c r="G23" i="2"/>
  <c r="G17" i="2"/>
  <c r="G11" i="2"/>
  <c r="G48" i="2"/>
  <c r="G66" i="2"/>
  <c r="H14" i="2"/>
  <c r="L14" i="2" s="1"/>
  <c r="G55" i="2"/>
  <c r="G7" i="2"/>
  <c r="G24" i="2"/>
  <c r="G26" i="2"/>
  <c r="H13" i="2"/>
  <c r="G40" i="2"/>
  <c r="D64" i="2"/>
  <c r="D60" i="2"/>
  <c r="K60" i="2" s="1"/>
  <c r="D56" i="2"/>
  <c r="K56" i="2" s="1"/>
  <c r="D52" i="2"/>
  <c r="D48" i="2"/>
  <c r="D44" i="2"/>
  <c r="K44" i="2" s="1"/>
  <c r="D40" i="2"/>
  <c r="D36" i="2"/>
  <c r="D32" i="2"/>
  <c r="K32" i="2" s="1"/>
  <c r="D28" i="2"/>
  <c r="D24" i="2"/>
  <c r="K24" i="2" s="1"/>
  <c r="D20" i="2"/>
  <c r="D16" i="2"/>
  <c r="D12" i="2"/>
  <c r="D8" i="2"/>
  <c r="D4" i="2"/>
  <c r="K4" i="2" s="1"/>
  <c r="E63" i="2"/>
  <c r="E59" i="2"/>
  <c r="E55" i="2"/>
  <c r="E51" i="2"/>
  <c r="E47" i="2"/>
  <c r="E43" i="2"/>
  <c r="L43" i="2" s="1"/>
  <c r="E39" i="2"/>
  <c r="E35" i="2"/>
  <c r="E31" i="2"/>
  <c r="E27" i="2"/>
  <c r="E23" i="2"/>
  <c r="E19" i="2"/>
  <c r="E15" i="2"/>
  <c r="E11" i="2"/>
  <c r="E7" i="2"/>
  <c r="E3" i="2"/>
  <c r="D63" i="2"/>
  <c r="D59" i="2"/>
  <c r="K59" i="2" s="1"/>
  <c r="D55" i="2"/>
  <c r="K55" i="2" s="1"/>
  <c r="D51" i="2"/>
  <c r="D47" i="2"/>
  <c r="D43" i="2"/>
  <c r="K43" i="2" s="1"/>
  <c r="D39" i="2"/>
  <c r="K39" i="2" s="1"/>
  <c r="D35" i="2"/>
  <c r="K35" i="2" s="1"/>
  <c r="D31" i="2"/>
  <c r="D27" i="2"/>
  <c r="K27" i="2" s="1"/>
  <c r="D23" i="2"/>
  <c r="K23" i="2" s="1"/>
  <c r="D19" i="2"/>
  <c r="D15" i="2"/>
  <c r="D11" i="2"/>
  <c r="D7" i="2"/>
  <c r="K7" i="2" s="1"/>
  <c r="D3" i="2"/>
  <c r="K3" i="2" s="1"/>
  <c r="E66" i="2"/>
  <c r="E62" i="2"/>
  <c r="E58" i="2"/>
  <c r="E54" i="2"/>
  <c r="L54" i="2" s="1"/>
  <c r="E50" i="2"/>
  <c r="E46" i="2"/>
  <c r="E42" i="2"/>
  <c r="E38" i="2"/>
  <c r="E34" i="2"/>
  <c r="E30" i="2"/>
  <c r="E26" i="2"/>
  <c r="E22" i="2"/>
  <c r="E18" i="2"/>
  <c r="E14" i="2"/>
  <c r="E10" i="2"/>
  <c r="E6" i="2"/>
  <c r="E2" i="2"/>
  <c r="D66" i="2"/>
  <c r="K66" i="2" s="1"/>
  <c r="D62" i="2"/>
  <c r="K62" i="2" s="1"/>
  <c r="D58" i="2"/>
  <c r="D54" i="2"/>
  <c r="K54" i="2" s="1"/>
  <c r="D50" i="2"/>
  <c r="K50" i="2" s="1"/>
  <c r="D46" i="2"/>
  <c r="K46" i="2" s="1"/>
  <c r="D42" i="2"/>
  <c r="K42" i="2" s="1"/>
  <c r="D38" i="2"/>
  <c r="K38" i="2" s="1"/>
  <c r="D34" i="2"/>
  <c r="K34" i="2" s="1"/>
  <c r="D30" i="2"/>
  <c r="K30" i="2" s="1"/>
  <c r="D26" i="2"/>
  <c r="D22" i="2"/>
  <c r="K22" i="2" s="1"/>
  <c r="D18" i="2"/>
  <c r="D14" i="2"/>
  <c r="K14" i="2" s="1"/>
  <c r="D10" i="2"/>
  <c r="D6" i="2"/>
  <c r="K6" i="2" s="1"/>
  <c r="E60" i="2"/>
  <c r="D49" i="2"/>
  <c r="E37" i="2"/>
  <c r="E28" i="2"/>
  <c r="D17" i="2"/>
  <c r="E5" i="2"/>
  <c r="E32" i="2"/>
  <c r="E29" i="2"/>
  <c r="D61" i="2"/>
  <c r="K61" i="2" s="1"/>
  <c r="E40" i="2"/>
  <c r="E17" i="2"/>
  <c r="E8" i="2"/>
  <c r="E57" i="2"/>
  <c r="E48" i="2"/>
  <c r="D37" i="2"/>
  <c r="K37" i="2" s="1"/>
  <c r="E25" i="2"/>
  <c r="E16" i="2"/>
  <c r="D5" i="2"/>
  <c r="K5" i="2" s="1"/>
  <c r="D57" i="2"/>
  <c r="E45" i="2"/>
  <c r="E36" i="2"/>
  <c r="D25" i="2"/>
  <c r="K25" i="2" s="1"/>
  <c r="E13" i="2"/>
  <c r="E4" i="2"/>
  <c r="E9" i="2"/>
  <c r="E52" i="2"/>
  <c r="D9" i="2"/>
  <c r="K9" i="2" s="1"/>
  <c r="E65" i="2"/>
  <c r="E56" i="2"/>
  <c r="D45" i="2"/>
  <c r="K45" i="2" s="1"/>
  <c r="E33" i="2"/>
  <c r="E24" i="2"/>
  <c r="D13" i="2"/>
  <c r="K13" i="2" s="1"/>
  <c r="D2" i="2"/>
  <c r="K2" i="2" s="1"/>
  <c r="E64" i="2"/>
  <c r="E41" i="2"/>
  <c r="D21" i="2"/>
  <c r="K21" i="2" s="1"/>
  <c r="E61" i="2"/>
  <c r="D65" i="2"/>
  <c r="K65" i="2" s="1"/>
  <c r="E53" i="2"/>
  <c r="E44" i="2"/>
  <c r="D33" i="2"/>
  <c r="K33" i="2" s="1"/>
  <c r="E21" i="2"/>
  <c r="L21" i="2" s="1"/>
  <c r="E12" i="2"/>
  <c r="D53" i="2"/>
  <c r="K53" i="2" s="1"/>
  <c r="D41" i="2"/>
  <c r="D29" i="2"/>
  <c r="K29" i="2" s="1"/>
  <c r="E20" i="2"/>
  <c r="E49" i="2"/>
  <c r="H61" i="2"/>
  <c r="G51" i="2"/>
  <c r="G25" i="2"/>
  <c r="G47" i="2"/>
  <c r="G4" i="2"/>
  <c r="G41" i="2"/>
  <c r="G19" i="2"/>
  <c r="G49" i="2"/>
  <c r="H53" i="2"/>
  <c r="L53" i="2" s="1"/>
  <c r="G10" i="2"/>
  <c r="L20" i="2" l="1"/>
  <c r="K31" i="2"/>
  <c r="K40" i="2"/>
  <c r="K41" i="2"/>
  <c r="K18" i="2"/>
  <c r="K11" i="2"/>
  <c r="K8" i="2"/>
  <c r="K57" i="2"/>
  <c r="K58" i="2"/>
  <c r="K19" i="2"/>
  <c r="K51" i="2"/>
  <c r="H26" i="2"/>
  <c r="L26" i="2" s="1"/>
  <c r="H63" i="2"/>
  <c r="L63" i="2" s="1"/>
  <c r="H28" i="2"/>
  <c r="L28" i="2" s="1"/>
  <c r="H15" i="2"/>
  <c r="L15" i="2" s="1"/>
  <c r="H31" i="2"/>
  <c r="L31" i="2" s="1"/>
  <c r="L5" i="2"/>
  <c r="L62" i="2"/>
  <c r="H55" i="2"/>
  <c r="L55" i="2" s="1"/>
  <c r="H52" i="2"/>
  <c r="L52" i="2" s="1"/>
  <c r="L22" i="2"/>
  <c r="H47" i="2"/>
  <c r="L47" i="2" s="1"/>
  <c r="K28" i="2"/>
  <c r="E67" i="2" a="1"/>
  <c r="E67" i="2" s="1"/>
  <c r="K63" i="2"/>
  <c r="K64" i="2"/>
  <c r="H34" i="2"/>
  <c r="L34" i="2" s="1"/>
  <c r="L37" i="2"/>
  <c r="H64" i="2"/>
  <c r="L64" i="2" s="1"/>
  <c r="H56" i="2"/>
  <c r="L56" i="2" s="1"/>
  <c r="H4" i="2"/>
  <c r="L4" i="2" s="1"/>
  <c r="H11" i="2"/>
  <c r="L11" i="2" s="1"/>
  <c r="H16" i="2"/>
  <c r="L16" i="2" s="1"/>
  <c r="H19" i="2"/>
  <c r="L19" i="2" s="1"/>
  <c r="H25" i="2"/>
  <c r="L25" i="2" s="1"/>
  <c r="K10" i="2"/>
  <c r="K36" i="2"/>
  <c r="H66" i="2"/>
  <c r="L66" i="2" s="1"/>
  <c r="H23" i="2"/>
  <c r="L23" i="2" s="1"/>
  <c r="L45" i="2"/>
  <c r="H39" i="2"/>
  <c r="L39" i="2" s="1"/>
  <c r="H3" i="2"/>
  <c r="L3" i="2" s="1"/>
  <c r="H44" i="2"/>
  <c r="L44" i="2" s="1"/>
  <c r="H9" i="2"/>
  <c r="L9" i="2" s="1"/>
  <c r="H32" i="2"/>
  <c r="L32" i="2" s="1"/>
  <c r="G67" i="2" a="1"/>
  <c r="G67" i="2" s="1"/>
  <c r="K49" i="2"/>
  <c r="H17" i="2"/>
  <c r="L17" i="2" s="1"/>
  <c r="H12" i="2"/>
  <c r="L12" i="2" s="1"/>
  <c r="H24" i="2"/>
  <c r="L24" i="2" s="1"/>
  <c r="H40" i="2"/>
  <c r="L40" i="2" s="1"/>
  <c r="H50" i="2"/>
  <c r="L50" i="2" s="1"/>
  <c r="H18" i="2"/>
  <c r="L18" i="2" s="1"/>
  <c r="H27" i="2"/>
  <c r="L27" i="2" s="1"/>
  <c r="H2" i="2"/>
  <c r="K26" i="2"/>
  <c r="K20" i="2"/>
  <c r="K52" i="2"/>
  <c r="H59" i="2"/>
  <c r="L59" i="2" s="1"/>
  <c r="H36" i="2"/>
  <c r="L36" i="2" s="1"/>
  <c r="K17" i="2"/>
  <c r="K12" i="2"/>
  <c r="L13" i="2"/>
  <c r="H7" i="2"/>
  <c r="L7" i="2" s="1"/>
  <c r="H48" i="2"/>
  <c r="L48" i="2" s="1"/>
  <c r="L29" i="2"/>
  <c r="L30" i="2"/>
  <c r="H58" i="2"/>
  <c r="L58" i="2" s="1"/>
  <c r="H33" i="2"/>
  <c r="L33" i="2" s="1"/>
  <c r="H42" i="2"/>
  <c r="L42" i="2" s="1"/>
  <c r="H49" i="2"/>
  <c r="L49" i="2" s="1"/>
  <c r="H10" i="2"/>
  <c r="L10" i="2" s="1"/>
  <c r="H41" i="2"/>
  <c r="L41" i="2" s="1"/>
  <c r="H51" i="2"/>
  <c r="L51" i="2" s="1"/>
  <c r="L61" i="2"/>
  <c r="K15" i="2"/>
  <c r="K47" i="2"/>
  <c r="K16" i="2"/>
  <c r="K48" i="2"/>
  <c r="H57" i="2"/>
  <c r="L57" i="2" s="1"/>
  <c r="L6" i="2"/>
  <c r="H35" i="2"/>
  <c r="L35" i="2" s="1"/>
  <c r="H8" i="2"/>
  <c r="L8" i="2" s="1"/>
  <c r="H65" i="2"/>
  <c r="L65" i="2" s="1"/>
  <c r="H60" i="2"/>
  <c r="L60" i="2" s="1"/>
  <c r="C1" i="2" l="1" a="1"/>
  <c r="H67" i="2" a="1"/>
  <c r="H67" i="2" s="1"/>
  <c r="L2" i="2"/>
  <c r="L67" i="2" s="1" a="1"/>
  <c r="L67" i="2" s="1"/>
  <c r="K67" i="2" a="1"/>
  <c r="K67" i="2" s="1"/>
  <c r="C64" i="2" l="1"/>
  <c r="C56" i="2"/>
  <c r="C48" i="2"/>
  <c r="C40" i="2"/>
  <c r="C32" i="2"/>
  <c r="C24" i="2"/>
  <c r="C16" i="2"/>
  <c r="C8" i="2"/>
  <c r="C1" i="2"/>
  <c r="C60" i="2"/>
  <c r="C52" i="2"/>
  <c r="C36" i="2"/>
  <c r="C20" i="2"/>
  <c r="C4" i="2"/>
  <c r="C63" i="2"/>
  <c r="C55" i="2"/>
  <c r="C47" i="2"/>
  <c r="C39" i="2"/>
  <c r="C31" i="2"/>
  <c r="C23" i="2"/>
  <c r="C15" i="2"/>
  <c r="C7" i="2"/>
  <c r="C62" i="2"/>
  <c r="C54" i="2"/>
  <c r="C46" i="2"/>
  <c r="C38" i="2"/>
  <c r="C30" i="2"/>
  <c r="C22" i="2"/>
  <c r="C14" i="2"/>
  <c r="C6" i="2"/>
  <c r="C44" i="2"/>
  <c r="C12" i="2"/>
  <c r="C61" i="2"/>
  <c r="C53" i="2"/>
  <c r="C45" i="2"/>
  <c r="C37" i="2"/>
  <c r="C29" i="2"/>
  <c r="C21" i="2"/>
  <c r="C13" i="2"/>
  <c r="C5" i="2"/>
  <c r="C28" i="2"/>
  <c r="C49" i="2"/>
  <c r="C26" i="2"/>
  <c r="C3" i="2"/>
  <c r="C65" i="2"/>
  <c r="C57" i="2"/>
  <c r="C10" i="2"/>
  <c r="C50" i="2"/>
  <c r="C66" i="2"/>
  <c r="C43" i="2"/>
  <c r="C25" i="2"/>
  <c r="C2" i="2"/>
  <c r="C42" i="2"/>
  <c r="C19" i="2"/>
  <c r="C51" i="2"/>
  <c r="C59" i="2"/>
  <c r="C41" i="2"/>
  <c r="C18" i="2"/>
  <c r="C34" i="2"/>
  <c r="C58" i="2"/>
  <c r="C35" i="2"/>
  <c r="C17" i="2"/>
  <c r="C11" i="2"/>
  <c r="C27" i="2"/>
  <c r="C33" i="2"/>
  <c r="C9" i="2"/>
  <c r="F27" i="2" l="1"/>
  <c r="R27" i="2"/>
  <c r="J27" i="2"/>
  <c r="M27" i="2"/>
  <c r="J50" i="2"/>
  <c r="R50" i="2"/>
  <c r="F50" i="2"/>
  <c r="M50" i="2"/>
  <c r="R5" i="2"/>
  <c r="F5" i="2"/>
  <c r="J5" i="2"/>
  <c r="M5" i="2"/>
  <c r="J12" i="2"/>
  <c r="R12" i="2"/>
  <c r="F12" i="2"/>
  <c r="M12" i="2"/>
  <c r="F54" i="2"/>
  <c r="J54" i="2"/>
  <c r="R54" i="2"/>
  <c r="M54" i="2"/>
  <c r="F8" i="2"/>
  <c r="J8" i="2"/>
  <c r="R8" i="2"/>
  <c r="M8" i="2"/>
  <c r="R51" i="2"/>
  <c r="F51" i="2"/>
  <c r="J51" i="2"/>
  <c r="M51" i="2"/>
  <c r="R13" i="2"/>
  <c r="F13" i="2"/>
  <c r="J13" i="2"/>
  <c r="M13" i="2"/>
  <c r="R59" i="2"/>
  <c r="F59" i="2"/>
  <c r="J59" i="2"/>
  <c r="M59" i="2"/>
  <c r="J55" i="2"/>
  <c r="R55" i="2"/>
  <c r="F55" i="2"/>
  <c r="M55" i="2"/>
  <c r="J11" i="2"/>
  <c r="R11" i="2"/>
  <c r="F11" i="2"/>
  <c r="M11" i="2"/>
  <c r="R10" i="2"/>
  <c r="F10" i="2"/>
  <c r="J10" i="2"/>
  <c r="M10" i="2"/>
  <c r="J44" i="2"/>
  <c r="F44" i="2"/>
  <c r="R44" i="2"/>
  <c r="M44" i="2"/>
  <c r="F62" i="2"/>
  <c r="R62" i="2"/>
  <c r="J62" i="2"/>
  <c r="M62" i="2"/>
  <c r="J63" i="2"/>
  <c r="R63" i="2"/>
  <c r="F63" i="2"/>
  <c r="M63" i="2"/>
  <c r="F16" i="2"/>
  <c r="R16" i="2"/>
  <c r="J16" i="2"/>
  <c r="M16" i="2"/>
  <c r="J17" i="2"/>
  <c r="R17" i="2"/>
  <c r="F17" i="2"/>
  <c r="M17" i="2"/>
  <c r="J19" i="2"/>
  <c r="F19" i="2"/>
  <c r="R19" i="2"/>
  <c r="M19" i="2"/>
  <c r="J57" i="2"/>
  <c r="R57" i="2"/>
  <c r="F57" i="2"/>
  <c r="M57" i="2"/>
  <c r="R21" i="2"/>
  <c r="F21" i="2"/>
  <c r="J21" i="2"/>
  <c r="M21" i="2"/>
  <c r="J6" i="2"/>
  <c r="R6" i="2"/>
  <c r="F6" i="2"/>
  <c r="M6" i="2"/>
  <c r="J7" i="2"/>
  <c r="R7" i="2"/>
  <c r="F7" i="2"/>
  <c r="M7" i="2"/>
  <c r="J4" i="2"/>
  <c r="R4" i="2"/>
  <c r="F4" i="2"/>
  <c r="M4" i="2"/>
  <c r="F24" i="2"/>
  <c r="J24" i="2"/>
  <c r="R24" i="2"/>
  <c r="M24" i="2"/>
  <c r="R35" i="2"/>
  <c r="F35" i="2"/>
  <c r="J35" i="2"/>
  <c r="M35" i="2"/>
  <c r="J42" i="2"/>
  <c r="R42" i="2"/>
  <c r="F42" i="2"/>
  <c r="M42" i="2"/>
  <c r="J65" i="2"/>
  <c r="F65" i="2"/>
  <c r="R65" i="2"/>
  <c r="M65" i="2"/>
  <c r="R29" i="2"/>
  <c r="F29" i="2"/>
  <c r="J29" i="2"/>
  <c r="M29" i="2"/>
  <c r="J14" i="2"/>
  <c r="F14" i="2"/>
  <c r="R14" i="2"/>
  <c r="M14" i="2"/>
  <c r="J15" i="2"/>
  <c r="R15" i="2"/>
  <c r="F15" i="2"/>
  <c r="M15" i="2"/>
  <c r="J20" i="2"/>
  <c r="F20" i="2"/>
  <c r="R20" i="2"/>
  <c r="M20" i="2"/>
  <c r="F32" i="2"/>
  <c r="J32" i="2"/>
  <c r="R32" i="2"/>
  <c r="M32" i="2"/>
  <c r="J58" i="2"/>
  <c r="R58" i="2"/>
  <c r="F58" i="2"/>
  <c r="M58" i="2"/>
  <c r="R2" i="2"/>
  <c r="F2" i="2"/>
  <c r="J2" i="2"/>
  <c r="M2" i="2"/>
  <c r="J3" i="2"/>
  <c r="R3" i="2"/>
  <c r="F3" i="2"/>
  <c r="M3" i="2"/>
  <c r="J37" i="2"/>
  <c r="R37" i="2"/>
  <c r="F37" i="2"/>
  <c r="M37" i="2"/>
  <c r="J22" i="2"/>
  <c r="F22" i="2"/>
  <c r="R22" i="2"/>
  <c r="M22" i="2"/>
  <c r="J23" i="2"/>
  <c r="F23" i="2"/>
  <c r="R23" i="2"/>
  <c r="M23" i="2"/>
  <c r="J36" i="2"/>
  <c r="R36" i="2"/>
  <c r="F36" i="2"/>
  <c r="M36" i="2"/>
  <c r="R40" i="2"/>
  <c r="F40" i="2"/>
  <c r="J40" i="2"/>
  <c r="M40" i="2"/>
  <c r="R34" i="2"/>
  <c r="F34" i="2"/>
  <c r="J34" i="2"/>
  <c r="M34" i="2"/>
  <c r="F25" i="2"/>
  <c r="R25" i="2"/>
  <c r="J25" i="2"/>
  <c r="M25" i="2"/>
  <c r="R26" i="2"/>
  <c r="J26" i="2"/>
  <c r="F26" i="2"/>
  <c r="M26" i="2"/>
  <c r="J45" i="2"/>
  <c r="R45" i="2"/>
  <c r="F45" i="2"/>
  <c r="M45" i="2"/>
  <c r="F30" i="2"/>
  <c r="R30" i="2"/>
  <c r="J30" i="2"/>
  <c r="M30" i="2"/>
  <c r="J31" i="2"/>
  <c r="F31" i="2"/>
  <c r="R31" i="2"/>
  <c r="M31" i="2"/>
  <c r="J52" i="2"/>
  <c r="F52" i="2"/>
  <c r="R52" i="2"/>
  <c r="M52" i="2"/>
  <c r="R48" i="2"/>
  <c r="F48" i="2"/>
  <c r="J48" i="2"/>
  <c r="M48" i="2"/>
  <c r="J9" i="2"/>
  <c r="R9" i="2"/>
  <c r="F9" i="2"/>
  <c r="M9" i="2"/>
  <c r="R18" i="2"/>
  <c r="J18" i="2"/>
  <c r="F18" i="2"/>
  <c r="M18" i="2"/>
  <c r="R43" i="2"/>
  <c r="F43" i="2"/>
  <c r="J43" i="2"/>
  <c r="M43" i="2"/>
  <c r="J49" i="2"/>
  <c r="R49" i="2"/>
  <c r="F49" i="2"/>
  <c r="M49" i="2"/>
  <c r="J53" i="2"/>
  <c r="R53" i="2"/>
  <c r="F53" i="2"/>
  <c r="M53" i="2"/>
  <c r="F38" i="2"/>
  <c r="R38" i="2"/>
  <c r="J38" i="2"/>
  <c r="M38" i="2"/>
  <c r="J39" i="2"/>
  <c r="R39" i="2"/>
  <c r="F39" i="2"/>
  <c r="M39" i="2"/>
  <c r="J60" i="2"/>
  <c r="F60" i="2"/>
  <c r="R60" i="2"/>
  <c r="M60" i="2"/>
  <c r="R56" i="2"/>
  <c r="F56" i="2"/>
  <c r="J56" i="2"/>
  <c r="M56" i="2"/>
  <c r="J33" i="2"/>
  <c r="F33" i="2"/>
  <c r="R33" i="2"/>
  <c r="M33" i="2"/>
  <c r="J41" i="2"/>
  <c r="F41" i="2"/>
  <c r="R41" i="2"/>
  <c r="M41" i="2"/>
  <c r="J66" i="2"/>
  <c r="R66" i="2"/>
  <c r="F66" i="2"/>
  <c r="M66" i="2"/>
  <c r="J28" i="2"/>
  <c r="F28" i="2"/>
  <c r="R28" i="2"/>
  <c r="M28" i="2"/>
  <c r="J61" i="2"/>
  <c r="R61" i="2"/>
  <c r="F61" i="2"/>
  <c r="M61" i="2"/>
  <c r="F46" i="2"/>
  <c r="R46" i="2"/>
  <c r="J46" i="2"/>
  <c r="M46" i="2"/>
  <c r="J47" i="2"/>
  <c r="R47" i="2"/>
  <c r="F47" i="2"/>
  <c r="M47" i="2"/>
  <c r="R64" i="2"/>
  <c r="F64" i="2"/>
  <c r="J64" i="2"/>
  <c r="M64" i="2"/>
  <c r="S61" i="2" l="1"/>
  <c r="Q61" i="2"/>
  <c r="P61" i="2"/>
  <c r="S45" i="2"/>
  <c r="Q45" i="2"/>
  <c r="P45" i="2"/>
  <c r="S37" i="2"/>
  <c r="Q37" i="2"/>
  <c r="P37" i="2"/>
  <c r="S15" i="2"/>
  <c r="Q15" i="2"/>
  <c r="P15" i="2"/>
  <c r="S42" i="2"/>
  <c r="Q42" i="2"/>
  <c r="P42" i="2"/>
  <c r="S12" i="2"/>
  <c r="Q12" i="2"/>
  <c r="P12" i="2"/>
  <c r="S50" i="2"/>
  <c r="Q50" i="2"/>
  <c r="P50" i="2"/>
  <c r="P33" i="2"/>
  <c r="Q33" i="2"/>
  <c r="S33" i="2"/>
  <c r="S60" i="2"/>
  <c r="P60" i="2"/>
  <c r="Q60" i="2"/>
  <c r="S48" i="2"/>
  <c r="Q48" i="2"/>
  <c r="P48" i="2"/>
  <c r="S31" i="2"/>
  <c r="Q31" i="2"/>
  <c r="P31" i="2"/>
  <c r="S40" i="2"/>
  <c r="Q40" i="2"/>
  <c r="P40" i="2"/>
  <c r="S23" i="2"/>
  <c r="P23" i="2"/>
  <c r="Q23" i="2"/>
  <c r="S2" i="2"/>
  <c r="Q2" i="2"/>
  <c r="F67" i="2" a="1"/>
  <c r="F67" i="2" s="1"/>
  <c r="P2" i="2"/>
  <c r="Q29" i="2"/>
  <c r="S29" i="2"/>
  <c r="P29" i="2"/>
  <c r="Q21" i="2"/>
  <c r="S21" i="2"/>
  <c r="P21" i="2"/>
  <c r="P19" i="2"/>
  <c r="S19" i="2"/>
  <c r="Q19" i="2"/>
  <c r="S10" i="2"/>
  <c r="Q10" i="2"/>
  <c r="P10" i="2"/>
  <c r="Q13" i="2"/>
  <c r="P13" i="2"/>
  <c r="S13" i="2"/>
  <c r="S25" i="2"/>
  <c r="P25" i="2"/>
  <c r="Q25" i="2"/>
  <c r="S32" i="2"/>
  <c r="Q32" i="2"/>
  <c r="P32" i="2"/>
  <c r="Q24" i="2"/>
  <c r="P24" i="2"/>
  <c r="S24" i="2"/>
  <c r="Q16" i="2"/>
  <c r="P16" i="2"/>
  <c r="S16" i="2"/>
  <c r="Q62" i="2"/>
  <c r="P62" i="2"/>
  <c r="S62" i="2"/>
  <c r="Q8" i="2"/>
  <c r="P8" i="2"/>
  <c r="S8" i="2"/>
  <c r="M67" i="2" a="1"/>
  <c r="M67" i="2" s="1"/>
  <c r="N67" i="2" s="1"/>
  <c r="Q67" i="2" s="1"/>
  <c r="S47" i="2"/>
  <c r="Q47" i="2"/>
  <c r="P47" i="2"/>
  <c r="S18" i="2"/>
  <c r="P18" i="2"/>
  <c r="Q18" i="2"/>
  <c r="S53" i="2"/>
  <c r="Q53" i="2"/>
  <c r="P53" i="2"/>
  <c r="P3" i="2"/>
  <c r="S3" i="2"/>
  <c r="Q3" i="2"/>
  <c r="S6" i="2"/>
  <c r="P6" i="2"/>
  <c r="Q6" i="2"/>
  <c r="S17" i="2"/>
  <c r="Q17" i="2"/>
  <c r="P17" i="2"/>
  <c r="S63" i="2"/>
  <c r="Q63" i="2"/>
  <c r="P63" i="2"/>
  <c r="P11" i="2"/>
  <c r="S11" i="2"/>
  <c r="Q11" i="2"/>
  <c r="S66" i="2"/>
  <c r="Q66" i="2"/>
  <c r="P66" i="2"/>
  <c r="P49" i="2"/>
  <c r="S49" i="2"/>
  <c r="Q49" i="2"/>
  <c r="S7" i="2"/>
  <c r="Q7" i="2"/>
  <c r="P7" i="2"/>
  <c r="Q38" i="2"/>
  <c r="P38" i="2"/>
  <c r="S38" i="2"/>
  <c r="S9" i="2"/>
  <c r="Q9" i="2"/>
  <c r="P9" i="2"/>
  <c r="S36" i="2"/>
  <c r="Q36" i="2"/>
  <c r="P36" i="2"/>
  <c r="S58" i="2"/>
  <c r="Q58" i="2"/>
  <c r="P58" i="2"/>
  <c r="P57" i="2"/>
  <c r="S57" i="2"/>
  <c r="Q57" i="2"/>
  <c r="S64" i="2"/>
  <c r="Q64" i="2"/>
  <c r="P64" i="2"/>
  <c r="P41" i="2"/>
  <c r="S41" i="2"/>
  <c r="Q41" i="2"/>
  <c r="S56" i="2"/>
  <c r="Q56" i="2"/>
  <c r="P56" i="2"/>
  <c r="S20" i="2"/>
  <c r="Q20" i="2"/>
  <c r="P20" i="2"/>
  <c r="P65" i="2"/>
  <c r="S65" i="2"/>
  <c r="Q65" i="2"/>
  <c r="S44" i="2"/>
  <c r="Q44" i="2"/>
  <c r="P44" i="2"/>
  <c r="Q59" i="2"/>
  <c r="P59" i="2"/>
  <c r="S59" i="2"/>
  <c r="Q51" i="2"/>
  <c r="P51" i="2"/>
  <c r="S51" i="2"/>
  <c r="Q5" i="2"/>
  <c r="P5" i="2"/>
  <c r="S5" i="2"/>
  <c r="J67" i="2" a="1"/>
  <c r="J67" i="2" s="1"/>
  <c r="J69" i="2" s="1"/>
  <c r="J70" i="2" s="1"/>
  <c r="S55" i="2"/>
  <c r="Q55" i="2"/>
  <c r="P55" i="2"/>
  <c r="S39" i="2"/>
  <c r="Q39" i="2"/>
  <c r="P39" i="2"/>
  <c r="S26" i="2"/>
  <c r="Q26" i="2"/>
  <c r="P26" i="2"/>
  <c r="S4" i="2"/>
  <c r="Q4" i="2"/>
  <c r="P4" i="2"/>
  <c r="S28" i="2"/>
  <c r="Q28" i="2"/>
  <c r="P28" i="2"/>
  <c r="Q43" i="2"/>
  <c r="P43" i="2"/>
  <c r="S43" i="2"/>
  <c r="S52" i="2"/>
  <c r="P52" i="2"/>
  <c r="Q52" i="2"/>
  <c r="S34" i="2"/>
  <c r="Q34" i="2"/>
  <c r="P34" i="2"/>
  <c r="S22" i="2"/>
  <c r="Q22" i="2"/>
  <c r="P22" i="2"/>
  <c r="S14" i="2"/>
  <c r="P14" i="2"/>
  <c r="Q14" i="2"/>
  <c r="Q35" i="2"/>
  <c r="P35" i="2"/>
  <c r="S35" i="2"/>
  <c r="Q46" i="2"/>
  <c r="P46" i="2"/>
  <c r="S46" i="2"/>
  <c r="S30" i="2"/>
  <c r="Q30" i="2"/>
  <c r="P30" i="2"/>
  <c r="Q54" i="2"/>
  <c r="P54" i="2"/>
  <c r="S54" i="2"/>
  <c r="P27" i="2"/>
  <c r="S27" i="2"/>
  <c r="Q27" i="2"/>
</calcChain>
</file>

<file path=xl/sharedStrings.xml><?xml version="1.0" encoding="utf-8"?>
<sst xmlns="http://schemas.openxmlformats.org/spreadsheetml/2006/main" count="1121" uniqueCount="425">
  <si>
    <t>Sted</t>
  </si>
  <si>
    <t>Overskudd</t>
  </si>
  <si>
    <t>ut</t>
  </si>
  <si>
    <t>inn</t>
  </si>
  <si>
    <t>Feilsøking</t>
  </si>
  <si>
    <t>Drottningborgrussen</t>
  </si>
  <si>
    <t>Ikke kategoriserte utgifter</t>
  </si>
  <si>
    <t>Startkapital 01.08.25</t>
  </si>
  <si>
    <t>kategori</t>
  </si>
  <si>
    <t>Diff</t>
  </si>
  <si>
    <t>Intekter</t>
  </si>
  <si>
    <t>Gammelt skyldig (sommertreff)</t>
  </si>
  <si>
    <t>Inn kiosk</t>
  </si>
  <si>
    <t>Intektsforklaringer</t>
  </si>
  <si>
    <t>Utført dato</t>
  </si>
  <si>
    <t>Beløp inn</t>
  </si>
  <si>
    <t>Mottakernavn</t>
  </si>
  <si>
    <t>Numref</t>
  </si>
  <si>
    <t>Melding/KID/Fakt.nr</t>
  </si>
  <si>
    <t>Brukt</t>
  </si>
  <si>
    <t>Utgifter</t>
  </si>
  <si>
    <t>Misjonsprojekt</t>
  </si>
  <si>
    <t>Vipps</t>
  </si>
  <si>
    <t>Volley</t>
  </si>
  <si>
    <t>30.09.2025</t>
  </si>
  <si>
    <t>Utb. 2000689 Vippsnr 115851</t>
  </si>
  <si>
    <t>Lån drottningborg</t>
  </si>
  <si>
    <t>Terminal</t>
  </si>
  <si>
    <t>nattcup</t>
  </si>
  <si>
    <t>29.09.2025</t>
  </si>
  <si>
    <t>Utb. 2000688 Vippsnr 115851</t>
  </si>
  <si>
    <t>Beløp ut</t>
  </si>
  <si>
    <t>Kjøre</t>
  </si>
  <si>
    <t>28.10.2025</t>
  </si>
  <si>
    <t>Utb. 2000697 Vippsnr 115851</t>
  </si>
  <si>
    <t>13.10.2025</t>
  </si>
  <si>
    <t>Kredinor AS</t>
  </si>
  <si>
    <t>STØ AS</t>
  </si>
  <si>
    <t>kiosk</t>
  </si>
  <si>
    <t>kvitering</t>
  </si>
  <si>
    <t>Total forklart</t>
  </si>
  <si>
    <t>26.09.2025</t>
  </si>
  <si>
    <t>Utb. 2000687 Vippsnr 115851</t>
  </si>
  <si>
    <t>14.08.2025</t>
  </si>
  <si>
    <t>Utb. 2000024 Vippsnr 126054</t>
  </si>
  <si>
    <t>Isruss</t>
  </si>
  <si>
    <t>Total bank</t>
  </si>
  <si>
    <t>22.09.2025</t>
  </si>
  <si>
    <t>Utb. 2000686 Vippsnr 115851</t>
  </si>
  <si>
    <t>15.08.2025</t>
  </si>
  <si>
    <t>NettBedrift betalingsformidling</t>
  </si>
  <si>
    <t>Milkshake</t>
  </si>
  <si>
    <t>Ukjent</t>
  </si>
  <si>
    <t>21.10.2025</t>
  </si>
  <si>
    <t>Utb. 2000696 Vippsnr 115851</t>
  </si>
  <si>
    <t>15.09.2025</t>
  </si>
  <si>
    <t>Pant</t>
  </si>
  <si>
    <t>19.09.2025</t>
  </si>
  <si>
    <t>Utb. 2000685 Vippsnr 115851</t>
  </si>
  <si>
    <t>16.10.2025</t>
  </si>
  <si>
    <t>Basar</t>
  </si>
  <si>
    <t>17.09.2025</t>
  </si>
  <si>
    <t>Utb. 2000684 Vippsnr 115851</t>
  </si>
  <si>
    <t>20.10.2025</t>
  </si>
  <si>
    <t>Misjonsløp</t>
  </si>
  <si>
    <t>Utb. 2000695 Vippsnr 115851</t>
  </si>
  <si>
    <t>Harrald Husby</t>
  </si>
  <si>
    <t>Til: Harrald Husby
mosjonsløp krbabpizza premie</t>
  </si>
  <si>
    <t>23.10.2025</t>
  </si>
  <si>
    <t>.</t>
  </si>
  <si>
    <t>Til: .
Bakerussen ingrediensinkjøp 1 v3</t>
  </si>
  <si>
    <t>Kjøring</t>
  </si>
  <si>
    <t>16.09.2025</t>
  </si>
  <si>
    <t>Utb. 2000683 Vippsnr 115851</t>
  </si>
  <si>
    <t>Vegard Straume Kleven</t>
  </si>
  <si>
    <t>Til: Vegard Straume Kleven
natcupp gaffa teip</t>
  </si>
  <si>
    <t>Barista</t>
  </si>
  <si>
    <t>14.10.2025</t>
  </si>
  <si>
    <t>Utb. 2000694 Vippsnr 115851</t>
  </si>
  <si>
    <t>Karoline Nepstad</t>
  </si>
  <si>
    <t>OCR-GIRO MÅNEDSAVGIFT               1 TRANS(ER) TYPE 438 763</t>
  </si>
  <si>
    <t>Nattcup</t>
  </si>
  <si>
    <t>Utb. 2000693 Vippsnr 115851</t>
  </si>
  <si>
    <t>16741620661</t>
  </si>
  <si>
    <t>TRANSAVG INNLØSNING BANKAXEPT      92 TRANS(ER) TYPE 438 751</t>
  </si>
  <si>
    <t>bokbind</t>
  </si>
  <si>
    <t>Utb. 2000692 Vippsnr 115851</t>
  </si>
  <si>
    <t>Innbetaling</t>
  </si>
  <si>
    <t>31.08.2025</t>
  </si>
  <si>
    <t>10.10.2025</t>
  </si>
  <si>
    <t>Utb. 2000691 Vippsnr 115851</t>
  </si>
  <si>
    <t>167400609126</t>
  </si>
  <si>
    <t>10.09.2025</t>
  </si>
  <si>
    <t>Utb. 2000681 Vippsnr 115851</t>
  </si>
  <si>
    <t>Utb. 2000682 Vippsnr 115851</t>
  </si>
  <si>
    <t>Mosjonsløp, Jakob Erikstein</t>
  </si>
  <si>
    <t>08.10.2025</t>
  </si>
  <si>
    <t>Utb. 2000690 Vippsnr 115851</t>
  </si>
  <si>
    <t>16741696964</t>
  </si>
  <si>
    <t>sum</t>
  </si>
  <si>
    <t>02.09.2025</t>
  </si>
  <si>
    <t>Utb. 2000680 Vippsnr 115851</t>
  </si>
  <si>
    <t>167992060993</t>
  </si>
  <si>
    <t>Estimert konto</t>
  </si>
  <si>
    <t>16795923910</t>
  </si>
  <si>
    <t>på konto</t>
  </si>
  <si>
    <t>22.10.2025</t>
  </si>
  <si>
    <t>197909859875</t>
  </si>
  <si>
    <t>Differanse</t>
  </si>
  <si>
    <t>167453731041</t>
  </si>
  <si>
    <t>16791175512</t>
  </si>
  <si>
    <t>1679 11 850417</t>
  </si>
  <si>
    <t>24.10.2025</t>
  </si>
  <si>
    <t>Utb. 2000058 Vippsnr 625976</t>
  </si>
  <si>
    <t>27.10.2025</t>
  </si>
  <si>
    <t>167918253459</t>
  </si>
  <si>
    <t>Betaling også for Margit Sordal Kjebekk</t>
  </si>
  <si>
    <t>Fra Tor Egil Karinen</t>
  </si>
  <si>
    <t>Utb. 2000059 Vippsnr 625976</t>
  </si>
  <si>
    <t>Utb. 2000062 Vippsnr 625976</t>
  </si>
  <si>
    <t>Utb. 2000060 Vippsnr 625976</t>
  </si>
  <si>
    <t>Utb. 2000061 Vippsnr 625976</t>
  </si>
  <si>
    <t>29.10.2025</t>
  </si>
  <si>
    <t>Utb. 2000063 Vippsnr 625976</t>
  </si>
  <si>
    <t>Utb. 2000043 Vippsnr 625971</t>
  </si>
  <si>
    <t>30.10.2025</t>
  </si>
  <si>
    <t>Overførsel</t>
  </si>
  <si>
    <t>Totalt kreditert OCR-giro</t>
  </si>
  <si>
    <t>Totalt estimert kioskpris</t>
  </si>
  <si>
    <t>Antall Solgt</t>
  </si>
  <si>
    <t>Total pris</t>
  </si>
  <si>
    <t>Svinn</t>
  </si>
  <si>
    <t>svinsum</t>
  </si>
  <si>
    <t>På lager</t>
  </si>
  <si>
    <t>Nåværende overskudd</t>
  </si>
  <si>
    <t>Lagerverdi</t>
  </si>
  <si>
    <t>korreksjon</t>
  </si>
  <si>
    <t>Profitt</t>
  </si>
  <si>
    <t>Prosent</t>
  </si>
  <si>
    <t>vipps total</t>
  </si>
  <si>
    <t>Energidrikk</t>
  </si>
  <si>
    <t>Gevinster</t>
  </si>
  <si>
    <t>Monster monarch</t>
  </si>
  <si>
    <t>peach -&gt;</t>
  </si>
  <si>
    <t>fresh</t>
  </si>
  <si>
    <t>Brus</t>
  </si>
  <si>
    <t>Godteri</t>
  </si>
  <si>
    <t>Error, mangler rundt 1400 fra gammel vipps</t>
  </si>
  <si>
    <t>halla</t>
  </si>
  <si>
    <t>betalt</t>
  </si>
  <si>
    <t>Ut bank</t>
  </si>
  <si>
    <t>ukjent med feil</t>
  </si>
  <si>
    <t>Bankutskrifter</t>
  </si>
  <si>
    <t>Johannes Sødal</t>
  </si>
  <si>
    <t>Til: Johannes Sødal
Kioskens andel</t>
  </si>
  <si>
    <t>Viktor Aandstad</t>
  </si>
  <si>
    <t>Til: Viktor Aandstad
Battery kiosk. Innkjøp 2 kvit 3</t>
  </si>
  <si>
    <t>10.10 STORCASH BARSTØLVEIEN KRISTIANSAND</t>
  </si>
  <si>
    <t>12.08.2025</t>
  </si>
  <si>
    <t>Til: Viktor Aandstad
Utlegg storcach russen</t>
  </si>
  <si>
    <t>11.09.2025</t>
  </si>
  <si>
    <t>Til: Viktor Aandstad
Rema 1000 kioskinkjøp nr 2</t>
  </si>
  <si>
    <t>Ruth Linnea Erøy</t>
  </si>
  <si>
    <t>Til: Ruth Linnea Erøy
Joker kiosk innkjøp nr 2</t>
  </si>
  <si>
    <t>Til: Viktor Aandstad
Rema 100 kioskinkjøp nr 2</t>
  </si>
  <si>
    <t>Til: Viktor Aandstad
SC Kioskinnkjøp nr 2</t>
  </si>
  <si>
    <t>Kontrolpanel</t>
  </si>
  <si>
    <t>Inn vipps</t>
  </si>
  <si>
    <t>Inn bank vipps</t>
  </si>
  <si>
    <t>Transaksjoner inn:</t>
  </si>
  <si>
    <t>Utb. 2001577 Vippsnr 126635</t>
  </si>
  <si>
    <t>Utb. 2000018 Vippsnr 126635</t>
  </si>
  <si>
    <t>Utb. 2000041 Vippsnr 126635</t>
  </si>
  <si>
    <t>Utb. 2000017 Vippsnr 126635</t>
  </si>
  <si>
    <t>Utb. 2000039 Vippsnr 126635</t>
  </si>
  <si>
    <t>Utb. 2000038 Vippsnr 126635</t>
  </si>
  <si>
    <t>Utb. 2000040 Vippsnr 126635</t>
  </si>
  <si>
    <t>28.08.2025</t>
  </si>
  <si>
    <t>Utb. 2001576 Vippsnr 126635</t>
  </si>
  <si>
    <t>Utb. 2000037 Vippsnr 126635</t>
  </si>
  <si>
    <t>27.08.2025</t>
  </si>
  <si>
    <t>Utb. 2001575 Vippsnr 126635</t>
  </si>
  <si>
    <t>Utb. 2000016 Vippsnr 126635</t>
  </si>
  <si>
    <t>26.08.2025</t>
  </si>
  <si>
    <t>Utb. 2001572 Vippsnr 126635</t>
  </si>
  <si>
    <t>Utb. 2001573 Vippsnr 126635</t>
  </si>
  <si>
    <t>Utb. 2001574 Vippsnr 126635</t>
  </si>
  <si>
    <t>25.09.2025</t>
  </si>
  <si>
    <t>Utb. 2000015 Vippsnr 126635</t>
  </si>
  <si>
    <t>25.08.2025</t>
  </si>
  <si>
    <t>Utb. 2001571 Vippsnr 126635</t>
  </si>
  <si>
    <t>Utb. 2000036 Vippsnr 126635</t>
  </si>
  <si>
    <t>24.09.2025</t>
  </si>
  <si>
    <t>Utb. 2000014 Vippsnr 126635</t>
  </si>
  <si>
    <t>Utb. 2000035 Vippsnr 126635</t>
  </si>
  <si>
    <t>23.09.2025</t>
  </si>
  <si>
    <t>Utb. 2000013 Vippsnr 126635</t>
  </si>
  <si>
    <t>Utb. 2000012 Vippsnr 126635</t>
  </si>
  <si>
    <t>Utb. 2000011 Vippsnr 126635</t>
  </si>
  <si>
    <t>Utb. 2000034 Vippsnr 126635</t>
  </si>
  <si>
    <t>Utb. 2000010 Vippsnr 126635</t>
  </si>
  <si>
    <t>22.08.2025</t>
  </si>
  <si>
    <t>Utb. 2001570 Vippsnr 126635</t>
  </si>
  <si>
    <t>Utb. 2000033 Vippsnr 126635</t>
  </si>
  <si>
    <t>Utb. 2000031 Vippsnr 126635</t>
  </si>
  <si>
    <t>Utb. 2000032 Vippsnr 126635</t>
  </si>
  <si>
    <t>21.08.2025</t>
  </si>
  <si>
    <t>Utb. 2001569 Vippsnr 126635</t>
  </si>
  <si>
    <t>Utb. 2000030 Vippsnr 126635</t>
  </si>
  <si>
    <t>20.08.2025</t>
  </si>
  <si>
    <t>Utb. 2001568 Vippsnr 126635</t>
  </si>
  <si>
    <t>Utb. 2000009 Vippsnr 126635</t>
  </si>
  <si>
    <t>19.08.2025</t>
  </si>
  <si>
    <t>Utb. 2001565 Vippsnr 126635</t>
  </si>
  <si>
    <t>Utb. 2001567 Vippsnr 126635</t>
  </si>
  <si>
    <t>Utb. 2001566 Vippsnr 126635</t>
  </si>
  <si>
    <t>18.09.2025</t>
  </si>
  <si>
    <t>Utb. 2000008 Vippsnr 126635</t>
  </si>
  <si>
    <t>18.08.2025</t>
  </si>
  <si>
    <t>Utb. 2001564 Vippsnr 126635</t>
  </si>
  <si>
    <t>17.10.2025</t>
  </si>
  <si>
    <t>Utb. 2000029 Vippsnr 126635</t>
  </si>
  <si>
    <t>Utb. 2000007 Vippsnr 126635</t>
  </si>
  <si>
    <t>Utb. 2000028 Vippsnr 126635</t>
  </si>
  <si>
    <t>Utb. 2000004 Vippsnr 126635</t>
  </si>
  <si>
    <t>Utb. 2000006 Vippsnr 126635</t>
  </si>
  <si>
    <t>Utb. 2000005 Vippsnr 126635</t>
  </si>
  <si>
    <t>15.10.2025</t>
  </si>
  <si>
    <t>Utb. 2000027 Vippsnr 126635</t>
  </si>
  <si>
    <t>Utb. 2000003 Vippsnr 126635</t>
  </si>
  <si>
    <t>Utb. 2001563 Vippsnr 126635</t>
  </si>
  <si>
    <t>Utb. 2000026 Vippsnr 126635</t>
  </si>
  <si>
    <t>Utb. 2000025 Vippsnr 126635</t>
  </si>
  <si>
    <t>Utb. 2000024 Vippsnr 126635</t>
  </si>
  <si>
    <t>Utb. 2001562 Vippsnr 126635</t>
  </si>
  <si>
    <t>Utb. 2000023 Vippsnr 126635</t>
  </si>
  <si>
    <t>12.09.2025</t>
  </si>
  <si>
    <t>Utb. 2000002 Vippsnr 126635</t>
  </si>
  <si>
    <t>Utb. 2001590 Vippsnr 970538</t>
  </si>
  <si>
    <t>Utb. 2000001 Vippsnr 126635</t>
  </si>
  <si>
    <t>Utb. 2000022 Vippsnr 126635</t>
  </si>
  <si>
    <t>Utb. 2001589 Vippsnr 126635</t>
  </si>
  <si>
    <t>Utb. 2001587 Vippsnr 126635</t>
  </si>
  <si>
    <t>Utb. 2001588 Vippsnr 126635</t>
  </si>
  <si>
    <t>Utb. 2001586 Vippsnr 126635</t>
  </si>
  <si>
    <t>09.10.2025</t>
  </si>
  <si>
    <t>Utb. 2000021 Vippsnr 126635</t>
  </si>
  <si>
    <t>Utb. 2000020 Vippsnr 126635</t>
  </si>
  <si>
    <t>08.09.2025</t>
  </si>
  <si>
    <t>Utb. 2001585 Vippsnr 126635</t>
  </si>
  <si>
    <t>07.10.2025</t>
  </si>
  <si>
    <t>Utb. 2000019 Vippsnr 126635</t>
  </si>
  <si>
    <t>05.09.2025</t>
  </si>
  <si>
    <t>Utb. 2001584 Vippsnr 126635</t>
  </si>
  <si>
    <t>04.09.2025</t>
  </si>
  <si>
    <t>Utb. 2001583 Vippsnr 126635</t>
  </si>
  <si>
    <t>03.09.2025</t>
  </si>
  <si>
    <t>Utb. 2001582 Vippsnr 126635</t>
  </si>
  <si>
    <t>Utb. 2001579 Vippsnr 126635</t>
  </si>
  <si>
    <t>Utb. 2001580 Vippsnr 126635</t>
  </si>
  <si>
    <t>Utb. 2001581 Vippsnr 126635</t>
  </si>
  <si>
    <t>01.09.2025</t>
  </si>
  <si>
    <t>Utb. 2001578 Vippsnr 126635</t>
  </si>
  <si>
    <t>Inn logført</t>
  </si>
  <si>
    <t>Inn bank</t>
  </si>
  <si>
    <t>Dette tallet på ikke brukes, husker ikke hvorfor</t>
  </si>
  <si>
    <t>Transaksjoner</t>
  </si>
  <si>
    <t>DROTTNINGBORGRU DROTTNINGBO  769821</t>
  </si>
  <si>
    <t>Nets 0030 5351127</t>
  </si>
  <si>
    <t>Nets 0031 5351127</t>
  </si>
  <si>
    <t>Nets 0029 5351127</t>
  </si>
  <si>
    <t>Nets 0028 5351127</t>
  </si>
  <si>
    <t>09.09.2025</t>
  </si>
  <si>
    <t>Nets 0027 5351127</t>
  </si>
  <si>
    <t>Oppsumert</t>
  </si>
  <si>
    <t>Privat</t>
  </si>
  <si>
    <t>Borgen Bilen</t>
  </si>
  <si>
    <t>Type</t>
  </si>
  <si>
    <t>Etternavn</t>
  </si>
  <si>
    <t>grunn</t>
  </si>
  <si>
    <t>kontonummer</t>
  </si>
  <si>
    <t>Fornavn</t>
  </si>
  <si>
    <t>Ole Aasen</t>
  </si>
  <si>
    <t>Til: Ole Aasen
Kjøring</t>
  </si>
  <si>
    <t>sum privat</t>
  </si>
  <si>
    <t>Ruben</t>
  </si>
  <si>
    <t>Pettersen</t>
  </si>
  <si>
    <t>Kiosken</t>
  </si>
  <si>
    <t>315,00 kr</t>
  </si>
  <si>
    <t>Ja</t>
  </si>
  <si>
    <t>Lars</t>
  </si>
  <si>
    <t>oyy</t>
  </si>
  <si>
    <t>Nei</t>
  </si>
  <si>
    <t>Benjamin Gjøterud</t>
  </si>
  <si>
    <t>Til: Benjamin Gjøterud
Kjøregodtgjørelse</t>
  </si>
  <si>
    <t>sum borgen bil</t>
  </si>
  <si>
    <t>Benjamin</t>
  </si>
  <si>
    <t>Gjøtterud</t>
  </si>
  <si>
    <t>Thea</t>
  </si>
  <si>
    <t>Wiig</t>
  </si>
  <si>
    <t>Ruben Pettersen</t>
  </si>
  <si>
    <t>Til: Ruben Pettersen
Kjøregodtgjørelse</t>
  </si>
  <si>
    <t>Sum kjøregodtgjørelse</t>
  </si>
  <si>
    <t>1 470,00 kr</t>
  </si>
  <si>
    <t>Ole</t>
  </si>
  <si>
    <t>Aasen</t>
  </si>
  <si>
    <t>Is/milkshake</t>
  </si>
  <si>
    <t>30,00 kr</t>
  </si>
  <si>
    <t>0,00 kr</t>
  </si>
  <si>
    <t>Sum utgifter</t>
  </si>
  <si>
    <t>Sum intekter</t>
  </si>
  <si>
    <t>overskud</t>
  </si>
  <si>
    <t>Beskrivelse</t>
  </si>
  <si>
    <t>Til konto</t>
  </si>
  <si>
    <t>3000 31 24475</t>
  </si>
  <si>
    <t>Misjonsløpet</t>
  </si>
  <si>
    <t>Misjonsløp Emma Sofie</t>
  </si>
  <si>
    <t>167969132437, misjonsløp, johannes</t>
  </si>
  <si>
    <t>Våge Multimedia AS</t>
  </si>
  <si>
    <t>3330 25 39826</t>
  </si>
  <si>
    <t>Til: Våge Multimedia AS</t>
  </si>
  <si>
    <t>Lucas Stoveland</t>
  </si>
  <si>
    <t>3132 50 09120</t>
  </si>
  <si>
    <t>06.10.2025</t>
  </si>
  <si>
    <t>Til: Lucas Stoveland
Iphone</t>
  </si>
  <si>
    <t>Til: Lucas Stoveland
Airpods</t>
  </si>
  <si>
    <t>Samuel Stoveland</t>
  </si>
  <si>
    <t>3207 32 24194</t>
  </si>
  <si>
    <t>Til: Samuel Stoveland
Soundbox</t>
  </si>
  <si>
    <t>01.10.2025</t>
  </si>
  <si>
    <t>Oppsumering</t>
  </si>
  <si>
    <t>sum ut</t>
  </si>
  <si>
    <t>Elise Schalla Haugsjå</t>
  </si>
  <si>
    <t>Til: Elise Schalla Haugsjå
Nattcup kull, tennveske og fyrstikker</t>
  </si>
  <si>
    <t>Utb. 2000001 Vippsnr 26180</t>
  </si>
  <si>
    <t>Ulrik Flåt</t>
  </si>
  <si>
    <t>Til: Ulrik Flåt
nattcup fløyter</t>
  </si>
  <si>
    <t>Utb. 2000002 Vippsnr 26180</t>
  </si>
  <si>
    <t>Norah Lende</t>
  </si>
  <si>
    <t>Til: Norah Lende
Drakter til nattcup</t>
  </si>
  <si>
    <t>Utb. 2000025 Vippsnr 26180</t>
  </si>
  <si>
    <t>Utb. 2000023 Vippsnr 26180</t>
  </si>
  <si>
    <t>Utb. 2000024 Vippsnr 26180</t>
  </si>
  <si>
    <t>Utb. 2000022 Vippsnr 26180</t>
  </si>
  <si>
    <t>Utb. 2000021 Vippsnr 26180</t>
  </si>
  <si>
    <t>Utb. 2000020 Vippsnr 26180</t>
  </si>
  <si>
    <t>Utb. 2000019 Vippsnr 26180</t>
  </si>
  <si>
    <t>Utb. 2000018 Vippsnr 26180</t>
  </si>
  <si>
    <t>Utb. 2000015 Vippsnr 26180</t>
  </si>
  <si>
    <t>Utb. 2000016 Vippsnr 26180</t>
  </si>
  <si>
    <t>Utb. 2000017 Vippsnr 26180</t>
  </si>
  <si>
    <t>Utb. 2000014 Vippsnr 26180</t>
  </si>
  <si>
    <t>Utb. 2000013 Vippsnr 26180</t>
  </si>
  <si>
    <t>Utb. 2000012 Vippsnr 26180</t>
  </si>
  <si>
    <t>Utb. 2000011 Vippsnr 26180</t>
  </si>
  <si>
    <t>Utb. 2000008 Vippsnr 26180</t>
  </si>
  <si>
    <t>Utb. 2000009 Vippsnr 26180</t>
  </si>
  <si>
    <t>Utb. 2000010 Vippsnr 26180</t>
  </si>
  <si>
    <t>Utb. 2000007 Vippsnr 26180</t>
  </si>
  <si>
    <t>Utb. 2000006 Vippsnr 26180</t>
  </si>
  <si>
    <t>Utb. 2000005 Vippsnr 26180</t>
  </si>
  <si>
    <t>Utb. 2000004 Vippsnr 26180</t>
  </si>
  <si>
    <t>03.10.2025</t>
  </si>
  <si>
    <t>Utb. 2000003 Vippsnr 26180</t>
  </si>
  <si>
    <t>Utb. 2000057 Vippsnr 625975</t>
  </si>
  <si>
    <t>Utb. 2000056 Vippsnr 625975</t>
  </si>
  <si>
    <t>Til: Elise Schalla Haugsjå
Barristarussen</t>
  </si>
  <si>
    <t>Utb. 2000122 Vippsnr 834150</t>
  </si>
  <si>
    <t>Mari Tangen Tolo</t>
  </si>
  <si>
    <t>Til: Mari Tangen Tolo
Barristarussen ingredienser</t>
  </si>
  <si>
    <t>Utb. 2000120 Vippsnr 834150</t>
  </si>
  <si>
    <t>Emma Sofie Løwe</t>
  </si>
  <si>
    <t>Til: Emma Sofie Løwe
Barristarussen ingredienser</t>
  </si>
  <si>
    <t>Utb. 2000121 Vippsnr 834150</t>
  </si>
  <si>
    <t>Ida Skaregrøm Eskedal</t>
  </si>
  <si>
    <t>Til: Ida Skaregrøm Eskedal
Kvit 1 innkjøp 1</t>
  </si>
  <si>
    <t>Utb. 2000119 Vippsnr 834150</t>
  </si>
  <si>
    <t>Til: Ida Skaregrøm Eskedal
Kvit 2 innkjøp 1</t>
  </si>
  <si>
    <t>Utb. 2000118 Vippsnr 834150</t>
  </si>
  <si>
    <t>Til: Johannes Sødal
Barristarusens andel</t>
  </si>
  <si>
    <t>Utb. 2000115 Vippsnr 834150</t>
  </si>
  <si>
    <t>Andreas Tveit</t>
  </si>
  <si>
    <t>Til: Andreas Tveit
Barista, innkjøp 1. mangler kvit</t>
  </si>
  <si>
    <t>Utb. 2000117 Vippsnr 834150</t>
  </si>
  <si>
    <t>Utb. 2000116 Vippsnr 834150</t>
  </si>
  <si>
    <t>Til: Ånund Tveit
milkshakerussen ingredienser inkjøp v4</t>
  </si>
  <si>
    <t>Utb. 2000031 Vippsnr 625974</t>
  </si>
  <si>
    <t>Ånund Tveit</t>
  </si>
  <si>
    <t>Til: Ånund Tveit
Milkshakerussen blender</t>
  </si>
  <si>
    <t>Utb. 2000030 Vippsnr 625974</t>
  </si>
  <si>
    <t>Til: Ånund Tveit
milkshakerussen, manglende til blender</t>
  </si>
  <si>
    <t>Utb. 2000029 Vippsnr 625974</t>
  </si>
  <si>
    <t>Til: Ole Aasen
Retur</t>
  </si>
  <si>
    <t>Utb. 2000028 Vippsnr 625974</t>
  </si>
  <si>
    <t>Til: Johannes Sødal
Milkshakerussens andel</t>
  </si>
  <si>
    <t>Utb. 2000026 Vippsnr 625974</t>
  </si>
  <si>
    <t>Til: Ånund Tveit
Milkshakeruss blender</t>
  </si>
  <si>
    <t>Utb. 2000024 Vippsnr 625974</t>
  </si>
  <si>
    <t>Til: Ånund Tveit
Milkshakerussen ingredienser</t>
  </si>
  <si>
    <t>Utb. 2000025 Vippsnr 625974</t>
  </si>
  <si>
    <t>Til: Ole Aasen
Milkshake innkjøp nr 1</t>
  </si>
  <si>
    <t>Utb. 2000027 Vippsnr 625974</t>
  </si>
  <si>
    <t>Til: Ole Aasen
Milkshake kvit 5</t>
  </si>
  <si>
    <t>Til: Ole Aasen
Milkshake kvit 6</t>
  </si>
  <si>
    <t>Til: Ole Aasen
Milkshake kvit 4</t>
  </si>
  <si>
    <t>Pantepenger til misjonsprosjektet</t>
  </si>
  <si>
    <t>Panting</t>
  </si>
  <si>
    <t>Pantepenger</t>
  </si>
  <si>
    <t>Carl Martin Linnebo</t>
  </si>
  <si>
    <t>Til: Carl Martin Linnebo
Isrussen, penger vippset av Carl</t>
  </si>
  <si>
    <t>Utb. 2000136 Vippsnr 625973</t>
  </si>
  <si>
    <t>Til: Carl Martin Linnebo
Isruss innkjøp. Carl vippset</t>
  </si>
  <si>
    <t>Utb. 2000137 Vippsnr 625973</t>
  </si>
  <si>
    <t>Til: Ole Aasen
Isruss innkjøp nr 1</t>
  </si>
  <si>
    <t>Utb. 2000135 Vippsnr 625973</t>
  </si>
  <si>
    <t>Til: Carl Martin Linnebo
Isruss. Penger ble vippset</t>
  </si>
  <si>
    <t>Utb. 2000131 Vippsnr 625973</t>
  </si>
  <si>
    <t>Utb. 2000130 Vippsnr 625973</t>
  </si>
  <si>
    <t>Utb. 2000134 Vippsnr 625973</t>
  </si>
  <si>
    <t>Utb. 2000133 Vippsnr 625973</t>
  </si>
  <si>
    <t>Utb. 2000132 Vippsnr 625973</t>
  </si>
  <si>
    <t>Kolonne1</t>
  </si>
  <si>
    <t>Kolonne2</t>
  </si>
  <si>
    <t>Kolonne3</t>
  </si>
  <si>
    <t>Kolonne4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</si>
</sst>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0.0"/>
    <numFmt numFmtId="165" formatCode="[$kr-409]\ #\ ##0;\-[$kr-409]\ #\ ##0"/>
    <numFmt numFmtId="166" formatCode="yyyy\-mm\-dd\ h:mm:ss"/>
    <numFmt numFmtId="167" formatCode="_ [$kr-414]\ * #,##0.00_ ;_ [$kr-414]\ * \-#,##0.00_ ;_ [$kr-414]\ * &quot;-&quot;??_ ;_ @_ "/>
    <numFmt numFmtId="168" formatCode="_ [$kr-414]\ * #,##0_ ;_ [$kr-414]\ * \-#,##0_ ;_ [$kr-414]\ * &quot;-&quot;??_ ;_ @_ "/>
    <numFmt numFmtId="169" formatCode="_ [$kr-414]\ * #,##0.0_ ;_ [$kr-414]\ * \-#,##0.0_ ;_ [$kr-414]\ * &quot;-&quot;??_ ;_ @_ 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color rgb="FF4A4A4A"/>
      <name val="Arial"/>
      <family val="2"/>
    </font>
    <font>
      <b/>
      <sz val="3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2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rgb="FFFFF4EC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rgb="FF16122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rgb="FF161225"/>
      </top>
      <bottom/>
      <diagonal/>
    </border>
  </borders>
  <cellStyleXfs count="5">
    <xf numFmtId="0" fontId="0" fillId="0" borderId="0"/>
    <xf numFmtId="0" fontId="1" fillId="0" borderId="0"/>
    <xf numFmtId="0" fontId="6" fillId="0" borderId="0"/>
    <xf numFmtId="9" fontId="1" fillId="0" borderId="0"/>
    <xf numFmtId="44" fontId="1" fillId="0" borderId="0"/>
  </cellStyleXfs>
  <cellXfs count="141">
    <xf numFmtId="0" fontId="0" fillId="0" borderId="0" xfId="0"/>
    <xf numFmtId="0" fontId="4" fillId="2" borderId="2" xfId="0" applyFont="1" applyFill="1" applyBorder="1"/>
    <xf numFmtId="0" fontId="0" fillId="2" borderId="0" xfId="0" applyFill="1"/>
    <xf numFmtId="0" fontId="4" fillId="2" borderId="1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0" borderId="0" xfId="0" applyFont="1"/>
    <xf numFmtId="164" fontId="0" fillId="0" borderId="0" xfId="0" applyNumberFormat="1"/>
    <xf numFmtId="0" fontId="0" fillId="5" borderId="0" xfId="0" applyFill="1"/>
    <xf numFmtId="0" fontId="4" fillId="3" borderId="2" xfId="0" applyFont="1" applyFill="1" applyBorder="1"/>
    <xf numFmtId="165" fontId="6" fillId="0" borderId="0" xfId="2" applyNumberFormat="1"/>
    <xf numFmtId="0" fontId="0" fillId="3" borderId="10" xfId="0" applyFill="1" applyBorder="1"/>
    <xf numFmtId="164" fontId="0" fillId="8" borderId="7" xfId="0" applyNumberFormat="1" applyFill="1" applyBorder="1"/>
    <xf numFmtId="164" fontId="0" fillId="0" borderId="12" xfId="0" applyNumberFormat="1" applyBorder="1"/>
    <xf numFmtId="164" fontId="0" fillId="8" borderId="12" xfId="0" applyNumberFormat="1" applyFill="1" applyBorder="1"/>
    <xf numFmtId="0" fontId="0" fillId="3" borderId="13" xfId="0" applyFill="1" applyBorder="1"/>
    <xf numFmtId="0" fontId="6" fillId="0" borderId="14" xfId="2" applyBorder="1"/>
    <xf numFmtId="0" fontId="6" fillId="0" borderId="14" xfId="2" applyBorder="1" applyAlignment="1">
      <alignment horizontal="right" wrapText="1"/>
    </xf>
    <xf numFmtId="0" fontId="4" fillId="9" borderId="0" xfId="0" applyFont="1" applyFill="1"/>
    <xf numFmtId="0" fontId="4" fillId="6" borderId="1" xfId="0" applyFont="1" applyFill="1" applyBorder="1"/>
    <xf numFmtId="0" fontId="4" fillId="10" borderId="2" xfId="0" applyFont="1" applyFill="1" applyBorder="1"/>
    <xf numFmtId="0" fontId="4" fillId="11" borderId="2" xfId="0" applyFont="1" applyFill="1" applyBorder="1"/>
    <xf numFmtId="0" fontId="4" fillId="2" borderId="0" xfId="0" applyFont="1" applyFill="1"/>
    <xf numFmtId="0" fontId="5" fillId="0" borderId="15" xfId="0" applyFont="1" applyBorder="1"/>
    <xf numFmtId="0" fontId="0" fillId="0" borderId="7" xfId="0" applyBorder="1"/>
    <xf numFmtId="0" fontId="0" fillId="10" borderId="2" xfId="0" applyFill="1" applyBorder="1"/>
    <xf numFmtId="0" fontId="0" fillId="10" borderId="3" xfId="0" applyFill="1" applyBorder="1"/>
    <xf numFmtId="0" fontId="0" fillId="7" borderId="0" xfId="0" applyFill="1"/>
    <xf numFmtId="0" fontId="4" fillId="5" borderId="0" xfId="0" applyFont="1" applyFill="1"/>
    <xf numFmtId="0" fontId="4" fillId="7" borderId="1" xfId="0" applyFont="1" applyFill="1" applyBorder="1"/>
    <xf numFmtId="0" fontId="4" fillId="0" borderId="2" xfId="0" applyFont="1" applyBorder="1"/>
    <xf numFmtId="0" fontId="4" fillId="4" borderId="1" xfId="0" applyFont="1" applyFill="1" applyBorder="1"/>
    <xf numFmtId="0" fontId="0" fillId="4" borderId="0" xfId="0" applyFill="1"/>
    <xf numFmtId="0" fontId="4" fillId="12" borderId="0" xfId="0" applyFont="1" applyFill="1"/>
    <xf numFmtId="0" fontId="0" fillId="4" borderId="1" xfId="0" applyFill="1" applyBorder="1"/>
    <xf numFmtId="0" fontId="7" fillId="10" borderId="2" xfId="0" applyFont="1" applyFill="1" applyBorder="1"/>
    <xf numFmtId="0" fontId="0" fillId="13" borderId="2" xfId="0" applyFill="1" applyBorder="1"/>
    <xf numFmtId="164" fontId="0" fillId="13" borderId="1" xfId="0" applyNumberFormat="1" applyFill="1" applyBorder="1"/>
    <xf numFmtId="0" fontId="0" fillId="13" borderId="1" xfId="1" applyFont="1" applyFill="1" applyBorder="1"/>
    <xf numFmtId="0" fontId="0" fillId="13" borderId="1" xfId="0" applyFill="1" applyBorder="1"/>
    <xf numFmtId="0" fontId="0" fillId="13" borderId="4" xfId="0" applyFill="1" applyBorder="1"/>
    <xf numFmtId="0" fontId="0" fillId="13" borderId="0" xfId="0" applyFill="1"/>
    <xf numFmtId="164" fontId="0" fillId="13" borderId="6" xfId="0" applyNumberFormat="1" applyFill="1" applyBorder="1"/>
    <xf numFmtId="0" fontId="0" fillId="13" borderId="6" xfId="1" applyFont="1" applyFill="1" applyBorder="1"/>
    <xf numFmtId="0" fontId="0" fillId="13" borderId="6" xfId="0" applyFill="1" applyBorder="1"/>
    <xf numFmtId="0" fontId="0" fillId="13" borderId="5" xfId="0" applyFill="1" applyBorder="1"/>
    <xf numFmtId="0" fontId="1" fillId="13" borderId="1" xfId="1" applyFill="1" applyBorder="1"/>
    <xf numFmtId="0" fontId="5" fillId="0" borderId="0" xfId="0" applyFont="1"/>
    <xf numFmtId="0" fontId="0" fillId="0" borderId="5" xfId="0" applyBorder="1"/>
    <xf numFmtId="0" fontId="0" fillId="0" borderId="3" xfId="0" applyBorder="1"/>
    <xf numFmtId="0" fontId="0" fillId="10" borderId="5" xfId="0" applyFill="1" applyBorder="1"/>
    <xf numFmtId="0" fontId="0" fillId="10" borderId="4" xfId="0" applyFill="1" applyBorder="1"/>
    <xf numFmtId="0" fontId="0" fillId="10" borderId="0" xfId="0" applyFill="1"/>
    <xf numFmtId="0" fontId="4" fillId="10" borderId="0" xfId="0" applyFont="1" applyFill="1"/>
    <xf numFmtId="164" fontId="0" fillId="10" borderId="11" xfId="0" applyNumberFormat="1" applyFill="1" applyBorder="1"/>
    <xf numFmtId="164" fontId="0" fillId="10" borderId="5" xfId="0" applyNumberFormat="1" applyFill="1" applyBorder="1"/>
    <xf numFmtId="164" fontId="0" fillId="10" borderId="1" xfId="0" applyNumberFormat="1" applyFill="1" applyBorder="1"/>
    <xf numFmtId="0" fontId="0" fillId="0" borderId="9" xfId="0" applyBorder="1"/>
    <xf numFmtId="164" fontId="0" fillId="7" borderId="12" xfId="0" applyNumberFormat="1" applyFill="1" applyBorder="1"/>
    <xf numFmtId="0" fontId="0" fillId="5" borderId="11" xfId="0" applyFill="1" applyBorder="1"/>
    <xf numFmtId="0" fontId="0" fillId="15" borderId="8" xfId="0" applyFill="1" applyBorder="1"/>
    <xf numFmtId="0" fontId="4" fillId="11" borderId="11" xfId="0" applyFont="1" applyFill="1" applyBorder="1"/>
    <xf numFmtId="0" fontId="4" fillId="11" borderId="1" xfId="0" applyFont="1" applyFill="1" applyBorder="1"/>
    <xf numFmtId="0" fontId="3" fillId="11" borderId="1" xfId="0" applyFont="1" applyFill="1" applyBorder="1"/>
    <xf numFmtId="0" fontId="3" fillId="11" borderId="4" xfId="0" applyFont="1" applyFill="1" applyBorder="1"/>
    <xf numFmtId="0" fontId="2" fillId="11" borderId="0" xfId="0" applyFont="1" applyFill="1"/>
    <xf numFmtId="0" fontId="4" fillId="11" borderId="4" xfId="0" applyFont="1" applyFill="1" applyBorder="1"/>
    <xf numFmtId="0" fontId="4" fillId="11" borderId="5" xfId="0" applyFont="1" applyFill="1" applyBorder="1"/>
    <xf numFmtId="164" fontId="0" fillId="7" borderId="0" xfId="0" applyNumberFormat="1" applyFill="1"/>
    <xf numFmtId="0" fontId="0" fillId="3" borderId="17" xfId="0" applyFill="1" applyBorder="1"/>
    <xf numFmtId="0" fontId="4" fillId="11" borderId="7" xfId="0" applyFont="1" applyFill="1" applyBorder="1"/>
    <xf numFmtId="164" fontId="0" fillId="10" borderId="7" xfId="0" applyNumberFormat="1" applyFill="1" applyBorder="1"/>
    <xf numFmtId="0" fontId="5" fillId="2" borderId="17" xfId="0" applyFont="1" applyFill="1" applyBorder="1"/>
    <xf numFmtId="0" fontId="7" fillId="10" borderId="15" xfId="0" applyFont="1" applyFill="1" applyBorder="1"/>
    <xf numFmtId="0" fontId="5" fillId="2" borderId="5" xfId="0" applyFont="1" applyFill="1" applyBorder="1"/>
    <xf numFmtId="0" fontId="0" fillId="3" borderId="16" xfId="0" applyFill="1" applyBorder="1"/>
    <xf numFmtId="0" fontId="0" fillId="3" borderId="9" xfId="0" applyFill="1" applyBorder="1"/>
    <xf numFmtId="0" fontId="5" fillId="2" borderId="0" xfId="0" applyFont="1" applyFill="1"/>
    <xf numFmtId="164" fontId="0" fillId="14" borderId="0" xfId="0" applyNumberFormat="1" applyFill="1"/>
    <xf numFmtId="0" fontId="0" fillId="9" borderId="0" xfId="0" applyFill="1"/>
    <xf numFmtId="0" fontId="0" fillId="17" borderId="0" xfId="0" applyFill="1"/>
    <xf numFmtId="2" fontId="0" fillId="18" borderId="0" xfId="0" applyNumberFormat="1" applyFill="1"/>
    <xf numFmtId="9" fontId="0" fillId="18" borderId="0" xfId="3" applyFont="1" applyFill="1"/>
    <xf numFmtId="0" fontId="4" fillId="19" borderId="0" xfId="0" applyFont="1" applyFill="1"/>
    <xf numFmtId="0" fontId="8" fillId="20" borderId="18" xfId="0" applyFont="1" applyFill="1" applyBorder="1" applyAlignment="1">
      <alignment wrapText="1"/>
    </xf>
    <xf numFmtId="0" fontId="8" fillId="21" borderId="18" xfId="0" applyFont="1" applyFill="1" applyBorder="1" applyAlignment="1">
      <alignment wrapText="1"/>
    </xf>
    <xf numFmtId="0" fontId="8" fillId="22" borderId="18" xfId="0" applyFont="1" applyFill="1" applyBorder="1" applyAlignment="1">
      <alignment wrapText="1"/>
    </xf>
    <xf numFmtId="0" fontId="8" fillId="23" borderId="18" xfId="0" applyFont="1" applyFill="1" applyBorder="1" applyAlignment="1">
      <alignment wrapText="1"/>
    </xf>
    <xf numFmtId="0" fontId="8" fillId="23" borderId="18" xfId="0" applyFont="1" applyFill="1" applyBorder="1" applyAlignment="1">
      <alignment horizontal="right" wrapText="1"/>
    </xf>
    <xf numFmtId="0" fontId="8" fillId="24" borderId="18" xfId="0" applyFont="1" applyFill="1" applyBorder="1" applyAlignment="1">
      <alignment wrapText="1"/>
    </xf>
    <xf numFmtId="0" fontId="8" fillId="24" borderId="18" xfId="0" applyFont="1" applyFill="1" applyBorder="1" applyAlignment="1">
      <alignment horizontal="right" wrapText="1"/>
    </xf>
    <xf numFmtId="0" fontId="8" fillId="25" borderId="18" xfId="0" applyFont="1" applyFill="1" applyBorder="1" applyAlignment="1">
      <alignment wrapText="1"/>
    </xf>
    <xf numFmtId="0" fontId="8" fillId="25" borderId="18" xfId="0" applyFont="1" applyFill="1" applyBorder="1" applyAlignment="1">
      <alignment horizontal="right" wrapText="1"/>
    </xf>
    <xf numFmtId="0" fontId="0" fillId="26" borderId="0" xfId="0" applyFill="1"/>
    <xf numFmtId="0" fontId="0" fillId="12" borderId="0" xfId="0" applyFill="1"/>
    <xf numFmtId="0" fontId="6" fillId="16" borderId="19" xfId="2" applyFill="1" applyBorder="1"/>
    <xf numFmtId="0" fontId="6" fillId="0" borderId="0" xfId="2"/>
    <xf numFmtId="165" fontId="6" fillId="16" borderId="19" xfId="2" applyNumberFormat="1" applyFill="1" applyBorder="1"/>
    <xf numFmtId="0" fontId="4" fillId="0" borderId="3" xfId="0" applyFont="1" applyBorder="1"/>
    <xf numFmtId="0" fontId="0" fillId="0" borderId="13" xfId="0" applyBorder="1"/>
    <xf numFmtId="164" fontId="0" fillId="7" borderId="7" xfId="0" applyNumberFormat="1" applyFill="1" applyBorder="1"/>
    <xf numFmtId="4" fontId="0" fillId="0" borderId="0" xfId="0" applyNumberFormat="1"/>
    <xf numFmtId="166" fontId="0" fillId="0" borderId="0" xfId="0" applyNumberFormat="1"/>
    <xf numFmtId="0" fontId="0" fillId="6" borderId="0" xfId="0" applyFill="1"/>
    <xf numFmtId="0" fontId="0" fillId="28" borderId="0" xfId="0" applyFill="1"/>
    <xf numFmtId="0" fontId="2" fillId="12" borderId="0" xfId="0" applyFont="1" applyFill="1"/>
    <xf numFmtId="0" fontId="8" fillId="5" borderId="0" xfId="0" applyFont="1" applyFill="1" applyAlignment="1">
      <alignment wrapText="1"/>
    </xf>
    <xf numFmtId="0" fontId="10" fillId="0" borderId="0" xfId="0" applyFont="1"/>
    <xf numFmtId="10" fontId="0" fillId="6" borderId="0" xfId="3" applyNumberFormat="1" applyFont="1" applyFill="1"/>
    <xf numFmtId="167" fontId="0" fillId="6" borderId="0" xfId="0" applyNumberFormat="1" applyFill="1"/>
    <xf numFmtId="0" fontId="11" fillId="27" borderId="0" xfId="0" applyFont="1" applyFill="1"/>
    <xf numFmtId="0" fontId="9" fillId="6" borderId="0" xfId="0" applyFont="1" applyFill="1"/>
    <xf numFmtId="165" fontId="0" fillId="0" borderId="0" xfId="0" applyNumberFormat="1"/>
    <xf numFmtId="0" fontId="2" fillId="0" borderId="0" xfId="0" applyFont="1"/>
    <xf numFmtId="0" fontId="12" fillId="0" borderId="0" xfId="0" applyFont="1"/>
    <xf numFmtId="0" fontId="13" fillId="0" borderId="0" xfId="0" applyFont="1"/>
    <xf numFmtId="167" fontId="0" fillId="4" borderId="0" xfId="0" applyNumberFormat="1" applyFill="1" applyAlignment="1" applyProtection="1">
      <alignment wrapText="1"/>
      <protection locked="0"/>
    </xf>
    <xf numFmtId="167" fontId="0" fillId="4" borderId="0" xfId="0" applyNumberFormat="1" applyFill="1"/>
    <xf numFmtId="0" fontId="2" fillId="27" borderId="0" xfId="0" applyFont="1" applyFill="1"/>
    <xf numFmtId="0" fontId="0" fillId="27" borderId="0" xfId="0" applyFill="1"/>
    <xf numFmtId="0" fontId="12" fillId="27" borderId="0" xfId="0" applyFont="1" applyFill="1"/>
    <xf numFmtId="0" fontId="2" fillId="29" borderId="0" xfId="0" applyFont="1" applyFill="1"/>
    <xf numFmtId="0" fontId="0" fillId="29" borderId="0" xfId="0" applyFill="1"/>
    <xf numFmtId="0" fontId="2" fillId="13" borderId="0" xfId="0" applyFont="1" applyFill="1"/>
    <xf numFmtId="0" fontId="14" fillId="7" borderId="0" xfId="0" applyFont="1" applyFill="1"/>
    <xf numFmtId="0" fontId="14" fillId="6" borderId="0" xfId="0" applyFont="1" applyFill="1"/>
    <xf numFmtId="167" fontId="0" fillId="27" borderId="0" xfId="0" applyNumberFormat="1" applyFill="1"/>
    <xf numFmtId="167" fontId="0" fillId="26" borderId="0" xfId="0" applyNumberFormat="1" applyFill="1"/>
    <xf numFmtId="0" fontId="0" fillId="8" borderId="8" xfId="0" applyFill="1" applyBorder="1"/>
    <xf numFmtId="168" fontId="0" fillId="29" borderId="0" xfId="0" applyNumberFormat="1" applyFill="1"/>
    <xf numFmtId="1" fontId="0" fillId="0" borderId="0" xfId="0" applyNumberFormat="1"/>
    <xf numFmtId="167" fontId="1" fillId="0" borderId="0" xfId="4" applyNumberFormat="1"/>
    <xf numFmtId="167" fontId="0" fillId="6" borderId="0" xfId="3" applyNumberFormat="1" applyFont="1" applyFill="1"/>
    <xf numFmtId="0" fontId="8" fillId="0" borderId="18" xfId="0" applyFont="1" applyBorder="1" applyAlignment="1">
      <alignment wrapText="1"/>
    </xf>
    <xf numFmtId="0" fontId="15" fillId="0" borderId="18" xfId="0" applyFont="1" applyBorder="1" applyAlignment="1">
      <alignment wrapText="1"/>
    </xf>
    <xf numFmtId="0" fontId="15" fillId="0" borderId="18" xfId="0" applyFont="1" applyBorder="1" applyAlignment="1">
      <alignment vertical="center"/>
    </xf>
    <xf numFmtId="167" fontId="8" fillId="23" borderId="18" xfId="0" applyNumberFormat="1" applyFont="1" applyFill="1" applyBorder="1" applyAlignment="1">
      <alignment horizontal="right" wrapText="1"/>
    </xf>
    <xf numFmtId="167" fontId="0" fillId="0" borderId="0" xfId="0" applyNumberFormat="1"/>
    <xf numFmtId="169" fontId="1" fillId="0" borderId="0" xfId="3" applyNumberFormat="1"/>
    <xf numFmtId="2" fontId="0" fillId="0" borderId="0" xfId="0" applyNumberFormat="1"/>
    <xf numFmtId="2" fontId="0" fillId="6" borderId="0" xfId="3" applyNumberFormat="1" applyFont="1" applyFill="1"/>
  </cellXfs>
  <cellStyles count="5">
    <cellStyle name="Currency" xfId="4" builtinId="4"/>
    <cellStyle name="Normal" xfId="0" builtinId="0"/>
    <cellStyle name="Normal 2" xfId="1" xr:uid="{00000000-0005-0000-0000-000001000000}"/>
    <cellStyle name="Normal 3" xfId="2" xr:uid="{00000000-0005-0000-0000-000002000000}"/>
    <cellStyle name="Per cent" xfId="3" builtinId="5"/>
  </cellStyles>
  <dxfs count="4"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border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border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erminal" displayName="Terminal" ref="A1:D62" totalsRowShown="0">
  <autoFilter ref="A1:D62" xr:uid="{00000000-0009-0000-0100-000006000000}"/>
  <tableColumns count="4">
    <tableColumn id="1" xr3:uid="{00000000-0010-0000-0500-000001000000}" name="Kolonne1" dataDxfId="3"/>
    <tableColumn id="2" xr3:uid="{00000000-0010-0000-0500-000002000000}" name="Kolonne2"/>
    <tableColumn id="3" xr3:uid="{00000000-0010-0000-0500-000003000000}" name="Kolonne3"/>
    <tableColumn id="4" xr3:uid="{00000000-0010-0000-0500-000004000000}" name="Kolonne4" dataDxfId="2">
      <calculatedColumnFormula>#REF!/#REF!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eptember" displayName="September" ref="F1:I62" totalsRowShown="0">
  <autoFilter ref="F1:I62" xr:uid="{00000000-0009-0000-0100-000007000000}"/>
  <tableColumns count="4">
    <tableColumn id="1" xr3:uid="{00000000-0010-0000-0600-000001000000}" name="Kolonne1" dataDxfId="1"/>
    <tableColumn id="2" xr3:uid="{00000000-0010-0000-0600-000002000000}" name="Kolonne2"/>
    <tableColumn id="3" xr3:uid="{00000000-0010-0000-0600-000003000000}" name="Kolonne3"/>
    <tableColumn id="4" xr3:uid="{00000000-0010-0000-0600-000004000000}" name="Kolonne4" dataDxfId="0">
      <calculatedColumnFormula>#REF!/#REF!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3"/>
  <sheetViews>
    <sheetView tabSelected="1" topLeftCell="A12" zoomScale="108" workbookViewId="0">
      <selection activeCell="D14" sqref="D14"/>
    </sheetView>
  </sheetViews>
  <sheetFormatPr defaultColWidth="8.7265625" defaultRowHeight="14.5" x14ac:dyDescent="0.35"/>
  <cols>
    <col min="2" max="2" width="22.6328125" customWidth="1"/>
    <col min="3" max="3" width="26.90625" customWidth="1"/>
    <col min="4" max="4" width="25.36328125" customWidth="1"/>
    <col min="5" max="5" width="22" customWidth="1"/>
    <col min="6" max="6" width="26.54296875" customWidth="1"/>
    <col min="7" max="7" width="11.81640625" customWidth="1"/>
    <col min="8" max="8" width="12.453125" customWidth="1"/>
    <col min="9" max="9" width="16.36328125" customWidth="1"/>
    <col min="12" max="12" width="13.36328125" customWidth="1"/>
    <col min="13" max="13" width="8.81640625" bestFit="1" customWidth="1"/>
    <col min="14" max="14" width="11.81640625" bestFit="1" customWidth="1"/>
    <col min="15" max="15" width="8.81640625" bestFit="1" customWidth="1"/>
    <col min="16" max="16" width="15.453125" customWidth="1"/>
    <col min="18" max="18" width="8.90625" bestFit="1" customWidth="1"/>
    <col min="20" max="20" width="12.7265625" customWidth="1"/>
    <col min="21" max="21" width="28.81640625" customWidth="1"/>
    <col min="23" max="23" width="13.81640625" customWidth="1"/>
    <col min="24" max="24" width="10.08984375" customWidth="1"/>
    <col min="25" max="25" width="13.90625" bestFit="1" customWidth="1"/>
    <col min="27" max="27" width="37.54296875" customWidth="1"/>
    <col min="28" max="28" width="31.81640625" customWidth="1"/>
    <col min="31" max="31" width="15.26953125" bestFit="1" customWidth="1"/>
    <col min="33" max="33" width="28.54296875" customWidth="1"/>
    <col min="34" max="34" width="56.6328125" customWidth="1"/>
  </cols>
  <sheetData>
    <row r="1" spans="2:34" ht="26" customHeight="1" x14ac:dyDescent="0.6">
      <c r="B1" s="94" t="s">
        <v>0</v>
      </c>
      <c r="C1" s="94" t="s">
        <v>1</v>
      </c>
      <c r="D1" s="94" t="s">
        <v>2</v>
      </c>
      <c r="E1" s="94" t="s">
        <v>3</v>
      </c>
      <c r="G1" s="121" t="s">
        <v>4</v>
      </c>
      <c r="H1" s="122"/>
      <c r="L1" s="113"/>
      <c r="M1" s="119"/>
      <c r="N1" s="119"/>
      <c r="O1" s="119"/>
      <c r="P1" s="119"/>
      <c r="Q1" s="120" t="s">
        <v>5</v>
      </c>
      <c r="R1" s="119"/>
      <c r="S1" s="119"/>
      <c r="T1" s="119"/>
      <c r="U1" s="119"/>
      <c r="W1" s="119"/>
      <c r="X1" s="120" t="s">
        <v>6</v>
      </c>
      <c r="Y1" s="119"/>
      <c r="Z1" s="119"/>
      <c r="AA1" s="119"/>
      <c r="AB1" s="119"/>
      <c r="AC1" s="119"/>
      <c r="AD1" s="119"/>
      <c r="AE1" s="119"/>
      <c r="AF1" s="119"/>
      <c r="AG1" s="119"/>
      <c r="AH1" s="119"/>
    </row>
    <row r="2" spans="2:34" x14ac:dyDescent="0.35">
      <c r="B2" s="32" t="s">
        <v>7</v>
      </c>
      <c r="C2" s="116">
        <v>42648</v>
      </c>
      <c r="D2" s="117"/>
      <c r="E2" s="117"/>
      <c r="G2" s="122" t="s">
        <v>8</v>
      </c>
      <c r="H2" s="122" t="s">
        <v>9</v>
      </c>
      <c r="M2" s="119"/>
      <c r="N2" s="119"/>
      <c r="O2" s="119"/>
      <c r="P2" s="119"/>
      <c r="Q2" s="118" t="s">
        <v>10</v>
      </c>
      <c r="R2" s="119">
        <f>SUM(R4:R33)</f>
        <v>3240</v>
      </c>
      <c r="S2" s="119"/>
      <c r="T2" s="119"/>
      <c r="U2" s="119"/>
      <c r="W2" s="119"/>
      <c r="X2" s="118"/>
      <c r="Y2" s="119"/>
      <c r="Z2" s="119"/>
      <c r="AA2" s="119"/>
      <c r="AB2" s="119"/>
      <c r="AC2" s="119"/>
      <c r="AD2" s="119"/>
      <c r="AE2" s="119"/>
      <c r="AF2" s="119"/>
      <c r="AG2" s="119"/>
      <c r="AH2" s="119"/>
    </row>
    <row r="3" spans="2:34" ht="19.5" customHeight="1" x14ac:dyDescent="0.45">
      <c r="B3" s="32" t="s">
        <v>11</v>
      </c>
      <c r="C3" s="117">
        <f>E3+D3</f>
        <v>-39403</v>
      </c>
      <c r="D3" s="117">
        <v>-39403</v>
      </c>
      <c r="E3" s="117"/>
      <c r="G3" s="122" t="s">
        <v>12</v>
      </c>
      <c r="H3" s="129">
        <f>'Inn Kiosk'!B77</f>
        <v>128188.23999999999</v>
      </c>
      <c r="M3" s="119"/>
      <c r="N3" s="123" t="s">
        <v>13</v>
      </c>
      <c r="O3" s="41"/>
      <c r="P3" s="41"/>
      <c r="Q3" s="27" t="s">
        <v>14</v>
      </c>
      <c r="R3" s="27" t="s">
        <v>15</v>
      </c>
      <c r="S3" s="27" t="s">
        <v>16</v>
      </c>
      <c r="T3" s="27" t="s">
        <v>17</v>
      </c>
      <c r="U3" s="27" t="s">
        <v>18</v>
      </c>
      <c r="W3" s="119"/>
      <c r="X3" s="124" t="s">
        <v>10</v>
      </c>
      <c r="Y3" s="124">
        <f>SUM(Y6:Y260)</f>
        <v>6455</v>
      </c>
      <c r="Z3" s="27"/>
      <c r="AA3" s="27"/>
      <c r="AB3" s="27"/>
      <c r="AC3" s="119" t="s">
        <v>19</v>
      </c>
      <c r="AD3" s="125" t="s">
        <v>20</v>
      </c>
      <c r="AE3" s="125">
        <f>SUM(AE4:AE35)</f>
        <v>-1672.75</v>
      </c>
      <c r="AF3" s="103"/>
      <c r="AG3" s="103"/>
      <c r="AH3" s="103"/>
    </row>
    <row r="4" spans="2:34" x14ac:dyDescent="0.35">
      <c r="B4" s="32" t="s">
        <v>21</v>
      </c>
      <c r="C4" s="117">
        <f>E4+D4</f>
        <v>-1357943</v>
      </c>
      <c r="D4" s="117">
        <v>-1357943</v>
      </c>
      <c r="E4" s="117"/>
      <c r="G4" s="122" t="s">
        <v>22</v>
      </c>
      <c r="H4" s="129" t="e">
        <f>'Vippsutskrifter+ Kiosk'!B68</f>
        <v>#REF!</v>
      </c>
      <c r="M4" s="119"/>
      <c r="N4" s="41" t="s">
        <v>23</v>
      </c>
      <c r="O4" s="41">
        <v>-8175</v>
      </c>
      <c r="P4" s="41"/>
      <c r="Q4" s="27" t="s">
        <v>24</v>
      </c>
      <c r="R4" s="27">
        <v>185</v>
      </c>
      <c r="S4" s="27" t="s">
        <v>5</v>
      </c>
      <c r="T4" s="27">
        <v>606892</v>
      </c>
      <c r="U4" s="27" t="s">
        <v>25</v>
      </c>
      <c r="W4" s="119"/>
      <c r="X4" s="27"/>
      <c r="Y4" s="27"/>
      <c r="Z4" s="27"/>
      <c r="AA4" s="27"/>
      <c r="AB4" s="27"/>
      <c r="AC4" s="119"/>
      <c r="AD4" s="103"/>
      <c r="AE4" s="103"/>
      <c r="AF4" s="103"/>
      <c r="AG4" s="103"/>
      <c r="AH4" s="103"/>
    </row>
    <row r="5" spans="2:34" x14ac:dyDescent="0.35">
      <c r="B5" s="32" t="s">
        <v>26</v>
      </c>
      <c r="C5" s="117">
        <f>E5+D5</f>
        <v>264</v>
      </c>
      <c r="D5" s="117"/>
      <c r="E5" s="117">
        <v>264</v>
      </c>
      <c r="G5" s="122" t="s">
        <v>27</v>
      </c>
      <c r="H5" s="129">
        <f>Terminalutskrifter!B67</f>
        <v>-2705</v>
      </c>
      <c r="M5" s="119"/>
      <c r="N5" s="41" t="s">
        <v>28</v>
      </c>
      <c r="O5" s="41">
        <v>-900</v>
      </c>
      <c r="P5" s="41"/>
      <c r="Q5" s="27" t="s">
        <v>29</v>
      </c>
      <c r="R5" s="27">
        <v>190</v>
      </c>
      <c r="S5" s="27" t="s">
        <v>5</v>
      </c>
      <c r="T5" s="27">
        <v>476321</v>
      </c>
      <c r="U5" s="27" t="s">
        <v>30</v>
      </c>
      <c r="W5" s="119"/>
      <c r="X5" s="27" t="s">
        <v>14</v>
      </c>
      <c r="Y5" s="27" t="s">
        <v>15</v>
      </c>
      <c r="Z5" s="27" t="s">
        <v>16</v>
      </c>
      <c r="AA5" s="27" t="s">
        <v>17</v>
      </c>
      <c r="AB5" s="27" t="s">
        <v>18</v>
      </c>
      <c r="AC5" s="119"/>
      <c r="AD5" s="103" t="s">
        <v>14</v>
      </c>
      <c r="AE5" s="103" t="s">
        <v>31</v>
      </c>
      <c r="AF5" s="103" t="s">
        <v>16</v>
      </c>
      <c r="AG5" s="103" t="s">
        <v>17</v>
      </c>
      <c r="AH5" s="103" t="s">
        <v>18</v>
      </c>
    </row>
    <row r="6" spans="2:34" x14ac:dyDescent="0.35">
      <c r="G6" s="122" t="s">
        <v>32</v>
      </c>
      <c r="H6" s="122">
        <f>Kjøregodtgjørelse!U2</f>
        <v>0</v>
      </c>
      <c r="M6" s="119"/>
      <c r="N6" s="41"/>
      <c r="O6" s="41"/>
      <c r="P6" s="41"/>
      <c r="Q6" s="27" t="s">
        <v>33</v>
      </c>
      <c r="R6" s="27">
        <v>37</v>
      </c>
      <c r="S6" s="27" t="s">
        <v>5</v>
      </c>
      <c r="T6" s="27">
        <v>941095</v>
      </c>
      <c r="U6" s="27" t="s">
        <v>34</v>
      </c>
      <c r="W6" s="119"/>
      <c r="X6" s="27" t="s">
        <v>35</v>
      </c>
      <c r="Y6" s="27">
        <v>161</v>
      </c>
      <c r="Z6" s="27" t="s">
        <v>36</v>
      </c>
      <c r="AA6" s="27"/>
      <c r="AB6" s="27" t="s">
        <v>37</v>
      </c>
      <c r="AC6" s="119"/>
      <c r="AD6" s="103"/>
      <c r="AE6" s="103"/>
      <c r="AF6" s="103"/>
      <c r="AG6" s="103"/>
      <c r="AH6" s="103"/>
    </row>
    <row r="7" spans="2:34" x14ac:dyDescent="0.35">
      <c r="B7" s="119" t="s">
        <v>38</v>
      </c>
      <c r="C7" s="126">
        <f t="shared" ref="C7:C16" si="0">E7+D7</f>
        <v>-111553.23999999999</v>
      </c>
      <c r="D7" s="126">
        <f>'Inn Kiosk'!B76</f>
        <v>-128188.23999999999</v>
      </c>
      <c r="E7" s="126">
        <f>'Vippsutskrifter+ Kiosk'!B67+Terminalutskrifter!B66</f>
        <v>16635</v>
      </c>
      <c r="G7" s="122" t="s">
        <v>39</v>
      </c>
      <c r="H7" s="129">
        <f>'Inn Kiosk'!C71</f>
        <v>0</v>
      </c>
      <c r="M7" s="119"/>
      <c r="N7" s="41" t="s">
        <v>40</v>
      </c>
      <c r="O7" s="41">
        <f>SUM(O4:O5)</f>
        <v>-9075</v>
      </c>
      <c r="P7" s="41"/>
      <c r="Q7" s="27" t="s">
        <v>41</v>
      </c>
      <c r="R7" s="27">
        <v>193</v>
      </c>
      <c r="S7" s="27" t="s">
        <v>5</v>
      </c>
      <c r="T7" s="27">
        <v>393270</v>
      </c>
      <c r="U7" s="27" t="s">
        <v>42</v>
      </c>
      <c r="W7" s="119"/>
      <c r="X7" s="27" t="s">
        <v>43</v>
      </c>
      <c r="Y7" s="27">
        <v>283</v>
      </c>
      <c r="Z7" s="27" t="s">
        <v>5</v>
      </c>
      <c r="AA7" s="27">
        <v>254875</v>
      </c>
      <c r="AB7" s="27" t="s">
        <v>44</v>
      </c>
      <c r="AC7" s="119"/>
      <c r="AD7" s="103"/>
      <c r="AE7" s="103"/>
      <c r="AF7" s="103"/>
      <c r="AG7" s="103"/>
      <c r="AH7" s="103"/>
    </row>
    <row r="8" spans="2:34" x14ac:dyDescent="0.35">
      <c r="B8" s="119" t="s">
        <v>45</v>
      </c>
      <c r="C8" s="126">
        <f t="shared" si="0"/>
        <v>-2817.8500000000004</v>
      </c>
      <c r="D8" s="126">
        <f>Isruss!D4</f>
        <v>-3917.8500000000004</v>
      </c>
      <c r="E8" s="126">
        <f>Isruss!D5</f>
        <v>1100</v>
      </c>
      <c r="M8" s="119"/>
      <c r="N8" s="41" t="s">
        <v>46</v>
      </c>
      <c r="O8" s="41">
        <f>SUM(R3:R26)</f>
        <v>3240</v>
      </c>
      <c r="P8" s="41"/>
      <c r="Q8" s="27" t="s">
        <v>47</v>
      </c>
      <c r="R8" s="27">
        <v>200</v>
      </c>
      <c r="S8" s="27" t="s">
        <v>5</v>
      </c>
      <c r="T8" s="27">
        <v>1526097</v>
      </c>
      <c r="U8" s="27" t="s">
        <v>48</v>
      </c>
      <c r="W8" s="119"/>
      <c r="X8" s="27" t="s">
        <v>49</v>
      </c>
      <c r="Y8" s="27">
        <v>280</v>
      </c>
      <c r="Z8" s="27"/>
      <c r="AA8" s="27">
        <v>82802400000</v>
      </c>
      <c r="AB8" s="27" t="s">
        <v>50</v>
      </c>
      <c r="AC8" s="119"/>
      <c r="AD8" s="103"/>
      <c r="AE8" s="103"/>
      <c r="AF8" s="103"/>
      <c r="AG8" s="103"/>
      <c r="AH8" s="103"/>
    </row>
    <row r="9" spans="2:34" x14ac:dyDescent="0.35">
      <c r="B9" s="119" t="s">
        <v>51</v>
      </c>
      <c r="C9" s="126">
        <f t="shared" si="0"/>
        <v>-5457.8899999999994</v>
      </c>
      <c r="D9" s="126">
        <f>Milkshake!D4</f>
        <v>-6475.8899999999994</v>
      </c>
      <c r="E9" s="126">
        <f>Milkshake!D5</f>
        <v>1018</v>
      </c>
      <c r="M9" s="119"/>
      <c r="N9" s="41" t="s">
        <v>52</v>
      </c>
      <c r="O9" s="41">
        <f>O8+O7</f>
        <v>-5835</v>
      </c>
      <c r="P9" s="41"/>
      <c r="Q9" s="27" t="s">
        <v>53</v>
      </c>
      <c r="R9" s="27">
        <v>101</v>
      </c>
      <c r="S9" s="27" t="s">
        <v>5</v>
      </c>
      <c r="T9" s="27">
        <v>517802</v>
      </c>
      <c r="U9" s="27" t="s">
        <v>54</v>
      </c>
      <c r="W9" s="119"/>
      <c r="X9" s="27" t="s">
        <v>55</v>
      </c>
      <c r="Y9" s="27">
        <v>232</v>
      </c>
      <c r="Z9" s="27" t="s">
        <v>36</v>
      </c>
      <c r="AA9" s="27"/>
      <c r="AB9" s="27" t="s">
        <v>37</v>
      </c>
      <c r="AC9" s="119"/>
      <c r="AD9" s="103"/>
      <c r="AE9" s="103"/>
      <c r="AF9" s="103"/>
      <c r="AG9" s="103"/>
      <c r="AH9" s="103"/>
    </row>
    <row r="10" spans="2:34" x14ac:dyDescent="0.35">
      <c r="B10" s="119" t="s">
        <v>56</v>
      </c>
      <c r="C10" s="126">
        <f t="shared" si="0"/>
        <v>261</v>
      </c>
      <c r="D10" s="126">
        <v>0</v>
      </c>
      <c r="E10" s="126">
        <f>Panteruss!D5</f>
        <v>261</v>
      </c>
      <c r="M10" s="119"/>
      <c r="N10" s="119"/>
      <c r="O10" s="119"/>
      <c r="P10" s="119"/>
      <c r="Q10" s="27" t="s">
        <v>57</v>
      </c>
      <c r="R10" s="27">
        <v>205</v>
      </c>
      <c r="S10" s="27" t="s">
        <v>5</v>
      </c>
      <c r="T10" s="27">
        <v>1451306</v>
      </c>
      <c r="U10" s="27" t="s">
        <v>58</v>
      </c>
      <c r="W10" s="119"/>
      <c r="X10" s="27" t="s">
        <v>59</v>
      </c>
      <c r="Y10" s="27">
        <v>138</v>
      </c>
      <c r="Z10" s="27" t="s">
        <v>5</v>
      </c>
      <c r="AA10" s="27">
        <v>8016934193</v>
      </c>
      <c r="AB10" s="27"/>
      <c r="AC10" s="119"/>
      <c r="AD10" s="103"/>
      <c r="AE10" s="103"/>
      <c r="AF10" s="103"/>
      <c r="AG10" s="103"/>
      <c r="AH10" s="103"/>
    </row>
    <row r="11" spans="2:34" x14ac:dyDescent="0.35">
      <c r="B11" s="119" t="s">
        <v>60</v>
      </c>
      <c r="C11" s="126">
        <f t="shared" si="0"/>
        <v>428</v>
      </c>
      <c r="D11" s="126"/>
      <c r="E11" s="126">
        <f>Basar!E5</f>
        <v>428</v>
      </c>
      <c r="M11" s="119"/>
      <c r="N11" s="119"/>
      <c r="O11" s="119"/>
      <c r="P11" s="119"/>
      <c r="Q11" s="27" t="s">
        <v>61</v>
      </c>
      <c r="R11" s="27">
        <v>217</v>
      </c>
      <c r="S11" s="27" t="s">
        <v>5</v>
      </c>
      <c r="T11" s="27">
        <v>1275771</v>
      </c>
      <c r="U11" s="27" t="s">
        <v>62</v>
      </c>
      <c r="W11" s="119"/>
      <c r="X11" s="27" t="s">
        <v>57</v>
      </c>
      <c r="Y11" s="27">
        <v>209</v>
      </c>
      <c r="Z11" s="27"/>
      <c r="AA11" s="27">
        <v>86018570000</v>
      </c>
      <c r="AB11" s="27" t="s">
        <v>50</v>
      </c>
      <c r="AC11" s="119"/>
      <c r="AD11" s="103" t="s">
        <v>63</v>
      </c>
      <c r="AE11" s="103">
        <v>-120.05</v>
      </c>
      <c r="AF11" s="103"/>
      <c r="AG11" s="103">
        <v>89340400000</v>
      </c>
      <c r="AH11" s="103" t="s">
        <v>50</v>
      </c>
    </row>
    <row r="12" spans="2:34" x14ac:dyDescent="0.35">
      <c r="B12" s="119" t="s">
        <v>64</v>
      </c>
      <c r="C12" s="126">
        <f t="shared" si="0"/>
        <v>-32485.25</v>
      </c>
      <c r="D12" s="126">
        <f>Misjonsløp!C3</f>
        <v>-32485.25</v>
      </c>
      <c r="E12" s="126"/>
      <c r="M12" s="119"/>
      <c r="N12" s="119"/>
      <c r="O12" s="119"/>
      <c r="P12" s="119"/>
      <c r="Q12" s="27" t="s">
        <v>59</v>
      </c>
      <c r="R12" s="27">
        <v>135</v>
      </c>
      <c r="S12" s="27" t="s">
        <v>5</v>
      </c>
      <c r="T12" s="27">
        <v>234408</v>
      </c>
      <c r="U12" s="27" t="s">
        <v>65</v>
      </c>
      <c r="W12" s="119"/>
      <c r="X12" s="27" t="s">
        <v>63</v>
      </c>
      <c r="Y12" s="27">
        <v>130</v>
      </c>
      <c r="Z12" s="27" t="s">
        <v>66</v>
      </c>
      <c r="AA12" s="27">
        <v>45035890000</v>
      </c>
      <c r="AB12" s="27" t="s">
        <v>67</v>
      </c>
      <c r="AC12" s="119"/>
      <c r="AD12" s="103" t="s">
        <v>68</v>
      </c>
      <c r="AE12" s="103">
        <v>-1316.8</v>
      </c>
      <c r="AF12" s="103" t="s">
        <v>69</v>
      </c>
      <c r="AG12" s="103">
        <v>94483110000</v>
      </c>
      <c r="AH12" s="103" t="s">
        <v>70</v>
      </c>
    </row>
    <row r="13" spans="2:34" x14ac:dyDescent="0.35">
      <c r="B13" s="119" t="s">
        <v>71</v>
      </c>
      <c r="C13" s="126">
        <f t="shared" si="0"/>
        <v>-660</v>
      </c>
      <c r="D13" s="126">
        <f>SUM(Kjøregodtgjørelse!S4:S14)</f>
        <v>-660</v>
      </c>
      <c r="E13" s="126"/>
      <c r="M13" s="119"/>
      <c r="N13" s="119"/>
      <c r="O13" s="119"/>
      <c r="P13" s="119"/>
      <c r="Q13" s="27" t="s">
        <v>72</v>
      </c>
      <c r="R13" s="27">
        <v>224</v>
      </c>
      <c r="S13" s="27" t="s">
        <v>5</v>
      </c>
      <c r="T13" s="27">
        <v>1169644</v>
      </c>
      <c r="U13" s="27" t="s">
        <v>73</v>
      </c>
      <c r="W13" s="119"/>
      <c r="X13" s="27" t="s">
        <v>63</v>
      </c>
      <c r="Y13" s="27">
        <v>121</v>
      </c>
      <c r="Z13" s="27"/>
      <c r="AA13" s="27">
        <v>89340400000</v>
      </c>
      <c r="AB13" s="27" t="s">
        <v>50</v>
      </c>
      <c r="AC13" s="119"/>
      <c r="AD13" s="103" t="s">
        <v>33</v>
      </c>
      <c r="AE13" s="103">
        <v>-119</v>
      </c>
      <c r="AF13" s="103" t="s">
        <v>74</v>
      </c>
      <c r="AG13" s="103">
        <v>37873160000</v>
      </c>
      <c r="AH13" s="103" t="s">
        <v>75</v>
      </c>
    </row>
    <row r="14" spans="2:34" x14ac:dyDescent="0.35">
      <c r="B14" s="119" t="s">
        <v>76</v>
      </c>
      <c r="C14" s="126">
        <f t="shared" si="0"/>
        <v>-1566.9500000000003</v>
      </c>
      <c r="D14" s="126">
        <f>Barrista!D4</f>
        <v>-2263.9500000000003</v>
      </c>
      <c r="E14" s="126">
        <f>Barrista!D5</f>
        <v>697</v>
      </c>
      <c r="M14" s="119"/>
      <c r="N14" s="119"/>
      <c r="O14" s="119"/>
      <c r="P14" s="119"/>
      <c r="Q14" s="27" t="s">
        <v>77</v>
      </c>
      <c r="R14" s="27">
        <v>151</v>
      </c>
      <c r="S14" s="27" t="s">
        <v>5</v>
      </c>
      <c r="T14" s="27">
        <v>1556212</v>
      </c>
      <c r="U14" s="27" t="s">
        <v>78</v>
      </c>
      <c r="W14" s="119"/>
      <c r="X14" s="27" t="s">
        <v>53</v>
      </c>
      <c r="Y14" s="27">
        <v>112</v>
      </c>
      <c r="Z14" s="27" t="s">
        <v>5</v>
      </c>
      <c r="AA14" s="27">
        <v>969655</v>
      </c>
      <c r="AB14" s="27" t="s">
        <v>79</v>
      </c>
      <c r="AC14" s="119"/>
      <c r="AD14" s="103" t="s">
        <v>24</v>
      </c>
      <c r="AE14" s="103">
        <v>-52.5</v>
      </c>
      <c r="AF14" s="103"/>
      <c r="AG14" s="103"/>
      <c r="AH14" s="103" t="s">
        <v>80</v>
      </c>
    </row>
    <row r="15" spans="2:34" x14ac:dyDescent="0.35">
      <c r="B15" s="119" t="s">
        <v>81</v>
      </c>
      <c r="C15" s="126">
        <f t="shared" si="0"/>
        <v>-3570.8</v>
      </c>
      <c r="D15" s="126">
        <f>Nattcup!D4</f>
        <v>-6502.8</v>
      </c>
      <c r="E15" s="126">
        <f>Nattcup!D5</f>
        <v>2932</v>
      </c>
      <c r="M15" s="119"/>
      <c r="N15" s="119"/>
      <c r="O15" s="119"/>
      <c r="P15" s="119"/>
      <c r="Q15" s="27" t="s">
        <v>77</v>
      </c>
      <c r="R15" s="27">
        <v>156</v>
      </c>
      <c r="S15" s="27" t="s">
        <v>5</v>
      </c>
      <c r="T15" s="27">
        <v>1555163</v>
      </c>
      <c r="U15" s="27" t="s">
        <v>82</v>
      </c>
      <c r="W15" s="119"/>
      <c r="X15" s="27" t="s">
        <v>53</v>
      </c>
      <c r="Y15" s="27">
        <v>117</v>
      </c>
      <c r="Z15" s="27" t="s">
        <v>5</v>
      </c>
      <c r="AA15" s="27">
        <v>878329</v>
      </c>
      <c r="AB15" s="27" t="s">
        <v>83</v>
      </c>
      <c r="AC15" s="119"/>
      <c r="AD15" s="103" t="s">
        <v>24</v>
      </c>
      <c r="AE15" s="103">
        <v>-11.9</v>
      </c>
      <c r="AF15" s="103"/>
      <c r="AG15" s="103"/>
      <c r="AH15" s="103" t="s">
        <v>84</v>
      </c>
    </row>
    <row r="16" spans="2:34" x14ac:dyDescent="0.35">
      <c r="B16" s="119" t="s">
        <v>85</v>
      </c>
      <c r="C16" s="126">
        <f t="shared" si="0"/>
        <v>10977.66</v>
      </c>
      <c r="D16" s="126"/>
      <c r="E16" s="126">
        <v>10977.66</v>
      </c>
      <c r="M16" s="119"/>
      <c r="N16" s="119"/>
      <c r="O16" s="119"/>
      <c r="P16" s="119"/>
      <c r="Q16" s="27" t="s">
        <v>35</v>
      </c>
      <c r="R16" s="27">
        <v>158</v>
      </c>
      <c r="S16" s="27" t="s">
        <v>5</v>
      </c>
      <c r="T16" s="27">
        <v>1438142</v>
      </c>
      <c r="U16" s="27" t="s">
        <v>86</v>
      </c>
      <c r="W16" s="119"/>
      <c r="X16" s="27" t="s">
        <v>53</v>
      </c>
      <c r="Y16" s="27">
        <v>120</v>
      </c>
      <c r="Z16" s="27" t="s">
        <v>5</v>
      </c>
      <c r="AA16" s="27">
        <v>159950</v>
      </c>
      <c r="AB16" s="27" t="s">
        <v>87</v>
      </c>
      <c r="AC16" s="119"/>
      <c r="AD16" s="103" t="s">
        <v>88</v>
      </c>
      <c r="AE16" s="103">
        <v>-52.5</v>
      </c>
      <c r="AF16" s="103"/>
      <c r="AG16" s="103"/>
      <c r="AH16" s="103" t="s">
        <v>80</v>
      </c>
    </row>
    <row r="17" spans="1:34" x14ac:dyDescent="0.35">
      <c r="B17" s="93"/>
      <c r="C17" s="137"/>
      <c r="D17" s="127"/>
      <c r="E17" s="127"/>
      <c r="M17" s="119"/>
      <c r="N17" s="119"/>
      <c r="O17" s="119"/>
      <c r="P17" s="119"/>
      <c r="Q17" s="27" t="s">
        <v>89</v>
      </c>
      <c r="R17" s="27">
        <v>168</v>
      </c>
      <c r="S17" s="27" t="s">
        <v>5</v>
      </c>
      <c r="T17" s="27">
        <v>1362518</v>
      </c>
      <c r="U17" s="27" t="s">
        <v>90</v>
      </c>
      <c r="W17" s="119"/>
      <c r="X17" s="27" t="s">
        <v>53</v>
      </c>
      <c r="Y17" s="27">
        <v>102</v>
      </c>
      <c r="Z17" s="27" t="s">
        <v>5</v>
      </c>
      <c r="AA17" s="27">
        <v>112621</v>
      </c>
      <c r="AB17" s="27" t="s">
        <v>91</v>
      </c>
      <c r="AC17" s="119"/>
      <c r="AD17" s="103"/>
      <c r="AE17" s="103"/>
      <c r="AF17" s="103"/>
      <c r="AG17" s="103"/>
      <c r="AH17" s="103"/>
    </row>
    <row r="18" spans="1:34" x14ac:dyDescent="0.35">
      <c r="B18" s="119" t="s">
        <v>5</v>
      </c>
      <c r="C18" s="126">
        <f>E18+D18</f>
        <v>3240</v>
      </c>
      <c r="D18" s="126">
        <f>M5</f>
        <v>0</v>
      </c>
      <c r="E18" s="126">
        <f>O8</f>
        <v>3240</v>
      </c>
      <c r="M18" s="119"/>
      <c r="N18" s="119"/>
      <c r="O18" s="119"/>
      <c r="P18" s="119"/>
      <c r="Q18" s="27" t="s">
        <v>92</v>
      </c>
      <c r="R18" s="27">
        <v>242</v>
      </c>
      <c r="S18" s="27" t="s">
        <v>5</v>
      </c>
      <c r="T18" s="27">
        <v>708562</v>
      </c>
      <c r="U18" s="27" t="s">
        <v>93</v>
      </c>
      <c r="W18" s="119"/>
      <c r="X18" s="27" t="s">
        <v>53</v>
      </c>
      <c r="Y18" s="27">
        <v>111</v>
      </c>
      <c r="Z18" s="27" t="s">
        <v>5</v>
      </c>
      <c r="AA18" s="27">
        <v>833661</v>
      </c>
      <c r="AB18" s="27" t="s">
        <v>87</v>
      </c>
      <c r="AC18" s="119"/>
      <c r="AD18" s="103"/>
      <c r="AE18" s="103"/>
      <c r="AF18" s="103"/>
      <c r="AG18" s="103"/>
      <c r="AH18" s="103"/>
    </row>
    <row r="19" spans="1:34" x14ac:dyDescent="0.35">
      <c r="B19" s="119" t="s">
        <v>52</v>
      </c>
      <c r="C19" s="126">
        <f>E19+D19</f>
        <v>4782.25</v>
      </c>
      <c r="D19" s="126">
        <f>AE3</f>
        <v>-1672.75</v>
      </c>
      <c r="E19" s="126">
        <f>Y3</f>
        <v>6455</v>
      </c>
      <c r="M19" s="119"/>
      <c r="N19" s="119"/>
      <c r="O19" s="119"/>
      <c r="P19" s="119"/>
      <c r="Q19" s="27" t="s">
        <v>92</v>
      </c>
      <c r="R19" s="27">
        <v>245</v>
      </c>
      <c r="S19" s="27" t="s">
        <v>5</v>
      </c>
      <c r="T19" s="27">
        <v>708536</v>
      </c>
      <c r="U19" s="27" t="s">
        <v>94</v>
      </c>
      <c r="W19" s="119"/>
      <c r="X19" s="27" t="s">
        <v>53</v>
      </c>
      <c r="Y19" s="27">
        <v>108</v>
      </c>
      <c r="Z19" s="27" t="s">
        <v>5</v>
      </c>
      <c r="AA19" s="27">
        <v>377693</v>
      </c>
      <c r="AB19" s="27" t="s">
        <v>95</v>
      </c>
      <c r="AC19" s="119"/>
      <c r="AD19" s="103"/>
      <c r="AE19" s="103"/>
      <c r="AF19" s="103"/>
      <c r="AG19" s="103"/>
      <c r="AH19" s="103"/>
    </row>
    <row r="20" spans="1:34" x14ac:dyDescent="0.35">
      <c r="M20" s="119"/>
      <c r="N20" s="119"/>
      <c r="O20" s="119"/>
      <c r="P20" s="119"/>
      <c r="Q20" s="27" t="s">
        <v>96</v>
      </c>
      <c r="R20" s="27">
        <v>174</v>
      </c>
      <c r="S20" s="27" t="s">
        <v>5</v>
      </c>
      <c r="T20" s="27">
        <v>1173563</v>
      </c>
      <c r="U20" s="27" t="s">
        <v>97</v>
      </c>
      <c r="W20" s="119"/>
      <c r="X20" s="27" t="s">
        <v>53</v>
      </c>
      <c r="Y20" s="27">
        <v>103</v>
      </c>
      <c r="Z20" s="27" t="s">
        <v>5</v>
      </c>
      <c r="AA20" s="27">
        <v>239115</v>
      </c>
      <c r="AB20" s="27" t="s">
        <v>98</v>
      </c>
      <c r="AC20" s="119"/>
      <c r="AD20" s="103"/>
      <c r="AE20" s="103"/>
      <c r="AF20" s="103"/>
      <c r="AG20" s="103"/>
      <c r="AH20" s="103"/>
    </row>
    <row r="21" spans="1:34" x14ac:dyDescent="0.35">
      <c r="B21" s="119" t="s">
        <v>99</v>
      </c>
      <c r="C21" s="137">
        <f>D21+E21+C2</f>
        <v>-1492857.07</v>
      </c>
      <c r="D21" s="139">
        <f>SUM(D3:D19)</f>
        <v>-1579512.73</v>
      </c>
      <c r="E21" s="139">
        <f>SUM(E4:E19)</f>
        <v>44007.66</v>
      </c>
      <c r="M21" s="119"/>
      <c r="N21" s="119"/>
      <c r="O21" s="119"/>
      <c r="P21" s="119"/>
      <c r="Q21" s="27" t="s">
        <v>100</v>
      </c>
      <c r="R21" s="27">
        <v>259</v>
      </c>
      <c r="S21" s="27" t="s">
        <v>5</v>
      </c>
      <c r="T21" s="27">
        <v>192719</v>
      </c>
      <c r="U21" s="27" t="s">
        <v>101</v>
      </c>
      <c r="W21" s="119"/>
      <c r="X21" s="27" t="s">
        <v>53</v>
      </c>
      <c r="Y21" s="27">
        <v>107</v>
      </c>
      <c r="Z21" s="27" t="s">
        <v>5</v>
      </c>
      <c r="AA21" s="27">
        <v>1964</v>
      </c>
      <c r="AB21" s="27" t="s">
        <v>69</v>
      </c>
      <c r="AC21" s="119"/>
      <c r="AD21" s="103"/>
      <c r="AE21" s="103"/>
      <c r="AF21" s="103"/>
      <c r="AG21" s="103"/>
      <c r="AH21" s="103"/>
    </row>
    <row r="22" spans="1:34" x14ac:dyDescent="0.35">
      <c r="D22" s="139">
        <v>-1580830.38</v>
      </c>
      <c r="E22" s="139">
        <v>40755</v>
      </c>
      <c r="M22" s="119"/>
      <c r="N22" s="119"/>
      <c r="O22" s="119"/>
      <c r="P22" s="119"/>
      <c r="Q22" s="27"/>
      <c r="R22" s="27"/>
      <c r="S22" s="27"/>
      <c r="T22" s="27"/>
      <c r="U22" s="27"/>
      <c r="W22" s="119"/>
      <c r="X22" s="27" t="s">
        <v>53</v>
      </c>
      <c r="Y22" s="27">
        <v>99</v>
      </c>
      <c r="Z22" s="27" t="s">
        <v>5</v>
      </c>
      <c r="AA22" s="27">
        <v>4604</v>
      </c>
      <c r="AB22" s="27" t="s">
        <v>102</v>
      </c>
      <c r="AC22" s="119"/>
      <c r="AD22" s="103"/>
      <c r="AE22" s="103"/>
      <c r="AF22" s="103"/>
      <c r="AG22" s="103"/>
      <c r="AH22" s="103"/>
    </row>
    <row r="23" spans="1:34" x14ac:dyDescent="0.35">
      <c r="D23" s="137">
        <f>D21-D22</f>
        <v>1317.6499999999069</v>
      </c>
      <c r="E23" s="137">
        <f>E21-E22</f>
        <v>3252.6600000000035</v>
      </c>
      <c r="M23" s="119"/>
      <c r="N23" s="119"/>
      <c r="O23" s="119"/>
      <c r="P23" s="119"/>
      <c r="Q23" s="27"/>
      <c r="R23" s="27"/>
      <c r="S23" s="27"/>
      <c r="T23" s="27"/>
      <c r="U23" s="27"/>
      <c r="W23" s="119"/>
      <c r="X23" s="27" t="s">
        <v>53</v>
      </c>
      <c r="Y23" s="27">
        <v>98</v>
      </c>
      <c r="Z23" s="27" t="s">
        <v>5</v>
      </c>
      <c r="AA23" s="27">
        <v>8021956835</v>
      </c>
      <c r="AB23" s="27"/>
      <c r="AC23" s="119"/>
      <c r="AD23" s="103"/>
      <c r="AE23" s="103"/>
      <c r="AF23" s="103"/>
      <c r="AG23" s="103"/>
      <c r="AH23" s="103"/>
    </row>
    <row r="24" spans="1:34" x14ac:dyDescent="0.35">
      <c r="M24" s="119"/>
      <c r="N24" s="119"/>
      <c r="O24" s="119"/>
      <c r="P24" s="119"/>
      <c r="Q24" s="27"/>
      <c r="R24" s="27"/>
      <c r="S24" s="27"/>
      <c r="T24" s="27"/>
      <c r="U24" s="27"/>
      <c r="W24" s="119"/>
      <c r="X24" s="27" t="s">
        <v>53</v>
      </c>
      <c r="Y24" s="27">
        <v>116</v>
      </c>
      <c r="Z24" s="27" t="s">
        <v>5</v>
      </c>
      <c r="AA24" s="27">
        <v>8021974574</v>
      </c>
      <c r="AB24" s="27"/>
      <c r="AC24" s="119"/>
      <c r="AD24" s="103"/>
      <c r="AE24" s="103"/>
      <c r="AF24" s="103"/>
      <c r="AG24" s="103"/>
      <c r="AH24" s="103"/>
    </row>
    <row r="25" spans="1:34" x14ac:dyDescent="0.35">
      <c r="X25" t="s">
        <v>53</v>
      </c>
      <c r="Y25">
        <v>118</v>
      </c>
      <c r="Z25" t="s">
        <v>5</v>
      </c>
      <c r="AA25">
        <v>8021940906</v>
      </c>
    </row>
    <row r="26" spans="1:34" x14ac:dyDescent="0.35">
      <c r="A26" t="s">
        <v>103</v>
      </c>
      <c r="C26" s="101">
        <f>SUM(C2:C20)</f>
        <v>-1492857.07</v>
      </c>
      <c r="D26">
        <v>796643.37000000011</v>
      </c>
      <c r="E26" s="101">
        <f>C26-D26</f>
        <v>-2289500.4400000004</v>
      </c>
      <c r="X26" t="s">
        <v>53</v>
      </c>
      <c r="Y26">
        <v>104</v>
      </c>
      <c r="Z26" t="s">
        <v>5</v>
      </c>
      <c r="AA26">
        <v>3097044239</v>
      </c>
      <c r="AB26" t="s">
        <v>104</v>
      </c>
    </row>
    <row r="27" spans="1:34" x14ac:dyDescent="0.35">
      <c r="A27" t="s">
        <v>105</v>
      </c>
      <c r="C27">
        <v>265722</v>
      </c>
      <c r="X27" t="s">
        <v>106</v>
      </c>
      <c r="Y27">
        <v>92</v>
      </c>
      <c r="Z27" t="s">
        <v>5</v>
      </c>
      <c r="AA27">
        <v>3097303040</v>
      </c>
      <c r="AB27" t="s">
        <v>107</v>
      </c>
    </row>
    <row r="28" spans="1:34" x14ac:dyDescent="0.35">
      <c r="A28" t="s">
        <v>108</v>
      </c>
      <c r="C28" s="130">
        <f>C27-C26</f>
        <v>1758579.07</v>
      </c>
      <c r="X28" t="s">
        <v>106</v>
      </c>
      <c r="Y28">
        <v>87</v>
      </c>
      <c r="Z28" t="s">
        <v>5</v>
      </c>
      <c r="AA28">
        <v>683</v>
      </c>
      <c r="AB28" t="s">
        <v>109</v>
      </c>
    </row>
    <row r="29" spans="1:34" x14ac:dyDescent="0.35">
      <c r="X29" t="s">
        <v>106</v>
      </c>
      <c r="Y29">
        <v>88</v>
      </c>
      <c r="Z29" t="s">
        <v>5</v>
      </c>
      <c r="AA29">
        <v>8022113608</v>
      </c>
    </row>
    <row r="30" spans="1:34" x14ac:dyDescent="0.35">
      <c r="X30" t="s">
        <v>106</v>
      </c>
      <c r="Y30">
        <v>90</v>
      </c>
      <c r="Z30" t="s">
        <v>5</v>
      </c>
      <c r="AA30">
        <v>8022919540</v>
      </c>
    </row>
    <row r="31" spans="1:34" x14ac:dyDescent="0.35">
      <c r="X31" t="s">
        <v>106</v>
      </c>
      <c r="Y31">
        <v>93</v>
      </c>
      <c r="Z31" t="s">
        <v>5</v>
      </c>
      <c r="AA31">
        <v>8022935214</v>
      </c>
    </row>
    <row r="32" spans="1:34" x14ac:dyDescent="0.35">
      <c r="X32" t="s">
        <v>106</v>
      </c>
      <c r="Y32">
        <v>95</v>
      </c>
      <c r="Z32" t="s">
        <v>5</v>
      </c>
      <c r="AA32">
        <v>8022992299</v>
      </c>
    </row>
    <row r="33" spans="24:28" x14ac:dyDescent="0.35">
      <c r="X33" t="s">
        <v>106</v>
      </c>
      <c r="Y33">
        <v>96</v>
      </c>
      <c r="Z33" t="s">
        <v>5</v>
      </c>
      <c r="AA33">
        <v>8022904938</v>
      </c>
    </row>
    <row r="34" spans="24:28" x14ac:dyDescent="0.35">
      <c r="X34" t="s">
        <v>68</v>
      </c>
      <c r="Y34">
        <v>85</v>
      </c>
      <c r="Z34" t="s">
        <v>5</v>
      </c>
      <c r="AA34">
        <v>385738</v>
      </c>
      <c r="AB34" t="s">
        <v>110</v>
      </c>
    </row>
    <row r="35" spans="24:28" x14ac:dyDescent="0.35">
      <c r="X35" t="s">
        <v>68</v>
      </c>
      <c r="Y35">
        <v>76</v>
      </c>
      <c r="Z35" t="s">
        <v>5</v>
      </c>
      <c r="AA35">
        <v>315575</v>
      </c>
      <c r="AB35" t="s">
        <v>87</v>
      </c>
    </row>
    <row r="36" spans="24:28" x14ac:dyDescent="0.35">
      <c r="X36" t="s">
        <v>68</v>
      </c>
      <c r="Y36">
        <v>72</v>
      </c>
      <c r="Z36" t="s">
        <v>69</v>
      </c>
      <c r="AA36">
        <v>94483110000</v>
      </c>
      <c r="AB36" t="s">
        <v>70</v>
      </c>
    </row>
    <row r="37" spans="24:28" x14ac:dyDescent="0.35">
      <c r="X37" t="s">
        <v>68</v>
      </c>
      <c r="Y37">
        <v>79</v>
      </c>
      <c r="Z37" t="s">
        <v>5</v>
      </c>
      <c r="AA37">
        <v>3319</v>
      </c>
      <c r="AB37" t="s">
        <v>69</v>
      </c>
    </row>
    <row r="38" spans="24:28" x14ac:dyDescent="0.35">
      <c r="X38" t="s">
        <v>68</v>
      </c>
      <c r="Y38">
        <v>84</v>
      </c>
      <c r="Z38" t="s">
        <v>5</v>
      </c>
      <c r="AA38">
        <v>892848</v>
      </c>
      <c r="AB38" t="s">
        <v>111</v>
      </c>
    </row>
    <row r="39" spans="24:28" x14ac:dyDescent="0.35">
      <c r="X39" t="s">
        <v>68</v>
      </c>
      <c r="Y39">
        <v>74</v>
      </c>
      <c r="Z39" t="s">
        <v>5</v>
      </c>
      <c r="AA39">
        <v>8023113140</v>
      </c>
    </row>
    <row r="40" spans="24:28" x14ac:dyDescent="0.35">
      <c r="X40" t="s">
        <v>68</v>
      </c>
      <c r="Y40">
        <v>75</v>
      </c>
      <c r="Z40" t="s">
        <v>5</v>
      </c>
      <c r="AA40">
        <v>8023950498</v>
      </c>
    </row>
    <row r="41" spans="24:28" x14ac:dyDescent="0.35">
      <c r="X41" t="s">
        <v>68</v>
      </c>
      <c r="Y41">
        <v>81</v>
      </c>
      <c r="Z41" t="s">
        <v>5</v>
      </c>
      <c r="AA41">
        <v>8023991880</v>
      </c>
    </row>
    <row r="42" spans="24:28" x14ac:dyDescent="0.35">
      <c r="X42" t="s">
        <v>68</v>
      </c>
      <c r="Y42">
        <v>82</v>
      </c>
      <c r="Z42" t="s">
        <v>5</v>
      </c>
      <c r="AA42">
        <v>8023976130</v>
      </c>
    </row>
    <row r="43" spans="24:28" x14ac:dyDescent="0.35">
      <c r="X43" t="s">
        <v>68</v>
      </c>
      <c r="Y43">
        <v>83</v>
      </c>
      <c r="Z43" t="s">
        <v>5</v>
      </c>
      <c r="AA43">
        <v>8023962234</v>
      </c>
    </row>
    <row r="44" spans="24:28" x14ac:dyDescent="0.35">
      <c r="X44" t="s">
        <v>112</v>
      </c>
      <c r="Y44">
        <v>63</v>
      </c>
      <c r="Z44" t="s">
        <v>5</v>
      </c>
      <c r="AA44">
        <v>20</v>
      </c>
      <c r="AB44" t="s">
        <v>69</v>
      </c>
    </row>
    <row r="45" spans="24:28" x14ac:dyDescent="0.35">
      <c r="X45" t="s">
        <v>112</v>
      </c>
      <c r="Y45">
        <v>68</v>
      </c>
      <c r="Z45" t="s">
        <v>5</v>
      </c>
      <c r="AA45">
        <v>105726</v>
      </c>
      <c r="AB45" t="s">
        <v>87</v>
      </c>
    </row>
    <row r="46" spans="24:28" x14ac:dyDescent="0.35">
      <c r="X46" t="s">
        <v>112</v>
      </c>
      <c r="Y46">
        <v>71</v>
      </c>
      <c r="Z46" t="s">
        <v>5</v>
      </c>
      <c r="AA46">
        <v>749</v>
      </c>
      <c r="AB46" t="s">
        <v>69</v>
      </c>
    </row>
    <row r="47" spans="24:28" x14ac:dyDescent="0.35">
      <c r="X47" t="s">
        <v>112</v>
      </c>
      <c r="Y47">
        <v>62</v>
      </c>
      <c r="Z47" t="s">
        <v>5</v>
      </c>
      <c r="AA47">
        <v>8024113194</v>
      </c>
    </row>
    <row r="48" spans="24:28" x14ac:dyDescent="0.35">
      <c r="X48" t="s">
        <v>112</v>
      </c>
      <c r="Y48">
        <v>64</v>
      </c>
      <c r="Z48" t="s">
        <v>5</v>
      </c>
      <c r="AA48">
        <v>8024951821</v>
      </c>
    </row>
    <row r="49" spans="24:28" x14ac:dyDescent="0.35">
      <c r="X49" t="s">
        <v>112</v>
      </c>
      <c r="Y49">
        <v>65</v>
      </c>
      <c r="Z49" t="s">
        <v>5</v>
      </c>
      <c r="AA49">
        <v>8024936193</v>
      </c>
    </row>
    <row r="50" spans="24:28" x14ac:dyDescent="0.35">
      <c r="X50" t="s">
        <v>112</v>
      </c>
      <c r="Y50">
        <v>66</v>
      </c>
      <c r="Z50" t="s">
        <v>5</v>
      </c>
      <c r="AA50">
        <v>8024907957</v>
      </c>
    </row>
    <row r="51" spans="24:28" x14ac:dyDescent="0.35">
      <c r="X51" t="s">
        <v>112</v>
      </c>
      <c r="Y51">
        <v>67</v>
      </c>
      <c r="Z51" t="s">
        <v>5</v>
      </c>
      <c r="AA51">
        <v>8024921375</v>
      </c>
    </row>
    <row r="52" spans="24:28" x14ac:dyDescent="0.35">
      <c r="X52" t="s">
        <v>112</v>
      </c>
      <c r="Y52">
        <v>70</v>
      </c>
      <c r="Z52" t="s">
        <v>5</v>
      </c>
      <c r="AA52">
        <v>770109</v>
      </c>
      <c r="AB52" t="s">
        <v>113</v>
      </c>
    </row>
    <row r="53" spans="24:28" x14ac:dyDescent="0.35">
      <c r="X53" t="s">
        <v>114</v>
      </c>
      <c r="Y53">
        <v>51</v>
      </c>
      <c r="Z53" t="s">
        <v>5</v>
      </c>
      <c r="AA53">
        <v>3106077853</v>
      </c>
      <c r="AB53" t="s">
        <v>115</v>
      </c>
    </row>
    <row r="54" spans="24:28" x14ac:dyDescent="0.35">
      <c r="X54" t="s">
        <v>114</v>
      </c>
      <c r="Y54">
        <v>46</v>
      </c>
      <c r="Z54" t="s">
        <v>5</v>
      </c>
      <c r="AA54">
        <v>6542</v>
      </c>
      <c r="AB54" t="s">
        <v>69</v>
      </c>
    </row>
    <row r="55" spans="24:28" x14ac:dyDescent="0.35">
      <c r="X55" t="s">
        <v>114</v>
      </c>
      <c r="Y55">
        <v>58</v>
      </c>
      <c r="Z55" t="s">
        <v>5</v>
      </c>
      <c r="AA55">
        <v>240287</v>
      </c>
      <c r="AB55" t="s">
        <v>87</v>
      </c>
    </row>
    <row r="56" spans="24:28" x14ac:dyDescent="0.35">
      <c r="X56" t="s">
        <v>114</v>
      </c>
      <c r="Y56">
        <v>43</v>
      </c>
      <c r="Z56" t="s">
        <v>5</v>
      </c>
      <c r="AA56">
        <v>456645</v>
      </c>
      <c r="AB56" t="s">
        <v>116</v>
      </c>
    </row>
    <row r="57" spans="24:28" x14ac:dyDescent="0.35">
      <c r="X57" t="s">
        <v>114</v>
      </c>
      <c r="Y57">
        <v>49</v>
      </c>
      <c r="Z57" t="s">
        <v>5</v>
      </c>
      <c r="AB57" t="s">
        <v>117</v>
      </c>
    </row>
    <row r="58" spans="24:28" x14ac:dyDescent="0.35">
      <c r="X58" t="s">
        <v>114</v>
      </c>
      <c r="Y58">
        <v>42</v>
      </c>
      <c r="Z58" t="s">
        <v>5</v>
      </c>
      <c r="AA58">
        <v>8027908004</v>
      </c>
    </row>
    <row r="59" spans="24:28" x14ac:dyDescent="0.35">
      <c r="X59" t="s">
        <v>114</v>
      </c>
      <c r="Y59">
        <v>47</v>
      </c>
      <c r="Z59" t="s">
        <v>5</v>
      </c>
      <c r="AA59">
        <v>8027977461</v>
      </c>
    </row>
    <row r="60" spans="24:28" x14ac:dyDescent="0.35">
      <c r="X60" t="s">
        <v>114</v>
      </c>
      <c r="Y60">
        <v>54</v>
      </c>
      <c r="Z60" t="s">
        <v>5</v>
      </c>
      <c r="AA60">
        <v>8027991323</v>
      </c>
    </row>
    <row r="61" spans="24:28" x14ac:dyDescent="0.35">
      <c r="X61" t="s">
        <v>114</v>
      </c>
      <c r="Y61">
        <v>56</v>
      </c>
      <c r="Z61" t="s">
        <v>5</v>
      </c>
      <c r="AA61">
        <v>8027927353</v>
      </c>
    </row>
    <row r="62" spans="24:28" x14ac:dyDescent="0.35">
      <c r="X62" t="s">
        <v>114</v>
      </c>
      <c r="Y62">
        <v>57</v>
      </c>
      <c r="Z62" t="s">
        <v>5</v>
      </c>
      <c r="AA62">
        <v>8027119746</v>
      </c>
    </row>
    <row r="63" spans="24:28" x14ac:dyDescent="0.35">
      <c r="X63" t="s">
        <v>114</v>
      </c>
      <c r="Y63">
        <v>53</v>
      </c>
      <c r="Z63" t="s">
        <v>5</v>
      </c>
      <c r="AA63">
        <v>836512</v>
      </c>
      <c r="AB63" t="s">
        <v>118</v>
      </c>
    </row>
    <row r="64" spans="24:28" x14ac:dyDescent="0.35">
      <c r="X64" t="s">
        <v>33</v>
      </c>
      <c r="Y64">
        <v>13</v>
      </c>
      <c r="Z64" t="s">
        <v>5</v>
      </c>
      <c r="AA64">
        <v>8028111826</v>
      </c>
    </row>
    <row r="65" spans="24:28" x14ac:dyDescent="0.35">
      <c r="X65" t="s">
        <v>33</v>
      </c>
      <c r="Y65">
        <v>16</v>
      </c>
      <c r="Z65" t="s">
        <v>5</v>
      </c>
      <c r="AA65">
        <v>8028974343</v>
      </c>
    </row>
    <row r="66" spans="24:28" x14ac:dyDescent="0.35">
      <c r="X66" t="s">
        <v>33</v>
      </c>
      <c r="Y66">
        <v>29</v>
      </c>
      <c r="Z66" t="s">
        <v>5</v>
      </c>
      <c r="AA66">
        <v>8028946311</v>
      </c>
    </row>
    <row r="67" spans="24:28" x14ac:dyDescent="0.35">
      <c r="X67" t="s">
        <v>33</v>
      </c>
      <c r="Y67">
        <v>40</v>
      </c>
      <c r="Z67" t="s">
        <v>5</v>
      </c>
      <c r="AA67">
        <v>8028960202</v>
      </c>
    </row>
    <row r="68" spans="24:28" x14ac:dyDescent="0.35">
      <c r="X68" t="s">
        <v>33</v>
      </c>
      <c r="Y68">
        <v>24</v>
      </c>
      <c r="Z68" t="s">
        <v>5</v>
      </c>
      <c r="AA68">
        <v>3110053517</v>
      </c>
      <c r="AB68" t="s">
        <v>87</v>
      </c>
    </row>
    <row r="69" spans="24:28" x14ac:dyDescent="0.35">
      <c r="X69" t="s">
        <v>33</v>
      </c>
      <c r="Y69">
        <v>23</v>
      </c>
      <c r="Z69" t="s">
        <v>5</v>
      </c>
      <c r="AA69">
        <v>941210</v>
      </c>
      <c r="AB69" t="s">
        <v>119</v>
      </c>
    </row>
    <row r="70" spans="24:28" x14ac:dyDescent="0.35">
      <c r="X70" t="s">
        <v>33</v>
      </c>
      <c r="Y70">
        <v>32</v>
      </c>
      <c r="Z70" t="s">
        <v>5</v>
      </c>
      <c r="AA70">
        <v>941219</v>
      </c>
      <c r="AB70" t="s">
        <v>120</v>
      </c>
    </row>
    <row r="71" spans="24:28" x14ac:dyDescent="0.35">
      <c r="X71" t="s">
        <v>33</v>
      </c>
      <c r="Y71">
        <v>35</v>
      </c>
      <c r="Z71" t="s">
        <v>5</v>
      </c>
      <c r="AA71">
        <v>941210</v>
      </c>
      <c r="AB71" t="s">
        <v>121</v>
      </c>
    </row>
    <row r="72" spans="24:28" x14ac:dyDescent="0.35">
      <c r="X72" t="s">
        <v>33</v>
      </c>
      <c r="Y72">
        <v>15</v>
      </c>
      <c r="Z72" t="s">
        <v>74</v>
      </c>
      <c r="AA72">
        <v>37873160000</v>
      </c>
      <c r="AB72" t="s">
        <v>75</v>
      </c>
    </row>
    <row r="73" spans="24:28" x14ac:dyDescent="0.35">
      <c r="X73" t="s">
        <v>122</v>
      </c>
      <c r="Y73">
        <v>4</v>
      </c>
      <c r="Z73" t="s">
        <v>5</v>
      </c>
      <c r="AA73">
        <v>8029952151</v>
      </c>
    </row>
    <row r="74" spans="24:28" x14ac:dyDescent="0.35">
      <c r="X74" t="s">
        <v>122</v>
      </c>
      <c r="Y74">
        <v>5</v>
      </c>
      <c r="Z74" t="s">
        <v>5</v>
      </c>
      <c r="AA74">
        <v>8029111959</v>
      </c>
    </row>
    <row r="75" spans="24:28" x14ac:dyDescent="0.35">
      <c r="X75" t="s">
        <v>122</v>
      </c>
      <c r="Y75">
        <v>8</v>
      </c>
      <c r="Z75" t="s">
        <v>5</v>
      </c>
      <c r="AA75">
        <v>8029922654</v>
      </c>
    </row>
    <row r="76" spans="24:28" x14ac:dyDescent="0.35">
      <c r="X76" t="s">
        <v>122</v>
      </c>
      <c r="Y76">
        <v>7</v>
      </c>
      <c r="Z76" t="s">
        <v>5</v>
      </c>
      <c r="AA76">
        <v>1029196</v>
      </c>
      <c r="AB76" t="s">
        <v>123</v>
      </c>
    </row>
    <row r="77" spans="24:28" x14ac:dyDescent="0.35">
      <c r="X77" t="s">
        <v>122</v>
      </c>
      <c r="Y77">
        <v>9</v>
      </c>
      <c r="Z77" t="s">
        <v>5</v>
      </c>
      <c r="AA77">
        <v>1029196</v>
      </c>
      <c r="AB77" t="s">
        <v>124</v>
      </c>
    </row>
    <row r="78" spans="24:28" x14ac:dyDescent="0.35">
      <c r="X78" t="s">
        <v>24</v>
      </c>
      <c r="Y78">
        <v>184</v>
      </c>
      <c r="AB78" t="s">
        <v>84</v>
      </c>
    </row>
    <row r="79" spans="24:28" x14ac:dyDescent="0.35">
      <c r="X79" t="s">
        <v>24</v>
      </c>
      <c r="Y79">
        <v>186</v>
      </c>
      <c r="AB79" t="s">
        <v>80</v>
      </c>
    </row>
    <row r="80" spans="24:28" x14ac:dyDescent="0.35">
      <c r="X80" t="s">
        <v>125</v>
      </c>
      <c r="Y80">
        <v>2</v>
      </c>
      <c r="AA80">
        <v>333</v>
      </c>
      <c r="AB80" t="s">
        <v>126</v>
      </c>
    </row>
    <row r="81" spans="24:28" x14ac:dyDescent="0.35">
      <c r="X81" t="s">
        <v>125</v>
      </c>
      <c r="Y81">
        <v>1</v>
      </c>
      <c r="AA81">
        <v>8030968226</v>
      </c>
      <c r="AB81" t="s">
        <v>127</v>
      </c>
    </row>
    <row r="82" spans="24:28" x14ac:dyDescent="0.35">
      <c r="X82" t="s">
        <v>125</v>
      </c>
      <c r="Y82">
        <v>3</v>
      </c>
      <c r="AA82">
        <v>8030115751</v>
      </c>
      <c r="AB82" t="s">
        <v>127</v>
      </c>
    </row>
    <row r="83" spans="24:28" x14ac:dyDescent="0.35">
      <c r="X83" t="s">
        <v>88</v>
      </c>
      <c r="Y83">
        <v>266</v>
      </c>
      <c r="AB83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1"/>
  <sheetViews>
    <sheetView zoomScale="66" zoomScaleNormal="51" workbookViewId="0">
      <pane ySplit="1" topLeftCell="A2" activePane="bottomLeft" state="frozen"/>
      <selection activeCell="D1" sqref="D1"/>
      <selection pane="bottomLeft" activeCell="B79" sqref="B79"/>
    </sheetView>
  </sheetViews>
  <sheetFormatPr defaultColWidth="8.81640625" defaultRowHeight="14.5" x14ac:dyDescent="0.35"/>
  <cols>
    <col min="1" max="1" width="15.453125" customWidth="1"/>
    <col min="2" max="3" width="24.36328125" customWidth="1"/>
    <col min="4" max="4" width="25.6328125" customWidth="1"/>
    <col min="5" max="5" width="19.36328125" customWidth="1"/>
    <col min="6" max="6" width="30.6328125" customWidth="1"/>
    <col min="7" max="7" width="21.453125" customWidth="1"/>
    <col min="8" max="9" width="22.453125" customWidth="1"/>
    <col min="10" max="10" width="16.6328125" bestFit="1" customWidth="1"/>
    <col min="11" max="11" width="18.6328125" customWidth="1"/>
    <col min="12" max="12" width="13.453125" customWidth="1"/>
  </cols>
  <sheetData>
    <row r="1" spans="1:26" ht="16" customHeight="1" x14ac:dyDescent="0.4">
      <c r="B1" s="21">
        <f>'Inn Kiosk'!A1</f>
        <v>0</v>
      </c>
      <c r="C1" s="21" t="e">
        <f t="array" ref="C1:C66">#REF!</f>
        <v>#REF!</v>
      </c>
      <c r="D1" s="1">
        <f>'Inn Kiosk'!B1</f>
        <v>0</v>
      </c>
      <c r="E1" s="1">
        <f>'Inn Kiosk'!C1</f>
        <v>0</v>
      </c>
      <c r="F1" s="22" t="s">
        <v>128</v>
      </c>
      <c r="G1" s="18" t="s">
        <v>129</v>
      </c>
      <c r="H1" s="18" t="s">
        <v>130</v>
      </c>
      <c r="I1" s="33" t="s">
        <v>131</v>
      </c>
      <c r="J1" t="s">
        <v>132</v>
      </c>
      <c r="K1" s="28" t="s">
        <v>133</v>
      </c>
      <c r="L1" s="28" t="s">
        <v>134</v>
      </c>
      <c r="M1" s="28" t="s">
        <v>135</v>
      </c>
      <c r="N1" s="28" t="s">
        <v>136</v>
      </c>
      <c r="P1" s="83" t="s">
        <v>137</v>
      </c>
      <c r="Q1" s="83" t="s">
        <v>138</v>
      </c>
      <c r="R1" s="80" t="s">
        <v>22</v>
      </c>
      <c r="S1" s="80" t="s">
        <v>139</v>
      </c>
    </row>
    <row r="2" spans="1:26" ht="16" customHeight="1" x14ac:dyDescent="0.4">
      <c r="B2" s="20" t="e">
        <f t="array" ref="B2:B70">#REF!</f>
        <v>#REF!</v>
      </c>
      <c r="C2" s="20" t="e">
        <v>#REF!</v>
      </c>
      <c r="D2" s="9" t="e">
        <f t="array" ref="D2:E66">#REF!</f>
        <v>#REF!</v>
      </c>
      <c r="E2" s="9" t="e">
        <v>#REF!</v>
      </c>
      <c r="F2" s="9" t="e">
        <f t="shared" ref="F2:F33" si="0">C2*D2</f>
        <v>#REF!</v>
      </c>
      <c r="G2" s="19" t="e">
        <f>#REF!</f>
        <v>#REF!</v>
      </c>
      <c r="H2" s="19" t="e">
        <f>#REF!</f>
        <v>#REF!</v>
      </c>
      <c r="I2" s="31">
        <v>1</v>
      </c>
      <c r="J2" t="e">
        <f t="shared" ref="J2:J33" si="1">I2*C2</f>
        <v>#REF!</v>
      </c>
      <c r="K2" s="29" t="e">
        <f t="shared" ref="K2:K19" si="2">D2-G2-I2</f>
        <v>#REF!</v>
      </c>
      <c r="L2" s="29" t="e">
        <f t="shared" ref="L2:L33" si="3">H2-E2</f>
        <v>#REF!</v>
      </c>
      <c r="M2" s="29" t="e">
        <f t="shared" ref="M2:M33" si="4">K2*C2</f>
        <v>#REF!</v>
      </c>
      <c r="P2" s="81" t="e">
        <f t="shared" ref="P2:P33" si="5">(F2-E2-R2)/D2</f>
        <v>#REF!</v>
      </c>
      <c r="Q2" s="82" t="e">
        <f t="shared" ref="Q2:Q33" si="6">(F2-E2-F2*0.0225)/F2</f>
        <v>#REF!</v>
      </c>
      <c r="R2" s="79" t="e">
        <f t="shared" ref="R2:R33" si="7">C2*0.0175</f>
        <v>#REF!</v>
      </c>
      <c r="S2" s="79" t="e">
        <f t="shared" ref="S2:S33" si="8">F2*0.0175</f>
        <v>#REF!</v>
      </c>
    </row>
    <row r="3" spans="1:26" ht="16" customHeight="1" x14ac:dyDescent="0.4">
      <c r="A3" t="s">
        <v>140</v>
      </c>
      <c r="B3" s="20" t="e">
        <v>#REF!</v>
      </c>
      <c r="C3" s="20" t="e">
        <v>#REF!</v>
      </c>
      <c r="D3" s="9" t="e">
        <v>#REF!</v>
      </c>
      <c r="E3" s="9" t="e">
        <v>#REF!</v>
      </c>
      <c r="F3" s="9" t="e">
        <f t="shared" si="0"/>
        <v>#REF!</v>
      </c>
      <c r="G3" s="19" t="e">
        <f>#REF!</f>
        <v>#REF!</v>
      </c>
      <c r="H3" s="19" t="e">
        <f>#REF!</f>
        <v>#REF!</v>
      </c>
      <c r="I3" s="31">
        <v>1</v>
      </c>
      <c r="J3" t="e">
        <f t="shared" si="1"/>
        <v>#REF!</v>
      </c>
      <c r="K3" s="29" t="e">
        <f t="shared" si="2"/>
        <v>#REF!</v>
      </c>
      <c r="L3" s="29" t="e">
        <f t="shared" si="3"/>
        <v>#REF!</v>
      </c>
      <c r="M3" s="29" t="e">
        <f t="shared" si="4"/>
        <v>#REF!</v>
      </c>
      <c r="P3" s="81" t="e">
        <f t="shared" si="5"/>
        <v>#REF!</v>
      </c>
      <c r="Q3" s="82" t="e">
        <f t="shared" si="6"/>
        <v>#REF!</v>
      </c>
      <c r="R3" s="79" t="e">
        <f t="shared" si="7"/>
        <v>#REF!</v>
      </c>
      <c r="S3" s="79" t="e">
        <f t="shared" si="8"/>
        <v>#REF!</v>
      </c>
      <c r="Y3" t="s">
        <v>141</v>
      </c>
    </row>
    <row r="4" spans="1:26" ht="16" customHeight="1" x14ac:dyDescent="0.4">
      <c r="B4" s="20" t="e">
        <v>#REF!</v>
      </c>
      <c r="C4" s="20" t="e">
        <v>#REF!</v>
      </c>
      <c r="D4" s="9" t="e">
        <v>#REF!</v>
      </c>
      <c r="E4" s="9" t="e">
        <v>#REF!</v>
      </c>
      <c r="F4" s="9" t="e">
        <f t="shared" si="0"/>
        <v>#REF!</v>
      </c>
      <c r="G4" s="19" t="e">
        <f>#REF!</f>
        <v>#REF!</v>
      </c>
      <c r="H4" s="19" t="e">
        <f>#REF!</f>
        <v>#REF!</v>
      </c>
      <c r="I4" s="31">
        <v>-3</v>
      </c>
      <c r="J4" t="e">
        <f t="shared" si="1"/>
        <v>#REF!</v>
      </c>
      <c r="K4" s="29" t="e">
        <f t="shared" si="2"/>
        <v>#REF!</v>
      </c>
      <c r="L4" s="29" t="e">
        <f t="shared" si="3"/>
        <v>#REF!</v>
      </c>
      <c r="M4" s="29" t="e">
        <f t="shared" si="4"/>
        <v>#REF!</v>
      </c>
      <c r="P4" s="81" t="e">
        <f t="shared" si="5"/>
        <v>#REF!</v>
      </c>
      <c r="Q4" s="82" t="e">
        <f t="shared" si="6"/>
        <v>#REF!</v>
      </c>
      <c r="R4" s="79" t="e">
        <f t="shared" si="7"/>
        <v>#REF!</v>
      </c>
      <c r="S4" s="79" t="e">
        <f t="shared" si="8"/>
        <v>#REF!</v>
      </c>
      <c r="Y4" t="s">
        <v>142</v>
      </c>
    </row>
    <row r="5" spans="1:26" ht="16" customHeight="1" x14ac:dyDescent="0.4">
      <c r="B5" s="20" t="e">
        <v>#REF!</v>
      </c>
      <c r="C5" s="20" t="e">
        <v>#REF!</v>
      </c>
      <c r="D5" s="9" t="e">
        <v>#REF!</v>
      </c>
      <c r="E5" s="9" t="e">
        <v>#REF!</v>
      </c>
      <c r="F5" s="9" t="e">
        <f t="shared" si="0"/>
        <v>#REF!</v>
      </c>
      <c r="G5" s="19" t="e">
        <f>#REF!</f>
        <v>#REF!</v>
      </c>
      <c r="H5" s="19" t="e">
        <f>#REF!</f>
        <v>#REF!</v>
      </c>
      <c r="I5" s="31">
        <v>3</v>
      </c>
      <c r="J5" t="e">
        <f t="shared" si="1"/>
        <v>#REF!</v>
      </c>
      <c r="K5" s="29" t="e">
        <f t="shared" si="2"/>
        <v>#REF!</v>
      </c>
      <c r="L5" s="29" t="e">
        <f t="shared" si="3"/>
        <v>#REF!</v>
      </c>
      <c r="M5" s="29" t="e">
        <f t="shared" si="4"/>
        <v>#REF!</v>
      </c>
      <c r="P5" s="81" t="e">
        <f t="shared" si="5"/>
        <v>#REF!</v>
      </c>
      <c r="Q5" s="82" t="e">
        <f t="shared" si="6"/>
        <v>#REF!</v>
      </c>
      <c r="R5" s="79" t="e">
        <f t="shared" si="7"/>
        <v>#REF!</v>
      </c>
      <c r="S5" s="79" t="e">
        <f t="shared" si="8"/>
        <v>#REF!</v>
      </c>
      <c r="Y5" t="s">
        <v>143</v>
      </c>
      <c r="Z5" t="s">
        <v>144</v>
      </c>
    </row>
    <row r="6" spans="1:26" ht="16" customHeight="1" x14ac:dyDescent="0.4">
      <c r="B6" s="20" t="e">
        <v>#REF!</v>
      </c>
      <c r="C6" s="20" t="e">
        <v>#REF!</v>
      </c>
      <c r="D6" s="9" t="e">
        <v>#REF!</v>
      </c>
      <c r="E6" s="9" t="e">
        <v>#REF!</v>
      </c>
      <c r="F6" s="9" t="e">
        <f t="shared" si="0"/>
        <v>#REF!</v>
      </c>
      <c r="G6" s="19" t="e">
        <f>#REF!</f>
        <v>#REF!</v>
      </c>
      <c r="H6" s="19" t="e">
        <f>#REF!</f>
        <v>#REF!</v>
      </c>
      <c r="I6" s="31">
        <v>-3</v>
      </c>
      <c r="J6" t="e">
        <f t="shared" si="1"/>
        <v>#REF!</v>
      </c>
      <c r="K6" s="29" t="e">
        <f t="shared" si="2"/>
        <v>#REF!</v>
      </c>
      <c r="L6" s="29" t="e">
        <f t="shared" si="3"/>
        <v>#REF!</v>
      </c>
      <c r="M6" s="29" t="e">
        <f t="shared" si="4"/>
        <v>#REF!</v>
      </c>
      <c r="P6" s="81" t="e">
        <f t="shared" si="5"/>
        <v>#REF!</v>
      </c>
      <c r="Q6" s="82" t="e">
        <f t="shared" si="6"/>
        <v>#REF!</v>
      </c>
      <c r="R6" s="79" t="e">
        <f t="shared" si="7"/>
        <v>#REF!</v>
      </c>
      <c r="S6" s="79" t="e">
        <f t="shared" si="8"/>
        <v>#REF!</v>
      </c>
    </row>
    <row r="7" spans="1:26" ht="16" customHeight="1" x14ac:dyDescent="0.4">
      <c r="B7" s="20" t="e">
        <v>#REF!</v>
      </c>
      <c r="C7" s="20" t="e">
        <v>#REF!</v>
      </c>
      <c r="D7" s="9" t="e">
        <v>#REF!</v>
      </c>
      <c r="E7" s="9" t="e">
        <v>#REF!</v>
      </c>
      <c r="F7" s="9" t="e">
        <f t="shared" si="0"/>
        <v>#REF!</v>
      </c>
      <c r="G7" s="19" t="e">
        <f>#REF!</f>
        <v>#REF!</v>
      </c>
      <c r="H7" s="19" t="e">
        <f>#REF!</f>
        <v>#REF!</v>
      </c>
      <c r="I7" s="31">
        <v>5</v>
      </c>
      <c r="J7" t="e">
        <f t="shared" si="1"/>
        <v>#REF!</v>
      </c>
      <c r="K7" s="29" t="e">
        <f t="shared" si="2"/>
        <v>#REF!</v>
      </c>
      <c r="L7" s="29" t="e">
        <f t="shared" si="3"/>
        <v>#REF!</v>
      </c>
      <c r="M7" s="29" t="e">
        <f t="shared" si="4"/>
        <v>#REF!</v>
      </c>
      <c r="P7" s="81" t="e">
        <f t="shared" si="5"/>
        <v>#REF!</v>
      </c>
      <c r="Q7" s="82" t="e">
        <f t="shared" si="6"/>
        <v>#REF!</v>
      </c>
      <c r="R7" s="79" t="e">
        <f t="shared" si="7"/>
        <v>#REF!</v>
      </c>
      <c r="S7" s="79" t="e">
        <f t="shared" si="8"/>
        <v>#REF!</v>
      </c>
    </row>
    <row r="8" spans="1:26" ht="16" customHeight="1" x14ac:dyDescent="0.4">
      <c r="B8" s="20" t="e">
        <v>#REF!</v>
      </c>
      <c r="C8" s="20" t="e">
        <v>#REF!</v>
      </c>
      <c r="D8" s="9" t="e">
        <v>#REF!</v>
      </c>
      <c r="E8" s="9" t="e">
        <v>#REF!</v>
      </c>
      <c r="F8" s="9" t="e">
        <f t="shared" si="0"/>
        <v>#REF!</v>
      </c>
      <c r="G8" s="19" t="e">
        <f>#REF!</f>
        <v>#REF!</v>
      </c>
      <c r="H8" s="19" t="e">
        <f>#REF!</f>
        <v>#REF!</v>
      </c>
      <c r="I8" s="31">
        <v>1</v>
      </c>
      <c r="J8" t="e">
        <f t="shared" si="1"/>
        <v>#REF!</v>
      </c>
      <c r="K8" s="29" t="e">
        <f t="shared" si="2"/>
        <v>#REF!</v>
      </c>
      <c r="L8" s="29" t="e">
        <f t="shared" si="3"/>
        <v>#REF!</v>
      </c>
      <c r="M8" s="29" t="e">
        <f t="shared" si="4"/>
        <v>#REF!</v>
      </c>
      <c r="P8" s="81" t="e">
        <f t="shared" si="5"/>
        <v>#REF!</v>
      </c>
      <c r="Q8" s="82" t="e">
        <f t="shared" si="6"/>
        <v>#REF!</v>
      </c>
      <c r="R8" s="79" t="e">
        <f t="shared" si="7"/>
        <v>#REF!</v>
      </c>
      <c r="S8" s="79" t="e">
        <f t="shared" si="8"/>
        <v>#REF!</v>
      </c>
    </row>
    <row r="9" spans="1:26" ht="16" customHeight="1" x14ac:dyDescent="0.4">
      <c r="B9" s="20" t="e">
        <v>#REF!</v>
      </c>
      <c r="C9" s="20" t="e">
        <v>#REF!</v>
      </c>
      <c r="D9" s="9" t="e">
        <v>#REF!</v>
      </c>
      <c r="E9" s="9" t="e">
        <v>#REF!</v>
      </c>
      <c r="F9" s="9" t="e">
        <f t="shared" si="0"/>
        <v>#REF!</v>
      </c>
      <c r="G9" s="19" t="e">
        <f>#REF!</f>
        <v>#REF!</v>
      </c>
      <c r="H9" s="19" t="e">
        <f>#REF!</f>
        <v>#REF!</v>
      </c>
      <c r="I9" s="31">
        <v>4</v>
      </c>
      <c r="J9" t="e">
        <f t="shared" si="1"/>
        <v>#REF!</v>
      </c>
      <c r="K9" s="29" t="e">
        <f t="shared" si="2"/>
        <v>#REF!</v>
      </c>
      <c r="L9" s="29" t="e">
        <f t="shared" si="3"/>
        <v>#REF!</v>
      </c>
      <c r="M9" s="29" t="e">
        <f t="shared" si="4"/>
        <v>#REF!</v>
      </c>
      <c r="P9" s="81" t="e">
        <f t="shared" si="5"/>
        <v>#REF!</v>
      </c>
      <c r="Q9" s="82" t="e">
        <f t="shared" si="6"/>
        <v>#REF!</v>
      </c>
      <c r="R9" s="79" t="e">
        <f t="shared" si="7"/>
        <v>#REF!</v>
      </c>
      <c r="S9" s="79" t="e">
        <f t="shared" si="8"/>
        <v>#REF!</v>
      </c>
    </row>
    <row r="10" spans="1:26" ht="16" customHeight="1" x14ac:dyDescent="0.4">
      <c r="B10" s="20" t="e">
        <v>#REF!</v>
      </c>
      <c r="C10" s="20" t="e">
        <v>#REF!</v>
      </c>
      <c r="D10" s="9" t="e">
        <v>#REF!</v>
      </c>
      <c r="E10" s="9" t="e">
        <v>#REF!</v>
      </c>
      <c r="F10" s="9" t="e">
        <f t="shared" si="0"/>
        <v>#REF!</v>
      </c>
      <c r="G10" s="19" t="e">
        <f>#REF!</f>
        <v>#REF!</v>
      </c>
      <c r="H10" s="19" t="e">
        <f>#REF!</f>
        <v>#REF!</v>
      </c>
      <c r="I10" s="31">
        <v>-5</v>
      </c>
      <c r="J10" t="e">
        <f t="shared" si="1"/>
        <v>#REF!</v>
      </c>
      <c r="K10" s="29" t="e">
        <f t="shared" si="2"/>
        <v>#REF!</v>
      </c>
      <c r="L10" s="29" t="e">
        <f t="shared" si="3"/>
        <v>#REF!</v>
      </c>
      <c r="M10" s="29" t="e">
        <f t="shared" si="4"/>
        <v>#REF!</v>
      </c>
      <c r="P10" s="81" t="e">
        <f t="shared" si="5"/>
        <v>#REF!</v>
      </c>
      <c r="Q10" s="82" t="e">
        <f t="shared" si="6"/>
        <v>#REF!</v>
      </c>
      <c r="R10" s="79" t="e">
        <f t="shared" si="7"/>
        <v>#REF!</v>
      </c>
      <c r="S10" s="79" t="e">
        <f t="shared" si="8"/>
        <v>#REF!</v>
      </c>
    </row>
    <row r="11" spans="1:26" ht="16" customHeight="1" x14ac:dyDescent="0.4">
      <c r="B11" s="20" t="e">
        <v>#REF!</v>
      </c>
      <c r="C11" s="20" t="e">
        <v>#REF!</v>
      </c>
      <c r="D11" s="9" t="e">
        <v>#REF!</v>
      </c>
      <c r="E11" s="9" t="e">
        <v>#REF!</v>
      </c>
      <c r="F11" s="9" t="e">
        <f t="shared" si="0"/>
        <v>#REF!</v>
      </c>
      <c r="G11" s="19" t="e">
        <f>#REF!</f>
        <v>#REF!</v>
      </c>
      <c r="H11" s="19" t="e">
        <f>#REF!</f>
        <v>#REF!</v>
      </c>
      <c r="I11" s="31">
        <v>2</v>
      </c>
      <c r="J11" t="e">
        <f t="shared" si="1"/>
        <v>#REF!</v>
      </c>
      <c r="K11" s="29" t="e">
        <f t="shared" si="2"/>
        <v>#REF!</v>
      </c>
      <c r="L11" s="29" t="e">
        <f t="shared" si="3"/>
        <v>#REF!</v>
      </c>
      <c r="M11" s="29" t="e">
        <f t="shared" si="4"/>
        <v>#REF!</v>
      </c>
      <c r="P11" s="81" t="e">
        <f t="shared" si="5"/>
        <v>#REF!</v>
      </c>
      <c r="Q11" s="82" t="e">
        <f t="shared" si="6"/>
        <v>#REF!</v>
      </c>
      <c r="R11" s="79" t="e">
        <f t="shared" si="7"/>
        <v>#REF!</v>
      </c>
      <c r="S11" s="79" t="e">
        <f t="shared" si="8"/>
        <v>#REF!</v>
      </c>
    </row>
    <row r="12" spans="1:26" ht="16" customHeight="1" x14ac:dyDescent="0.4">
      <c r="B12" s="20" t="e">
        <v>#REF!</v>
      </c>
      <c r="C12" s="20" t="e">
        <v>#REF!</v>
      </c>
      <c r="D12" s="9" t="e">
        <v>#REF!</v>
      </c>
      <c r="E12" s="9" t="e">
        <v>#REF!</v>
      </c>
      <c r="F12" s="9" t="e">
        <f t="shared" si="0"/>
        <v>#REF!</v>
      </c>
      <c r="G12" s="19" t="e">
        <f>#REF!</f>
        <v>#REF!</v>
      </c>
      <c r="H12" s="19" t="e">
        <f>#REF!</f>
        <v>#REF!</v>
      </c>
      <c r="I12" s="31">
        <v>1</v>
      </c>
      <c r="J12" t="e">
        <f t="shared" si="1"/>
        <v>#REF!</v>
      </c>
      <c r="K12" s="29" t="e">
        <f t="shared" si="2"/>
        <v>#REF!</v>
      </c>
      <c r="L12" s="29" t="e">
        <f t="shared" si="3"/>
        <v>#REF!</v>
      </c>
      <c r="M12" s="29" t="e">
        <f t="shared" si="4"/>
        <v>#REF!</v>
      </c>
      <c r="P12" s="81" t="e">
        <f t="shared" si="5"/>
        <v>#REF!</v>
      </c>
      <c r="Q12" s="82" t="e">
        <f t="shared" si="6"/>
        <v>#REF!</v>
      </c>
      <c r="R12" s="79" t="e">
        <f t="shared" si="7"/>
        <v>#REF!</v>
      </c>
      <c r="S12" s="79" t="e">
        <f t="shared" si="8"/>
        <v>#REF!</v>
      </c>
    </row>
    <row r="13" spans="1:26" ht="16" customHeight="1" x14ac:dyDescent="0.4">
      <c r="B13" s="20" t="e">
        <v>#REF!</v>
      </c>
      <c r="C13" s="20" t="e">
        <v>#REF!</v>
      </c>
      <c r="D13" s="9" t="e">
        <v>#REF!</v>
      </c>
      <c r="E13" s="9" t="e">
        <v>#REF!</v>
      </c>
      <c r="F13" s="9" t="e">
        <f t="shared" si="0"/>
        <v>#REF!</v>
      </c>
      <c r="G13" s="19" t="e">
        <f>#REF!</f>
        <v>#REF!</v>
      </c>
      <c r="H13" s="19" t="e">
        <f>#REF!</f>
        <v>#REF!</v>
      </c>
      <c r="I13" s="31">
        <v>0</v>
      </c>
      <c r="J13" t="e">
        <f t="shared" si="1"/>
        <v>#REF!</v>
      </c>
      <c r="K13" s="29" t="e">
        <f t="shared" si="2"/>
        <v>#REF!</v>
      </c>
      <c r="L13" s="29" t="e">
        <f t="shared" si="3"/>
        <v>#REF!</v>
      </c>
      <c r="M13" s="29" t="e">
        <f t="shared" si="4"/>
        <v>#REF!</v>
      </c>
      <c r="P13" s="81" t="e">
        <f t="shared" si="5"/>
        <v>#REF!</v>
      </c>
      <c r="Q13" s="82" t="e">
        <f t="shared" si="6"/>
        <v>#REF!</v>
      </c>
      <c r="R13" s="79" t="e">
        <f t="shared" si="7"/>
        <v>#REF!</v>
      </c>
      <c r="S13" s="79" t="e">
        <f t="shared" si="8"/>
        <v>#REF!</v>
      </c>
    </row>
    <row r="14" spans="1:26" ht="16" customHeight="1" x14ac:dyDescent="0.4">
      <c r="B14" s="20" t="e">
        <v>#REF!</v>
      </c>
      <c r="C14" s="20" t="e">
        <v>#REF!</v>
      </c>
      <c r="D14" s="9" t="e">
        <v>#REF!</v>
      </c>
      <c r="E14" s="9" t="e">
        <v>#REF!</v>
      </c>
      <c r="F14" s="9" t="e">
        <f t="shared" si="0"/>
        <v>#REF!</v>
      </c>
      <c r="G14" s="19" t="e">
        <f>#REF!</f>
        <v>#REF!</v>
      </c>
      <c r="H14" s="19" t="e">
        <f>#REF!</f>
        <v>#REF!</v>
      </c>
      <c r="I14" s="31">
        <v>3</v>
      </c>
      <c r="J14" t="e">
        <f t="shared" si="1"/>
        <v>#REF!</v>
      </c>
      <c r="K14" s="29" t="e">
        <f t="shared" si="2"/>
        <v>#REF!</v>
      </c>
      <c r="L14" s="29" t="e">
        <f t="shared" si="3"/>
        <v>#REF!</v>
      </c>
      <c r="M14" s="29" t="e">
        <f t="shared" si="4"/>
        <v>#REF!</v>
      </c>
      <c r="P14" s="81" t="e">
        <f t="shared" si="5"/>
        <v>#REF!</v>
      </c>
      <c r="Q14" s="82" t="e">
        <f t="shared" si="6"/>
        <v>#REF!</v>
      </c>
      <c r="R14" s="79" t="e">
        <f t="shared" si="7"/>
        <v>#REF!</v>
      </c>
      <c r="S14" s="79" t="e">
        <f t="shared" si="8"/>
        <v>#REF!</v>
      </c>
    </row>
    <row r="15" spans="1:26" ht="16" customHeight="1" x14ac:dyDescent="0.4">
      <c r="B15" s="20" t="e">
        <v>#REF!</v>
      </c>
      <c r="C15" s="20" t="e">
        <v>#REF!</v>
      </c>
      <c r="D15" s="9" t="e">
        <v>#REF!</v>
      </c>
      <c r="E15" s="9" t="e">
        <v>#REF!</v>
      </c>
      <c r="F15" s="9" t="e">
        <f t="shared" si="0"/>
        <v>#REF!</v>
      </c>
      <c r="G15" s="19" t="e">
        <f>#REF!</f>
        <v>#REF!</v>
      </c>
      <c r="H15" s="19" t="e">
        <f>#REF!</f>
        <v>#REF!</v>
      </c>
      <c r="I15" s="31">
        <v>28</v>
      </c>
      <c r="J15" t="e">
        <f t="shared" si="1"/>
        <v>#REF!</v>
      </c>
      <c r="K15" s="29" t="e">
        <f t="shared" si="2"/>
        <v>#REF!</v>
      </c>
      <c r="L15" s="29" t="e">
        <f t="shared" si="3"/>
        <v>#REF!</v>
      </c>
      <c r="M15" s="29" t="e">
        <f t="shared" si="4"/>
        <v>#REF!</v>
      </c>
      <c r="P15" s="81" t="e">
        <f t="shared" si="5"/>
        <v>#REF!</v>
      </c>
      <c r="Q15" s="82" t="e">
        <f t="shared" si="6"/>
        <v>#REF!</v>
      </c>
      <c r="R15" s="79" t="e">
        <f t="shared" si="7"/>
        <v>#REF!</v>
      </c>
      <c r="S15" s="79" t="e">
        <f t="shared" si="8"/>
        <v>#REF!</v>
      </c>
    </row>
    <row r="16" spans="1:26" ht="16" customHeight="1" x14ac:dyDescent="0.4">
      <c r="B16" s="20" t="e">
        <v>#REF!</v>
      </c>
      <c r="C16" s="20" t="e">
        <v>#REF!</v>
      </c>
      <c r="D16" s="9" t="e">
        <v>#REF!</v>
      </c>
      <c r="E16" s="9" t="e">
        <v>#REF!</v>
      </c>
      <c r="F16" s="9" t="e">
        <f t="shared" si="0"/>
        <v>#REF!</v>
      </c>
      <c r="G16" s="19" t="e">
        <f>#REF!</f>
        <v>#REF!</v>
      </c>
      <c r="H16" s="19" t="e">
        <f>#REF!</f>
        <v>#REF!</v>
      </c>
      <c r="I16" s="31">
        <v>-23</v>
      </c>
      <c r="J16" t="e">
        <f t="shared" si="1"/>
        <v>#REF!</v>
      </c>
      <c r="K16" s="29" t="e">
        <f t="shared" si="2"/>
        <v>#REF!</v>
      </c>
      <c r="L16" s="29" t="e">
        <f t="shared" si="3"/>
        <v>#REF!</v>
      </c>
      <c r="M16" s="29" t="e">
        <f t="shared" si="4"/>
        <v>#REF!</v>
      </c>
      <c r="P16" s="81" t="e">
        <f t="shared" si="5"/>
        <v>#REF!</v>
      </c>
      <c r="Q16" s="82" t="e">
        <f t="shared" si="6"/>
        <v>#REF!</v>
      </c>
      <c r="R16" s="79" t="e">
        <f t="shared" si="7"/>
        <v>#REF!</v>
      </c>
      <c r="S16" s="79" t="e">
        <f t="shared" si="8"/>
        <v>#REF!</v>
      </c>
    </row>
    <row r="17" spans="1:19" ht="16" customHeight="1" x14ac:dyDescent="0.4">
      <c r="B17" s="20" t="e">
        <v>#REF!</v>
      </c>
      <c r="C17" s="20" t="e">
        <v>#REF!</v>
      </c>
      <c r="D17" s="9" t="e">
        <v>#REF!</v>
      </c>
      <c r="E17" s="9" t="e">
        <v>#REF!</v>
      </c>
      <c r="F17" s="9" t="e">
        <f t="shared" si="0"/>
        <v>#REF!</v>
      </c>
      <c r="G17" s="19" t="e">
        <f>#REF!</f>
        <v>#REF!</v>
      </c>
      <c r="H17" s="19" t="e">
        <f>#REF!</f>
        <v>#REF!</v>
      </c>
      <c r="I17" s="31">
        <v>1</v>
      </c>
      <c r="J17" t="e">
        <f t="shared" si="1"/>
        <v>#REF!</v>
      </c>
      <c r="K17" s="29" t="e">
        <f t="shared" si="2"/>
        <v>#REF!</v>
      </c>
      <c r="L17" s="29" t="e">
        <f t="shared" si="3"/>
        <v>#REF!</v>
      </c>
      <c r="M17" s="29" t="e">
        <f t="shared" si="4"/>
        <v>#REF!</v>
      </c>
      <c r="P17" s="81" t="e">
        <f t="shared" si="5"/>
        <v>#REF!</v>
      </c>
      <c r="Q17" s="82" t="e">
        <f t="shared" si="6"/>
        <v>#REF!</v>
      </c>
      <c r="R17" s="79" t="e">
        <f t="shared" si="7"/>
        <v>#REF!</v>
      </c>
      <c r="S17" s="79" t="e">
        <f t="shared" si="8"/>
        <v>#REF!</v>
      </c>
    </row>
    <row r="18" spans="1:19" ht="16" customHeight="1" x14ac:dyDescent="0.4">
      <c r="B18" s="20" t="e">
        <v>#REF!</v>
      </c>
      <c r="C18" s="20" t="e">
        <v>#REF!</v>
      </c>
      <c r="D18" s="9" t="e">
        <v>#REF!</v>
      </c>
      <c r="E18" s="9" t="e">
        <v>#REF!</v>
      </c>
      <c r="F18" s="9" t="e">
        <f t="shared" si="0"/>
        <v>#REF!</v>
      </c>
      <c r="G18" s="19" t="e">
        <f>#REF!</f>
        <v>#REF!</v>
      </c>
      <c r="H18" s="19" t="e">
        <f>#REF!</f>
        <v>#REF!</v>
      </c>
      <c r="I18" s="31">
        <v>-1</v>
      </c>
      <c r="J18" t="e">
        <f t="shared" si="1"/>
        <v>#REF!</v>
      </c>
      <c r="K18" s="29" t="e">
        <f t="shared" si="2"/>
        <v>#REF!</v>
      </c>
      <c r="L18" s="29" t="e">
        <f t="shared" si="3"/>
        <v>#REF!</v>
      </c>
      <c r="M18" s="29" t="e">
        <f t="shared" si="4"/>
        <v>#REF!</v>
      </c>
      <c r="P18" s="81" t="e">
        <f t="shared" si="5"/>
        <v>#REF!</v>
      </c>
      <c r="Q18" s="82" t="e">
        <f t="shared" si="6"/>
        <v>#REF!</v>
      </c>
      <c r="R18" s="79" t="e">
        <f t="shared" si="7"/>
        <v>#REF!</v>
      </c>
      <c r="S18" s="79" t="e">
        <f t="shared" si="8"/>
        <v>#REF!</v>
      </c>
    </row>
    <row r="19" spans="1:19" ht="16" customHeight="1" x14ac:dyDescent="0.4">
      <c r="B19" s="20" t="e">
        <v>#REF!</v>
      </c>
      <c r="C19" s="20" t="e">
        <v>#REF!</v>
      </c>
      <c r="D19" s="9" t="e">
        <v>#REF!</v>
      </c>
      <c r="E19" s="9" t="e">
        <v>#REF!</v>
      </c>
      <c r="F19" s="9" t="e">
        <f t="shared" si="0"/>
        <v>#REF!</v>
      </c>
      <c r="G19" s="19" t="e">
        <f>#REF!</f>
        <v>#REF!</v>
      </c>
      <c r="H19" s="19" t="e">
        <f>#REF!</f>
        <v>#REF!</v>
      </c>
      <c r="I19" s="31">
        <v>-6</v>
      </c>
      <c r="J19" t="e">
        <f t="shared" si="1"/>
        <v>#REF!</v>
      </c>
      <c r="K19" s="29" t="e">
        <f t="shared" si="2"/>
        <v>#REF!</v>
      </c>
      <c r="L19" s="29" t="e">
        <f t="shared" si="3"/>
        <v>#REF!</v>
      </c>
      <c r="M19" s="29" t="e">
        <f t="shared" si="4"/>
        <v>#REF!</v>
      </c>
      <c r="P19" s="81" t="e">
        <f t="shared" si="5"/>
        <v>#REF!</v>
      </c>
      <c r="Q19" s="82" t="e">
        <f t="shared" si="6"/>
        <v>#REF!</v>
      </c>
      <c r="R19" s="79" t="e">
        <f t="shared" si="7"/>
        <v>#REF!</v>
      </c>
      <c r="S19" s="79" t="e">
        <f t="shared" si="8"/>
        <v>#REF!</v>
      </c>
    </row>
    <row r="20" spans="1:19" ht="16" customHeight="1" x14ac:dyDescent="0.4">
      <c r="B20" s="20" t="e">
        <v>#REF!</v>
      </c>
      <c r="C20" s="20" t="e">
        <v>#REF!</v>
      </c>
      <c r="D20" s="9" t="e">
        <v>#REF!</v>
      </c>
      <c r="E20" s="9" t="e">
        <v>#REF!</v>
      </c>
      <c r="F20" s="9" t="e">
        <f t="shared" si="0"/>
        <v>#REF!</v>
      </c>
      <c r="G20" s="19" t="e">
        <f>#REF!</f>
        <v>#REF!</v>
      </c>
      <c r="H20" s="19" t="e">
        <f>#REF!</f>
        <v>#REF!</v>
      </c>
      <c r="I20" s="31">
        <v>0</v>
      </c>
      <c r="J20" t="e">
        <f t="shared" si="1"/>
        <v>#REF!</v>
      </c>
      <c r="K20" s="29" t="e">
        <f t="shared" ref="K20:K33" si="9">D20-G20-I23</f>
        <v>#REF!</v>
      </c>
      <c r="L20" s="29" t="e">
        <f t="shared" si="3"/>
        <v>#REF!</v>
      </c>
      <c r="M20" s="29" t="e">
        <f t="shared" si="4"/>
        <v>#REF!</v>
      </c>
      <c r="P20" s="81" t="e">
        <f t="shared" si="5"/>
        <v>#REF!</v>
      </c>
      <c r="Q20" s="82" t="e">
        <f t="shared" si="6"/>
        <v>#REF!</v>
      </c>
      <c r="R20" s="79" t="e">
        <f t="shared" si="7"/>
        <v>#REF!</v>
      </c>
      <c r="S20" s="79" t="e">
        <f t="shared" si="8"/>
        <v>#REF!</v>
      </c>
    </row>
    <row r="21" spans="1:19" ht="16" customHeight="1" x14ac:dyDescent="0.4">
      <c r="B21" s="20" t="e">
        <v>#REF!</v>
      </c>
      <c r="C21" s="20" t="e">
        <v>#REF!</v>
      </c>
      <c r="D21" s="9" t="e">
        <v>#REF!</v>
      </c>
      <c r="E21" s="9" t="e">
        <v>#REF!</v>
      </c>
      <c r="F21" s="9" t="e">
        <f t="shared" si="0"/>
        <v>#REF!</v>
      </c>
      <c r="G21" s="19" t="e">
        <f>#REF!</f>
        <v>#REF!</v>
      </c>
      <c r="H21" s="19" t="e">
        <f>#REF!</f>
        <v>#REF!</v>
      </c>
      <c r="I21" s="31">
        <v>0</v>
      </c>
      <c r="J21" t="e">
        <f t="shared" si="1"/>
        <v>#REF!</v>
      </c>
      <c r="K21" s="29" t="e">
        <f t="shared" si="9"/>
        <v>#REF!</v>
      </c>
      <c r="L21" s="29" t="e">
        <f t="shared" si="3"/>
        <v>#REF!</v>
      </c>
      <c r="M21" s="29" t="e">
        <f t="shared" si="4"/>
        <v>#REF!</v>
      </c>
      <c r="P21" s="81" t="e">
        <f t="shared" si="5"/>
        <v>#REF!</v>
      </c>
      <c r="Q21" s="82" t="e">
        <f t="shared" si="6"/>
        <v>#REF!</v>
      </c>
      <c r="R21" s="79" t="e">
        <f t="shared" si="7"/>
        <v>#REF!</v>
      </c>
      <c r="S21" s="79" t="e">
        <f t="shared" si="8"/>
        <v>#REF!</v>
      </c>
    </row>
    <row r="22" spans="1:19" ht="16" customHeight="1" x14ac:dyDescent="0.4">
      <c r="B22" s="20" t="e">
        <v>#REF!</v>
      </c>
      <c r="C22" s="20" t="e">
        <v>#REF!</v>
      </c>
      <c r="D22" s="9" t="e">
        <v>#REF!</v>
      </c>
      <c r="E22" s="9" t="e">
        <v>#REF!</v>
      </c>
      <c r="F22" s="9" t="e">
        <f t="shared" si="0"/>
        <v>#REF!</v>
      </c>
      <c r="G22" s="19" t="e">
        <f>#REF!</f>
        <v>#REF!</v>
      </c>
      <c r="H22" s="19" t="e">
        <f>#REF!</f>
        <v>#REF!</v>
      </c>
      <c r="I22" s="31">
        <v>0</v>
      </c>
      <c r="J22" t="e">
        <f t="shared" si="1"/>
        <v>#REF!</v>
      </c>
      <c r="K22" s="29" t="e">
        <f t="shared" si="9"/>
        <v>#REF!</v>
      </c>
      <c r="L22" s="29" t="e">
        <f t="shared" si="3"/>
        <v>#REF!</v>
      </c>
      <c r="M22" s="29" t="e">
        <f t="shared" si="4"/>
        <v>#REF!</v>
      </c>
      <c r="P22" s="81" t="e">
        <f t="shared" si="5"/>
        <v>#REF!</v>
      </c>
      <c r="Q22" s="82" t="e">
        <f t="shared" si="6"/>
        <v>#REF!</v>
      </c>
      <c r="R22" s="79" t="e">
        <f t="shared" si="7"/>
        <v>#REF!</v>
      </c>
      <c r="S22" s="79" t="e">
        <f t="shared" si="8"/>
        <v>#REF!</v>
      </c>
    </row>
    <row r="23" spans="1:19" ht="16" customHeight="1" x14ac:dyDescent="0.4">
      <c r="B23" s="20" t="e">
        <v>#REF!</v>
      </c>
      <c r="C23" s="20" t="e">
        <v>#REF!</v>
      </c>
      <c r="D23" s="9" t="e">
        <v>#REF!</v>
      </c>
      <c r="E23" s="9" t="e">
        <v>#REF!</v>
      </c>
      <c r="F23" s="9" t="e">
        <f t="shared" si="0"/>
        <v>#REF!</v>
      </c>
      <c r="G23" s="19" t="e">
        <f>#REF!</f>
        <v>#REF!</v>
      </c>
      <c r="H23" s="19" t="e">
        <f>#REF!</f>
        <v>#REF!</v>
      </c>
      <c r="I23" s="31">
        <v>-2</v>
      </c>
      <c r="J23" t="e">
        <f t="shared" si="1"/>
        <v>#REF!</v>
      </c>
      <c r="K23" s="29" t="e">
        <f t="shared" si="9"/>
        <v>#REF!</v>
      </c>
      <c r="L23" s="29" t="e">
        <f t="shared" si="3"/>
        <v>#REF!</v>
      </c>
      <c r="M23" s="29" t="e">
        <f t="shared" si="4"/>
        <v>#REF!</v>
      </c>
      <c r="P23" s="81" t="e">
        <f t="shared" si="5"/>
        <v>#REF!</v>
      </c>
      <c r="Q23" s="82" t="e">
        <f t="shared" si="6"/>
        <v>#REF!</v>
      </c>
      <c r="R23" s="79" t="e">
        <f t="shared" si="7"/>
        <v>#REF!</v>
      </c>
      <c r="S23" s="79" t="e">
        <f t="shared" si="8"/>
        <v>#REF!</v>
      </c>
    </row>
    <row r="24" spans="1:19" ht="16" customHeight="1" x14ac:dyDescent="0.4">
      <c r="B24" s="20" t="e">
        <v>#REF!</v>
      </c>
      <c r="C24" s="20" t="e">
        <v>#REF!</v>
      </c>
      <c r="D24" s="9" t="e">
        <v>#REF!</v>
      </c>
      <c r="E24" s="9" t="e">
        <v>#REF!</v>
      </c>
      <c r="F24" s="9" t="e">
        <f t="shared" si="0"/>
        <v>#REF!</v>
      </c>
      <c r="G24" s="19" t="e">
        <f>#REF!</f>
        <v>#REF!</v>
      </c>
      <c r="H24" s="19" t="e">
        <f>#REF!</f>
        <v>#REF!</v>
      </c>
      <c r="I24" s="31">
        <v>6</v>
      </c>
      <c r="J24" t="e">
        <f t="shared" si="1"/>
        <v>#REF!</v>
      </c>
      <c r="K24" s="29" t="e">
        <f t="shared" si="9"/>
        <v>#REF!</v>
      </c>
      <c r="L24" s="29" t="e">
        <f t="shared" si="3"/>
        <v>#REF!</v>
      </c>
      <c r="M24" s="29" t="e">
        <f t="shared" si="4"/>
        <v>#REF!</v>
      </c>
      <c r="P24" s="81" t="e">
        <f t="shared" si="5"/>
        <v>#REF!</v>
      </c>
      <c r="Q24" s="82" t="e">
        <f t="shared" si="6"/>
        <v>#REF!</v>
      </c>
      <c r="R24" s="79" t="e">
        <f t="shared" si="7"/>
        <v>#REF!</v>
      </c>
      <c r="S24" s="79" t="e">
        <f t="shared" si="8"/>
        <v>#REF!</v>
      </c>
    </row>
    <row r="25" spans="1:19" ht="16" customHeight="1" x14ac:dyDescent="0.4">
      <c r="B25" s="20" t="e">
        <v>#REF!</v>
      </c>
      <c r="C25" s="20" t="e">
        <v>#REF!</v>
      </c>
      <c r="D25" s="9" t="e">
        <v>#REF!</v>
      </c>
      <c r="E25" s="9" t="e">
        <v>#REF!</v>
      </c>
      <c r="F25" s="9" t="e">
        <f t="shared" si="0"/>
        <v>#REF!</v>
      </c>
      <c r="G25" s="19" t="e">
        <f>#REF!</f>
        <v>#REF!</v>
      </c>
      <c r="H25" s="19" t="e">
        <f>#REF!</f>
        <v>#REF!</v>
      </c>
      <c r="I25" s="31">
        <v>12</v>
      </c>
      <c r="J25" t="e">
        <f t="shared" si="1"/>
        <v>#REF!</v>
      </c>
      <c r="K25" s="29" t="e">
        <f t="shared" si="9"/>
        <v>#REF!</v>
      </c>
      <c r="L25" s="29" t="e">
        <f t="shared" si="3"/>
        <v>#REF!</v>
      </c>
      <c r="M25" s="29" t="e">
        <f t="shared" si="4"/>
        <v>#REF!</v>
      </c>
      <c r="P25" s="81" t="e">
        <f t="shared" si="5"/>
        <v>#REF!</v>
      </c>
      <c r="Q25" s="82" t="e">
        <f t="shared" si="6"/>
        <v>#REF!</v>
      </c>
      <c r="R25" s="79" t="e">
        <f t="shared" si="7"/>
        <v>#REF!</v>
      </c>
      <c r="S25" s="79" t="e">
        <f t="shared" si="8"/>
        <v>#REF!</v>
      </c>
    </row>
    <row r="26" spans="1:19" ht="16" customHeight="1" x14ac:dyDescent="0.4">
      <c r="B26" s="20" t="e">
        <v>#REF!</v>
      </c>
      <c r="C26" s="20" t="e">
        <v>#REF!</v>
      </c>
      <c r="D26" s="9" t="e">
        <v>#REF!</v>
      </c>
      <c r="E26" s="9" t="e">
        <v>#REF!</v>
      </c>
      <c r="F26" s="9" t="e">
        <f t="shared" si="0"/>
        <v>#REF!</v>
      </c>
      <c r="G26" s="19" t="e">
        <f>#REF!</f>
        <v>#REF!</v>
      </c>
      <c r="H26" s="19" t="e">
        <f>#REF!</f>
        <v>#REF!</v>
      </c>
      <c r="I26" s="31">
        <v>0</v>
      </c>
      <c r="J26" t="e">
        <f t="shared" si="1"/>
        <v>#REF!</v>
      </c>
      <c r="K26" s="29" t="e">
        <f t="shared" si="9"/>
        <v>#REF!</v>
      </c>
      <c r="L26" s="29" t="e">
        <f t="shared" si="3"/>
        <v>#REF!</v>
      </c>
      <c r="M26" s="29" t="e">
        <f t="shared" si="4"/>
        <v>#REF!</v>
      </c>
      <c r="P26" s="81" t="e">
        <f t="shared" si="5"/>
        <v>#REF!</v>
      </c>
      <c r="Q26" s="82" t="e">
        <f t="shared" si="6"/>
        <v>#REF!</v>
      </c>
      <c r="R26" s="79" t="e">
        <f t="shared" si="7"/>
        <v>#REF!</v>
      </c>
      <c r="S26" s="79" t="e">
        <f t="shared" si="8"/>
        <v>#REF!</v>
      </c>
    </row>
    <row r="27" spans="1:19" ht="16" customHeight="1" x14ac:dyDescent="0.4">
      <c r="B27" s="20" t="e">
        <v>#REF!</v>
      </c>
      <c r="C27" s="20" t="e">
        <v>#REF!</v>
      </c>
      <c r="D27" s="9" t="e">
        <v>#REF!</v>
      </c>
      <c r="E27" s="9" t="e">
        <v>#REF!</v>
      </c>
      <c r="F27" s="9" t="e">
        <f t="shared" si="0"/>
        <v>#REF!</v>
      </c>
      <c r="G27" s="19" t="e">
        <f>#REF!</f>
        <v>#REF!</v>
      </c>
      <c r="H27" s="19" t="e">
        <f>#REF!</f>
        <v>#REF!</v>
      </c>
      <c r="I27" s="31">
        <v>-5</v>
      </c>
      <c r="J27" t="e">
        <f t="shared" si="1"/>
        <v>#REF!</v>
      </c>
      <c r="K27" s="29" t="e">
        <f t="shared" si="9"/>
        <v>#REF!</v>
      </c>
      <c r="L27" s="29" t="e">
        <f t="shared" si="3"/>
        <v>#REF!</v>
      </c>
      <c r="M27" s="29" t="e">
        <f t="shared" si="4"/>
        <v>#REF!</v>
      </c>
      <c r="P27" s="81" t="e">
        <f t="shared" si="5"/>
        <v>#REF!</v>
      </c>
      <c r="Q27" s="82" t="e">
        <f t="shared" si="6"/>
        <v>#REF!</v>
      </c>
      <c r="R27" s="79" t="e">
        <f t="shared" si="7"/>
        <v>#REF!</v>
      </c>
      <c r="S27" s="79" t="e">
        <f t="shared" si="8"/>
        <v>#REF!</v>
      </c>
    </row>
    <row r="28" spans="1:19" ht="16" customHeight="1" x14ac:dyDescent="0.4">
      <c r="B28" s="20" t="e">
        <v>#REF!</v>
      </c>
      <c r="C28" s="20" t="e">
        <v>#REF!</v>
      </c>
      <c r="D28" s="9" t="e">
        <v>#REF!</v>
      </c>
      <c r="E28" s="9" t="e">
        <v>#REF!</v>
      </c>
      <c r="F28" s="9" t="e">
        <f t="shared" si="0"/>
        <v>#REF!</v>
      </c>
      <c r="G28" s="19" t="e">
        <f>#REF!</f>
        <v>#REF!</v>
      </c>
      <c r="H28" s="19" t="e">
        <f>#REF!</f>
        <v>#REF!</v>
      </c>
      <c r="I28" s="31">
        <v>-1</v>
      </c>
      <c r="J28" t="e">
        <f t="shared" si="1"/>
        <v>#REF!</v>
      </c>
      <c r="K28" s="29" t="e">
        <f t="shared" si="9"/>
        <v>#REF!</v>
      </c>
      <c r="L28" s="29" t="e">
        <f t="shared" si="3"/>
        <v>#REF!</v>
      </c>
      <c r="M28" s="29" t="e">
        <f t="shared" si="4"/>
        <v>#REF!</v>
      </c>
      <c r="P28" s="81" t="e">
        <f t="shared" si="5"/>
        <v>#REF!</v>
      </c>
      <c r="Q28" s="82" t="e">
        <f t="shared" si="6"/>
        <v>#REF!</v>
      </c>
      <c r="R28" s="79" t="e">
        <f t="shared" si="7"/>
        <v>#REF!</v>
      </c>
      <c r="S28" s="79" t="e">
        <f t="shared" si="8"/>
        <v>#REF!</v>
      </c>
    </row>
    <row r="29" spans="1:19" ht="16" customHeight="1" x14ac:dyDescent="0.4">
      <c r="A29" t="s">
        <v>145</v>
      </c>
      <c r="B29" s="20" t="e">
        <v>#REF!</v>
      </c>
      <c r="C29" s="20" t="e">
        <v>#REF!</v>
      </c>
      <c r="D29" s="9" t="e">
        <v>#REF!</v>
      </c>
      <c r="E29" s="9" t="e">
        <v>#REF!</v>
      </c>
      <c r="F29" s="9" t="e">
        <f t="shared" si="0"/>
        <v>#REF!</v>
      </c>
      <c r="G29" s="19" t="e">
        <f>#REF!</f>
        <v>#REF!</v>
      </c>
      <c r="H29" s="19" t="e">
        <f>#REF!</f>
        <v>#REF!</v>
      </c>
      <c r="I29" s="31">
        <v>0</v>
      </c>
      <c r="J29" t="e">
        <f t="shared" si="1"/>
        <v>#REF!</v>
      </c>
      <c r="K29" s="29" t="e">
        <f t="shared" si="9"/>
        <v>#REF!</v>
      </c>
      <c r="L29" s="29" t="e">
        <f t="shared" si="3"/>
        <v>#REF!</v>
      </c>
      <c r="M29" s="29" t="e">
        <f t="shared" si="4"/>
        <v>#REF!</v>
      </c>
      <c r="P29" s="81" t="e">
        <f t="shared" si="5"/>
        <v>#REF!</v>
      </c>
      <c r="Q29" s="82" t="e">
        <f t="shared" si="6"/>
        <v>#REF!</v>
      </c>
      <c r="R29" s="79" t="e">
        <f t="shared" si="7"/>
        <v>#REF!</v>
      </c>
      <c r="S29" s="79" t="e">
        <f t="shared" si="8"/>
        <v>#REF!</v>
      </c>
    </row>
    <row r="30" spans="1:19" ht="16" customHeight="1" x14ac:dyDescent="0.4">
      <c r="B30" s="20" t="e">
        <v>#REF!</v>
      </c>
      <c r="C30" s="20" t="e">
        <v>#REF!</v>
      </c>
      <c r="D30" s="9" t="e">
        <v>#REF!</v>
      </c>
      <c r="E30" s="9" t="e">
        <v>#REF!</v>
      </c>
      <c r="F30" s="9" t="e">
        <f t="shared" si="0"/>
        <v>#REF!</v>
      </c>
      <c r="G30" s="19" t="e">
        <f>#REF!</f>
        <v>#REF!</v>
      </c>
      <c r="H30" s="19" t="e">
        <f>#REF!</f>
        <v>#REF!</v>
      </c>
      <c r="I30" s="31">
        <v>1</v>
      </c>
      <c r="J30" t="e">
        <f t="shared" si="1"/>
        <v>#REF!</v>
      </c>
      <c r="K30" s="29" t="e">
        <f t="shared" si="9"/>
        <v>#REF!</v>
      </c>
      <c r="L30" s="29" t="e">
        <f t="shared" si="3"/>
        <v>#REF!</v>
      </c>
      <c r="M30" s="29" t="e">
        <f t="shared" si="4"/>
        <v>#REF!</v>
      </c>
      <c r="P30" s="81" t="e">
        <f t="shared" si="5"/>
        <v>#REF!</v>
      </c>
      <c r="Q30" s="82" t="e">
        <f t="shared" si="6"/>
        <v>#REF!</v>
      </c>
      <c r="R30" s="79" t="e">
        <f t="shared" si="7"/>
        <v>#REF!</v>
      </c>
      <c r="S30" s="79" t="e">
        <f t="shared" si="8"/>
        <v>#REF!</v>
      </c>
    </row>
    <row r="31" spans="1:19" ht="16" customHeight="1" x14ac:dyDescent="0.4">
      <c r="B31" s="20" t="e">
        <v>#REF!</v>
      </c>
      <c r="C31" s="20" t="e">
        <v>#REF!</v>
      </c>
      <c r="D31" s="9" t="e">
        <v>#REF!</v>
      </c>
      <c r="E31" s="9" t="e">
        <v>#REF!</v>
      </c>
      <c r="F31" s="9" t="e">
        <f t="shared" si="0"/>
        <v>#REF!</v>
      </c>
      <c r="G31" s="19" t="e">
        <f>#REF!</f>
        <v>#REF!</v>
      </c>
      <c r="H31" s="19" t="e">
        <f>#REF!</f>
        <v>#REF!</v>
      </c>
      <c r="I31" s="31">
        <v>2</v>
      </c>
      <c r="J31" t="e">
        <f t="shared" si="1"/>
        <v>#REF!</v>
      </c>
      <c r="K31" s="29" t="e">
        <f t="shared" si="9"/>
        <v>#REF!</v>
      </c>
      <c r="L31" s="29" t="e">
        <f t="shared" si="3"/>
        <v>#REF!</v>
      </c>
      <c r="M31" s="29" t="e">
        <f t="shared" si="4"/>
        <v>#REF!</v>
      </c>
      <c r="P31" s="81" t="e">
        <f t="shared" si="5"/>
        <v>#REF!</v>
      </c>
      <c r="Q31" s="82" t="e">
        <f t="shared" si="6"/>
        <v>#REF!</v>
      </c>
      <c r="R31" s="79" t="e">
        <f t="shared" si="7"/>
        <v>#REF!</v>
      </c>
      <c r="S31" s="79" t="e">
        <f t="shared" si="8"/>
        <v>#REF!</v>
      </c>
    </row>
    <row r="32" spans="1:19" ht="16" customHeight="1" x14ac:dyDescent="0.4">
      <c r="B32" s="20" t="e">
        <v>#REF!</v>
      </c>
      <c r="C32" s="20" t="e">
        <v>#REF!</v>
      </c>
      <c r="D32" s="9" t="e">
        <v>#REF!</v>
      </c>
      <c r="E32" s="9" t="e">
        <v>#REF!</v>
      </c>
      <c r="F32" s="9" t="e">
        <f t="shared" si="0"/>
        <v>#REF!</v>
      </c>
      <c r="G32" s="19" t="e">
        <f>#REF!</f>
        <v>#REF!</v>
      </c>
      <c r="H32" s="19" t="e">
        <f>#REF!</f>
        <v>#REF!</v>
      </c>
      <c r="I32" s="31">
        <v>-1</v>
      </c>
      <c r="J32" t="e">
        <f t="shared" si="1"/>
        <v>#REF!</v>
      </c>
      <c r="K32" s="29" t="e">
        <f t="shared" si="9"/>
        <v>#REF!</v>
      </c>
      <c r="L32" s="29" t="e">
        <f t="shared" si="3"/>
        <v>#REF!</v>
      </c>
      <c r="M32" s="29" t="e">
        <f t="shared" si="4"/>
        <v>#REF!</v>
      </c>
      <c r="P32" s="81" t="e">
        <f t="shared" si="5"/>
        <v>#REF!</v>
      </c>
      <c r="Q32" s="82" t="e">
        <f t="shared" si="6"/>
        <v>#REF!</v>
      </c>
      <c r="R32" s="79" t="e">
        <f t="shared" si="7"/>
        <v>#REF!</v>
      </c>
      <c r="S32" s="79" t="e">
        <f t="shared" si="8"/>
        <v>#REF!</v>
      </c>
    </row>
    <row r="33" spans="1:19" ht="16" customHeight="1" x14ac:dyDescent="0.4">
      <c r="B33" s="20" t="e">
        <v>#REF!</v>
      </c>
      <c r="C33" s="20" t="e">
        <v>#REF!</v>
      </c>
      <c r="D33" s="9" t="e">
        <v>#REF!</v>
      </c>
      <c r="E33" s="9" t="e">
        <v>#REF!</v>
      </c>
      <c r="F33" s="9" t="e">
        <f t="shared" si="0"/>
        <v>#REF!</v>
      </c>
      <c r="G33" s="19" t="e">
        <f>#REF!</f>
        <v>#REF!</v>
      </c>
      <c r="H33" s="19" t="e">
        <f>#REF!</f>
        <v>#REF!</v>
      </c>
      <c r="I33" s="31">
        <v>2</v>
      </c>
      <c r="J33" t="e">
        <f t="shared" si="1"/>
        <v>#REF!</v>
      </c>
      <c r="K33" s="29" t="e">
        <f t="shared" si="9"/>
        <v>#REF!</v>
      </c>
      <c r="L33" s="29" t="e">
        <f t="shared" si="3"/>
        <v>#REF!</v>
      </c>
      <c r="M33" s="29" t="e">
        <f t="shared" si="4"/>
        <v>#REF!</v>
      </c>
      <c r="P33" s="81" t="e">
        <f t="shared" si="5"/>
        <v>#REF!</v>
      </c>
      <c r="Q33" s="82" t="e">
        <f t="shared" si="6"/>
        <v>#REF!</v>
      </c>
      <c r="R33" s="79" t="e">
        <f t="shared" si="7"/>
        <v>#REF!</v>
      </c>
      <c r="S33" s="79" t="e">
        <f t="shared" si="8"/>
        <v>#REF!</v>
      </c>
    </row>
    <row r="34" spans="1:19" ht="16" customHeight="1" x14ac:dyDescent="0.4">
      <c r="B34" s="20" t="e">
        <v>#REF!</v>
      </c>
      <c r="C34" s="20" t="e">
        <v>#REF!</v>
      </c>
      <c r="D34" s="9" t="e">
        <v>#REF!</v>
      </c>
      <c r="E34" s="9" t="e">
        <v>#REF!</v>
      </c>
      <c r="F34" s="9" t="e">
        <f t="shared" ref="F34:F66" si="10">C34*D34</f>
        <v>#REF!</v>
      </c>
      <c r="G34" s="19" t="e">
        <f>#REF!</f>
        <v>#REF!</v>
      </c>
      <c r="H34" s="19" t="e">
        <f>#REF!</f>
        <v>#REF!</v>
      </c>
      <c r="I34" s="31">
        <v>0</v>
      </c>
      <c r="J34" t="e">
        <f t="shared" ref="J34:J65" si="11">I34*C34</f>
        <v>#REF!</v>
      </c>
      <c r="K34" s="29" t="e">
        <f t="shared" ref="K34:K41" si="12">D34-G34-I38</f>
        <v>#REF!</v>
      </c>
      <c r="L34" s="29" t="e">
        <f t="shared" ref="L34:L66" si="13">H34-E34</f>
        <v>#REF!</v>
      </c>
      <c r="M34" s="29" t="e">
        <f t="shared" ref="M34:M66" si="14">K34*C34</f>
        <v>#REF!</v>
      </c>
      <c r="P34" s="81" t="e">
        <f t="shared" ref="P34:P66" si="15">(F34-E34-R34)/D34</f>
        <v>#REF!</v>
      </c>
      <c r="Q34" s="82" t="e">
        <f t="shared" ref="Q34:Q66" si="16">(F34-E34-F34*0.0225)/F34</f>
        <v>#REF!</v>
      </c>
      <c r="R34" s="79" t="e">
        <f t="shared" ref="R34:R66" si="17">C34*0.0175</f>
        <v>#REF!</v>
      </c>
      <c r="S34" s="79" t="e">
        <f t="shared" ref="S34:S66" si="18">F34*0.0175</f>
        <v>#REF!</v>
      </c>
    </row>
    <row r="35" spans="1:19" ht="16" customHeight="1" x14ac:dyDescent="0.4">
      <c r="B35" s="20" t="e">
        <v>#REF!</v>
      </c>
      <c r="C35" s="20" t="e">
        <v>#REF!</v>
      </c>
      <c r="D35" s="9" t="e">
        <v>#REF!</v>
      </c>
      <c r="E35" s="9" t="e">
        <v>#REF!</v>
      </c>
      <c r="F35" s="9" t="e">
        <f t="shared" si="10"/>
        <v>#REF!</v>
      </c>
      <c r="G35" s="19" t="e">
        <f>#REF!</f>
        <v>#REF!</v>
      </c>
      <c r="H35" s="19" t="e">
        <f>#REF!</f>
        <v>#REF!</v>
      </c>
      <c r="I35" s="31">
        <v>-2</v>
      </c>
      <c r="J35" t="e">
        <f t="shared" si="11"/>
        <v>#REF!</v>
      </c>
      <c r="K35" s="29" t="e">
        <f t="shared" si="12"/>
        <v>#REF!</v>
      </c>
      <c r="L35" s="29" t="e">
        <f t="shared" si="13"/>
        <v>#REF!</v>
      </c>
      <c r="M35" s="29" t="e">
        <f t="shared" si="14"/>
        <v>#REF!</v>
      </c>
      <c r="P35" s="81" t="e">
        <f t="shared" si="15"/>
        <v>#REF!</v>
      </c>
      <c r="Q35" s="82" t="e">
        <f t="shared" si="16"/>
        <v>#REF!</v>
      </c>
      <c r="R35" s="79" t="e">
        <f t="shared" si="17"/>
        <v>#REF!</v>
      </c>
      <c r="S35" s="79" t="e">
        <f t="shared" si="18"/>
        <v>#REF!</v>
      </c>
    </row>
    <row r="36" spans="1:19" ht="16" customHeight="1" x14ac:dyDescent="0.4">
      <c r="B36" s="20" t="e">
        <v>#REF!</v>
      </c>
      <c r="C36" s="20" t="e">
        <v>#REF!</v>
      </c>
      <c r="D36" s="9" t="e">
        <v>#REF!</v>
      </c>
      <c r="E36" s="9" t="e">
        <v>#REF!</v>
      </c>
      <c r="F36" s="9" t="e">
        <f t="shared" si="10"/>
        <v>#REF!</v>
      </c>
      <c r="G36" s="19" t="e">
        <f>#REF!</f>
        <v>#REF!</v>
      </c>
      <c r="H36" s="19" t="e">
        <f>#REF!</f>
        <v>#REF!</v>
      </c>
      <c r="I36" s="31">
        <v>4</v>
      </c>
      <c r="J36" t="e">
        <f t="shared" si="11"/>
        <v>#REF!</v>
      </c>
      <c r="K36" s="29" t="e">
        <f t="shared" si="12"/>
        <v>#REF!</v>
      </c>
      <c r="L36" s="29" t="e">
        <f t="shared" si="13"/>
        <v>#REF!</v>
      </c>
      <c r="M36" s="29" t="e">
        <f t="shared" si="14"/>
        <v>#REF!</v>
      </c>
      <c r="P36" s="81" t="e">
        <f t="shared" si="15"/>
        <v>#REF!</v>
      </c>
      <c r="Q36" s="82" t="e">
        <f t="shared" si="16"/>
        <v>#REF!</v>
      </c>
      <c r="R36" s="79" t="e">
        <f t="shared" si="17"/>
        <v>#REF!</v>
      </c>
      <c r="S36" s="79" t="e">
        <f t="shared" si="18"/>
        <v>#REF!</v>
      </c>
    </row>
    <row r="37" spans="1:19" ht="16" customHeight="1" x14ac:dyDescent="0.4">
      <c r="A37" t="s">
        <v>146</v>
      </c>
      <c r="B37" s="20" t="e">
        <v>#REF!</v>
      </c>
      <c r="C37" s="20" t="e">
        <v>#REF!</v>
      </c>
      <c r="D37" s="9" t="e">
        <v>#REF!</v>
      </c>
      <c r="E37" s="9" t="e">
        <v>#REF!</v>
      </c>
      <c r="F37" s="9" t="e">
        <f t="shared" si="10"/>
        <v>#REF!</v>
      </c>
      <c r="G37" s="19" t="e">
        <f>#REF!</f>
        <v>#REF!</v>
      </c>
      <c r="H37" s="19" t="e">
        <f>#REF!</f>
        <v>#REF!</v>
      </c>
      <c r="I37" s="31">
        <v>0</v>
      </c>
      <c r="J37" t="e">
        <f t="shared" si="11"/>
        <v>#REF!</v>
      </c>
      <c r="K37" s="29" t="e">
        <f t="shared" si="12"/>
        <v>#REF!</v>
      </c>
      <c r="L37" s="29" t="e">
        <f t="shared" si="13"/>
        <v>#REF!</v>
      </c>
      <c r="M37" s="29" t="e">
        <f t="shared" si="14"/>
        <v>#REF!</v>
      </c>
      <c r="P37" s="81" t="e">
        <f t="shared" si="15"/>
        <v>#REF!</v>
      </c>
      <c r="Q37" s="82" t="e">
        <f t="shared" si="16"/>
        <v>#REF!</v>
      </c>
      <c r="R37" s="79" t="e">
        <f t="shared" si="17"/>
        <v>#REF!</v>
      </c>
      <c r="S37" s="79" t="e">
        <f t="shared" si="18"/>
        <v>#REF!</v>
      </c>
    </row>
    <row r="38" spans="1:19" ht="16" customHeight="1" x14ac:dyDescent="0.4">
      <c r="B38" s="20" t="e">
        <v>#REF!</v>
      </c>
      <c r="C38" s="20" t="e">
        <v>#REF!</v>
      </c>
      <c r="D38" s="9" t="e">
        <v>#REF!</v>
      </c>
      <c r="E38" s="9" t="e">
        <v>#REF!</v>
      </c>
      <c r="F38" s="9" t="e">
        <f t="shared" si="10"/>
        <v>#REF!</v>
      </c>
      <c r="G38" s="19" t="e">
        <f>#REF!</f>
        <v>#REF!</v>
      </c>
      <c r="H38" s="19" t="e">
        <f>#REF!</f>
        <v>#REF!</v>
      </c>
      <c r="I38" s="31">
        <v>1</v>
      </c>
      <c r="J38" t="e">
        <f t="shared" si="11"/>
        <v>#REF!</v>
      </c>
      <c r="K38" s="29" t="e">
        <f t="shared" si="12"/>
        <v>#REF!</v>
      </c>
      <c r="L38" s="29" t="e">
        <f t="shared" si="13"/>
        <v>#REF!</v>
      </c>
      <c r="M38" s="29" t="e">
        <f t="shared" si="14"/>
        <v>#REF!</v>
      </c>
      <c r="N38">
        <v>1</v>
      </c>
      <c r="P38" s="81" t="e">
        <f t="shared" si="15"/>
        <v>#REF!</v>
      </c>
      <c r="Q38" s="82" t="e">
        <f t="shared" si="16"/>
        <v>#REF!</v>
      </c>
      <c r="R38" s="79" t="e">
        <f t="shared" si="17"/>
        <v>#REF!</v>
      </c>
      <c r="S38" s="79" t="e">
        <f t="shared" si="18"/>
        <v>#REF!</v>
      </c>
    </row>
    <row r="39" spans="1:19" ht="16" customHeight="1" x14ac:dyDescent="0.4">
      <c r="B39" s="20" t="e">
        <v>#REF!</v>
      </c>
      <c r="C39" s="20" t="e">
        <v>#REF!</v>
      </c>
      <c r="D39" s="9" t="e">
        <v>#REF!</v>
      </c>
      <c r="E39" s="9" t="e">
        <v>#REF!</v>
      </c>
      <c r="F39" s="9" t="e">
        <f t="shared" si="10"/>
        <v>#REF!</v>
      </c>
      <c r="G39" s="19" t="e">
        <f>#REF!</f>
        <v>#REF!</v>
      </c>
      <c r="H39" s="19" t="e">
        <f>#REF!</f>
        <v>#REF!</v>
      </c>
      <c r="I39" s="31">
        <v>-5</v>
      </c>
      <c r="J39" t="e">
        <f t="shared" si="11"/>
        <v>#REF!</v>
      </c>
      <c r="K39" s="29" t="e">
        <f t="shared" si="12"/>
        <v>#REF!</v>
      </c>
      <c r="L39" s="29" t="e">
        <f t="shared" si="13"/>
        <v>#REF!</v>
      </c>
      <c r="M39" s="29" t="e">
        <f t="shared" si="14"/>
        <v>#REF!</v>
      </c>
      <c r="P39" s="81" t="e">
        <f t="shared" si="15"/>
        <v>#REF!</v>
      </c>
      <c r="Q39" s="82" t="e">
        <f t="shared" si="16"/>
        <v>#REF!</v>
      </c>
      <c r="R39" s="79" t="e">
        <f t="shared" si="17"/>
        <v>#REF!</v>
      </c>
      <c r="S39" s="79" t="e">
        <f t="shared" si="18"/>
        <v>#REF!</v>
      </c>
    </row>
    <row r="40" spans="1:19" ht="16" customHeight="1" x14ac:dyDescent="0.4">
      <c r="B40" s="20" t="e">
        <v>#REF!</v>
      </c>
      <c r="C40" s="20" t="e">
        <v>#REF!</v>
      </c>
      <c r="D40" s="9" t="e">
        <v>#REF!</v>
      </c>
      <c r="E40" s="9" t="e">
        <v>#REF!</v>
      </c>
      <c r="F40" s="9" t="e">
        <f t="shared" si="10"/>
        <v>#REF!</v>
      </c>
      <c r="G40" s="19" t="e">
        <f>#REF!</f>
        <v>#REF!</v>
      </c>
      <c r="H40" s="19" t="e">
        <f>#REF!</f>
        <v>#REF!</v>
      </c>
      <c r="I40" s="31">
        <v>0</v>
      </c>
      <c r="J40" t="e">
        <f t="shared" si="11"/>
        <v>#REF!</v>
      </c>
      <c r="K40" s="29" t="e">
        <f t="shared" si="12"/>
        <v>#REF!</v>
      </c>
      <c r="L40" s="29" t="e">
        <f t="shared" si="13"/>
        <v>#REF!</v>
      </c>
      <c r="M40" s="29" t="e">
        <f t="shared" si="14"/>
        <v>#REF!</v>
      </c>
      <c r="P40" s="81" t="e">
        <f t="shared" si="15"/>
        <v>#REF!</v>
      </c>
      <c r="Q40" s="82" t="e">
        <f t="shared" si="16"/>
        <v>#REF!</v>
      </c>
      <c r="R40" s="79" t="e">
        <f t="shared" si="17"/>
        <v>#REF!</v>
      </c>
      <c r="S40" s="79" t="e">
        <f t="shared" si="18"/>
        <v>#REF!</v>
      </c>
    </row>
    <row r="41" spans="1:19" ht="16" customHeight="1" x14ac:dyDescent="0.4">
      <c r="B41" s="20" t="e">
        <v>#REF!</v>
      </c>
      <c r="C41" s="20" t="e">
        <v>#REF!</v>
      </c>
      <c r="D41" s="9" t="e">
        <v>#REF!</v>
      </c>
      <c r="E41" s="9" t="e">
        <v>#REF!</v>
      </c>
      <c r="F41" s="9" t="e">
        <f t="shared" si="10"/>
        <v>#REF!</v>
      </c>
      <c r="G41" s="19" t="e">
        <f>#REF!</f>
        <v>#REF!</v>
      </c>
      <c r="H41" s="19" t="e">
        <f>#REF!</f>
        <v>#REF!</v>
      </c>
      <c r="I41" s="31">
        <v>-3</v>
      </c>
      <c r="J41" t="e">
        <f t="shared" si="11"/>
        <v>#REF!</v>
      </c>
      <c r="K41" s="29" t="e">
        <f t="shared" si="12"/>
        <v>#REF!</v>
      </c>
      <c r="L41" s="29" t="e">
        <f t="shared" si="13"/>
        <v>#REF!</v>
      </c>
      <c r="M41" s="29" t="e">
        <f t="shared" si="14"/>
        <v>#REF!</v>
      </c>
      <c r="P41" s="81" t="e">
        <f t="shared" si="15"/>
        <v>#REF!</v>
      </c>
      <c r="Q41" s="82" t="e">
        <f t="shared" si="16"/>
        <v>#REF!</v>
      </c>
      <c r="R41" s="79" t="e">
        <f t="shared" si="17"/>
        <v>#REF!</v>
      </c>
      <c r="S41" s="79" t="e">
        <f t="shared" si="18"/>
        <v>#REF!</v>
      </c>
    </row>
    <row r="42" spans="1:19" ht="16" customHeight="1" x14ac:dyDescent="0.4">
      <c r="B42" s="20" t="e">
        <v>#REF!</v>
      </c>
      <c r="C42" s="20" t="e">
        <v>#REF!</v>
      </c>
      <c r="D42" s="9" t="e">
        <v>#REF!</v>
      </c>
      <c r="E42" s="9" t="e">
        <v>#REF!</v>
      </c>
      <c r="F42" s="9" t="e">
        <f t="shared" si="10"/>
        <v>#REF!</v>
      </c>
      <c r="G42" s="19" t="e">
        <f>#REF!</f>
        <v>#REF!</v>
      </c>
      <c r="H42" s="19" t="e">
        <f>#REF!</f>
        <v>#REF!</v>
      </c>
      <c r="I42" s="31">
        <v>-2</v>
      </c>
      <c r="J42" t="e">
        <f t="shared" si="11"/>
        <v>#REF!</v>
      </c>
      <c r="K42" s="29" t="e">
        <f t="shared" ref="K42:K66" si="19">D42-G42-I47</f>
        <v>#REF!</v>
      </c>
      <c r="L42" s="29" t="e">
        <f t="shared" si="13"/>
        <v>#REF!</v>
      </c>
      <c r="M42" s="29" t="e">
        <f t="shared" si="14"/>
        <v>#REF!</v>
      </c>
      <c r="P42" s="81" t="e">
        <f t="shared" si="15"/>
        <v>#REF!</v>
      </c>
      <c r="Q42" s="82" t="e">
        <f t="shared" si="16"/>
        <v>#REF!</v>
      </c>
      <c r="R42" s="79" t="e">
        <f t="shared" si="17"/>
        <v>#REF!</v>
      </c>
      <c r="S42" s="79" t="e">
        <f t="shared" si="18"/>
        <v>#REF!</v>
      </c>
    </row>
    <row r="43" spans="1:19" ht="16" customHeight="1" x14ac:dyDescent="0.4">
      <c r="B43" s="20" t="e">
        <v>#REF!</v>
      </c>
      <c r="C43" s="20" t="e">
        <v>#REF!</v>
      </c>
      <c r="D43" s="9" t="e">
        <v>#REF!</v>
      </c>
      <c r="E43" s="9" t="e">
        <v>#REF!</v>
      </c>
      <c r="F43" s="9" t="e">
        <f t="shared" si="10"/>
        <v>#REF!</v>
      </c>
      <c r="G43" s="19" t="e">
        <f>#REF!</f>
        <v>#REF!</v>
      </c>
      <c r="H43" s="19" t="e">
        <f>#REF!</f>
        <v>#REF!</v>
      </c>
      <c r="I43" s="31">
        <v>3</v>
      </c>
      <c r="J43" t="e">
        <f t="shared" si="11"/>
        <v>#REF!</v>
      </c>
      <c r="K43" s="29" t="e">
        <f t="shared" si="19"/>
        <v>#REF!</v>
      </c>
      <c r="L43" s="29" t="e">
        <f t="shared" si="13"/>
        <v>#REF!</v>
      </c>
      <c r="M43" s="29" t="e">
        <f t="shared" si="14"/>
        <v>#REF!</v>
      </c>
      <c r="P43" s="81" t="e">
        <f t="shared" si="15"/>
        <v>#REF!</v>
      </c>
      <c r="Q43" s="82" t="e">
        <f t="shared" si="16"/>
        <v>#REF!</v>
      </c>
      <c r="R43" s="79" t="e">
        <f t="shared" si="17"/>
        <v>#REF!</v>
      </c>
      <c r="S43" s="79" t="e">
        <f t="shared" si="18"/>
        <v>#REF!</v>
      </c>
    </row>
    <row r="44" spans="1:19" ht="16" customHeight="1" x14ac:dyDescent="0.4">
      <c r="B44" s="20" t="e">
        <v>#REF!</v>
      </c>
      <c r="C44" s="20" t="e">
        <v>#REF!</v>
      </c>
      <c r="D44" s="9" t="e">
        <v>#REF!</v>
      </c>
      <c r="E44" s="9" t="e">
        <v>#REF!</v>
      </c>
      <c r="F44" s="9" t="e">
        <f t="shared" si="10"/>
        <v>#REF!</v>
      </c>
      <c r="G44" s="19" t="e">
        <f>#REF!</f>
        <v>#REF!</v>
      </c>
      <c r="H44" s="19" t="e">
        <f>#REF!</f>
        <v>#REF!</v>
      </c>
      <c r="I44" s="31">
        <v>6</v>
      </c>
      <c r="J44" t="e">
        <f t="shared" si="11"/>
        <v>#REF!</v>
      </c>
      <c r="K44" s="29" t="e">
        <f t="shared" si="19"/>
        <v>#REF!</v>
      </c>
      <c r="L44" s="29" t="e">
        <f t="shared" si="13"/>
        <v>#REF!</v>
      </c>
      <c r="M44" s="29" t="e">
        <f t="shared" si="14"/>
        <v>#REF!</v>
      </c>
      <c r="N44">
        <v>-1</v>
      </c>
      <c r="P44" s="81" t="e">
        <f t="shared" si="15"/>
        <v>#REF!</v>
      </c>
      <c r="Q44" s="82" t="e">
        <f t="shared" si="16"/>
        <v>#REF!</v>
      </c>
      <c r="R44" s="79" t="e">
        <f t="shared" si="17"/>
        <v>#REF!</v>
      </c>
      <c r="S44" s="79" t="e">
        <f t="shared" si="18"/>
        <v>#REF!</v>
      </c>
    </row>
    <row r="45" spans="1:19" ht="16" customHeight="1" x14ac:dyDescent="0.4">
      <c r="B45" s="20" t="e">
        <v>#REF!</v>
      </c>
      <c r="C45" s="20" t="e">
        <v>#REF!</v>
      </c>
      <c r="D45" s="9" t="e">
        <v>#REF!</v>
      </c>
      <c r="E45" s="9" t="e">
        <v>#REF!</v>
      </c>
      <c r="F45" s="9" t="e">
        <f t="shared" si="10"/>
        <v>#REF!</v>
      </c>
      <c r="G45" s="19" t="e">
        <f>#REF!</f>
        <v>#REF!</v>
      </c>
      <c r="H45" s="19" t="e">
        <f>#REF!</f>
        <v>#REF!</v>
      </c>
      <c r="I45" s="31"/>
      <c r="J45" t="e">
        <f t="shared" si="11"/>
        <v>#REF!</v>
      </c>
      <c r="K45" s="29" t="e">
        <f t="shared" si="19"/>
        <v>#REF!</v>
      </c>
      <c r="L45" s="29" t="e">
        <f t="shared" si="13"/>
        <v>#REF!</v>
      </c>
      <c r="M45" s="29" t="e">
        <f t="shared" si="14"/>
        <v>#REF!</v>
      </c>
      <c r="P45" s="81" t="e">
        <f t="shared" si="15"/>
        <v>#REF!</v>
      </c>
      <c r="Q45" s="82" t="e">
        <f t="shared" si="16"/>
        <v>#REF!</v>
      </c>
      <c r="R45" s="79" t="e">
        <f t="shared" si="17"/>
        <v>#REF!</v>
      </c>
      <c r="S45" s="79" t="e">
        <f t="shared" si="18"/>
        <v>#REF!</v>
      </c>
    </row>
    <row r="46" spans="1:19" ht="16" customHeight="1" x14ac:dyDescent="0.4">
      <c r="B46" s="20" t="e">
        <v>#REF!</v>
      </c>
      <c r="C46" s="20" t="e">
        <v>#REF!</v>
      </c>
      <c r="D46" s="9" t="e">
        <v>#REF!</v>
      </c>
      <c r="E46" s="9" t="e">
        <v>#REF!</v>
      </c>
      <c r="F46" s="9" t="e">
        <f t="shared" si="10"/>
        <v>#REF!</v>
      </c>
      <c r="G46" s="19" t="e">
        <f>#REF!</f>
        <v>#REF!</v>
      </c>
      <c r="H46" s="19" t="e">
        <f>#REF!</f>
        <v>#REF!</v>
      </c>
      <c r="I46" s="31">
        <v>0</v>
      </c>
      <c r="J46" t="e">
        <f t="shared" si="11"/>
        <v>#REF!</v>
      </c>
      <c r="K46" s="29" t="e">
        <f t="shared" si="19"/>
        <v>#REF!</v>
      </c>
      <c r="L46" s="29" t="e">
        <f t="shared" si="13"/>
        <v>#REF!</v>
      </c>
      <c r="M46" s="29" t="e">
        <f t="shared" si="14"/>
        <v>#REF!</v>
      </c>
      <c r="P46" s="81" t="e">
        <f t="shared" si="15"/>
        <v>#REF!</v>
      </c>
      <c r="Q46" s="82" t="e">
        <f t="shared" si="16"/>
        <v>#REF!</v>
      </c>
      <c r="R46" s="79" t="e">
        <f t="shared" si="17"/>
        <v>#REF!</v>
      </c>
      <c r="S46" s="79" t="e">
        <f t="shared" si="18"/>
        <v>#REF!</v>
      </c>
    </row>
    <row r="47" spans="1:19" ht="16" customHeight="1" x14ac:dyDescent="0.4">
      <c r="A47" t="s">
        <v>146</v>
      </c>
      <c r="B47" s="20" t="e">
        <v>#REF!</v>
      </c>
      <c r="C47" s="20" t="e">
        <v>#REF!</v>
      </c>
      <c r="D47" s="9" t="e">
        <v>#REF!</v>
      </c>
      <c r="E47" s="9" t="e">
        <v>#REF!</v>
      </c>
      <c r="F47" s="9" t="e">
        <f t="shared" si="10"/>
        <v>#REF!</v>
      </c>
      <c r="G47" s="19" t="e">
        <f>#REF!</f>
        <v>#REF!</v>
      </c>
      <c r="H47" s="19" t="e">
        <f>#REF!</f>
        <v>#REF!</v>
      </c>
      <c r="I47" s="31">
        <v>1</v>
      </c>
      <c r="J47" t="e">
        <f t="shared" si="11"/>
        <v>#REF!</v>
      </c>
      <c r="K47" s="29" t="e">
        <f t="shared" si="19"/>
        <v>#REF!</v>
      </c>
      <c r="L47" s="29" t="e">
        <f t="shared" si="13"/>
        <v>#REF!</v>
      </c>
      <c r="M47" s="29" t="e">
        <f t="shared" si="14"/>
        <v>#REF!</v>
      </c>
      <c r="P47" s="81" t="e">
        <f t="shared" si="15"/>
        <v>#REF!</v>
      </c>
      <c r="Q47" s="82" t="e">
        <f t="shared" si="16"/>
        <v>#REF!</v>
      </c>
      <c r="R47" s="79" t="e">
        <f t="shared" si="17"/>
        <v>#REF!</v>
      </c>
      <c r="S47" s="79" t="e">
        <f t="shared" si="18"/>
        <v>#REF!</v>
      </c>
    </row>
    <row r="48" spans="1:19" ht="16" customHeight="1" x14ac:dyDescent="0.4">
      <c r="B48" s="20" t="e">
        <v>#REF!</v>
      </c>
      <c r="C48" s="20" t="e">
        <v>#REF!</v>
      </c>
      <c r="D48" s="9" t="e">
        <v>#REF!</v>
      </c>
      <c r="E48" s="9" t="e">
        <v>#REF!</v>
      </c>
      <c r="F48" s="9" t="e">
        <f t="shared" si="10"/>
        <v>#REF!</v>
      </c>
      <c r="G48" s="19" t="e">
        <f>#REF!</f>
        <v>#REF!</v>
      </c>
      <c r="H48" s="19" t="e">
        <f>#REF!</f>
        <v>#REF!</v>
      </c>
      <c r="I48" s="31">
        <v>0</v>
      </c>
      <c r="J48" t="e">
        <f t="shared" si="11"/>
        <v>#REF!</v>
      </c>
      <c r="K48" s="29" t="e">
        <f t="shared" si="19"/>
        <v>#REF!</v>
      </c>
      <c r="L48" s="29" t="e">
        <f t="shared" si="13"/>
        <v>#REF!</v>
      </c>
      <c r="M48" s="29" t="e">
        <f t="shared" si="14"/>
        <v>#REF!</v>
      </c>
      <c r="P48" s="81" t="e">
        <f t="shared" si="15"/>
        <v>#REF!</v>
      </c>
      <c r="Q48" s="82" t="e">
        <f t="shared" si="16"/>
        <v>#REF!</v>
      </c>
      <c r="R48" s="79" t="e">
        <f t="shared" si="17"/>
        <v>#REF!</v>
      </c>
      <c r="S48" s="79" t="e">
        <f t="shared" si="18"/>
        <v>#REF!</v>
      </c>
    </row>
    <row r="49" spans="2:19" ht="16" customHeight="1" x14ac:dyDescent="0.4">
      <c r="B49" s="20" t="e">
        <v>#REF!</v>
      </c>
      <c r="C49" s="20" t="e">
        <v>#REF!</v>
      </c>
      <c r="D49" s="9" t="e">
        <v>#REF!</v>
      </c>
      <c r="E49" s="9" t="e">
        <v>#REF!</v>
      </c>
      <c r="F49" s="9" t="e">
        <f t="shared" si="10"/>
        <v>#REF!</v>
      </c>
      <c r="G49" s="19" t="e">
        <f>#REF!</f>
        <v>#REF!</v>
      </c>
      <c r="H49" s="19" t="e">
        <f>#REF!</f>
        <v>#REF!</v>
      </c>
      <c r="I49" s="31">
        <v>3</v>
      </c>
      <c r="J49" t="e">
        <f t="shared" si="11"/>
        <v>#REF!</v>
      </c>
      <c r="K49" s="29" t="e">
        <f t="shared" si="19"/>
        <v>#REF!</v>
      </c>
      <c r="L49" s="29" t="e">
        <f t="shared" si="13"/>
        <v>#REF!</v>
      </c>
      <c r="M49" s="29" t="e">
        <f t="shared" si="14"/>
        <v>#REF!</v>
      </c>
      <c r="P49" s="81" t="e">
        <f t="shared" si="15"/>
        <v>#REF!</v>
      </c>
      <c r="Q49" s="82" t="e">
        <f t="shared" si="16"/>
        <v>#REF!</v>
      </c>
      <c r="R49" s="79" t="e">
        <f t="shared" si="17"/>
        <v>#REF!</v>
      </c>
      <c r="S49" s="79" t="e">
        <f t="shared" si="18"/>
        <v>#REF!</v>
      </c>
    </row>
    <row r="50" spans="2:19" ht="16" customHeight="1" x14ac:dyDescent="0.4">
      <c r="B50" s="20" t="e">
        <v>#REF!</v>
      </c>
      <c r="C50" s="20" t="e">
        <v>#REF!</v>
      </c>
      <c r="D50" s="9" t="e">
        <v>#REF!</v>
      </c>
      <c r="E50" s="9" t="e">
        <v>#REF!</v>
      </c>
      <c r="F50" s="9" t="e">
        <f t="shared" si="10"/>
        <v>#REF!</v>
      </c>
      <c r="G50" s="19" t="e">
        <f>#REF!</f>
        <v>#REF!</v>
      </c>
      <c r="H50" s="19" t="e">
        <f>#REF!</f>
        <v>#REF!</v>
      </c>
      <c r="I50" s="31">
        <v>-1</v>
      </c>
      <c r="J50" t="e">
        <f t="shared" si="11"/>
        <v>#REF!</v>
      </c>
      <c r="K50" s="29" t="e">
        <f t="shared" si="19"/>
        <v>#REF!</v>
      </c>
      <c r="L50" s="29" t="e">
        <f t="shared" si="13"/>
        <v>#REF!</v>
      </c>
      <c r="M50" s="29" t="e">
        <f t="shared" si="14"/>
        <v>#REF!</v>
      </c>
      <c r="P50" s="81" t="e">
        <f t="shared" si="15"/>
        <v>#REF!</v>
      </c>
      <c r="Q50" s="82" t="e">
        <f t="shared" si="16"/>
        <v>#REF!</v>
      </c>
      <c r="R50" s="79" t="e">
        <f t="shared" si="17"/>
        <v>#REF!</v>
      </c>
      <c r="S50" s="79" t="e">
        <f t="shared" si="18"/>
        <v>#REF!</v>
      </c>
    </row>
    <row r="51" spans="2:19" ht="16" customHeight="1" x14ac:dyDescent="0.4">
      <c r="B51" s="20" t="e">
        <v>#REF!</v>
      </c>
      <c r="C51" s="20" t="e">
        <v>#REF!</v>
      </c>
      <c r="D51" s="9" t="e">
        <v>#REF!</v>
      </c>
      <c r="E51" s="9" t="e">
        <v>#REF!</v>
      </c>
      <c r="F51" s="9" t="e">
        <f t="shared" si="10"/>
        <v>#REF!</v>
      </c>
      <c r="G51" s="19" t="e">
        <f>#REF!</f>
        <v>#REF!</v>
      </c>
      <c r="H51" s="19" t="e">
        <f>#REF!</f>
        <v>#REF!</v>
      </c>
      <c r="I51" s="31">
        <v>-1</v>
      </c>
      <c r="J51" t="e">
        <f t="shared" si="11"/>
        <v>#REF!</v>
      </c>
      <c r="K51" s="29" t="e">
        <f t="shared" si="19"/>
        <v>#REF!</v>
      </c>
      <c r="L51" s="29" t="e">
        <f t="shared" si="13"/>
        <v>#REF!</v>
      </c>
      <c r="M51" s="29" t="e">
        <f t="shared" si="14"/>
        <v>#REF!</v>
      </c>
      <c r="P51" s="81" t="e">
        <f t="shared" si="15"/>
        <v>#REF!</v>
      </c>
      <c r="Q51" s="82" t="e">
        <f t="shared" si="16"/>
        <v>#REF!</v>
      </c>
      <c r="R51" s="79" t="e">
        <f t="shared" si="17"/>
        <v>#REF!</v>
      </c>
      <c r="S51" s="79" t="e">
        <f t="shared" si="18"/>
        <v>#REF!</v>
      </c>
    </row>
    <row r="52" spans="2:19" ht="16" customHeight="1" x14ac:dyDescent="0.4">
      <c r="B52" s="20" t="e">
        <v>#REF!</v>
      </c>
      <c r="C52" s="20" t="e">
        <v>#REF!</v>
      </c>
      <c r="D52" s="9" t="e">
        <v>#REF!</v>
      </c>
      <c r="E52" s="9" t="e">
        <v>#REF!</v>
      </c>
      <c r="F52" s="9" t="e">
        <f t="shared" si="10"/>
        <v>#REF!</v>
      </c>
      <c r="G52" s="19" t="e">
        <f>#REF!</f>
        <v>#REF!</v>
      </c>
      <c r="H52" s="19" t="e">
        <f>#REF!</f>
        <v>#REF!</v>
      </c>
      <c r="I52" s="31">
        <v>0</v>
      </c>
      <c r="J52" t="e">
        <f t="shared" si="11"/>
        <v>#REF!</v>
      </c>
      <c r="K52" s="29" t="e">
        <f t="shared" si="19"/>
        <v>#REF!</v>
      </c>
      <c r="L52" s="29" t="e">
        <f t="shared" si="13"/>
        <v>#REF!</v>
      </c>
      <c r="M52" s="29" t="e">
        <f t="shared" si="14"/>
        <v>#REF!</v>
      </c>
      <c r="P52" s="81" t="e">
        <f t="shared" si="15"/>
        <v>#REF!</v>
      </c>
      <c r="Q52" s="82" t="e">
        <f t="shared" si="16"/>
        <v>#REF!</v>
      </c>
      <c r="R52" s="79" t="e">
        <f t="shared" si="17"/>
        <v>#REF!</v>
      </c>
      <c r="S52" s="79" t="e">
        <f t="shared" si="18"/>
        <v>#REF!</v>
      </c>
    </row>
    <row r="53" spans="2:19" ht="16" customHeight="1" x14ac:dyDescent="0.4">
      <c r="B53" s="20" t="e">
        <v>#REF!</v>
      </c>
      <c r="C53" s="20" t="e">
        <v>#REF!</v>
      </c>
      <c r="D53" s="9" t="e">
        <v>#REF!</v>
      </c>
      <c r="E53" s="9" t="e">
        <v>#REF!</v>
      </c>
      <c r="F53" s="9" t="e">
        <f t="shared" si="10"/>
        <v>#REF!</v>
      </c>
      <c r="G53" s="19" t="e">
        <f>#REF!</f>
        <v>#REF!</v>
      </c>
      <c r="H53" s="19" t="e">
        <f>#REF!</f>
        <v>#REF!</v>
      </c>
      <c r="I53" s="31">
        <v>0</v>
      </c>
      <c r="J53" t="e">
        <f t="shared" si="11"/>
        <v>#REF!</v>
      </c>
      <c r="K53" s="29" t="e">
        <f t="shared" si="19"/>
        <v>#REF!</v>
      </c>
      <c r="L53" s="29" t="e">
        <f t="shared" si="13"/>
        <v>#REF!</v>
      </c>
      <c r="M53" s="29" t="e">
        <f t="shared" si="14"/>
        <v>#REF!</v>
      </c>
      <c r="P53" s="81" t="e">
        <f t="shared" si="15"/>
        <v>#REF!</v>
      </c>
      <c r="Q53" s="82" t="e">
        <f t="shared" si="16"/>
        <v>#REF!</v>
      </c>
      <c r="R53" s="79" t="e">
        <f t="shared" si="17"/>
        <v>#REF!</v>
      </c>
      <c r="S53" s="79" t="e">
        <f t="shared" si="18"/>
        <v>#REF!</v>
      </c>
    </row>
    <row r="54" spans="2:19" ht="16" customHeight="1" x14ac:dyDescent="0.4">
      <c r="B54" s="20" t="e">
        <v>#REF!</v>
      </c>
      <c r="C54" s="20" t="e">
        <v>#REF!</v>
      </c>
      <c r="D54" s="9" t="e">
        <v>#REF!</v>
      </c>
      <c r="E54" s="9" t="e">
        <v>#REF!</v>
      </c>
      <c r="F54" s="9" t="e">
        <f t="shared" si="10"/>
        <v>#REF!</v>
      </c>
      <c r="G54" s="19" t="e">
        <f>#REF!</f>
        <v>#REF!</v>
      </c>
      <c r="H54" s="19" t="e">
        <f>#REF!</f>
        <v>#REF!</v>
      </c>
      <c r="I54" s="31">
        <v>0</v>
      </c>
      <c r="J54" t="e">
        <f t="shared" si="11"/>
        <v>#REF!</v>
      </c>
      <c r="K54" s="29" t="e">
        <f t="shared" si="19"/>
        <v>#REF!</v>
      </c>
      <c r="L54" s="29" t="e">
        <f t="shared" si="13"/>
        <v>#REF!</v>
      </c>
      <c r="M54" s="29" t="e">
        <f t="shared" si="14"/>
        <v>#REF!</v>
      </c>
      <c r="P54" s="81" t="e">
        <f t="shared" si="15"/>
        <v>#REF!</v>
      </c>
      <c r="Q54" s="82" t="e">
        <f t="shared" si="16"/>
        <v>#REF!</v>
      </c>
      <c r="R54" s="79" t="e">
        <f t="shared" si="17"/>
        <v>#REF!</v>
      </c>
      <c r="S54" s="79" t="e">
        <f t="shared" si="18"/>
        <v>#REF!</v>
      </c>
    </row>
    <row r="55" spans="2:19" ht="16" customHeight="1" x14ac:dyDescent="0.4">
      <c r="B55" s="20" t="e">
        <v>#REF!</v>
      </c>
      <c r="C55" s="20" t="e">
        <v>#REF!</v>
      </c>
      <c r="D55" s="9" t="e">
        <v>#REF!</v>
      </c>
      <c r="E55" s="9" t="e">
        <v>#REF!</v>
      </c>
      <c r="F55" s="9" t="e">
        <f t="shared" si="10"/>
        <v>#REF!</v>
      </c>
      <c r="G55" s="19" t="e">
        <f>#REF!</f>
        <v>#REF!</v>
      </c>
      <c r="H55" s="19" t="e">
        <f>#REF!</f>
        <v>#REF!</v>
      </c>
      <c r="I55" s="31">
        <v>4</v>
      </c>
      <c r="J55" t="e">
        <f t="shared" si="11"/>
        <v>#REF!</v>
      </c>
      <c r="K55" s="29" t="e">
        <f t="shared" si="19"/>
        <v>#REF!</v>
      </c>
      <c r="L55" s="29" t="e">
        <f t="shared" si="13"/>
        <v>#REF!</v>
      </c>
      <c r="M55" s="29" t="e">
        <f t="shared" si="14"/>
        <v>#REF!</v>
      </c>
      <c r="P55" s="81" t="e">
        <f t="shared" si="15"/>
        <v>#REF!</v>
      </c>
      <c r="Q55" s="82" t="e">
        <f t="shared" si="16"/>
        <v>#REF!</v>
      </c>
      <c r="R55" s="79" t="e">
        <f t="shared" si="17"/>
        <v>#REF!</v>
      </c>
      <c r="S55" s="79" t="e">
        <f t="shared" si="18"/>
        <v>#REF!</v>
      </c>
    </row>
    <row r="56" spans="2:19" ht="16" customHeight="1" x14ac:dyDescent="0.4">
      <c r="B56" s="20" t="e">
        <v>#REF!</v>
      </c>
      <c r="C56" s="20" t="e">
        <v>#REF!</v>
      </c>
      <c r="D56" s="9" t="e">
        <v>#REF!</v>
      </c>
      <c r="E56" s="9" t="e">
        <v>#REF!</v>
      </c>
      <c r="F56" s="9" t="e">
        <f t="shared" si="10"/>
        <v>#REF!</v>
      </c>
      <c r="G56" s="19" t="e">
        <f>#REF!</f>
        <v>#REF!</v>
      </c>
      <c r="H56" s="19" t="e">
        <f>#REF!</f>
        <v>#REF!</v>
      </c>
      <c r="I56" s="34">
        <v>2</v>
      </c>
      <c r="J56" t="e">
        <f t="shared" si="11"/>
        <v>#REF!</v>
      </c>
      <c r="K56" s="29" t="e">
        <f t="shared" si="19"/>
        <v>#REF!</v>
      </c>
      <c r="L56" s="29" t="e">
        <f t="shared" si="13"/>
        <v>#REF!</v>
      </c>
      <c r="M56" s="29" t="e">
        <f t="shared" si="14"/>
        <v>#REF!</v>
      </c>
      <c r="P56" s="81" t="e">
        <f t="shared" si="15"/>
        <v>#REF!</v>
      </c>
      <c r="Q56" s="82" t="e">
        <f t="shared" si="16"/>
        <v>#REF!</v>
      </c>
      <c r="R56" s="79" t="e">
        <f t="shared" si="17"/>
        <v>#REF!</v>
      </c>
      <c r="S56" s="79" t="e">
        <f t="shared" si="18"/>
        <v>#REF!</v>
      </c>
    </row>
    <row r="57" spans="2:19" ht="16" customHeight="1" x14ac:dyDescent="0.4">
      <c r="B57" s="20" t="e">
        <v>#REF!</v>
      </c>
      <c r="C57" s="20" t="e">
        <v>#REF!</v>
      </c>
      <c r="D57" s="9" t="e">
        <v>#REF!</v>
      </c>
      <c r="E57" s="9" t="e">
        <v>#REF!</v>
      </c>
      <c r="F57" s="9" t="e">
        <f t="shared" si="10"/>
        <v>#REF!</v>
      </c>
      <c r="G57" s="19" t="e">
        <f>#REF!</f>
        <v>#REF!</v>
      </c>
      <c r="H57" s="19" t="e">
        <f>#REF!</f>
        <v>#REF!</v>
      </c>
      <c r="I57" s="34">
        <v>-1</v>
      </c>
      <c r="J57" t="e">
        <f t="shared" si="11"/>
        <v>#REF!</v>
      </c>
      <c r="K57" s="29" t="e">
        <f t="shared" si="19"/>
        <v>#REF!</v>
      </c>
      <c r="L57" s="29" t="e">
        <f t="shared" si="13"/>
        <v>#REF!</v>
      </c>
      <c r="M57" s="29" t="e">
        <f t="shared" si="14"/>
        <v>#REF!</v>
      </c>
      <c r="P57" s="81" t="e">
        <f t="shared" si="15"/>
        <v>#REF!</v>
      </c>
      <c r="Q57" s="82" t="e">
        <f t="shared" si="16"/>
        <v>#REF!</v>
      </c>
      <c r="R57" s="79" t="e">
        <f t="shared" si="17"/>
        <v>#REF!</v>
      </c>
      <c r="S57" s="79" t="e">
        <f t="shared" si="18"/>
        <v>#REF!</v>
      </c>
    </row>
    <row r="58" spans="2:19" ht="16" customHeight="1" x14ac:dyDescent="0.4">
      <c r="B58" s="20" t="e">
        <v>#REF!</v>
      </c>
      <c r="C58" s="20" t="e">
        <v>#REF!</v>
      </c>
      <c r="D58" s="9" t="e">
        <v>#REF!</v>
      </c>
      <c r="E58" s="9" t="e">
        <v>#REF!</v>
      </c>
      <c r="F58" s="9" t="e">
        <f t="shared" si="10"/>
        <v>#REF!</v>
      </c>
      <c r="G58" s="19" t="e">
        <f>#REF!</f>
        <v>#REF!</v>
      </c>
      <c r="H58" s="19" t="e">
        <f>#REF!</f>
        <v>#REF!</v>
      </c>
      <c r="I58" s="34">
        <v>0</v>
      </c>
      <c r="J58" t="e">
        <f t="shared" si="11"/>
        <v>#REF!</v>
      </c>
      <c r="K58" s="29" t="e">
        <f t="shared" si="19"/>
        <v>#REF!</v>
      </c>
      <c r="L58" s="29" t="e">
        <f t="shared" si="13"/>
        <v>#REF!</v>
      </c>
      <c r="M58" s="29" t="e">
        <f t="shared" si="14"/>
        <v>#REF!</v>
      </c>
      <c r="P58" s="81" t="e">
        <f t="shared" si="15"/>
        <v>#REF!</v>
      </c>
      <c r="Q58" s="82" t="e">
        <f t="shared" si="16"/>
        <v>#REF!</v>
      </c>
      <c r="R58" s="79" t="e">
        <f t="shared" si="17"/>
        <v>#REF!</v>
      </c>
      <c r="S58" s="79" t="e">
        <f t="shared" si="18"/>
        <v>#REF!</v>
      </c>
    </row>
    <row r="59" spans="2:19" ht="16" customHeight="1" x14ac:dyDescent="0.4">
      <c r="B59" s="20" t="e">
        <v>#REF!</v>
      </c>
      <c r="C59" s="20" t="e">
        <v>#REF!</v>
      </c>
      <c r="D59" s="9" t="e">
        <v>#REF!</v>
      </c>
      <c r="E59" s="9" t="e">
        <v>#REF!</v>
      </c>
      <c r="F59" s="9" t="e">
        <f t="shared" si="10"/>
        <v>#REF!</v>
      </c>
      <c r="G59" s="19" t="e">
        <f>#REF!</f>
        <v>#REF!</v>
      </c>
      <c r="H59" s="19" t="e">
        <f>#REF!</f>
        <v>#REF!</v>
      </c>
      <c r="I59" s="34">
        <v>7</v>
      </c>
      <c r="J59" t="e">
        <f t="shared" si="11"/>
        <v>#REF!</v>
      </c>
      <c r="K59" s="29" t="e">
        <f t="shared" si="19"/>
        <v>#REF!</v>
      </c>
      <c r="L59" s="29" t="e">
        <f t="shared" si="13"/>
        <v>#REF!</v>
      </c>
      <c r="M59" s="29" t="e">
        <f t="shared" si="14"/>
        <v>#REF!</v>
      </c>
      <c r="P59" s="81" t="e">
        <f t="shared" si="15"/>
        <v>#REF!</v>
      </c>
      <c r="Q59" s="82" t="e">
        <f t="shared" si="16"/>
        <v>#REF!</v>
      </c>
      <c r="R59" s="79" t="e">
        <f t="shared" si="17"/>
        <v>#REF!</v>
      </c>
      <c r="S59" s="79" t="e">
        <f t="shared" si="18"/>
        <v>#REF!</v>
      </c>
    </row>
    <row r="60" spans="2:19" ht="16" customHeight="1" x14ac:dyDescent="0.4">
      <c r="B60" s="20" t="e">
        <v>#REF!</v>
      </c>
      <c r="C60" s="20" t="e">
        <v>#REF!</v>
      </c>
      <c r="D60" s="9" t="e">
        <v>#REF!</v>
      </c>
      <c r="E60" s="9" t="e">
        <v>#REF!</v>
      </c>
      <c r="F60" s="9" t="e">
        <f t="shared" si="10"/>
        <v>#REF!</v>
      </c>
      <c r="G60" s="19" t="e">
        <f>#REF!</f>
        <v>#REF!</v>
      </c>
      <c r="H60" s="19" t="e">
        <f>#REF!</f>
        <v>#REF!</v>
      </c>
      <c r="I60" s="34">
        <v>0</v>
      </c>
      <c r="J60" t="e">
        <f t="shared" si="11"/>
        <v>#REF!</v>
      </c>
      <c r="K60" s="29" t="e">
        <f t="shared" si="19"/>
        <v>#REF!</v>
      </c>
      <c r="L60" s="29" t="e">
        <f t="shared" si="13"/>
        <v>#REF!</v>
      </c>
      <c r="M60" s="29" t="e">
        <f t="shared" si="14"/>
        <v>#REF!</v>
      </c>
      <c r="P60" s="81" t="e">
        <f t="shared" si="15"/>
        <v>#REF!</v>
      </c>
      <c r="Q60" s="82" t="e">
        <f t="shared" si="16"/>
        <v>#REF!</v>
      </c>
      <c r="R60" s="79" t="e">
        <f t="shared" si="17"/>
        <v>#REF!</v>
      </c>
      <c r="S60" s="79" t="e">
        <f t="shared" si="18"/>
        <v>#REF!</v>
      </c>
    </row>
    <row r="61" spans="2:19" ht="16" customHeight="1" x14ac:dyDescent="0.4">
      <c r="B61" s="20" t="e">
        <v>#REF!</v>
      </c>
      <c r="C61" s="20" t="e">
        <v>#REF!</v>
      </c>
      <c r="D61" s="9" t="e">
        <v>#REF!</v>
      </c>
      <c r="E61" s="9" t="e">
        <v>#REF!</v>
      </c>
      <c r="F61" s="9" t="e">
        <f t="shared" si="10"/>
        <v>#REF!</v>
      </c>
      <c r="G61" s="19" t="e">
        <f>#REF!</f>
        <v>#REF!</v>
      </c>
      <c r="H61" s="19" t="e">
        <f>#REF!</f>
        <v>#REF!</v>
      </c>
      <c r="I61" s="34">
        <v>-4</v>
      </c>
      <c r="J61" t="e">
        <f t="shared" si="11"/>
        <v>#REF!</v>
      </c>
      <c r="K61" s="29" t="e">
        <f t="shared" si="19"/>
        <v>#REF!</v>
      </c>
      <c r="L61" s="29" t="e">
        <f t="shared" si="13"/>
        <v>#REF!</v>
      </c>
      <c r="M61" s="29" t="e">
        <f t="shared" si="14"/>
        <v>#REF!</v>
      </c>
      <c r="P61" s="81" t="e">
        <f t="shared" si="15"/>
        <v>#REF!</v>
      </c>
      <c r="Q61" s="82" t="e">
        <f t="shared" si="16"/>
        <v>#REF!</v>
      </c>
      <c r="R61" s="79" t="e">
        <f t="shared" si="17"/>
        <v>#REF!</v>
      </c>
      <c r="S61" s="79" t="e">
        <f t="shared" si="18"/>
        <v>#REF!</v>
      </c>
    </row>
    <row r="62" spans="2:19" ht="18.5" customHeight="1" x14ac:dyDescent="0.45">
      <c r="B62" s="35" t="e">
        <v>#REF!</v>
      </c>
      <c r="C62" s="20" t="e">
        <v>#REF!</v>
      </c>
      <c r="D62" s="9" t="e">
        <v>#REF!</v>
      </c>
      <c r="E62" s="9" t="e">
        <v>#REF!</v>
      </c>
      <c r="F62" s="9" t="e">
        <f t="shared" si="10"/>
        <v>#REF!</v>
      </c>
      <c r="G62" s="19" t="e">
        <f>#REF!</f>
        <v>#REF!</v>
      </c>
      <c r="H62" s="19" t="e">
        <f>#REF!</f>
        <v>#REF!</v>
      </c>
      <c r="I62" s="34">
        <v>18</v>
      </c>
      <c r="J62" t="e">
        <f t="shared" si="11"/>
        <v>#REF!</v>
      </c>
      <c r="K62" s="29" t="e">
        <f t="shared" si="19"/>
        <v>#REF!</v>
      </c>
      <c r="L62" s="29" t="e">
        <f t="shared" si="13"/>
        <v>#REF!</v>
      </c>
      <c r="M62" s="29" t="e">
        <f t="shared" si="14"/>
        <v>#REF!</v>
      </c>
      <c r="P62" s="81" t="e">
        <f t="shared" si="15"/>
        <v>#REF!</v>
      </c>
      <c r="Q62" s="82" t="e">
        <f t="shared" si="16"/>
        <v>#REF!</v>
      </c>
      <c r="R62" s="79" t="e">
        <f t="shared" si="17"/>
        <v>#REF!</v>
      </c>
      <c r="S62" s="79" t="e">
        <f t="shared" si="18"/>
        <v>#REF!</v>
      </c>
    </row>
    <row r="63" spans="2:19" ht="18.5" customHeight="1" x14ac:dyDescent="0.45">
      <c r="B63" s="35" t="e">
        <v>#REF!</v>
      </c>
      <c r="C63" s="20" t="e">
        <v>#REF!</v>
      </c>
      <c r="D63" s="9" t="e">
        <v>#REF!</v>
      </c>
      <c r="E63" s="9" t="e">
        <v>#REF!</v>
      </c>
      <c r="F63" s="9" t="e">
        <f t="shared" si="10"/>
        <v>#REF!</v>
      </c>
      <c r="G63" s="19" t="e">
        <f>#REF!</f>
        <v>#REF!</v>
      </c>
      <c r="H63" s="19" t="e">
        <f>#REF!</f>
        <v>#REF!</v>
      </c>
      <c r="I63" s="34">
        <v>3</v>
      </c>
      <c r="J63" t="e">
        <f t="shared" si="11"/>
        <v>#REF!</v>
      </c>
      <c r="K63" s="29" t="e">
        <f t="shared" si="19"/>
        <v>#REF!</v>
      </c>
      <c r="L63" s="29" t="e">
        <f t="shared" si="13"/>
        <v>#REF!</v>
      </c>
      <c r="M63" s="29" t="e">
        <f t="shared" si="14"/>
        <v>#REF!</v>
      </c>
      <c r="P63" s="81" t="e">
        <f t="shared" si="15"/>
        <v>#REF!</v>
      </c>
      <c r="Q63" s="82" t="e">
        <f t="shared" si="16"/>
        <v>#REF!</v>
      </c>
      <c r="R63" s="79" t="e">
        <f t="shared" si="17"/>
        <v>#REF!</v>
      </c>
      <c r="S63" s="79" t="e">
        <f t="shared" si="18"/>
        <v>#REF!</v>
      </c>
    </row>
    <row r="64" spans="2:19" ht="18.5" customHeight="1" x14ac:dyDescent="0.45">
      <c r="B64" s="35" t="e">
        <v>#REF!</v>
      </c>
      <c r="C64" s="20" t="e">
        <v>#REF!</v>
      </c>
      <c r="D64" s="9" t="e">
        <v>#REF!</v>
      </c>
      <c r="E64" s="9" t="e">
        <v>#REF!</v>
      </c>
      <c r="F64" s="9" t="e">
        <f t="shared" si="10"/>
        <v>#REF!</v>
      </c>
      <c r="G64" s="19" t="e">
        <f>#REF!</f>
        <v>#REF!</v>
      </c>
      <c r="H64" s="19" t="e">
        <f>#REF!</f>
        <v>#REF!</v>
      </c>
      <c r="I64" s="34">
        <v>4</v>
      </c>
      <c r="J64" t="e">
        <f t="shared" si="11"/>
        <v>#REF!</v>
      </c>
      <c r="K64" s="29" t="e">
        <f t="shared" si="19"/>
        <v>#REF!</v>
      </c>
      <c r="L64" s="29" t="e">
        <f t="shared" si="13"/>
        <v>#REF!</v>
      </c>
      <c r="M64" s="29" t="e">
        <f t="shared" si="14"/>
        <v>#REF!</v>
      </c>
      <c r="P64" s="81" t="e">
        <f t="shared" si="15"/>
        <v>#REF!</v>
      </c>
      <c r="Q64" s="82" t="e">
        <f t="shared" si="16"/>
        <v>#REF!</v>
      </c>
      <c r="R64" s="79" t="e">
        <f t="shared" si="17"/>
        <v>#REF!</v>
      </c>
      <c r="S64" s="79" t="e">
        <f t="shared" si="18"/>
        <v>#REF!</v>
      </c>
    </row>
    <row r="65" spans="2:19" ht="16" customHeight="1" x14ac:dyDescent="0.4">
      <c r="B65" s="20" t="e">
        <v>#REF!</v>
      </c>
      <c r="C65" s="20" t="e">
        <v>#REF!</v>
      </c>
      <c r="D65" s="9" t="e">
        <v>#REF!</v>
      </c>
      <c r="E65" s="9" t="e">
        <v>#REF!</v>
      </c>
      <c r="F65" s="9" t="e">
        <f t="shared" si="10"/>
        <v>#REF!</v>
      </c>
      <c r="G65" s="19" t="e">
        <f>#REF!</f>
        <v>#REF!</v>
      </c>
      <c r="H65" s="19" t="e">
        <f>#REF!</f>
        <v>#REF!</v>
      </c>
      <c r="I65" s="34">
        <v>5</v>
      </c>
      <c r="J65" t="e">
        <f t="shared" si="11"/>
        <v>#REF!</v>
      </c>
      <c r="K65" s="29" t="e">
        <f t="shared" si="19"/>
        <v>#REF!</v>
      </c>
      <c r="L65" s="29" t="e">
        <f t="shared" si="13"/>
        <v>#REF!</v>
      </c>
      <c r="M65" s="29" t="e">
        <f t="shared" si="14"/>
        <v>#REF!</v>
      </c>
      <c r="P65" s="81" t="e">
        <f t="shared" si="15"/>
        <v>#REF!</v>
      </c>
      <c r="Q65" s="82" t="e">
        <f t="shared" si="16"/>
        <v>#REF!</v>
      </c>
      <c r="R65" s="79" t="e">
        <f t="shared" si="17"/>
        <v>#REF!</v>
      </c>
      <c r="S65" s="79" t="e">
        <f t="shared" si="18"/>
        <v>#REF!</v>
      </c>
    </row>
    <row r="66" spans="2:19" ht="16" customHeight="1" x14ac:dyDescent="0.4">
      <c r="B66" s="20" t="e">
        <v>#REF!</v>
      </c>
      <c r="C66" s="20" t="e">
        <v>#REF!</v>
      </c>
      <c r="D66" s="9" t="e">
        <v>#REF!</v>
      </c>
      <c r="E66" s="9" t="e">
        <v>#REF!</v>
      </c>
      <c r="F66" s="9" t="e">
        <f t="shared" si="10"/>
        <v>#REF!</v>
      </c>
      <c r="G66" s="19" t="e">
        <f>#REF!</f>
        <v>#REF!</v>
      </c>
      <c r="H66" s="19" t="e">
        <f>#REF!</f>
        <v>#REF!</v>
      </c>
      <c r="I66" s="34">
        <v>6</v>
      </c>
      <c r="J66" t="e">
        <f t="shared" ref="J66" si="20">I66*C66</f>
        <v>#REF!</v>
      </c>
      <c r="K66" s="29" t="e">
        <f t="shared" si="19"/>
        <v>#REF!</v>
      </c>
      <c r="L66" s="29" t="e">
        <f t="shared" si="13"/>
        <v>#REF!</v>
      </c>
      <c r="M66" s="29" t="e">
        <f t="shared" si="14"/>
        <v>#REF!</v>
      </c>
      <c r="P66" s="81" t="e">
        <f t="shared" si="15"/>
        <v>#REF!</v>
      </c>
      <c r="Q66" s="82" t="e">
        <f t="shared" si="16"/>
        <v>#REF!</v>
      </c>
      <c r="R66" s="79" t="e">
        <f t="shared" si="17"/>
        <v>#REF!</v>
      </c>
      <c r="S66" s="79" t="e">
        <f t="shared" si="18"/>
        <v>#REF!</v>
      </c>
    </row>
    <row r="67" spans="2:19" ht="16" customHeight="1" x14ac:dyDescent="0.4">
      <c r="B67" t="e">
        <v>#REF!</v>
      </c>
      <c r="C67" s="30"/>
      <c r="D67" s="30"/>
      <c r="E67" s="30">
        <f t="array" ref="E67">SUM(IFERROR(E2:E66,0))</f>
        <v>0</v>
      </c>
      <c r="F67" s="30">
        <f t="array" ref="F67">SUM(IFERROR(F2:F66,0))</f>
        <v>0</v>
      </c>
      <c r="G67" s="30">
        <f t="array" ref="G67">SUM(IFERROR(G2:G66,0))</f>
        <v>0</v>
      </c>
      <c r="H67" s="30">
        <f t="array" ref="H67">SUM(IFERROR(H2:H66,0))</f>
        <v>0</v>
      </c>
      <c r="I67" s="30">
        <f t="array" ref="I67">SUM(IFERROR(I2:I66,0))</f>
        <v>71</v>
      </c>
      <c r="J67" s="30">
        <f t="array" ref="J67">SUM(IFERROR(J2:J66,0))</f>
        <v>0</v>
      </c>
      <c r="K67" s="30">
        <f t="array" ref="K67">SUM(IFERROR(K2:K66,0))</f>
        <v>0</v>
      </c>
      <c r="L67" s="30">
        <f t="array" ref="L67">SUM(IFERROR(L2:L66,0))</f>
        <v>0</v>
      </c>
      <c r="M67" s="30">
        <f t="array" ref="M67">SUM(IFERROR(M2:M66,0))</f>
        <v>0</v>
      </c>
      <c r="N67" s="98">
        <f>M67+L67</f>
        <v>0</v>
      </c>
      <c r="O67" s="81"/>
      <c r="P67" s="82"/>
      <c r="Q67" s="82" t="e">
        <f>N67/F67</f>
        <v>#DIV/0!</v>
      </c>
    </row>
    <row r="68" spans="2:19" ht="16" customHeight="1" x14ac:dyDescent="0.4">
      <c r="B68" t="e">
        <v>#REF!</v>
      </c>
      <c r="C68" s="30"/>
      <c r="D68" s="30"/>
      <c r="E68" s="30"/>
      <c r="F68" s="6"/>
      <c r="H68" t="s">
        <v>147</v>
      </c>
      <c r="J68">
        <f>1400*0.73</f>
        <v>1022</v>
      </c>
    </row>
    <row r="69" spans="2:19" ht="16" customHeight="1" x14ac:dyDescent="0.4">
      <c r="B69" t="e">
        <v>#REF!</v>
      </c>
      <c r="F69" s="6"/>
      <c r="J69">
        <f>J67+J68-250</f>
        <v>772</v>
      </c>
      <c r="L69" t="s">
        <v>148</v>
      </c>
    </row>
    <row r="70" spans="2:19" ht="16" customHeight="1" x14ac:dyDescent="0.4">
      <c r="B70" t="e">
        <v>#REF!</v>
      </c>
      <c r="F70" s="6"/>
      <c r="J70">
        <f>J69*0.73</f>
        <v>563.55999999999995</v>
      </c>
    </row>
    <row r="71" spans="2:19" ht="16" customHeight="1" x14ac:dyDescent="0.4">
      <c r="F71" s="6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"/>
  <sheetViews>
    <sheetView topLeftCell="A27" zoomScale="68" zoomScaleNormal="91" workbookViewId="0">
      <selection activeCell="D94" sqref="D94"/>
    </sheetView>
  </sheetViews>
  <sheetFormatPr defaultColWidth="8.81640625" defaultRowHeight="14.5" x14ac:dyDescent="0.35"/>
  <cols>
    <col min="1" max="1" width="23.81640625" customWidth="1"/>
    <col min="2" max="2" width="18.1796875" customWidth="1"/>
    <col min="3" max="3" width="29.453125" customWidth="1"/>
    <col min="4" max="4" width="17.453125" bestFit="1" customWidth="1"/>
    <col min="5" max="5" width="17.453125" customWidth="1"/>
    <col min="6" max="6" width="18" customWidth="1"/>
    <col min="7" max="7" width="8.36328125" customWidth="1"/>
    <col min="9" max="9" width="19.36328125" customWidth="1"/>
    <col min="10" max="10" width="19.81640625" customWidth="1"/>
    <col min="11" max="11" width="20.36328125" customWidth="1"/>
    <col min="14" max="14" width="12.36328125" customWidth="1"/>
    <col min="16" max="16" width="17.6328125" customWidth="1"/>
    <col min="17" max="17" width="17.453125" customWidth="1"/>
    <col min="22" max="22" width="20.1796875" customWidth="1"/>
    <col min="23" max="23" width="14.81640625" customWidth="1"/>
    <col min="24" max="24" width="17.453125" customWidth="1"/>
    <col min="25" max="25" width="11.1796875" customWidth="1"/>
    <col min="26" max="26" width="15.08984375" customWidth="1"/>
    <col min="27" max="27" width="17.1796875" customWidth="1"/>
  </cols>
  <sheetData>
    <row r="1" spans="1:28" ht="16" customHeight="1" x14ac:dyDescent="0.4">
      <c r="A1" s="72"/>
      <c r="B1" s="77"/>
      <c r="C1" s="74"/>
      <c r="D1" s="47"/>
      <c r="E1" s="23"/>
      <c r="F1" s="1"/>
      <c r="G1" s="3"/>
      <c r="H1" s="3"/>
      <c r="I1" s="3"/>
      <c r="J1" s="3"/>
      <c r="K1" s="4"/>
      <c r="L1" s="5"/>
      <c r="M1" s="6"/>
      <c r="N1" s="1"/>
      <c r="O1" s="3"/>
      <c r="P1" s="3"/>
      <c r="Q1" s="3"/>
      <c r="R1" s="3"/>
      <c r="S1" s="4"/>
      <c r="T1" s="5"/>
      <c r="V1" s="1"/>
      <c r="W1" s="3"/>
      <c r="X1" s="3"/>
      <c r="Y1" s="3"/>
      <c r="Z1" s="3"/>
      <c r="AA1" s="4"/>
      <c r="AB1" s="5"/>
    </row>
    <row r="2" spans="1:28" x14ac:dyDescent="0.35">
      <c r="A2" s="11"/>
      <c r="B2" s="12"/>
      <c r="C2" s="12"/>
      <c r="E2" s="24"/>
      <c r="F2" s="39"/>
      <c r="G2" s="37"/>
      <c r="H2" s="46"/>
      <c r="I2" s="39"/>
      <c r="J2" s="39"/>
      <c r="K2" s="39"/>
      <c r="L2" s="41"/>
      <c r="N2" s="36"/>
      <c r="O2" s="37"/>
      <c r="P2" s="38"/>
      <c r="Q2" s="39"/>
      <c r="R2" s="39"/>
      <c r="S2" s="40"/>
      <c r="T2" s="41"/>
      <c r="V2" s="36"/>
      <c r="W2" s="37"/>
      <c r="X2" s="38"/>
      <c r="Y2" s="39"/>
      <c r="Z2" s="39"/>
      <c r="AA2" s="40"/>
      <c r="AB2" s="41"/>
    </row>
    <row r="3" spans="1:28" x14ac:dyDescent="0.35">
      <c r="A3" s="11"/>
      <c r="B3" s="13"/>
      <c r="C3" s="13"/>
      <c r="F3" s="39"/>
      <c r="G3" s="37"/>
      <c r="H3" s="46"/>
      <c r="I3" s="39"/>
      <c r="J3" s="39"/>
      <c r="K3" s="39"/>
      <c r="L3" s="41"/>
      <c r="N3" s="36"/>
      <c r="O3" s="37"/>
      <c r="P3" s="38"/>
      <c r="Q3" s="39"/>
      <c r="R3" s="39"/>
      <c r="S3" s="40"/>
      <c r="T3" s="41"/>
      <c r="V3" s="36"/>
      <c r="W3" s="37"/>
      <c r="X3" s="38"/>
      <c r="Y3" s="39"/>
      <c r="Z3" s="39"/>
      <c r="AA3" s="40"/>
      <c r="AB3" s="41"/>
    </row>
    <row r="4" spans="1:28" x14ac:dyDescent="0.35">
      <c r="A4" s="11"/>
      <c r="B4" s="14"/>
      <c r="C4" s="12"/>
      <c r="F4" s="39"/>
      <c r="G4" s="37"/>
      <c r="H4" s="46"/>
      <c r="I4" s="39"/>
      <c r="J4" s="39"/>
      <c r="K4" s="39"/>
      <c r="L4" s="41"/>
      <c r="N4" s="36"/>
      <c r="O4" s="37"/>
      <c r="P4" s="38"/>
      <c r="Q4" s="39"/>
      <c r="R4" s="39"/>
      <c r="S4" s="40"/>
      <c r="T4" s="41"/>
      <c r="V4" s="36"/>
      <c r="W4" s="37"/>
      <c r="X4" s="38"/>
      <c r="Y4" s="39"/>
      <c r="Z4" s="39"/>
      <c r="AA4" s="40"/>
      <c r="AB4" s="41"/>
    </row>
    <row r="5" spans="1:28" x14ac:dyDescent="0.35">
      <c r="A5" s="11"/>
      <c r="B5" s="13"/>
      <c r="C5" s="13"/>
      <c r="F5" s="39"/>
      <c r="G5" s="37"/>
      <c r="H5" s="46"/>
      <c r="I5" s="39"/>
      <c r="J5" s="39"/>
      <c r="K5" s="39"/>
      <c r="L5" s="41"/>
      <c r="N5" s="36"/>
      <c r="O5" s="37"/>
      <c r="P5" s="38"/>
      <c r="Q5" s="39"/>
      <c r="R5" s="39"/>
      <c r="S5" s="40"/>
      <c r="T5" s="41"/>
      <c r="V5" s="36"/>
      <c r="W5" s="37"/>
      <c r="X5" s="38"/>
      <c r="Y5" s="39"/>
      <c r="Z5" s="39"/>
      <c r="AA5" s="40"/>
      <c r="AB5" s="41"/>
    </row>
    <row r="6" spans="1:28" x14ac:dyDescent="0.35">
      <c r="A6" s="11"/>
      <c r="B6" s="14"/>
      <c r="C6" s="12"/>
      <c r="F6" s="39"/>
      <c r="G6" s="37"/>
      <c r="H6" s="46"/>
      <c r="I6" s="39"/>
      <c r="J6" s="39"/>
      <c r="K6" s="39"/>
      <c r="L6" s="41"/>
      <c r="N6" s="36"/>
      <c r="O6" s="37"/>
      <c r="P6" s="38"/>
      <c r="Q6" s="39"/>
      <c r="R6" s="39"/>
      <c r="S6" s="40"/>
      <c r="T6" s="41"/>
      <c r="V6" s="36"/>
      <c r="W6" s="37"/>
      <c r="X6" s="38"/>
      <c r="Y6" s="39"/>
      <c r="Z6" s="39"/>
      <c r="AA6" s="40"/>
      <c r="AB6" s="41"/>
    </row>
    <row r="7" spans="1:28" x14ac:dyDescent="0.35">
      <c r="A7" s="11"/>
      <c r="B7" s="13"/>
      <c r="C7" s="13"/>
      <c r="F7" s="39"/>
      <c r="G7" s="37"/>
      <c r="H7" s="46"/>
      <c r="I7" s="39"/>
      <c r="J7" s="39"/>
      <c r="K7" s="39"/>
      <c r="L7" s="41"/>
      <c r="N7" s="36"/>
      <c r="O7" s="37"/>
      <c r="P7" s="38"/>
      <c r="Q7" s="39"/>
      <c r="R7" s="39"/>
      <c r="S7" s="40"/>
      <c r="T7" s="41"/>
      <c r="V7" s="36"/>
      <c r="W7" s="37"/>
      <c r="X7" s="38"/>
      <c r="Y7" s="39"/>
      <c r="Z7" s="39"/>
      <c r="AA7" s="40"/>
      <c r="AB7" s="41"/>
    </row>
    <row r="8" spans="1:28" x14ac:dyDescent="0.35">
      <c r="A8" s="11"/>
      <c r="B8" s="14"/>
      <c r="C8" s="12"/>
      <c r="F8" s="39"/>
      <c r="G8" s="37"/>
      <c r="H8" s="46"/>
      <c r="I8" s="39"/>
      <c r="J8" s="39"/>
      <c r="K8" s="39"/>
      <c r="L8" s="41"/>
      <c r="N8" s="36"/>
      <c r="O8" s="37"/>
      <c r="P8" s="38"/>
      <c r="Q8" s="39"/>
      <c r="R8" s="39"/>
      <c r="S8" s="40"/>
      <c r="T8" s="41"/>
      <c r="V8" s="36"/>
      <c r="W8" s="37"/>
      <c r="X8" s="38"/>
      <c r="Y8" s="39"/>
      <c r="Z8" s="39"/>
      <c r="AA8" s="40"/>
      <c r="AB8" s="41"/>
    </row>
    <row r="9" spans="1:28" x14ac:dyDescent="0.35">
      <c r="A9" s="11"/>
      <c r="B9" s="13"/>
      <c r="C9" s="13"/>
      <c r="F9" s="39"/>
      <c r="G9" s="37"/>
      <c r="H9" s="46"/>
      <c r="I9" s="39"/>
      <c r="J9" s="39"/>
      <c r="K9" s="39"/>
      <c r="L9" s="41"/>
      <c r="N9" s="36"/>
      <c r="O9" s="37"/>
      <c r="P9" s="38"/>
      <c r="Q9" s="39"/>
      <c r="R9" s="39"/>
      <c r="S9" s="40"/>
      <c r="T9" s="41"/>
      <c r="V9" s="36"/>
      <c r="W9" s="37"/>
      <c r="X9" s="38"/>
      <c r="Y9" s="39"/>
      <c r="Z9" s="39"/>
      <c r="AA9" s="40"/>
      <c r="AB9" s="41"/>
    </row>
    <row r="10" spans="1:28" x14ac:dyDescent="0.35">
      <c r="A10" s="11"/>
      <c r="B10" s="14"/>
      <c r="C10" s="12"/>
      <c r="F10" s="39"/>
      <c r="G10" s="37"/>
      <c r="H10" s="39"/>
      <c r="I10" s="39"/>
      <c r="J10" s="39"/>
      <c r="K10" s="39"/>
      <c r="L10" s="41"/>
      <c r="N10" s="36"/>
      <c r="O10" s="42"/>
      <c r="P10" s="43"/>
      <c r="Q10" s="44"/>
      <c r="R10" s="44"/>
      <c r="S10" s="40"/>
      <c r="T10" s="41"/>
      <c r="V10" s="36"/>
      <c r="W10" s="42"/>
      <c r="X10" s="43"/>
      <c r="Y10" s="44"/>
      <c r="Z10" s="44"/>
      <c r="AA10" s="40"/>
      <c r="AB10" s="41"/>
    </row>
    <row r="11" spans="1:28" x14ac:dyDescent="0.35">
      <c r="A11" s="11"/>
      <c r="B11" s="13"/>
      <c r="C11" s="13"/>
      <c r="F11" s="39"/>
      <c r="G11" s="37"/>
      <c r="H11" s="46"/>
      <c r="I11" s="39"/>
      <c r="J11" s="39"/>
      <c r="K11" s="39"/>
      <c r="L11" s="41"/>
      <c r="N11" s="36"/>
      <c r="O11" s="37"/>
      <c r="P11" s="38"/>
      <c r="Q11" s="39"/>
      <c r="R11" s="39"/>
      <c r="S11" s="40"/>
      <c r="T11" s="41"/>
      <c r="V11" s="36"/>
      <c r="W11" s="37"/>
      <c r="X11" s="38"/>
      <c r="Y11" s="39"/>
      <c r="Z11" s="39"/>
      <c r="AA11" s="40"/>
      <c r="AB11" s="41"/>
    </row>
    <row r="12" spans="1:28" x14ac:dyDescent="0.35">
      <c r="A12" s="11"/>
      <c r="B12" s="14"/>
      <c r="C12" s="12"/>
      <c r="F12" s="39"/>
      <c r="G12" s="37"/>
      <c r="H12" s="46"/>
      <c r="I12" s="39"/>
      <c r="J12" s="39"/>
      <c r="K12" s="39"/>
      <c r="L12" s="41"/>
      <c r="N12" s="36"/>
      <c r="O12" s="37"/>
      <c r="P12" s="38"/>
      <c r="Q12" s="39"/>
      <c r="R12" s="39"/>
      <c r="S12" s="40"/>
      <c r="T12" s="41"/>
      <c r="V12" s="36"/>
      <c r="W12" s="37"/>
      <c r="X12" s="38"/>
      <c r="Y12" s="39"/>
      <c r="Z12" s="39"/>
      <c r="AA12" s="40"/>
      <c r="AB12" s="41"/>
    </row>
    <row r="13" spans="1:28" x14ac:dyDescent="0.35">
      <c r="A13" s="11"/>
      <c r="B13" s="13"/>
      <c r="C13" s="13"/>
      <c r="F13" s="39"/>
      <c r="G13" s="37"/>
      <c r="H13" s="46"/>
      <c r="I13" s="39"/>
      <c r="J13" s="39"/>
      <c r="K13" s="39"/>
      <c r="L13" s="41"/>
      <c r="N13" s="36"/>
      <c r="O13" s="37"/>
      <c r="P13" s="38"/>
      <c r="Q13" s="39"/>
      <c r="R13" s="39"/>
      <c r="S13" s="40"/>
      <c r="T13" s="41"/>
      <c r="V13" s="36"/>
      <c r="W13" s="36"/>
      <c r="X13" s="36"/>
      <c r="Y13" s="36"/>
      <c r="Z13" s="36"/>
      <c r="AA13" s="36"/>
      <c r="AB13" s="36"/>
    </row>
    <row r="14" spans="1:28" x14ac:dyDescent="0.35">
      <c r="A14" s="11"/>
      <c r="B14" s="14"/>
      <c r="C14" s="12"/>
      <c r="F14" s="39"/>
      <c r="G14" s="37"/>
      <c r="H14" s="46"/>
      <c r="I14" s="39"/>
      <c r="J14" s="39"/>
      <c r="K14" s="39"/>
      <c r="L14" s="41"/>
      <c r="N14" s="36"/>
      <c r="O14" s="37"/>
      <c r="P14" s="38"/>
      <c r="Q14" s="39"/>
      <c r="R14" s="39"/>
      <c r="S14" s="40"/>
      <c r="T14" s="41"/>
      <c r="V14" s="36"/>
      <c r="W14" s="37"/>
      <c r="X14" s="38"/>
      <c r="Y14" s="39"/>
      <c r="Z14" s="39"/>
      <c r="AA14" s="40"/>
      <c r="AB14" s="41"/>
    </row>
    <row r="15" spans="1:28" x14ac:dyDescent="0.35">
      <c r="A15" s="11"/>
      <c r="B15" s="13"/>
      <c r="C15" s="13"/>
      <c r="F15" s="39"/>
      <c r="G15" s="37"/>
      <c r="H15" s="46"/>
      <c r="I15" s="39"/>
      <c r="J15" s="39"/>
      <c r="K15" s="39"/>
      <c r="L15" s="41"/>
      <c r="N15" s="36"/>
      <c r="O15" s="37"/>
      <c r="P15" s="38"/>
      <c r="Q15" s="39"/>
      <c r="R15" s="39"/>
      <c r="S15" s="40"/>
      <c r="T15" s="41"/>
      <c r="V15" s="36"/>
      <c r="W15" s="37"/>
      <c r="X15" s="38"/>
      <c r="Y15" s="39"/>
      <c r="Z15" s="39"/>
      <c r="AA15" s="40"/>
      <c r="AB15" s="41"/>
    </row>
    <row r="16" spans="1:28" x14ac:dyDescent="0.35">
      <c r="A16" s="11"/>
      <c r="B16" s="14"/>
      <c r="C16" s="12"/>
      <c r="F16" s="39"/>
      <c r="G16" s="37"/>
      <c r="H16" s="46"/>
      <c r="I16" s="39"/>
      <c r="J16" s="39"/>
      <c r="K16" s="39"/>
      <c r="L16" s="41"/>
      <c r="N16" s="36"/>
      <c r="O16" s="37"/>
      <c r="P16" s="38"/>
      <c r="Q16" s="39"/>
      <c r="R16" s="39"/>
      <c r="S16" s="40"/>
      <c r="T16" s="41"/>
      <c r="V16" s="36"/>
      <c r="W16" s="37"/>
      <c r="X16" s="38"/>
      <c r="Y16" s="39"/>
      <c r="Z16" s="39"/>
      <c r="AA16" s="40"/>
      <c r="AB16" s="41"/>
    </row>
    <row r="17" spans="1:28" x14ac:dyDescent="0.35">
      <c r="A17" s="11"/>
      <c r="B17" s="13"/>
      <c r="C17" s="13"/>
      <c r="F17" s="39"/>
      <c r="G17" s="37"/>
      <c r="H17" s="46"/>
      <c r="I17" s="39"/>
      <c r="J17" s="39"/>
      <c r="K17" s="39"/>
      <c r="L17" s="41"/>
      <c r="N17" s="36"/>
      <c r="O17" s="37"/>
      <c r="P17" s="38"/>
      <c r="Q17" s="39"/>
      <c r="R17" s="39"/>
      <c r="S17" s="40"/>
      <c r="T17" s="41"/>
      <c r="V17" s="36"/>
      <c r="W17" s="37"/>
      <c r="X17" s="38"/>
      <c r="Y17" s="39"/>
      <c r="Z17" s="39"/>
      <c r="AA17" s="40"/>
      <c r="AB17" s="41"/>
    </row>
    <row r="18" spans="1:28" x14ac:dyDescent="0.35">
      <c r="A18" s="11"/>
      <c r="B18" s="14"/>
      <c r="C18" s="12"/>
      <c r="F18" s="39"/>
      <c r="G18" s="37"/>
      <c r="H18" s="46"/>
      <c r="I18" s="39"/>
      <c r="J18" s="39"/>
      <c r="K18" s="39"/>
      <c r="L18" s="41"/>
      <c r="N18" s="36"/>
      <c r="O18" s="37"/>
      <c r="P18" s="38"/>
      <c r="Q18" s="39"/>
      <c r="R18" s="39"/>
      <c r="S18" s="40"/>
      <c r="T18" s="41"/>
      <c r="V18" s="36"/>
      <c r="W18" s="37"/>
      <c r="X18" s="38"/>
      <c r="Y18" s="39"/>
      <c r="Z18" s="39"/>
      <c r="AA18" s="40"/>
      <c r="AB18" s="41"/>
    </row>
    <row r="19" spans="1:28" x14ac:dyDescent="0.35">
      <c r="A19" s="11"/>
      <c r="B19" s="13"/>
      <c r="C19" s="13"/>
      <c r="F19" s="39"/>
      <c r="G19" s="37"/>
      <c r="H19" s="46"/>
      <c r="I19" s="39"/>
      <c r="J19" s="39"/>
      <c r="K19" s="39"/>
      <c r="L19" s="41"/>
      <c r="N19" s="36"/>
      <c r="O19" s="37"/>
      <c r="P19" s="38"/>
      <c r="Q19" s="39"/>
      <c r="R19" s="39"/>
      <c r="S19" s="40"/>
      <c r="T19" s="41"/>
      <c r="V19" s="36"/>
      <c r="W19" s="37"/>
      <c r="X19" s="38"/>
      <c r="Y19" s="39"/>
      <c r="Z19" s="39"/>
      <c r="AA19" s="40"/>
      <c r="AB19" s="41"/>
    </row>
    <row r="20" spans="1:28" x14ac:dyDescent="0.35">
      <c r="A20" s="25"/>
      <c r="B20" s="13"/>
      <c r="C20" s="12"/>
      <c r="F20" s="39"/>
      <c r="G20" s="37"/>
      <c r="H20" s="37"/>
      <c r="I20" s="37"/>
      <c r="J20" s="37"/>
      <c r="K20" s="37"/>
      <c r="L20" s="37"/>
      <c r="N20" s="36"/>
      <c r="O20" s="37"/>
      <c r="P20" s="37"/>
      <c r="Q20" s="37"/>
      <c r="R20" s="37"/>
      <c r="S20" s="37"/>
      <c r="T20" s="37"/>
      <c r="V20" s="36"/>
      <c r="W20" s="37"/>
      <c r="X20" s="37"/>
      <c r="Y20" s="39"/>
      <c r="Z20" s="39"/>
      <c r="AA20" s="40"/>
      <c r="AB20" s="41"/>
    </row>
    <row r="21" spans="1:28" x14ac:dyDescent="0.35">
      <c r="A21" s="25"/>
      <c r="B21" s="13"/>
      <c r="C21" s="13"/>
      <c r="F21" s="39"/>
      <c r="G21" s="37"/>
      <c r="H21" s="37"/>
      <c r="I21" s="37"/>
      <c r="J21" s="37"/>
      <c r="K21" s="37"/>
      <c r="L21" s="37"/>
      <c r="N21" s="36"/>
      <c r="O21" s="37"/>
      <c r="P21" s="37"/>
      <c r="Q21" s="37"/>
      <c r="R21" s="37"/>
      <c r="S21" s="37"/>
      <c r="T21" s="37"/>
      <c r="V21" s="36"/>
      <c r="W21" s="37"/>
      <c r="X21" s="37"/>
      <c r="Y21" s="39"/>
      <c r="Z21" s="39"/>
      <c r="AA21" s="40"/>
      <c r="AB21" s="41"/>
    </row>
    <row r="22" spans="1:28" x14ac:dyDescent="0.35">
      <c r="A22" s="25"/>
      <c r="B22" s="13"/>
      <c r="C22" s="12"/>
      <c r="F22" s="39"/>
      <c r="V22" s="36"/>
      <c r="W22" s="37"/>
      <c r="X22" s="38"/>
      <c r="Y22" s="39"/>
      <c r="Z22" s="39"/>
      <c r="AA22" s="40"/>
      <c r="AB22" s="41"/>
    </row>
    <row r="23" spans="1:28" x14ac:dyDescent="0.35">
      <c r="A23" s="11"/>
      <c r="B23" s="13"/>
      <c r="C23" s="13"/>
      <c r="F23" s="39"/>
      <c r="G23" s="39"/>
      <c r="H23" s="39"/>
      <c r="I23" s="39"/>
      <c r="J23" s="39"/>
      <c r="K23" s="39"/>
      <c r="L23" s="41"/>
      <c r="N23" s="36"/>
      <c r="O23" s="42"/>
      <c r="P23" s="43"/>
      <c r="Q23" s="44"/>
      <c r="R23" s="44"/>
      <c r="S23" s="40"/>
      <c r="T23" s="41"/>
      <c r="V23" s="36"/>
      <c r="W23" s="42"/>
      <c r="X23" s="43"/>
      <c r="Y23" s="44"/>
      <c r="Z23" s="44"/>
      <c r="AA23" s="40"/>
      <c r="AB23" s="41"/>
    </row>
    <row r="24" spans="1:28" x14ac:dyDescent="0.35">
      <c r="A24" s="11"/>
      <c r="B24" s="13"/>
      <c r="C24" s="12"/>
      <c r="F24" s="39"/>
      <c r="G24" s="37"/>
      <c r="H24" s="46"/>
      <c r="I24" s="39"/>
      <c r="J24" s="39"/>
      <c r="K24" s="39"/>
      <c r="L24" s="41"/>
      <c r="N24" s="36"/>
      <c r="O24" s="37"/>
      <c r="P24" s="38"/>
      <c r="Q24" s="39"/>
      <c r="R24" s="39"/>
      <c r="S24" s="40"/>
      <c r="T24" s="41"/>
      <c r="V24" s="36"/>
      <c r="W24" s="37"/>
      <c r="X24" s="38"/>
      <c r="Y24" s="39"/>
      <c r="Z24" s="39"/>
      <c r="AA24" s="40"/>
      <c r="AB24" s="41"/>
    </row>
    <row r="25" spans="1:28" x14ac:dyDescent="0.35">
      <c r="A25" s="11"/>
      <c r="B25" s="13"/>
      <c r="C25" s="13"/>
      <c r="F25" s="39"/>
      <c r="G25" s="37"/>
      <c r="H25" s="46"/>
      <c r="I25" s="39"/>
      <c r="J25" s="39"/>
      <c r="K25" s="39"/>
      <c r="L25" s="41"/>
      <c r="N25" s="36"/>
      <c r="O25" s="37"/>
      <c r="P25" s="38"/>
      <c r="Q25" s="39"/>
      <c r="R25" s="39"/>
      <c r="S25" s="40"/>
      <c r="T25" s="41"/>
      <c r="V25" s="36"/>
      <c r="W25" s="37"/>
      <c r="X25" s="38"/>
      <c r="Y25" s="39"/>
      <c r="Z25" s="39"/>
      <c r="AA25" s="40"/>
      <c r="AB25" s="41"/>
    </row>
    <row r="26" spans="1:28" x14ac:dyDescent="0.35">
      <c r="A26" s="11"/>
      <c r="B26" s="13"/>
      <c r="C26" s="12"/>
      <c r="F26" s="39"/>
      <c r="G26" s="37"/>
      <c r="H26" s="46"/>
      <c r="I26" s="39"/>
      <c r="J26" s="39"/>
      <c r="K26" s="39"/>
      <c r="L26" s="41"/>
      <c r="N26" s="36"/>
      <c r="O26" s="37"/>
      <c r="P26" s="38"/>
      <c r="Q26" s="39"/>
      <c r="R26" s="39"/>
      <c r="S26" s="40"/>
      <c r="T26" s="41"/>
      <c r="V26" s="36"/>
      <c r="W26" s="37"/>
      <c r="X26" s="38"/>
      <c r="Y26" s="39"/>
      <c r="Z26" s="39"/>
      <c r="AA26" s="40"/>
      <c r="AB26" s="41"/>
    </row>
    <row r="27" spans="1:28" x14ac:dyDescent="0.35">
      <c r="A27" s="11"/>
      <c r="B27" s="13"/>
      <c r="C27" s="13"/>
      <c r="F27" s="39"/>
      <c r="G27" s="39"/>
      <c r="H27" s="39"/>
      <c r="I27" s="39"/>
      <c r="J27" s="39"/>
      <c r="K27" s="39"/>
      <c r="L27" s="41"/>
      <c r="N27" s="36"/>
      <c r="O27" s="42"/>
      <c r="P27" s="38"/>
      <c r="Q27" s="39"/>
      <c r="R27" s="39"/>
      <c r="S27" s="40"/>
      <c r="T27" s="41"/>
      <c r="V27" s="36"/>
      <c r="W27" s="42"/>
      <c r="X27" s="38"/>
      <c r="Y27" s="39"/>
      <c r="Z27" s="39"/>
      <c r="AA27" s="40"/>
      <c r="AB27" s="41"/>
    </row>
    <row r="28" spans="1:28" x14ac:dyDescent="0.35">
      <c r="A28" s="11"/>
      <c r="B28" s="13"/>
      <c r="C28" s="12"/>
      <c r="F28" s="39"/>
      <c r="G28" s="37"/>
      <c r="H28" s="46"/>
      <c r="I28" s="39"/>
      <c r="J28" s="39"/>
      <c r="K28" s="39"/>
      <c r="L28" s="41"/>
      <c r="N28" s="36"/>
      <c r="O28" s="37"/>
      <c r="P28" s="38"/>
      <c r="Q28" s="39"/>
      <c r="R28" s="39"/>
      <c r="S28" s="40"/>
      <c r="T28" s="41"/>
      <c r="V28" s="36"/>
      <c r="W28" s="37"/>
      <c r="X28" s="38"/>
      <c r="Y28" s="39"/>
      <c r="Z28" s="39"/>
      <c r="AA28" s="40"/>
      <c r="AB28" s="41"/>
    </row>
    <row r="29" spans="1:28" x14ac:dyDescent="0.35">
      <c r="A29" s="11"/>
      <c r="B29" s="13"/>
      <c r="C29" s="13"/>
      <c r="F29" s="39"/>
      <c r="G29" s="39"/>
      <c r="H29" s="39"/>
      <c r="I29" s="39"/>
      <c r="J29" s="39"/>
      <c r="K29" s="39"/>
      <c r="L29" s="41"/>
      <c r="N29" s="36"/>
      <c r="O29" s="42"/>
      <c r="P29" s="43"/>
      <c r="Q29" s="44"/>
      <c r="R29" s="44"/>
      <c r="S29" s="40"/>
      <c r="T29" s="41"/>
      <c r="V29" s="36"/>
      <c r="W29" s="42"/>
      <c r="X29" s="43"/>
      <c r="Y29" s="44"/>
      <c r="Z29" s="44"/>
      <c r="AA29" s="40"/>
      <c r="AB29" s="41"/>
    </row>
    <row r="30" spans="1:28" x14ac:dyDescent="0.35">
      <c r="A30" s="11"/>
      <c r="B30" s="13"/>
      <c r="C30" s="12"/>
      <c r="F30" s="39"/>
      <c r="G30" s="37"/>
      <c r="H30" s="46"/>
      <c r="I30" s="39"/>
      <c r="J30" s="39"/>
      <c r="K30" s="39"/>
      <c r="L30" s="41"/>
      <c r="N30" s="36"/>
      <c r="O30" s="37"/>
      <c r="P30" s="38"/>
      <c r="Q30" s="39"/>
      <c r="R30" s="39"/>
      <c r="S30" s="40"/>
      <c r="T30" s="41"/>
      <c r="V30" s="36"/>
      <c r="W30" s="37"/>
      <c r="X30" s="38"/>
      <c r="Y30" s="39"/>
      <c r="Z30" s="39"/>
      <c r="AA30" s="40"/>
      <c r="AB30" s="41"/>
    </row>
    <row r="31" spans="1:28" x14ac:dyDescent="0.35">
      <c r="A31" s="11"/>
      <c r="B31" s="13"/>
      <c r="C31" s="13"/>
      <c r="F31" s="39"/>
      <c r="G31" s="39"/>
      <c r="H31" s="46"/>
      <c r="I31" s="39"/>
      <c r="J31" s="39"/>
      <c r="K31" s="39"/>
      <c r="L31" s="41"/>
      <c r="N31" s="36"/>
      <c r="O31" s="39"/>
      <c r="P31" s="38"/>
      <c r="Q31" s="39"/>
      <c r="R31" s="39"/>
      <c r="S31" s="40"/>
      <c r="T31" s="41"/>
      <c r="V31" s="36"/>
      <c r="W31" s="39"/>
      <c r="X31" s="38"/>
      <c r="Y31" s="39"/>
      <c r="Z31" s="39"/>
      <c r="AA31" s="40"/>
      <c r="AB31" s="41"/>
    </row>
    <row r="32" spans="1:28" x14ac:dyDescent="0.35">
      <c r="A32" s="11"/>
      <c r="B32" s="13"/>
      <c r="C32" s="12"/>
      <c r="F32" s="39"/>
      <c r="G32" s="39"/>
      <c r="H32" s="46"/>
      <c r="I32" s="39"/>
      <c r="J32" s="39"/>
      <c r="K32" s="39"/>
      <c r="L32" s="41"/>
      <c r="N32" s="36"/>
      <c r="O32" s="39"/>
      <c r="P32" s="38"/>
      <c r="Q32" s="39"/>
      <c r="R32" s="39"/>
      <c r="S32" s="40"/>
      <c r="T32" s="41"/>
      <c r="V32" s="36"/>
      <c r="W32" s="39"/>
      <c r="X32" s="38"/>
      <c r="Y32" s="39"/>
      <c r="Z32" s="39"/>
      <c r="AA32" s="40"/>
      <c r="AB32" s="41"/>
    </row>
    <row r="33" spans="1:28" x14ac:dyDescent="0.35">
      <c r="A33" s="11"/>
      <c r="B33" s="13"/>
      <c r="C33" s="13"/>
      <c r="F33" s="39"/>
      <c r="G33" s="39"/>
      <c r="H33" s="46"/>
      <c r="I33" s="39"/>
      <c r="J33" s="39"/>
      <c r="K33" s="39"/>
      <c r="L33" s="41"/>
      <c r="N33" s="36"/>
      <c r="O33" s="39"/>
      <c r="P33" s="38"/>
      <c r="Q33" s="39"/>
      <c r="R33" s="39"/>
      <c r="S33" s="40"/>
      <c r="T33" s="41"/>
      <c r="V33" s="36"/>
      <c r="W33" s="39"/>
      <c r="X33" s="38"/>
      <c r="Y33" s="39"/>
      <c r="Z33" s="39"/>
      <c r="AA33" s="40"/>
      <c r="AB33" s="41"/>
    </row>
    <row r="34" spans="1:28" x14ac:dyDescent="0.35">
      <c r="A34" s="11"/>
      <c r="B34" s="13"/>
      <c r="C34" s="12"/>
      <c r="F34" s="39"/>
      <c r="G34" s="39"/>
      <c r="H34" s="46"/>
      <c r="I34" s="39"/>
      <c r="J34" s="39"/>
      <c r="K34" s="39"/>
      <c r="L34" s="41"/>
      <c r="N34" s="36"/>
      <c r="O34" s="39"/>
      <c r="P34" s="38"/>
      <c r="Q34" s="39"/>
      <c r="R34" s="39"/>
      <c r="S34" s="40"/>
      <c r="T34" s="41"/>
      <c r="V34" s="36"/>
      <c r="W34" s="39"/>
      <c r="X34" s="38"/>
      <c r="Y34" s="39"/>
      <c r="Z34" s="39"/>
      <c r="AA34" s="40"/>
      <c r="AB34" s="41"/>
    </row>
    <row r="35" spans="1:28" x14ac:dyDescent="0.35">
      <c r="A35" s="11"/>
      <c r="B35" s="13"/>
      <c r="C35" s="13"/>
      <c r="F35" s="39"/>
      <c r="G35" s="39"/>
      <c r="H35" s="39"/>
      <c r="I35" s="39"/>
      <c r="J35" s="39"/>
      <c r="K35" s="39"/>
      <c r="L35" s="41"/>
      <c r="N35" s="36"/>
      <c r="O35" s="41"/>
      <c r="P35" s="43"/>
      <c r="Q35" s="44"/>
      <c r="R35" s="39"/>
      <c r="S35" s="40"/>
      <c r="T35" s="41"/>
      <c r="V35" s="36"/>
      <c r="W35" s="39"/>
      <c r="X35" s="38"/>
      <c r="Y35" s="39"/>
      <c r="Z35" s="39"/>
      <c r="AA35" s="40"/>
      <c r="AB35" s="41"/>
    </row>
    <row r="36" spans="1:28" x14ac:dyDescent="0.35">
      <c r="A36" s="15"/>
      <c r="B36" s="13"/>
      <c r="C36" s="12"/>
      <c r="F36" s="39"/>
      <c r="G36" s="39"/>
      <c r="H36" s="39"/>
      <c r="I36" s="39"/>
      <c r="J36" s="39"/>
      <c r="K36" s="39"/>
      <c r="L36" s="41"/>
      <c r="N36" s="36"/>
      <c r="O36" s="44"/>
      <c r="P36" s="43"/>
      <c r="Q36" s="44"/>
      <c r="R36" s="39"/>
      <c r="S36" s="40"/>
      <c r="T36" s="41"/>
      <c r="V36" s="36"/>
      <c r="W36" s="41"/>
      <c r="X36" s="41"/>
      <c r="Y36" s="41"/>
      <c r="Z36" s="41"/>
      <c r="AA36" s="41"/>
    </row>
    <row r="37" spans="1:28" x14ac:dyDescent="0.35">
      <c r="A37" s="25"/>
      <c r="B37" s="13"/>
      <c r="C37" s="13"/>
      <c r="F37" s="39"/>
      <c r="V37" s="36"/>
      <c r="W37" s="39"/>
      <c r="X37" s="38"/>
      <c r="Y37" s="39"/>
      <c r="Z37" s="39"/>
      <c r="AA37" s="40"/>
      <c r="AB37" s="41"/>
    </row>
    <row r="38" spans="1:28" x14ac:dyDescent="0.35">
      <c r="A38" s="15"/>
      <c r="B38" s="13"/>
      <c r="C38" s="12"/>
      <c r="F38" s="39"/>
      <c r="G38" s="39"/>
      <c r="H38" s="39"/>
      <c r="I38" s="39"/>
      <c r="J38" s="39"/>
      <c r="K38" s="39"/>
      <c r="L38" s="41"/>
      <c r="N38" s="36"/>
      <c r="O38" s="44"/>
      <c r="P38" s="41"/>
      <c r="Q38" s="44"/>
      <c r="R38" s="39"/>
      <c r="S38" s="40"/>
      <c r="T38" s="41"/>
      <c r="V38" s="36"/>
      <c r="W38" s="39"/>
      <c r="X38" s="39"/>
      <c r="Y38" s="39"/>
      <c r="Z38" s="39"/>
      <c r="AA38" s="40"/>
      <c r="AB38" s="41"/>
    </row>
    <row r="39" spans="1:28" x14ac:dyDescent="0.35">
      <c r="A39" s="15"/>
      <c r="B39" s="13"/>
      <c r="C39" s="13"/>
      <c r="F39" s="39"/>
      <c r="G39" s="39"/>
      <c r="H39" s="39"/>
      <c r="I39" s="39"/>
      <c r="J39" s="39"/>
      <c r="K39" s="39"/>
      <c r="L39" s="41"/>
      <c r="N39" s="36"/>
      <c r="O39" s="44"/>
      <c r="P39" s="41"/>
      <c r="Q39" s="44"/>
      <c r="R39" s="39"/>
      <c r="S39" s="40"/>
      <c r="T39" s="41"/>
      <c r="V39" s="36"/>
      <c r="W39" s="39"/>
      <c r="X39" s="39"/>
      <c r="Y39" s="39"/>
      <c r="Z39" s="39"/>
      <c r="AA39" s="40"/>
      <c r="AB39" s="41"/>
    </row>
    <row r="40" spans="1:28" x14ac:dyDescent="0.35">
      <c r="A40" s="11"/>
      <c r="B40" s="13"/>
      <c r="C40" s="12"/>
      <c r="F40" s="39"/>
      <c r="G40" s="39"/>
      <c r="H40" s="46"/>
      <c r="I40" s="39"/>
      <c r="J40" s="39"/>
      <c r="K40" s="39"/>
      <c r="L40" s="41"/>
      <c r="N40" s="36"/>
      <c r="O40" s="39"/>
      <c r="P40" s="38"/>
      <c r="Q40" s="39"/>
      <c r="R40" s="39"/>
      <c r="S40" s="40"/>
      <c r="T40" s="41"/>
      <c r="V40" s="36"/>
      <c r="W40" s="39"/>
      <c r="X40" s="38"/>
      <c r="Y40" s="39"/>
      <c r="Z40" s="39"/>
      <c r="AA40" s="40"/>
      <c r="AB40" s="41"/>
    </row>
    <row r="41" spans="1:28" x14ac:dyDescent="0.35">
      <c r="A41" s="11"/>
      <c r="B41" s="13"/>
      <c r="C41" s="13"/>
      <c r="F41" s="39"/>
      <c r="G41" s="39"/>
      <c r="H41" s="46"/>
      <c r="I41" s="39"/>
      <c r="J41" s="39"/>
      <c r="K41" s="39"/>
      <c r="L41" s="41"/>
      <c r="N41" s="36"/>
      <c r="O41" s="39"/>
      <c r="P41" s="38"/>
      <c r="Q41" s="39"/>
      <c r="R41" s="39"/>
      <c r="S41" s="40"/>
      <c r="T41" s="41"/>
      <c r="V41" s="36"/>
      <c r="W41" s="39"/>
      <c r="X41" s="38"/>
      <c r="Y41" s="39"/>
      <c r="Z41" s="39"/>
      <c r="AA41" s="40"/>
      <c r="AB41" s="41"/>
    </row>
    <row r="42" spans="1:28" x14ac:dyDescent="0.35">
      <c r="A42" s="11"/>
      <c r="B42" s="13"/>
      <c r="C42" s="12"/>
      <c r="F42" s="39"/>
      <c r="G42" s="39"/>
      <c r="H42" s="46"/>
      <c r="I42" s="39"/>
      <c r="J42" s="39"/>
      <c r="K42" s="39"/>
      <c r="L42" s="41"/>
      <c r="N42" s="36"/>
      <c r="O42" s="39"/>
      <c r="P42" s="38"/>
      <c r="Q42" s="39"/>
      <c r="R42" s="39"/>
      <c r="S42" s="40"/>
      <c r="T42" s="41"/>
      <c r="V42" s="36"/>
      <c r="W42" s="39"/>
      <c r="X42" s="38"/>
      <c r="Y42" s="39"/>
      <c r="Z42" s="39"/>
      <c r="AA42" s="40"/>
      <c r="AB42" s="41"/>
    </row>
    <row r="43" spans="1:28" x14ac:dyDescent="0.35">
      <c r="A43" s="11"/>
      <c r="B43" s="13"/>
      <c r="C43" s="13"/>
      <c r="F43" s="39"/>
      <c r="G43" s="39"/>
      <c r="H43" s="46"/>
      <c r="I43" s="39"/>
      <c r="J43" s="39"/>
      <c r="K43" s="39"/>
      <c r="L43" s="41"/>
      <c r="N43" s="36"/>
      <c r="O43" s="39"/>
      <c r="P43" s="38"/>
      <c r="Q43" s="39"/>
      <c r="R43" s="39"/>
      <c r="S43" s="40"/>
      <c r="T43" s="41"/>
      <c r="V43" s="36"/>
      <c r="W43" s="39"/>
      <c r="X43" s="38"/>
      <c r="Y43" s="39"/>
      <c r="Z43" s="39"/>
      <c r="AA43" s="40"/>
      <c r="AB43" s="41"/>
    </row>
    <row r="44" spans="1:28" x14ac:dyDescent="0.35">
      <c r="A44" s="11"/>
      <c r="B44" s="13"/>
      <c r="C44" s="12"/>
      <c r="F44" s="39"/>
      <c r="G44" s="39"/>
      <c r="H44" s="46"/>
      <c r="I44" s="39"/>
      <c r="J44" s="39"/>
      <c r="K44" s="39"/>
      <c r="L44" s="41"/>
      <c r="N44" s="36"/>
      <c r="O44" s="39"/>
      <c r="P44" s="38"/>
      <c r="Q44" s="39"/>
      <c r="R44" s="39"/>
      <c r="S44" s="40"/>
      <c r="T44" s="41"/>
      <c r="V44" s="36"/>
      <c r="W44" s="41"/>
      <c r="X44" s="41"/>
      <c r="Y44" s="41"/>
      <c r="Z44" s="41"/>
      <c r="AA44" s="41"/>
    </row>
    <row r="45" spans="1:28" x14ac:dyDescent="0.35">
      <c r="A45" s="25"/>
      <c r="B45" s="13"/>
      <c r="C45" s="13"/>
      <c r="F45" s="39"/>
      <c r="V45" s="36"/>
      <c r="W45" s="39"/>
      <c r="X45" s="38"/>
      <c r="Y45" s="39"/>
      <c r="Z45" s="39"/>
      <c r="AA45" s="40"/>
      <c r="AB45" s="41"/>
    </row>
    <row r="46" spans="1:28" x14ac:dyDescent="0.35">
      <c r="A46" s="11"/>
      <c r="B46" s="13"/>
      <c r="C46" s="12"/>
      <c r="F46" s="39"/>
      <c r="G46" s="39"/>
      <c r="H46" s="46"/>
      <c r="I46" s="39"/>
      <c r="J46" s="39"/>
      <c r="K46" s="39"/>
      <c r="L46" s="41"/>
      <c r="N46" s="36"/>
      <c r="O46" s="39"/>
      <c r="P46" s="38"/>
      <c r="Q46" s="39"/>
      <c r="R46" s="39"/>
      <c r="S46" s="40"/>
      <c r="T46" s="41"/>
      <c r="V46" s="36"/>
      <c r="W46" s="39"/>
      <c r="X46" s="38"/>
      <c r="Y46" s="39"/>
      <c r="Z46" s="39"/>
      <c r="AA46" s="40"/>
      <c r="AB46" s="41"/>
    </row>
    <row r="47" spans="1:28" x14ac:dyDescent="0.35">
      <c r="A47" s="11"/>
      <c r="B47" s="13"/>
      <c r="C47" s="13"/>
      <c r="F47" s="39"/>
      <c r="G47" s="39"/>
      <c r="H47" s="46"/>
      <c r="I47" s="39"/>
      <c r="J47" s="39"/>
      <c r="K47" s="39"/>
      <c r="L47" s="41"/>
      <c r="N47" s="36"/>
      <c r="O47" s="39"/>
      <c r="P47" s="38"/>
      <c r="Q47" s="39"/>
      <c r="R47" s="39"/>
      <c r="S47" s="40"/>
      <c r="T47" s="41"/>
      <c r="V47" s="36"/>
      <c r="W47" s="39"/>
      <c r="X47" s="38"/>
      <c r="Y47" s="39"/>
      <c r="Z47" s="39"/>
      <c r="AA47" s="40"/>
      <c r="AB47" s="41"/>
    </row>
    <row r="48" spans="1:28" x14ac:dyDescent="0.35">
      <c r="A48" s="11"/>
      <c r="B48" s="13"/>
      <c r="C48" s="12"/>
      <c r="F48" s="39"/>
      <c r="G48" s="39"/>
      <c r="H48" s="46"/>
      <c r="I48" s="39"/>
      <c r="J48" s="39"/>
      <c r="K48" s="39"/>
      <c r="L48" s="41"/>
      <c r="N48" s="36"/>
      <c r="O48" s="39"/>
      <c r="P48" s="38"/>
      <c r="Q48" s="39"/>
      <c r="R48" s="39"/>
      <c r="S48" s="40"/>
      <c r="T48" s="41"/>
      <c r="V48" s="36"/>
      <c r="W48" s="39"/>
      <c r="X48" s="38"/>
      <c r="Y48" s="39"/>
      <c r="Z48" s="39"/>
      <c r="AA48" s="40"/>
      <c r="AB48" s="41"/>
    </row>
    <row r="49" spans="1:28" x14ac:dyDescent="0.35">
      <c r="A49" s="11"/>
      <c r="B49" s="13"/>
      <c r="C49" s="13"/>
      <c r="F49" s="39"/>
      <c r="G49" s="39"/>
      <c r="H49" s="39"/>
      <c r="I49" s="39"/>
      <c r="J49" s="39"/>
      <c r="K49" s="39"/>
      <c r="L49" s="41"/>
      <c r="N49" s="36"/>
      <c r="O49" s="44"/>
      <c r="P49" s="43"/>
      <c r="Q49" s="44"/>
      <c r="R49" s="44"/>
      <c r="S49" s="45"/>
      <c r="T49" s="41"/>
      <c r="V49" s="36"/>
      <c r="W49" s="39"/>
      <c r="X49" s="38"/>
      <c r="Y49" s="39"/>
      <c r="Z49" s="39"/>
      <c r="AA49" s="39"/>
      <c r="AB49" s="41"/>
    </row>
    <row r="50" spans="1:28" x14ac:dyDescent="0.35">
      <c r="A50" s="15"/>
      <c r="B50" s="13"/>
      <c r="C50" s="12"/>
      <c r="F50" s="39"/>
      <c r="G50" s="39"/>
      <c r="H50" s="39"/>
      <c r="I50" s="39"/>
      <c r="J50" s="39"/>
      <c r="K50" s="39"/>
      <c r="L50" s="41"/>
      <c r="N50" s="36"/>
      <c r="O50" s="44"/>
      <c r="P50" s="43"/>
      <c r="Q50" s="44"/>
      <c r="R50" s="44"/>
      <c r="S50" s="45"/>
      <c r="T50" s="41"/>
      <c r="V50" s="36"/>
      <c r="W50" s="39"/>
      <c r="X50" s="38"/>
      <c r="Y50" s="39"/>
      <c r="Z50" s="39"/>
      <c r="AA50" s="39"/>
      <c r="AB50" s="41"/>
    </row>
    <row r="51" spans="1:28" x14ac:dyDescent="0.35">
      <c r="A51" s="11"/>
      <c r="B51" s="13"/>
      <c r="C51" s="13"/>
      <c r="F51" s="39"/>
      <c r="G51" s="39"/>
      <c r="H51" s="46"/>
      <c r="I51" s="39"/>
      <c r="J51" s="39"/>
      <c r="K51" s="39"/>
      <c r="L51" s="41"/>
      <c r="N51" s="36"/>
      <c r="O51" s="39"/>
      <c r="P51" s="38"/>
      <c r="Q51" s="39"/>
      <c r="R51" s="39"/>
      <c r="S51" s="40"/>
      <c r="T51" s="41"/>
      <c r="V51" s="36"/>
      <c r="W51" s="39"/>
      <c r="X51" s="38"/>
      <c r="Y51" s="39"/>
      <c r="Z51" s="39"/>
      <c r="AA51" s="40"/>
      <c r="AB51" s="41"/>
    </row>
    <row r="52" spans="1:28" x14ac:dyDescent="0.35">
      <c r="A52" s="11"/>
      <c r="B52" s="13"/>
      <c r="C52" s="12"/>
      <c r="F52" s="39"/>
      <c r="G52" s="39"/>
      <c r="H52" s="46"/>
      <c r="I52" s="39"/>
      <c r="J52" s="39"/>
      <c r="K52" s="39"/>
      <c r="L52" s="41"/>
      <c r="N52" s="36"/>
      <c r="O52" s="39"/>
      <c r="P52" s="38"/>
      <c r="Q52" s="39"/>
      <c r="R52" s="39"/>
      <c r="S52" s="40"/>
      <c r="T52" s="41"/>
      <c r="V52" s="36"/>
      <c r="W52" s="39"/>
      <c r="X52" s="38"/>
      <c r="Y52" s="39"/>
      <c r="Z52" s="39"/>
      <c r="AA52" s="40"/>
      <c r="AB52" s="41"/>
    </row>
    <row r="53" spans="1:28" x14ac:dyDescent="0.35">
      <c r="A53" s="11"/>
      <c r="B53" s="13"/>
      <c r="C53" s="13"/>
      <c r="F53" s="39"/>
      <c r="G53" s="39"/>
      <c r="H53" s="46"/>
      <c r="I53" s="39"/>
      <c r="J53" s="39"/>
      <c r="K53" s="39"/>
      <c r="L53" s="41"/>
      <c r="N53" s="36"/>
      <c r="O53" s="39"/>
      <c r="P53" s="38"/>
      <c r="Q53" s="39"/>
      <c r="R53" s="39"/>
      <c r="S53" s="40"/>
      <c r="T53" s="41"/>
      <c r="V53" s="36"/>
      <c r="W53" s="39"/>
      <c r="X53" s="38"/>
      <c r="Y53" s="39"/>
      <c r="Z53" s="39"/>
      <c r="AA53" s="40"/>
      <c r="AB53" s="41"/>
    </row>
    <row r="54" spans="1:28" x14ac:dyDescent="0.35">
      <c r="A54" s="11"/>
      <c r="B54" s="13"/>
      <c r="C54" s="12"/>
      <c r="F54" s="39"/>
      <c r="G54" s="39"/>
      <c r="H54" s="46"/>
      <c r="I54" s="39"/>
      <c r="J54" s="39"/>
      <c r="K54" s="39"/>
      <c r="L54" s="41"/>
      <c r="N54" s="36"/>
      <c r="O54" s="39"/>
      <c r="P54" s="38"/>
      <c r="Q54" s="39"/>
      <c r="R54" s="39"/>
      <c r="S54" s="40"/>
      <c r="T54" s="41"/>
      <c r="V54" s="36"/>
      <c r="W54" s="39"/>
      <c r="X54" s="38"/>
      <c r="Y54" s="39"/>
      <c r="Z54" s="39"/>
      <c r="AA54" s="40"/>
      <c r="AB54" s="41"/>
    </row>
    <row r="55" spans="1:28" x14ac:dyDescent="0.35">
      <c r="A55" s="11"/>
      <c r="B55" s="13"/>
      <c r="C55" s="13"/>
      <c r="F55" s="39"/>
      <c r="G55" s="39"/>
      <c r="H55" s="46"/>
      <c r="I55" s="39"/>
      <c r="J55" s="39"/>
      <c r="K55" s="39"/>
      <c r="L55" s="41"/>
      <c r="N55" s="36"/>
      <c r="O55" s="39"/>
      <c r="P55" s="38"/>
      <c r="Q55" s="39"/>
      <c r="R55" s="39"/>
      <c r="S55" s="40"/>
      <c r="T55" s="41"/>
      <c r="V55" s="36"/>
      <c r="W55" s="39"/>
      <c r="X55" s="38"/>
      <c r="Y55" s="39"/>
      <c r="Z55" s="39"/>
      <c r="AA55" s="40"/>
      <c r="AB55" s="41"/>
    </row>
    <row r="56" spans="1:28" x14ac:dyDescent="0.35">
      <c r="A56" s="11"/>
      <c r="B56" s="13"/>
      <c r="C56" s="12"/>
      <c r="F56" s="39"/>
      <c r="G56" s="39"/>
      <c r="H56" s="46"/>
      <c r="I56" s="39"/>
      <c r="J56" s="39"/>
      <c r="K56" s="39"/>
      <c r="L56" s="41"/>
      <c r="N56" s="36"/>
      <c r="O56" s="39"/>
      <c r="P56" s="38"/>
      <c r="Q56" s="39"/>
      <c r="R56" s="39"/>
      <c r="S56" s="40"/>
      <c r="T56" s="41"/>
      <c r="V56" s="36"/>
      <c r="W56" s="39"/>
      <c r="X56" s="38"/>
      <c r="Y56" s="39"/>
      <c r="Z56" s="39"/>
      <c r="AA56" s="40"/>
      <c r="AB56" s="41"/>
    </row>
    <row r="57" spans="1:28" x14ac:dyDescent="0.35">
      <c r="A57" s="11"/>
      <c r="B57" s="13"/>
      <c r="C57" s="13"/>
      <c r="E57" s="49"/>
      <c r="F57" s="39"/>
      <c r="G57" s="39"/>
      <c r="H57" s="46"/>
      <c r="I57" s="39"/>
      <c r="J57" s="39"/>
      <c r="K57" s="39"/>
      <c r="L57" s="41"/>
      <c r="N57" s="36"/>
      <c r="O57" s="39"/>
      <c r="P57" s="38"/>
      <c r="Q57" s="39"/>
      <c r="R57" s="39"/>
      <c r="S57" s="40"/>
      <c r="T57" s="41"/>
      <c r="V57" s="36"/>
      <c r="W57" s="39"/>
      <c r="X57" s="38"/>
      <c r="Y57" s="39"/>
      <c r="Z57" s="39"/>
      <c r="AA57" s="40"/>
      <c r="AB57" s="41"/>
    </row>
    <row r="58" spans="1:28" x14ac:dyDescent="0.35">
      <c r="A58" s="11"/>
      <c r="B58" s="13"/>
      <c r="C58" s="12"/>
      <c r="E58" s="49"/>
      <c r="F58" s="39"/>
      <c r="G58" s="39"/>
      <c r="H58" s="46"/>
      <c r="I58" s="39"/>
      <c r="J58" s="39"/>
      <c r="K58" s="39"/>
      <c r="L58" s="41"/>
      <c r="N58" s="36"/>
      <c r="O58" s="39"/>
      <c r="P58" s="38"/>
      <c r="Q58" s="39"/>
      <c r="R58" s="39"/>
      <c r="S58" s="40"/>
      <c r="T58" s="41"/>
      <c r="V58" s="36"/>
      <c r="W58" s="39"/>
      <c r="X58" s="38"/>
      <c r="Y58" s="39"/>
      <c r="Z58" s="39"/>
      <c r="AA58" s="40"/>
      <c r="AB58" s="41"/>
    </row>
    <row r="59" spans="1:28" x14ac:dyDescent="0.35">
      <c r="A59" s="11"/>
      <c r="B59" s="13"/>
      <c r="C59" s="13"/>
      <c r="E59" s="49"/>
      <c r="F59" s="39"/>
      <c r="G59" s="39"/>
      <c r="H59" s="46"/>
      <c r="I59" s="39"/>
      <c r="J59" s="39"/>
      <c r="K59" s="39"/>
      <c r="L59" s="41"/>
      <c r="N59" s="36"/>
      <c r="O59" s="39"/>
      <c r="P59" s="38"/>
      <c r="Q59" s="39"/>
      <c r="R59" s="39"/>
      <c r="S59" s="40"/>
      <c r="T59" s="41"/>
      <c r="V59" s="36"/>
      <c r="W59" s="39"/>
      <c r="X59" s="38"/>
      <c r="Y59" s="39"/>
      <c r="Z59" s="39"/>
      <c r="AA59" s="40"/>
      <c r="AB59" s="41"/>
    </row>
    <row r="60" spans="1:28" x14ac:dyDescent="0.35">
      <c r="A60" s="11"/>
      <c r="B60" s="13"/>
      <c r="C60" s="12"/>
      <c r="E60" s="49"/>
      <c r="F60" s="39"/>
      <c r="G60" s="39"/>
      <c r="H60" s="46"/>
      <c r="I60" s="39"/>
      <c r="J60" s="39"/>
      <c r="K60" s="39"/>
      <c r="L60" s="41"/>
      <c r="N60" s="36"/>
      <c r="O60" s="39"/>
      <c r="P60" s="38"/>
      <c r="Q60" s="39"/>
      <c r="R60" s="39"/>
      <c r="S60" s="40"/>
      <c r="T60" s="41"/>
      <c r="V60" s="36"/>
      <c r="W60" s="39"/>
      <c r="X60" s="38"/>
      <c r="Y60" s="39"/>
      <c r="Z60" s="39"/>
      <c r="AA60" s="40"/>
      <c r="AB60" s="41"/>
    </row>
    <row r="61" spans="1:28" x14ac:dyDescent="0.35">
      <c r="A61" s="11"/>
      <c r="B61" s="13"/>
      <c r="C61" s="13"/>
      <c r="E61" s="49"/>
      <c r="F61" s="39"/>
      <c r="G61" s="39"/>
      <c r="H61" s="46"/>
      <c r="I61" s="39"/>
      <c r="J61" s="39"/>
      <c r="K61" s="39"/>
      <c r="L61" s="41"/>
      <c r="N61" s="36"/>
      <c r="O61" s="39"/>
      <c r="P61" s="38"/>
      <c r="Q61" s="39"/>
      <c r="R61" s="39"/>
      <c r="S61" s="40"/>
      <c r="T61" s="41"/>
      <c r="V61" s="36"/>
      <c r="W61" s="39"/>
      <c r="X61" s="38"/>
      <c r="Y61" s="39"/>
      <c r="Z61" s="39"/>
      <c r="AA61" s="40"/>
      <c r="AB61" s="41"/>
    </row>
    <row r="62" spans="1:28" x14ac:dyDescent="0.35">
      <c r="A62" s="11"/>
      <c r="B62" s="13"/>
      <c r="C62" s="12"/>
      <c r="D62" s="50"/>
      <c r="E62" s="26"/>
      <c r="F62" s="39"/>
      <c r="G62" s="39"/>
      <c r="H62" s="46"/>
      <c r="I62" s="39"/>
      <c r="J62" s="39"/>
      <c r="K62" s="39"/>
      <c r="L62" s="41"/>
      <c r="N62" s="36"/>
      <c r="O62" s="39"/>
      <c r="P62" s="38"/>
      <c r="Q62" s="39"/>
      <c r="R62" s="39"/>
      <c r="S62" s="40"/>
      <c r="T62" s="41"/>
      <c r="V62" s="36"/>
      <c r="W62" s="39"/>
      <c r="X62" s="38"/>
      <c r="Y62" s="39"/>
      <c r="Z62" s="39"/>
      <c r="AA62" s="40"/>
      <c r="AB62" s="41"/>
    </row>
    <row r="63" spans="1:28" x14ac:dyDescent="0.35">
      <c r="A63" s="11"/>
      <c r="B63" s="13"/>
      <c r="C63" s="13"/>
      <c r="D63" s="50"/>
      <c r="E63" s="52"/>
      <c r="F63" s="39"/>
      <c r="G63" s="39"/>
      <c r="H63" s="39"/>
      <c r="I63" s="39"/>
      <c r="J63" s="39"/>
      <c r="K63" s="39"/>
      <c r="L63" s="41"/>
      <c r="N63" s="36"/>
      <c r="O63" s="44"/>
      <c r="P63" s="43"/>
      <c r="Q63" s="44"/>
      <c r="R63" s="44"/>
      <c r="S63" s="40"/>
      <c r="T63" s="41"/>
      <c r="V63" s="36"/>
      <c r="W63" s="39"/>
      <c r="X63" s="38"/>
      <c r="Y63" s="39"/>
      <c r="Z63" s="39"/>
      <c r="AA63" s="40"/>
      <c r="AB63" s="41"/>
    </row>
    <row r="64" spans="1:28" x14ac:dyDescent="0.35">
      <c r="A64" s="15"/>
      <c r="B64" s="13"/>
      <c r="C64" s="12"/>
      <c r="D64" s="55"/>
      <c r="E64" s="26"/>
      <c r="F64" s="39"/>
      <c r="G64" s="39"/>
      <c r="H64" s="39"/>
      <c r="I64" s="39"/>
      <c r="J64" s="39"/>
      <c r="K64" s="39"/>
      <c r="L64" s="41"/>
      <c r="N64" s="36"/>
      <c r="O64" s="44"/>
      <c r="P64" s="43"/>
      <c r="Q64" s="44"/>
      <c r="R64" s="44"/>
      <c r="S64" s="40"/>
      <c r="T64" s="41"/>
      <c r="V64" s="36"/>
      <c r="W64" s="39"/>
      <c r="X64" s="38"/>
      <c r="Y64" s="39"/>
      <c r="Z64" s="39"/>
      <c r="AA64" s="40"/>
      <c r="AB64" s="41"/>
    </row>
    <row r="65" spans="1:28" x14ac:dyDescent="0.35">
      <c r="A65" s="15"/>
      <c r="B65" s="13"/>
      <c r="C65" s="13"/>
      <c r="D65" s="48"/>
      <c r="E65" s="49"/>
      <c r="F65" s="39"/>
      <c r="G65" s="39"/>
      <c r="H65" s="39"/>
      <c r="I65" s="39"/>
      <c r="J65" s="39"/>
      <c r="K65" s="39"/>
      <c r="L65" s="41"/>
      <c r="N65" s="36"/>
      <c r="O65" s="44"/>
      <c r="P65" s="43"/>
      <c r="Q65" s="44"/>
      <c r="R65" s="44"/>
      <c r="S65" s="40"/>
      <c r="T65" s="41"/>
      <c r="V65" s="36"/>
      <c r="W65" s="39"/>
      <c r="X65" s="38"/>
      <c r="Y65" s="39"/>
      <c r="Z65" s="39"/>
      <c r="AA65" s="40"/>
      <c r="AB65" s="41"/>
    </row>
    <row r="66" spans="1:28" x14ac:dyDescent="0.35">
      <c r="A66" s="15"/>
      <c r="B66" s="13"/>
      <c r="C66" s="12"/>
      <c r="D66" s="48"/>
      <c r="E66" s="49"/>
      <c r="F66" s="39"/>
      <c r="G66" s="39"/>
      <c r="H66" s="39"/>
      <c r="I66" s="39"/>
      <c r="J66" s="39"/>
      <c r="K66" s="39"/>
      <c r="L66" s="41"/>
      <c r="N66" s="36"/>
      <c r="O66" s="44"/>
      <c r="P66" s="43"/>
      <c r="Q66" s="44"/>
      <c r="R66" s="44"/>
      <c r="S66" s="40"/>
      <c r="T66" s="41"/>
      <c r="V66" s="36"/>
      <c r="W66" s="39"/>
      <c r="X66" s="38"/>
      <c r="Y66" s="39"/>
      <c r="Z66" s="39"/>
      <c r="AA66" s="40"/>
      <c r="AB66" s="41"/>
    </row>
    <row r="67" spans="1:28" ht="18.5" customHeight="1" x14ac:dyDescent="0.45">
      <c r="A67" s="35"/>
      <c r="B67" s="78"/>
      <c r="C67" s="78"/>
      <c r="E67" s="49"/>
      <c r="F67" s="25"/>
      <c r="G67" s="51"/>
      <c r="H67" s="51"/>
      <c r="I67" s="51"/>
      <c r="J67" s="51"/>
      <c r="K67" s="51"/>
      <c r="L67" s="52"/>
      <c r="M67" s="52"/>
      <c r="N67" s="25"/>
      <c r="O67" s="51"/>
      <c r="P67" s="51"/>
      <c r="Q67" s="51"/>
      <c r="R67" s="51"/>
      <c r="S67" s="51"/>
      <c r="T67" s="52"/>
      <c r="U67" s="52"/>
      <c r="V67" s="25"/>
      <c r="W67" s="51"/>
      <c r="X67" s="51"/>
      <c r="Y67" s="51"/>
      <c r="Z67" s="51"/>
      <c r="AA67" s="51"/>
      <c r="AB67" s="52"/>
    </row>
    <row r="68" spans="1:28" ht="18.5" customHeight="1" x14ac:dyDescent="0.45">
      <c r="A68" s="35"/>
      <c r="B68" s="70"/>
      <c r="C68" s="61"/>
      <c r="E68" s="49"/>
      <c r="F68" s="25"/>
      <c r="G68" s="62"/>
      <c r="H68" s="63"/>
      <c r="I68" s="63"/>
      <c r="J68" s="63"/>
      <c r="K68" s="64"/>
      <c r="L68" s="65"/>
      <c r="M68" s="53"/>
      <c r="N68" s="25"/>
      <c r="O68" s="62"/>
      <c r="P68" s="62"/>
      <c r="Q68" s="62"/>
      <c r="R68" s="62"/>
      <c r="S68" s="66"/>
      <c r="T68" s="67"/>
      <c r="U68" s="52"/>
      <c r="V68" s="25"/>
      <c r="W68" s="62"/>
      <c r="X68" s="62"/>
      <c r="Y68" s="62"/>
      <c r="Z68" s="62"/>
      <c r="AA68" s="66"/>
      <c r="AB68" s="67"/>
    </row>
    <row r="69" spans="1:28" ht="18.5" customHeight="1" x14ac:dyDescent="0.45">
      <c r="A69" s="73"/>
      <c r="B69" s="71"/>
      <c r="C69" s="54"/>
      <c r="E69" s="49"/>
      <c r="F69" s="25"/>
      <c r="G69" s="56"/>
      <c r="H69" s="56"/>
      <c r="I69" s="56"/>
      <c r="J69" s="56"/>
      <c r="K69" s="56"/>
      <c r="L69" s="56"/>
      <c r="M69" s="56"/>
      <c r="N69" s="25"/>
      <c r="O69" s="56"/>
      <c r="P69" s="56"/>
      <c r="Q69" s="56"/>
      <c r="R69" s="56"/>
      <c r="S69" s="56"/>
      <c r="T69" s="56"/>
      <c r="U69" s="52"/>
      <c r="V69" s="25"/>
      <c r="W69" s="56"/>
      <c r="X69" s="56"/>
      <c r="Y69" s="56"/>
      <c r="Z69" s="56"/>
      <c r="AA69" s="56"/>
      <c r="AB69" s="56"/>
    </row>
    <row r="70" spans="1:28" ht="18.5" customHeight="1" x14ac:dyDescent="0.45">
      <c r="A70" s="73"/>
      <c r="B70" s="59"/>
      <c r="C70" s="100"/>
      <c r="E70" s="49"/>
      <c r="J70" s="8"/>
      <c r="K70" s="68"/>
      <c r="R70" s="8"/>
      <c r="S70" s="68"/>
      <c r="Z70" s="8"/>
      <c r="AA70" s="68"/>
    </row>
    <row r="71" spans="1:28" x14ac:dyDescent="0.35">
      <c r="A71" s="57"/>
      <c r="B71" s="60"/>
      <c r="C71" s="58"/>
      <c r="E71" s="49"/>
      <c r="J71" s="8"/>
      <c r="K71" s="27"/>
      <c r="R71" s="8"/>
      <c r="S71" s="27"/>
      <c r="Z71" s="8"/>
      <c r="AA71" s="68"/>
    </row>
    <row r="72" spans="1:28" x14ac:dyDescent="0.35">
      <c r="C72" s="24"/>
      <c r="J72" s="8"/>
      <c r="K72" s="68"/>
      <c r="N72" s="2"/>
      <c r="O72" s="2"/>
      <c r="P72" s="2"/>
      <c r="R72" s="8"/>
      <c r="S72" s="68"/>
      <c r="V72" s="2"/>
      <c r="W72" s="2"/>
      <c r="X72" s="2"/>
      <c r="Y72" s="2"/>
      <c r="Z72" s="8"/>
      <c r="AA72" s="68"/>
    </row>
    <row r="73" spans="1:28" x14ac:dyDescent="0.35">
      <c r="G73" s="7"/>
      <c r="Z73" s="8"/>
      <c r="AA73" s="68"/>
    </row>
    <row r="74" spans="1:28" ht="26" customHeight="1" x14ac:dyDescent="0.6">
      <c r="A74" s="114"/>
    </row>
    <row r="75" spans="1:28" x14ac:dyDescent="0.35">
      <c r="B75" s="7"/>
      <c r="G75" s="7"/>
    </row>
    <row r="76" spans="1:28" x14ac:dyDescent="0.35">
      <c r="A76" t="s">
        <v>150</v>
      </c>
      <c r="B76">
        <f>SUM(B82:B113)</f>
        <v>-128188.23999999999</v>
      </c>
      <c r="G76" s="7"/>
      <c r="N76" t="s">
        <v>151</v>
      </c>
      <c r="O76">
        <v>1150</v>
      </c>
      <c r="P76">
        <f>27+27+15</f>
        <v>69</v>
      </c>
    </row>
    <row r="77" spans="1:28" x14ac:dyDescent="0.35">
      <c r="A77" t="s">
        <v>108</v>
      </c>
      <c r="B77" s="7">
        <f>B75-B76</f>
        <v>128188.23999999999</v>
      </c>
      <c r="N77" t="s">
        <v>99</v>
      </c>
      <c r="O77">
        <f>SUM(O73:O76)</f>
        <v>1150</v>
      </c>
      <c r="P77">
        <f>SUM(P73:P76)</f>
        <v>69</v>
      </c>
      <c r="V77" t="s">
        <v>99</v>
      </c>
      <c r="W77">
        <f>SUM(W73:W76)</f>
        <v>0</v>
      </c>
    </row>
    <row r="80" spans="1:28" x14ac:dyDescent="0.35">
      <c r="A80" t="s">
        <v>152</v>
      </c>
    </row>
    <row r="81" spans="1:5" x14ac:dyDescent="0.35">
      <c r="A81" t="s">
        <v>14</v>
      </c>
      <c r="B81" t="s">
        <v>31</v>
      </c>
      <c r="C81" t="s">
        <v>16</v>
      </c>
      <c r="D81" t="s">
        <v>17</v>
      </c>
      <c r="E81" t="s">
        <v>18</v>
      </c>
    </row>
    <row r="82" spans="1:5" x14ac:dyDescent="0.35">
      <c r="A82" t="s">
        <v>63</v>
      </c>
      <c r="B82" s="27">
        <v>-8966.9</v>
      </c>
      <c r="C82" t="s">
        <v>153</v>
      </c>
      <c r="D82">
        <v>45035860000</v>
      </c>
      <c r="E82" t="s">
        <v>154</v>
      </c>
    </row>
    <row r="83" spans="1:5" x14ac:dyDescent="0.35">
      <c r="A83" t="s">
        <v>77</v>
      </c>
      <c r="B83" s="27">
        <v>-2088</v>
      </c>
      <c r="C83" t="s">
        <v>155</v>
      </c>
      <c r="D83">
        <v>85429420000</v>
      </c>
      <c r="E83" t="s">
        <v>156</v>
      </c>
    </row>
    <row r="84" spans="1:5" x14ac:dyDescent="0.35">
      <c r="A84" t="s">
        <v>35</v>
      </c>
      <c r="B84" s="27">
        <v>-50000</v>
      </c>
      <c r="D84">
        <v>175694291</v>
      </c>
      <c r="E84" t="s">
        <v>157</v>
      </c>
    </row>
    <row r="85" spans="1:5" x14ac:dyDescent="0.35">
      <c r="A85" t="s">
        <v>158</v>
      </c>
      <c r="B85" s="27">
        <v>-32735</v>
      </c>
      <c r="C85" t="s">
        <v>155</v>
      </c>
      <c r="D85">
        <v>62748000000</v>
      </c>
      <c r="E85" t="s">
        <v>159</v>
      </c>
    </row>
    <row r="86" spans="1:5" x14ac:dyDescent="0.35">
      <c r="A86" t="s">
        <v>160</v>
      </c>
      <c r="B86" s="27">
        <v>-347.5</v>
      </c>
      <c r="C86" t="s">
        <v>155</v>
      </c>
      <c r="D86">
        <v>90089470000</v>
      </c>
      <c r="E86" t="s">
        <v>161</v>
      </c>
    </row>
    <row r="87" spans="1:5" x14ac:dyDescent="0.35">
      <c r="A87" t="s">
        <v>160</v>
      </c>
      <c r="B87" s="27">
        <v>-1150</v>
      </c>
      <c r="C87" t="s">
        <v>162</v>
      </c>
      <c r="D87">
        <v>90089480000</v>
      </c>
      <c r="E87" t="s">
        <v>163</v>
      </c>
    </row>
    <row r="88" spans="1:5" x14ac:dyDescent="0.35">
      <c r="A88" t="s">
        <v>160</v>
      </c>
      <c r="B88" s="27">
        <v>-486.5</v>
      </c>
      <c r="C88" t="s">
        <v>155</v>
      </c>
      <c r="D88">
        <v>90089460000</v>
      </c>
      <c r="E88" t="s">
        <v>164</v>
      </c>
    </row>
    <row r="89" spans="1:5" x14ac:dyDescent="0.35">
      <c r="A89" t="s">
        <v>160</v>
      </c>
      <c r="B89" s="27">
        <v>-32414.34</v>
      </c>
      <c r="C89" t="s">
        <v>155</v>
      </c>
      <c r="D89">
        <v>90089450000</v>
      </c>
      <c r="E89" t="s">
        <v>165</v>
      </c>
    </row>
    <row r="90" spans="1:5" x14ac:dyDescent="0.35">
      <c r="B90" s="27"/>
    </row>
    <row r="91" spans="1:5" x14ac:dyDescent="0.35">
      <c r="B91" s="27"/>
    </row>
    <row r="92" spans="1:5" x14ac:dyDescent="0.35">
      <c r="B92" s="27"/>
    </row>
    <row r="93" spans="1:5" x14ac:dyDescent="0.35">
      <c r="B93" s="27"/>
    </row>
    <row r="94" spans="1:5" x14ac:dyDescent="0.35">
      <c r="B94" s="27"/>
    </row>
    <row r="95" spans="1:5" x14ac:dyDescent="0.35">
      <c r="B95" s="27"/>
    </row>
    <row r="96" spans="1:5" x14ac:dyDescent="0.35">
      <c r="B96" s="27"/>
    </row>
    <row r="97" spans="2:2" x14ac:dyDescent="0.35">
      <c r="B97" s="27"/>
    </row>
    <row r="98" spans="2:2" x14ac:dyDescent="0.35">
      <c r="B98" s="27"/>
    </row>
    <row r="99" spans="2:2" x14ac:dyDescent="0.35">
      <c r="B99" s="27"/>
    </row>
    <row r="100" spans="2:2" x14ac:dyDescent="0.35">
      <c r="B100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46"/>
  <sheetViews>
    <sheetView topLeftCell="A102" zoomScale="70" zoomScaleNormal="85" workbookViewId="0">
      <selection activeCell="B144" sqref="B144"/>
    </sheetView>
  </sheetViews>
  <sheetFormatPr defaultColWidth="8.81640625" defaultRowHeight="14.5" x14ac:dyDescent="0.35"/>
  <cols>
    <col min="1" max="1" width="25.36328125" bestFit="1" customWidth="1"/>
    <col min="2" max="2" width="13.81640625" customWidth="1"/>
    <col min="4" max="4" width="17.6328125" customWidth="1"/>
    <col min="6" max="6" width="18.81640625" customWidth="1"/>
    <col min="7" max="7" width="13.81640625" customWidth="1"/>
    <col min="9" max="9" width="17.6328125" customWidth="1"/>
    <col min="11" max="11" width="17.81640625" customWidth="1"/>
    <col min="12" max="12" width="13.6328125" customWidth="1"/>
    <col min="13" max="13" width="10.453125" customWidth="1"/>
    <col min="14" max="14" width="17.453125" customWidth="1"/>
    <col min="17" max="17" width="22.81640625" customWidth="1"/>
  </cols>
  <sheetData>
    <row r="1" spans="1:14" ht="15.5" customHeight="1" x14ac:dyDescent="0.35">
      <c r="D1" s="17"/>
      <c r="F1" s="16"/>
      <c r="G1" s="16"/>
      <c r="H1" s="17"/>
      <c r="I1" s="17"/>
      <c r="J1" s="17"/>
      <c r="K1" s="16"/>
      <c r="L1" s="16"/>
      <c r="M1" s="17"/>
      <c r="N1" s="17"/>
    </row>
    <row r="2" spans="1:14" x14ac:dyDescent="0.35">
      <c r="A2" s="11"/>
      <c r="F2" s="96"/>
      <c r="G2" s="96"/>
      <c r="H2" s="96"/>
      <c r="I2" s="10"/>
      <c r="J2" s="10"/>
      <c r="K2" s="96"/>
      <c r="L2" s="96"/>
      <c r="M2" s="96"/>
      <c r="N2" s="10"/>
    </row>
    <row r="3" spans="1:14" x14ac:dyDescent="0.35">
      <c r="A3" s="15"/>
      <c r="F3" s="96"/>
      <c r="G3" s="96"/>
      <c r="H3" s="96"/>
      <c r="I3" s="10"/>
      <c r="J3" s="10"/>
      <c r="K3" s="96"/>
      <c r="L3" s="96"/>
      <c r="M3" s="96"/>
      <c r="N3" s="10"/>
    </row>
    <row r="4" spans="1:14" x14ac:dyDescent="0.35">
      <c r="A4" s="11"/>
      <c r="F4" s="96"/>
      <c r="G4" s="96"/>
      <c r="H4" s="96"/>
      <c r="I4" s="10"/>
      <c r="J4" s="10"/>
      <c r="K4" s="96"/>
      <c r="L4" s="96"/>
      <c r="M4" s="96"/>
      <c r="N4" s="10"/>
    </row>
    <row r="5" spans="1:14" x14ac:dyDescent="0.35">
      <c r="A5" s="11"/>
      <c r="F5" s="96"/>
      <c r="G5" s="96"/>
      <c r="H5" s="96"/>
      <c r="I5" s="10"/>
      <c r="J5" s="10"/>
      <c r="K5" s="96"/>
      <c r="L5" s="96"/>
      <c r="M5" s="96"/>
      <c r="N5" s="10"/>
    </row>
    <row r="6" spans="1:14" x14ac:dyDescent="0.35">
      <c r="A6" s="11"/>
      <c r="F6" s="96"/>
      <c r="G6" s="96"/>
      <c r="H6" s="96"/>
      <c r="I6" s="10"/>
      <c r="J6" s="10"/>
      <c r="K6" s="96"/>
      <c r="L6" s="96"/>
      <c r="M6" s="96"/>
      <c r="N6" s="10"/>
    </row>
    <row r="7" spans="1:14" x14ac:dyDescent="0.35">
      <c r="A7" s="11"/>
      <c r="F7" s="96"/>
      <c r="G7" s="96"/>
      <c r="H7" s="96"/>
      <c r="I7" s="10"/>
      <c r="J7" s="10"/>
      <c r="K7" s="96"/>
      <c r="L7" s="96"/>
      <c r="M7" s="96"/>
      <c r="N7" s="10"/>
    </row>
    <row r="8" spans="1:14" x14ac:dyDescent="0.35">
      <c r="A8" s="11"/>
      <c r="F8" s="96"/>
      <c r="G8" s="96"/>
      <c r="H8" s="96"/>
      <c r="I8" s="10"/>
      <c r="J8" s="10"/>
      <c r="K8" s="96"/>
      <c r="L8" s="96"/>
      <c r="M8" s="96"/>
      <c r="N8" s="10"/>
    </row>
    <row r="9" spans="1:14" x14ac:dyDescent="0.35">
      <c r="A9" s="11"/>
      <c r="F9" s="96"/>
      <c r="G9" s="96"/>
      <c r="H9" s="96"/>
      <c r="I9" s="10"/>
      <c r="J9" s="10"/>
      <c r="K9" s="96"/>
      <c r="L9" s="96"/>
      <c r="M9" s="96"/>
      <c r="N9" s="10"/>
    </row>
    <row r="10" spans="1:14" x14ac:dyDescent="0.35">
      <c r="A10" s="11"/>
      <c r="F10" s="96"/>
      <c r="G10" s="96"/>
      <c r="H10" s="96"/>
      <c r="I10" s="10"/>
      <c r="J10" s="10"/>
      <c r="K10" s="96"/>
      <c r="L10" s="96"/>
      <c r="M10" s="96"/>
      <c r="N10" s="10"/>
    </row>
    <row r="11" spans="1:14" x14ac:dyDescent="0.35">
      <c r="A11" s="11"/>
      <c r="F11" s="96"/>
      <c r="G11" s="96"/>
      <c r="H11" s="96"/>
      <c r="I11" s="10"/>
      <c r="J11" s="10"/>
      <c r="K11" s="96"/>
      <c r="L11" s="96"/>
      <c r="M11" s="96"/>
      <c r="N11" s="10"/>
    </row>
    <row r="12" spans="1:14" x14ac:dyDescent="0.35">
      <c r="A12" s="11"/>
      <c r="F12" s="96"/>
      <c r="G12" s="96"/>
      <c r="H12" s="96"/>
      <c r="I12" s="10"/>
      <c r="J12" s="10"/>
      <c r="K12" s="96"/>
      <c r="L12" s="96"/>
      <c r="M12" s="96"/>
      <c r="N12" s="10"/>
    </row>
    <row r="13" spans="1:14" x14ac:dyDescent="0.35">
      <c r="A13" s="11"/>
      <c r="F13" s="96"/>
      <c r="G13" s="96"/>
      <c r="H13" s="96"/>
      <c r="I13" s="10"/>
      <c r="J13" s="10"/>
      <c r="K13" s="96"/>
      <c r="L13" s="96"/>
      <c r="M13" s="96"/>
      <c r="N13" s="10"/>
    </row>
    <row r="14" spans="1:14" x14ac:dyDescent="0.35">
      <c r="A14" s="11"/>
      <c r="F14" s="96"/>
      <c r="G14" s="96"/>
      <c r="H14" s="96"/>
      <c r="I14" s="10"/>
      <c r="J14" s="10"/>
      <c r="K14" s="96"/>
      <c r="L14" s="96"/>
      <c r="M14" s="96"/>
      <c r="N14" s="10"/>
    </row>
    <row r="15" spans="1:14" x14ac:dyDescent="0.35">
      <c r="A15" s="11"/>
      <c r="F15" s="96"/>
      <c r="G15" s="96"/>
      <c r="H15" s="96"/>
      <c r="I15" s="10"/>
      <c r="J15" s="10"/>
      <c r="K15" s="96"/>
      <c r="L15" s="96"/>
      <c r="M15" s="96"/>
      <c r="N15" s="10"/>
    </row>
    <row r="16" spans="1:14" x14ac:dyDescent="0.35">
      <c r="A16" s="11"/>
      <c r="F16" s="96"/>
      <c r="G16" s="96"/>
      <c r="H16" s="96"/>
      <c r="I16" s="10"/>
      <c r="J16" s="10"/>
      <c r="K16" s="96"/>
      <c r="L16" s="96"/>
      <c r="M16" s="96"/>
      <c r="N16" s="10"/>
    </row>
    <row r="17" spans="1:14" x14ac:dyDescent="0.35">
      <c r="A17" s="11"/>
      <c r="F17" s="96"/>
      <c r="G17" s="96"/>
      <c r="H17" s="96"/>
      <c r="I17" s="10"/>
      <c r="J17" s="10"/>
      <c r="K17" s="96"/>
      <c r="L17" s="96"/>
      <c r="M17" s="96"/>
      <c r="N17" s="10"/>
    </row>
    <row r="18" spans="1:14" x14ac:dyDescent="0.35">
      <c r="A18" s="11"/>
      <c r="F18" s="96"/>
      <c r="G18" s="96"/>
      <c r="H18" s="96"/>
      <c r="I18" s="10"/>
      <c r="J18" s="10"/>
      <c r="K18" s="96"/>
      <c r="L18" s="96"/>
      <c r="M18" s="96"/>
      <c r="N18" s="10"/>
    </row>
    <row r="19" spans="1:14" x14ac:dyDescent="0.35">
      <c r="A19" s="11"/>
      <c r="F19" s="96"/>
      <c r="G19" s="96"/>
      <c r="H19" s="96"/>
      <c r="I19" s="10"/>
      <c r="J19" s="10"/>
      <c r="K19" s="96"/>
      <c r="L19" s="96"/>
      <c r="M19" s="96"/>
      <c r="N19" s="10"/>
    </row>
    <row r="20" spans="1:14" x14ac:dyDescent="0.35">
      <c r="A20" s="11"/>
      <c r="F20" s="96"/>
      <c r="G20" s="96"/>
      <c r="H20" s="96"/>
      <c r="I20" s="10"/>
      <c r="J20" s="10"/>
      <c r="K20" s="96"/>
      <c r="L20" s="96"/>
      <c r="M20" s="96"/>
      <c r="N20" s="10"/>
    </row>
    <row r="21" spans="1:14" x14ac:dyDescent="0.35">
      <c r="A21" s="11"/>
      <c r="F21" s="96"/>
      <c r="G21" s="96"/>
      <c r="H21" s="96"/>
      <c r="I21" s="10"/>
      <c r="J21" s="10"/>
      <c r="K21" s="96"/>
      <c r="L21" s="96"/>
      <c r="M21" s="96"/>
      <c r="N21" s="10"/>
    </row>
    <row r="22" spans="1:14" x14ac:dyDescent="0.35">
      <c r="A22" s="11"/>
      <c r="F22" s="96"/>
      <c r="G22" s="96"/>
      <c r="H22" s="96"/>
      <c r="I22" s="10"/>
      <c r="J22" s="10"/>
      <c r="K22" s="96"/>
      <c r="L22" s="96"/>
      <c r="M22" s="96"/>
      <c r="N22" s="10"/>
    </row>
    <row r="23" spans="1:14" x14ac:dyDescent="0.35">
      <c r="A23" s="11"/>
      <c r="F23" s="96"/>
      <c r="G23" s="96"/>
      <c r="H23" s="96"/>
      <c r="I23" s="10"/>
      <c r="J23" s="10"/>
      <c r="K23" s="96"/>
      <c r="L23" s="96"/>
      <c r="M23" s="96"/>
      <c r="N23" s="10"/>
    </row>
    <row r="24" spans="1:14" x14ac:dyDescent="0.35">
      <c r="A24" s="11"/>
      <c r="F24" s="96"/>
      <c r="G24" s="96"/>
      <c r="H24" s="96"/>
      <c r="I24" s="10"/>
      <c r="J24" s="10"/>
      <c r="K24" s="96"/>
      <c r="L24" s="96"/>
      <c r="M24" s="96"/>
      <c r="N24" s="10"/>
    </row>
    <row r="25" spans="1:14" x14ac:dyDescent="0.35">
      <c r="A25" s="11"/>
      <c r="F25" s="96"/>
      <c r="G25" s="96"/>
      <c r="H25" s="96"/>
      <c r="I25" s="10"/>
      <c r="J25" s="10"/>
      <c r="K25" s="96"/>
      <c r="L25" s="96"/>
      <c r="M25" s="96"/>
      <c r="N25" s="10"/>
    </row>
    <row r="26" spans="1:14" x14ac:dyDescent="0.35">
      <c r="A26" s="11"/>
      <c r="F26" s="96"/>
      <c r="G26" s="96"/>
      <c r="H26" s="96"/>
      <c r="I26" s="10"/>
      <c r="J26" s="10"/>
      <c r="K26" s="96"/>
      <c r="L26" s="96"/>
      <c r="M26" s="96"/>
      <c r="N26" s="10"/>
    </row>
    <row r="27" spans="1:14" x14ac:dyDescent="0.35">
      <c r="A27" s="11"/>
      <c r="F27" s="96"/>
      <c r="G27" s="96"/>
      <c r="H27" s="96"/>
      <c r="I27" s="10"/>
      <c r="J27" s="10"/>
      <c r="K27" s="96"/>
      <c r="L27" s="96"/>
      <c r="M27" s="96"/>
      <c r="N27" s="10"/>
    </row>
    <row r="28" spans="1:14" x14ac:dyDescent="0.35">
      <c r="A28" s="11"/>
      <c r="F28" s="96"/>
      <c r="G28" s="96"/>
      <c r="H28" s="96"/>
      <c r="I28" s="10"/>
      <c r="J28" s="10"/>
      <c r="K28" s="96"/>
      <c r="L28" s="96"/>
      <c r="M28" s="96"/>
      <c r="N28" s="10"/>
    </row>
    <row r="29" spans="1:14" x14ac:dyDescent="0.35">
      <c r="A29" s="11"/>
      <c r="F29" s="96"/>
      <c r="G29" s="96"/>
      <c r="H29" s="96"/>
      <c r="I29" s="10"/>
      <c r="J29" s="10"/>
      <c r="K29" s="96"/>
      <c r="L29" s="96"/>
      <c r="M29" s="96"/>
      <c r="N29" s="10"/>
    </row>
    <row r="30" spans="1:14" x14ac:dyDescent="0.35">
      <c r="A30" s="11"/>
      <c r="F30" s="96"/>
      <c r="G30" s="96"/>
      <c r="H30" s="96"/>
      <c r="I30" s="10"/>
      <c r="J30" s="10"/>
      <c r="K30" s="96"/>
      <c r="L30" s="96"/>
      <c r="M30" s="96"/>
      <c r="N30" s="10"/>
    </row>
    <row r="31" spans="1:14" x14ac:dyDescent="0.35">
      <c r="A31" s="11"/>
      <c r="F31" s="96"/>
      <c r="G31" s="96"/>
      <c r="H31" s="96"/>
      <c r="I31" s="10"/>
      <c r="J31" s="10"/>
      <c r="K31" s="96"/>
      <c r="L31" s="96"/>
      <c r="M31" s="96"/>
      <c r="N31" s="10"/>
    </row>
    <row r="32" spans="1:14" x14ac:dyDescent="0.35">
      <c r="A32" s="11"/>
      <c r="F32" s="96"/>
      <c r="G32" s="96"/>
      <c r="H32" s="96"/>
      <c r="I32" s="10"/>
      <c r="J32" s="10"/>
      <c r="K32" s="96"/>
      <c r="L32" s="96"/>
      <c r="M32" s="96"/>
      <c r="N32" s="10"/>
    </row>
    <row r="33" spans="1:14" x14ac:dyDescent="0.35">
      <c r="A33" s="15"/>
      <c r="F33" s="96"/>
      <c r="G33" s="96"/>
      <c r="H33" s="96"/>
      <c r="I33" s="10"/>
      <c r="J33" s="10"/>
      <c r="K33" s="96"/>
      <c r="L33" s="96"/>
      <c r="M33" s="96"/>
      <c r="N33" s="10"/>
    </row>
    <row r="34" spans="1:14" x14ac:dyDescent="0.35">
      <c r="A34" s="15"/>
      <c r="F34" s="96"/>
      <c r="G34" s="96"/>
      <c r="H34" s="96"/>
      <c r="I34" s="10"/>
      <c r="J34" s="10"/>
      <c r="K34" s="96"/>
      <c r="L34" s="96"/>
      <c r="M34" s="96"/>
      <c r="N34" s="10"/>
    </row>
    <row r="35" spans="1:14" x14ac:dyDescent="0.35">
      <c r="A35" s="15"/>
      <c r="F35" s="96"/>
      <c r="G35" s="96"/>
      <c r="H35" s="96"/>
      <c r="I35" s="10"/>
      <c r="J35" s="10"/>
      <c r="K35" s="96"/>
      <c r="L35" s="96"/>
      <c r="M35" s="96"/>
      <c r="N35" s="10"/>
    </row>
    <row r="36" spans="1:14" x14ac:dyDescent="0.35">
      <c r="A36" s="11"/>
      <c r="F36" s="96"/>
      <c r="G36" s="96"/>
      <c r="H36" s="96"/>
      <c r="I36" s="10"/>
      <c r="J36" s="10"/>
      <c r="K36" s="96"/>
      <c r="L36" s="96"/>
      <c r="M36" s="96"/>
      <c r="N36" s="10"/>
    </row>
    <row r="37" spans="1:14" x14ac:dyDescent="0.35">
      <c r="A37" s="11"/>
      <c r="F37" s="96"/>
      <c r="G37" s="96"/>
      <c r="H37" s="96"/>
      <c r="I37" s="10"/>
      <c r="J37" s="10"/>
      <c r="K37" s="96"/>
      <c r="L37" s="96"/>
      <c r="M37" s="96"/>
      <c r="N37" s="10"/>
    </row>
    <row r="38" spans="1:14" x14ac:dyDescent="0.35">
      <c r="A38" s="11"/>
      <c r="F38" s="96"/>
      <c r="G38" s="96"/>
      <c r="H38" s="96"/>
      <c r="I38" s="10"/>
      <c r="J38" s="10"/>
      <c r="K38" s="96"/>
      <c r="L38" s="96"/>
      <c r="M38" s="96"/>
      <c r="N38" s="10"/>
    </row>
    <row r="39" spans="1:14" x14ac:dyDescent="0.35">
      <c r="A39" s="11"/>
      <c r="F39" s="96"/>
      <c r="G39" s="96"/>
      <c r="H39" s="96"/>
      <c r="I39" s="10"/>
      <c r="J39" s="10"/>
      <c r="K39" s="96"/>
      <c r="L39" s="96"/>
      <c r="M39" s="96"/>
      <c r="N39" s="10"/>
    </row>
    <row r="40" spans="1:14" x14ac:dyDescent="0.35">
      <c r="A40" s="11"/>
      <c r="F40" s="96"/>
      <c r="G40" s="96"/>
      <c r="H40" s="96"/>
      <c r="I40" s="10"/>
      <c r="J40" s="10"/>
      <c r="K40" s="96"/>
      <c r="L40" s="96"/>
      <c r="M40" s="96"/>
      <c r="N40" s="10"/>
    </row>
    <row r="41" spans="1:14" x14ac:dyDescent="0.35">
      <c r="A41" s="11"/>
      <c r="F41" s="96"/>
      <c r="G41" s="96"/>
      <c r="H41" s="96"/>
      <c r="I41" s="10"/>
      <c r="J41" s="10"/>
      <c r="K41" s="96"/>
      <c r="L41" s="96"/>
      <c r="M41" s="96"/>
      <c r="N41" s="10"/>
    </row>
    <row r="42" spans="1:14" x14ac:dyDescent="0.35">
      <c r="A42" s="11"/>
      <c r="F42" s="96"/>
      <c r="G42" s="96"/>
      <c r="H42" s="96"/>
      <c r="I42" s="10"/>
      <c r="J42" s="10"/>
      <c r="K42" s="96"/>
      <c r="L42" s="96"/>
      <c r="M42" s="96"/>
      <c r="N42" s="10"/>
    </row>
    <row r="43" spans="1:14" x14ac:dyDescent="0.35">
      <c r="A43" s="11"/>
      <c r="F43" s="96"/>
      <c r="G43" s="96"/>
      <c r="H43" s="96"/>
      <c r="I43" s="10"/>
      <c r="J43" s="10"/>
      <c r="K43" s="96"/>
      <c r="L43" s="96"/>
      <c r="M43" s="96"/>
      <c r="N43" s="10"/>
    </row>
    <row r="44" spans="1:14" x14ac:dyDescent="0.35">
      <c r="A44" s="11"/>
      <c r="F44" s="96"/>
      <c r="G44" s="96"/>
      <c r="H44" s="96"/>
      <c r="I44" s="10"/>
      <c r="J44" s="10"/>
      <c r="K44" s="96"/>
      <c r="L44" s="96"/>
      <c r="M44" s="96"/>
      <c r="N44" s="10"/>
    </row>
    <row r="45" spans="1:14" x14ac:dyDescent="0.35">
      <c r="A45" s="15"/>
      <c r="F45" s="96"/>
      <c r="G45" s="96"/>
      <c r="H45" s="96"/>
      <c r="I45" s="10"/>
      <c r="J45" s="10"/>
      <c r="K45" s="96"/>
      <c r="L45" s="96"/>
      <c r="M45" s="96"/>
      <c r="N45" s="10"/>
    </row>
    <row r="46" spans="1:14" x14ac:dyDescent="0.35">
      <c r="A46" s="11"/>
      <c r="F46" s="96"/>
      <c r="G46" s="96"/>
      <c r="H46" s="96"/>
      <c r="I46" s="10"/>
      <c r="J46" s="10"/>
      <c r="K46" s="96"/>
      <c r="L46" s="96"/>
      <c r="M46" s="96"/>
      <c r="N46" s="10"/>
    </row>
    <row r="47" spans="1:14" x14ac:dyDescent="0.35">
      <c r="A47" s="11"/>
      <c r="F47" s="96"/>
      <c r="G47" s="96"/>
      <c r="H47" s="96"/>
      <c r="I47" s="10"/>
      <c r="J47" s="10"/>
      <c r="K47" s="96"/>
      <c r="L47" s="96"/>
      <c r="M47" s="96"/>
      <c r="N47" s="10"/>
    </row>
    <row r="48" spans="1:14" x14ac:dyDescent="0.35">
      <c r="A48" s="11"/>
      <c r="F48" s="96"/>
      <c r="G48" s="96"/>
      <c r="H48" s="96"/>
      <c r="I48" s="10"/>
      <c r="J48" s="10"/>
      <c r="K48" s="96"/>
      <c r="L48" s="96"/>
      <c r="M48" s="96"/>
      <c r="N48" s="10"/>
    </row>
    <row r="49" spans="1:14" x14ac:dyDescent="0.35">
      <c r="A49" s="11"/>
      <c r="F49" s="96"/>
      <c r="G49" s="96"/>
      <c r="H49" s="96"/>
      <c r="I49" s="10"/>
      <c r="J49" s="10"/>
      <c r="K49" s="96"/>
      <c r="L49" s="96"/>
      <c r="M49" s="96"/>
      <c r="N49" s="10"/>
    </row>
    <row r="50" spans="1:14" x14ac:dyDescent="0.35">
      <c r="A50" s="11"/>
      <c r="F50" s="96"/>
      <c r="G50" s="96"/>
      <c r="H50" s="96"/>
      <c r="I50" s="10"/>
      <c r="J50" s="10"/>
      <c r="K50" s="96"/>
      <c r="L50" s="96"/>
      <c r="M50" s="96"/>
      <c r="N50" s="10"/>
    </row>
    <row r="51" spans="1:14" x14ac:dyDescent="0.35">
      <c r="A51" s="11"/>
      <c r="F51" s="96"/>
      <c r="G51" s="96"/>
      <c r="H51" s="96"/>
      <c r="I51" s="10"/>
      <c r="J51" s="10"/>
      <c r="K51" s="96"/>
      <c r="L51" s="96"/>
      <c r="M51" s="96"/>
      <c r="N51" s="10"/>
    </row>
    <row r="52" spans="1:14" x14ac:dyDescent="0.35">
      <c r="A52" s="11"/>
      <c r="F52" s="96"/>
      <c r="G52" s="96"/>
      <c r="H52" s="96"/>
      <c r="I52" s="10"/>
      <c r="J52" s="10"/>
      <c r="K52" s="96"/>
      <c r="L52" s="96"/>
      <c r="M52" s="96"/>
      <c r="N52" s="10"/>
    </row>
    <row r="53" spans="1:14" x14ac:dyDescent="0.35">
      <c r="A53" s="11"/>
      <c r="F53" s="96"/>
      <c r="G53" s="96"/>
      <c r="H53" s="96"/>
      <c r="I53" s="10"/>
      <c r="J53" s="10"/>
      <c r="K53" s="96"/>
      <c r="L53" s="96"/>
      <c r="M53" s="96"/>
      <c r="N53" s="10"/>
    </row>
    <row r="54" spans="1:14" x14ac:dyDescent="0.35">
      <c r="A54" s="11"/>
      <c r="F54" s="96"/>
      <c r="G54" s="96"/>
      <c r="H54" s="96"/>
      <c r="I54" s="10"/>
      <c r="J54" s="10"/>
      <c r="K54" s="96"/>
      <c r="L54" s="96"/>
      <c r="M54" s="96"/>
      <c r="N54" s="10"/>
    </row>
    <row r="55" spans="1:14" x14ac:dyDescent="0.35">
      <c r="A55" s="11"/>
      <c r="F55" s="96"/>
      <c r="G55" s="96"/>
      <c r="H55" s="96"/>
      <c r="I55" s="10"/>
      <c r="J55" s="10"/>
      <c r="K55" s="96"/>
      <c r="L55" s="96"/>
      <c r="M55" s="96"/>
      <c r="N55" s="10"/>
    </row>
    <row r="56" spans="1:14" x14ac:dyDescent="0.35">
      <c r="A56" s="11"/>
      <c r="F56" s="96"/>
      <c r="G56" s="96"/>
      <c r="H56" s="96"/>
      <c r="I56" s="10"/>
      <c r="J56" s="10"/>
      <c r="K56" s="96"/>
      <c r="L56" s="96"/>
      <c r="M56" s="96"/>
      <c r="N56" s="10"/>
    </row>
    <row r="57" spans="1:14" x14ac:dyDescent="0.35">
      <c r="A57" s="11"/>
      <c r="F57" s="96"/>
      <c r="G57" s="96"/>
      <c r="H57" s="96"/>
      <c r="I57" s="10"/>
      <c r="J57" s="10"/>
      <c r="K57" s="96"/>
      <c r="L57" s="96"/>
      <c r="M57" s="96"/>
      <c r="N57" s="10"/>
    </row>
    <row r="58" spans="1:14" x14ac:dyDescent="0.35">
      <c r="A58" s="11"/>
      <c r="F58" s="96"/>
      <c r="G58" s="96"/>
      <c r="H58" s="96"/>
      <c r="I58" s="10"/>
      <c r="J58" s="10"/>
      <c r="K58" s="96"/>
      <c r="L58" s="96"/>
      <c r="M58" s="96"/>
      <c r="N58" s="10"/>
    </row>
    <row r="59" spans="1:14" ht="15.5" customHeight="1" x14ac:dyDescent="0.35">
      <c r="A59" s="15"/>
      <c r="F59" s="95"/>
      <c r="G59" s="95"/>
      <c r="H59" s="95"/>
      <c r="I59" s="97"/>
      <c r="K59" s="96"/>
      <c r="L59" s="96"/>
      <c r="M59" s="96"/>
      <c r="N59" s="10"/>
    </row>
    <row r="60" spans="1:14" x14ac:dyDescent="0.35">
      <c r="A60" s="15"/>
      <c r="K60" s="96"/>
      <c r="L60" s="96"/>
      <c r="M60" s="96"/>
      <c r="N60" s="10"/>
    </row>
    <row r="61" spans="1:14" x14ac:dyDescent="0.35">
      <c r="A61" s="15"/>
    </row>
    <row r="62" spans="1:14" x14ac:dyDescent="0.35">
      <c r="A62" s="69"/>
    </row>
    <row r="63" spans="1:14" x14ac:dyDescent="0.35">
      <c r="C63" s="128"/>
    </row>
    <row r="65" spans="1:6" ht="26" customHeight="1" x14ac:dyDescent="0.6">
      <c r="A65" s="114"/>
    </row>
    <row r="66" spans="1:6" x14ac:dyDescent="0.35">
      <c r="A66" t="s">
        <v>167</v>
      </c>
      <c r="B66" s="112" t="e">
        <f>(C63+I59+#REF!)*0.925</f>
        <v>#REF!</v>
      </c>
    </row>
    <row r="67" spans="1:6" x14ac:dyDescent="0.35">
      <c r="A67" t="s">
        <v>168</v>
      </c>
      <c r="B67">
        <f>SUM(B77:B232)</f>
        <v>13930</v>
      </c>
    </row>
    <row r="68" spans="1:6" x14ac:dyDescent="0.35">
      <c r="A68" t="s">
        <v>108</v>
      </c>
      <c r="B68" s="112" t="e">
        <f>B66-'Vippsutskrifter+ Kiosk'!B67</f>
        <v>#REF!</v>
      </c>
      <c r="F68">
        <v>80856</v>
      </c>
    </row>
    <row r="69" spans="1:6" x14ac:dyDescent="0.35">
      <c r="F69">
        <f>113434*0.965</f>
        <v>109463.81</v>
      </c>
    </row>
    <row r="75" spans="1:6" x14ac:dyDescent="0.35">
      <c r="A75" s="113" t="s">
        <v>169</v>
      </c>
    </row>
    <row r="76" spans="1:6" x14ac:dyDescent="0.35">
      <c r="A76" t="s">
        <v>14</v>
      </c>
      <c r="B76" t="s">
        <v>15</v>
      </c>
      <c r="C76" t="s">
        <v>16</v>
      </c>
      <c r="D76" t="s">
        <v>17</v>
      </c>
      <c r="E76" t="s">
        <v>18</v>
      </c>
    </row>
    <row r="77" spans="1:6" x14ac:dyDescent="0.35">
      <c r="A77" t="s">
        <v>88</v>
      </c>
      <c r="B77">
        <v>265</v>
      </c>
      <c r="C77" t="s">
        <v>5</v>
      </c>
      <c r="D77">
        <v>1434591</v>
      </c>
      <c r="E77" t="s">
        <v>170</v>
      </c>
    </row>
    <row r="78" spans="1:6" x14ac:dyDescent="0.35">
      <c r="A78" t="s">
        <v>24</v>
      </c>
      <c r="B78">
        <v>188</v>
      </c>
      <c r="C78" t="s">
        <v>5</v>
      </c>
      <c r="D78">
        <v>607955</v>
      </c>
      <c r="E78" t="s">
        <v>171</v>
      </c>
    </row>
    <row r="79" spans="1:6" x14ac:dyDescent="0.35">
      <c r="A79" t="s">
        <v>122</v>
      </c>
      <c r="B79">
        <v>11</v>
      </c>
      <c r="C79" t="s">
        <v>5</v>
      </c>
      <c r="D79">
        <v>1029196</v>
      </c>
      <c r="E79" t="s">
        <v>172</v>
      </c>
    </row>
    <row r="80" spans="1:6" x14ac:dyDescent="0.35">
      <c r="A80" t="s">
        <v>29</v>
      </c>
      <c r="B80">
        <v>191</v>
      </c>
      <c r="C80" t="s">
        <v>5</v>
      </c>
      <c r="D80">
        <v>476321</v>
      </c>
      <c r="E80" t="s">
        <v>173</v>
      </c>
    </row>
    <row r="81" spans="1:5" x14ac:dyDescent="0.35">
      <c r="A81" t="s">
        <v>33</v>
      </c>
      <c r="B81">
        <v>33</v>
      </c>
      <c r="C81" t="s">
        <v>5</v>
      </c>
      <c r="D81">
        <v>941221</v>
      </c>
      <c r="E81" t="s">
        <v>174</v>
      </c>
    </row>
    <row r="82" spans="1:5" x14ac:dyDescent="0.35">
      <c r="A82" t="s">
        <v>33</v>
      </c>
      <c r="B82">
        <v>36</v>
      </c>
      <c r="C82" t="s">
        <v>5</v>
      </c>
      <c r="D82">
        <v>941095</v>
      </c>
      <c r="E82" t="s">
        <v>175</v>
      </c>
    </row>
    <row r="83" spans="1:5" x14ac:dyDescent="0.35">
      <c r="A83" t="s">
        <v>33</v>
      </c>
      <c r="B83">
        <v>26</v>
      </c>
      <c r="C83" t="s">
        <v>5</v>
      </c>
      <c r="D83">
        <v>941220</v>
      </c>
      <c r="E83" t="s">
        <v>176</v>
      </c>
    </row>
    <row r="84" spans="1:5" x14ac:dyDescent="0.35">
      <c r="A84" t="s">
        <v>177</v>
      </c>
      <c r="B84">
        <v>267</v>
      </c>
      <c r="C84" t="s">
        <v>5</v>
      </c>
      <c r="D84">
        <v>1311596</v>
      </c>
      <c r="E84" t="s">
        <v>178</v>
      </c>
    </row>
    <row r="85" spans="1:5" x14ac:dyDescent="0.35">
      <c r="A85" t="s">
        <v>114</v>
      </c>
      <c r="B85">
        <v>44</v>
      </c>
      <c r="C85" t="s">
        <v>5</v>
      </c>
      <c r="D85">
        <v>836512</v>
      </c>
      <c r="E85" t="s">
        <v>179</v>
      </c>
    </row>
    <row r="86" spans="1:5" x14ac:dyDescent="0.35">
      <c r="A86" t="s">
        <v>180</v>
      </c>
      <c r="B86">
        <v>268</v>
      </c>
      <c r="C86" t="s">
        <v>5</v>
      </c>
      <c r="D86">
        <v>1194854</v>
      </c>
      <c r="E86" t="s">
        <v>181</v>
      </c>
    </row>
    <row r="87" spans="1:5" x14ac:dyDescent="0.35">
      <c r="A87" t="s">
        <v>41</v>
      </c>
      <c r="B87">
        <v>192</v>
      </c>
      <c r="C87" t="s">
        <v>5</v>
      </c>
      <c r="D87">
        <v>392660</v>
      </c>
      <c r="E87" t="s">
        <v>182</v>
      </c>
    </row>
    <row r="88" spans="1:5" x14ac:dyDescent="0.35">
      <c r="A88" t="s">
        <v>183</v>
      </c>
      <c r="B88">
        <v>269</v>
      </c>
      <c r="C88" t="s">
        <v>5</v>
      </c>
      <c r="D88">
        <v>1101019</v>
      </c>
      <c r="E88" t="s">
        <v>184</v>
      </c>
    </row>
    <row r="89" spans="1:5" x14ac:dyDescent="0.35">
      <c r="A89" t="s">
        <v>183</v>
      </c>
      <c r="B89">
        <v>270</v>
      </c>
      <c r="C89" t="s">
        <v>5</v>
      </c>
      <c r="D89">
        <v>1101018</v>
      </c>
      <c r="E89" t="s">
        <v>185</v>
      </c>
    </row>
    <row r="90" spans="1:5" x14ac:dyDescent="0.35">
      <c r="A90" t="s">
        <v>183</v>
      </c>
      <c r="B90">
        <v>271</v>
      </c>
      <c r="C90" t="s">
        <v>5</v>
      </c>
      <c r="D90">
        <v>1101037</v>
      </c>
      <c r="E90" t="s">
        <v>186</v>
      </c>
    </row>
    <row r="91" spans="1:5" x14ac:dyDescent="0.35">
      <c r="A91" t="s">
        <v>187</v>
      </c>
      <c r="B91">
        <v>195</v>
      </c>
      <c r="C91" t="s">
        <v>5</v>
      </c>
      <c r="D91">
        <v>294675</v>
      </c>
      <c r="E91" t="s">
        <v>188</v>
      </c>
    </row>
    <row r="92" spans="1:5" x14ac:dyDescent="0.35">
      <c r="A92" t="s">
        <v>189</v>
      </c>
      <c r="B92">
        <v>272</v>
      </c>
      <c r="C92" t="s">
        <v>5</v>
      </c>
      <c r="D92">
        <v>979339</v>
      </c>
      <c r="E92" t="s">
        <v>190</v>
      </c>
    </row>
    <row r="93" spans="1:5" x14ac:dyDescent="0.35">
      <c r="A93" t="s">
        <v>112</v>
      </c>
      <c r="B93">
        <v>61</v>
      </c>
      <c r="C93" t="s">
        <v>5</v>
      </c>
      <c r="D93">
        <v>770108</v>
      </c>
      <c r="E93" t="s">
        <v>191</v>
      </c>
    </row>
    <row r="94" spans="1:5" x14ac:dyDescent="0.35">
      <c r="A94" t="s">
        <v>192</v>
      </c>
      <c r="B94">
        <v>196</v>
      </c>
      <c r="C94" t="s">
        <v>5</v>
      </c>
      <c r="D94">
        <v>213902</v>
      </c>
      <c r="E94" t="s">
        <v>193</v>
      </c>
    </row>
    <row r="95" spans="1:5" x14ac:dyDescent="0.35">
      <c r="A95" t="s">
        <v>68</v>
      </c>
      <c r="B95">
        <v>73</v>
      </c>
      <c r="C95" t="s">
        <v>5</v>
      </c>
      <c r="D95">
        <v>672524</v>
      </c>
      <c r="E95" t="s">
        <v>194</v>
      </c>
    </row>
    <row r="96" spans="1:5" x14ac:dyDescent="0.35">
      <c r="A96" t="s">
        <v>195</v>
      </c>
      <c r="B96">
        <v>199</v>
      </c>
      <c r="C96" t="s">
        <v>5</v>
      </c>
      <c r="D96">
        <v>129596</v>
      </c>
      <c r="E96" t="s">
        <v>196</v>
      </c>
    </row>
    <row r="97" spans="1:5" x14ac:dyDescent="0.35">
      <c r="A97" t="s">
        <v>195</v>
      </c>
      <c r="B97">
        <v>198</v>
      </c>
      <c r="C97" t="s">
        <v>5</v>
      </c>
      <c r="D97">
        <v>129594</v>
      </c>
      <c r="E97" t="s">
        <v>197</v>
      </c>
    </row>
    <row r="98" spans="1:5" x14ac:dyDescent="0.35">
      <c r="A98" t="s">
        <v>195</v>
      </c>
      <c r="B98">
        <v>197</v>
      </c>
      <c r="C98" t="s">
        <v>5</v>
      </c>
      <c r="D98">
        <v>129870</v>
      </c>
      <c r="E98" t="s">
        <v>198</v>
      </c>
    </row>
    <row r="99" spans="1:5" x14ac:dyDescent="0.35">
      <c r="A99" t="s">
        <v>106</v>
      </c>
      <c r="B99">
        <v>94</v>
      </c>
      <c r="C99" t="s">
        <v>5</v>
      </c>
      <c r="D99">
        <v>596605</v>
      </c>
      <c r="E99" t="s">
        <v>199</v>
      </c>
    </row>
    <row r="100" spans="1:5" x14ac:dyDescent="0.35">
      <c r="A100" t="s">
        <v>47</v>
      </c>
      <c r="B100">
        <v>204</v>
      </c>
      <c r="C100" t="s">
        <v>5</v>
      </c>
      <c r="D100">
        <v>1527295</v>
      </c>
      <c r="E100" t="s">
        <v>200</v>
      </c>
    </row>
    <row r="101" spans="1:5" x14ac:dyDescent="0.35">
      <c r="A101" t="s">
        <v>201</v>
      </c>
      <c r="B101">
        <v>273</v>
      </c>
      <c r="C101" t="s">
        <v>5</v>
      </c>
      <c r="D101">
        <v>898381</v>
      </c>
      <c r="E101" t="s">
        <v>202</v>
      </c>
    </row>
    <row r="102" spans="1:5" x14ac:dyDescent="0.35">
      <c r="A102" t="s">
        <v>53</v>
      </c>
      <c r="B102">
        <v>109</v>
      </c>
      <c r="C102" t="s">
        <v>5</v>
      </c>
      <c r="D102">
        <v>517799</v>
      </c>
      <c r="E102" t="s">
        <v>203</v>
      </c>
    </row>
    <row r="103" spans="1:5" x14ac:dyDescent="0.35">
      <c r="A103" t="s">
        <v>53</v>
      </c>
      <c r="B103">
        <v>113</v>
      </c>
      <c r="C103" t="s">
        <v>5</v>
      </c>
      <c r="D103">
        <v>517324</v>
      </c>
      <c r="E103" t="s">
        <v>204</v>
      </c>
    </row>
    <row r="104" spans="1:5" x14ac:dyDescent="0.35">
      <c r="A104" t="s">
        <v>53</v>
      </c>
      <c r="B104">
        <v>105</v>
      </c>
      <c r="C104" t="s">
        <v>5</v>
      </c>
      <c r="D104">
        <v>517804</v>
      </c>
      <c r="E104" t="s">
        <v>205</v>
      </c>
    </row>
    <row r="105" spans="1:5" x14ac:dyDescent="0.35">
      <c r="A105" t="s">
        <v>206</v>
      </c>
      <c r="B105">
        <v>274</v>
      </c>
      <c r="C105" t="s">
        <v>5</v>
      </c>
      <c r="D105">
        <v>790146</v>
      </c>
      <c r="E105" t="s">
        <v>207</v>
      </c>
    </row>
    <row r="106" spans="1:5" x14ac:dyDescent="0.35">
      <c r="A106" t="s">
        <v>63</v>
      </c>
      <c r="B106">
        <v>129</v>
      </c>
      <c r="C106" t="s">
        <v>5</v>
      </c>
      <c r="D106">
        <v>414192</v>
      </c>
      <c r="E106" t="s">
        <v>208</v>
      </c>
    </row>
    <row r="107" spans="1:5" x14ac:dyDescent="0.35">
      <c r="A107" t="s">
        <v>209</v>
      </c>
      <c r="B107">
        <v>275</v>
      </c>
      <c r="C107" t="s">
        <v>5</v>
      </c>
      <c r="D107">
        <v>698285</v>
      </c>
      <c r="E107" t="s">
        <v>210</v>
      </c>
    </row>
    <row r="108" spans="1:5" x14ac:dyDescent="0.35">
      <c r="A108" t="s">
        <v>57</v>
      </c>
      <c r="B108">
        <v>207</v>
      </c>
      <c r="C108" t="s">
        <v>5</v>
      </c>
      <c r="D108">
        <v>1451306</v>
      </c>
      <c r="E108" t="s">
        <v>211</v>
      </c>
    </row>
    <row r="109" spans="1:5" x14ac:dyDescent="0.35">
      <c r="A109" t="s">
        <v>212</v>
      </c>
      <c r="B109">
        <v>276</v>
      </c>
      <c r="C109" t="s">
        <v>5</v>
      </c>
      <c r="D109">
        <v>591147</v>
      </c>
      <c r="E109" t="s">
        <v>213</v>
      </c>
    </row>
    <row r="110" spans="1:5" x14ac:dyDescent="0.35">
      <c r="A110" t="s">
        <v>212</v>
      </c>
      <c r="B110">
        <v>277</v>
      </c>
      <c r="C110" t="s">
        <v>5</v>
      </c>
      <c r="D110">
        <v>591487</v>
      </c>
      <c r="E110" t="s">
        <v>214</v>
      </c>
    </row>
    <row r="111" spans="1:5" x14ac:dyDescent="0.35">
      <c r="A111" t="s">
        <v>212</v>
      </c>
      <c r="B111">
        <v>278</v>
      </c>
      <c r="C111" t="s">
        <v>5</v>
      </c>
      <c r="D111">
        <v>591486</v>
      </c>
      <c r="E111" t="s">
        <v>215</v>
      </c>
    </row>
    <row r="112" spans="1:5" x14ac:dyDescent="0.35">
      <c r="A112" t="s">
        <v>216</v>
      </c>
      <c r="B112">
        <v>211</v>
      </c>
      <c r="C112" t="s">
        <v>5</v>
      </c>
      <c r="D112">
        <v>1358029</v>
      </c>
      <c r="E112" t="s">
        <v>217</v>
      </c>
    </row>
    <row r="113" spans="1:5" x14ac:dyDescent="0.35">
      <c r="A113" t="s">
        <v>218</v>
      </c>
      <c r="B113">
        <v>279</v>
      </c>
      <c r="C113" t="s">
        <v>5</v>
      </c>
      <c r="D113">
        <v>461260</v>
      </c>
      <c r="E113" t="s">
        <v>219</v>
      </c>
    </row>
    <row r="114" spans="1:5" x14ac:dyDescent="0.35">
      <c r="A114" t="s">
        <v>220</v>
      </c>
      <c r="B114">
        <v>133</v>
      </c>
      <c r="C114" t="s">
        <v>5</v>
      </c>
      <c r="D114">
        <v>339492</v>
      </c>
      <c r="E114" t="s">
        <v>221</v>
      </c>
    </row>
    <row r="115" spans="1:5" x14ac:dyDescent="0.35">
      <c r="A115" t="s">
        <v>61</v>
      </c>
      <c r="B115">
        <v>215</v>
      </c>
      <c r="C115" t="s">
        <v>5</v>
      </c>
      <c r="D115">
        <v>1275771</v>
      </c>
      <c r="E115" t="s">
        <v>222</v>
      </c>
    </row>
    <row r="116" spans="1:5" x14ac:dyDescent="0.35">
      <c r="A116" t="s">
        <v>59</v>
      </c>
      <c r="B116">
        <v>136</v>
      </c>
      <c r="C116" t="s">
        <v>5</v>
      </c>
      <c r="D116">
        <v>234407</v>
      </c>
      <c r="E116" t="s">
        <v>223</v>
      </c>
    </row>
    <row r="117" spans="1:5" x14ac:dyDescent="0.35">
      <c r="A117" t="s">
        <v>72</v>
      </c>
      <c r="B117">
        <v>218</v>
      </c>
      <c r="C117" t="s">
        <v>5</v>
      </c>
      <c r="D117">
        <v>1169683</v>
      </c>
      <c r="E117" t="s">
        <v>224</v>
      </c>
    </row>
    <row r="118" spans="1:5" x14ac:dyDescent="0.35">
      <c r="A118" t="s">
        <v>72</v>
      </c>
      <c r="B118">
        <v>221</v>
      </c>
      <c r="C118" t="s">
        <v>5</v>
      </c>
      <c r="D118">
        <v>1169649</v>
      </c>
      <c r="E118" t="s">
        <v>225</v>
      </c>
    </row>
    <row r="119" spans="1:5" x14ac:dyDescent="0.35">
      <c r="A119" t="s">
        <v>72</v>
      </c>
      <c r="B119">
        <v>225</v>
      </c>
      <c r="C119" t="s">
        <v>5</v>
      </c>
      <c r="D119">
        <v>1169651</v>
      </c>
      <c r="E119" t="s">
        <v>226</v>
      </c>
    </row>
    <row r="120" spans="1:5" x14ac:dyDescent="0.35">
      <c r="A120" t="s">
        <v>227</v>
      </c>
      <c r="B120">
        <v>141</v>
      </c>
      <c r="C120" t="s">
        <v>5</v>
      </c>
      <c r="D120">
        <v>147914</v>
      </c>
      <c r="E120" t="s">
        <v>228</v>
      </c>
    </row>
    <row r="121" spans="1:5" x14ac:dyDescent="0.35">
      <c r="A121" t="s">
        <v>55</v>
      </c>
      <c r="B121">
        <v>228</v>
      </c>
      <c r="C121" t="s">
        <v>5</v>
      </c>
      <c r="D121">
        <v>1071246</v>
      </c>
      <c r="E121" t="s">
        <v>229</v>
      </c>
    </row>
    <row r="122" spans="1:5" x14ac:dyDescent="0.35">
      <c r="A122" t="s">
        <v>49</v>
      </c>
      <c r="B122">
        <v>281</v>
      </c>
      <c r="C122" t="s">
        <v>5</v>
      </c>
      <c r="D122">
        <v>372904</v>
      </c>
      <c r="E122" t="s">
        <v>230</v>
      </c>
    </row>
    <row r="123" spans="1:5" x14ac:dyDescent="0.35">
      <c r="A123" t="s">
        <v>77</v>
      </c>
      <c r="B123">
        <v>147</v>
      </c>
      <c r="C123" t="s">
        <v>5</v>
      </c>
      <c r="D123">
        <v>1555163</v>
      </c>
      <c r="E123" t="s">
        <v>231</v>
      </c>
    </row>
    <row r="124" spans="1:5" x14ac:dyDescent="0.35">
      <c r="A124" t="s">
        <v>77</v>
      </c>
      <c r="B124">
        <v>150</v>
      </c>
      <c r="C124" t="s">
        <v>5</v>
      </c>
      <c r="D124">
        <v>1556213</v>
      </c>
      <c r="E124" t="s">
        <v>232</v>
      </c>
    </row>
    <row r="125" spans="1:5" x14ac:dyDescent="0.35">
      <c r="A125" t="s">
        <v>77</v>
      </c>
      <c r="B125">
        <v>154</v>
      </c>
      <c r="C125" t="s">
        <v>5</v>
      </c>
      <c r="D125">
        <v>1556209</v>
      </c>
      <c r="E125" t="s">
        <v>233</v>
      </c>
    </row>
    <row r="126" spans="1:5" x14ac:dyDescent="0.35">
      <c r="A126" t="s">
        <v>43</v>
      </c>
      <c r="B126">
        <v>282</v>
      </c>
      <c r="C126" t="s">
        <v>5</v>
      </c>
      <c r="D126">
        <v>254875</v>
      </c>
      <c r="E126" t="s">
        <v>234</v>
      </c>
    </row>
    <row r="127" spans="1:5" x14ac:dyDescent="0.35">
      <c r="A127" t="s">
        <v>35</v>
      </c>
      <c r="B127">
        <v>162</v>
      </c>
      <c r="C127" t="s">
        <v>5</v>
      </c>
      <c r="D127">
        <v>1438142</v>
      </c>
      <c r="E127" t="s">
        <v>235</v>
      </c>
    </row>
    <row r="128" spans="1:5" x14ac:dyDescent="0.35">
      <c r="A128" t="s">
        <v>236</v>
      </c>
      <c r="B128">
        <v>233</v>
      </c>
      <c r="C128" t="s">
        <v>5</v>
      </c>
      <c r="D128">
        <v>990313</v>
      </c>
      <c r="E128" t="s">
        <v>237</v>
      </c>
    </row>
    <row r="129" spans="1:5" x14ac:dyDescent="0.35">
      <c r="A129" t="s">
        <v>160</v>
      </c>
      <c r="B129">
        <v>239</v>
      </c>
      <c r="C129" t="s">
        <v>5</v>
      </c>
      <c r="D129">
        <v>911913</v>
      </c>
      <c r="E129" t="s">
        <v>238</v>
      </c>
    </row>
    <row r="130" spans="1:5" x14ac:dyDescent="0.35">
      <c r="A130" t="s">
        <v>160</v>
      </c>
      <c r="B130">
        <v>235</v>
      </c>
      <c r="C130" t="s">
        <v>5</v>
      </c>
      <c r="D130">
        <v>911913</v>
      </c>
      <c r="E130" t="s">
        <v>239</v>
      </c>
    </row>
    <row r="131" spans="1:5" x14ac:dyDescent="0.35">
      <c r="A131" t="s">
        <v>89</v>
      </c>
      <c r="B131">
        <v>163</v>
      </c>
      <c r="C131" t="s">
        <v>5</v>
      </c>
      <c r="D131">
        <v>1363385</v>
      </c>
      <c r="E131" t="s">
        <v>240</v>
      </c>
    </row>
    <row r="132" spans="1:5" x14ac:dyDescent="0.35">
      <c r="A132" t="s">
        <v>92</v>
      </c>
      <c r="B132">
        <v>241</v>
      </c>
      <c r="C132" t="s">
        <v>5</v>
      </c>
      <c r="D132">
        <v>804173</v>
      </c>
      <c r="E132" t="s">
        <v>241</v>
      </c>
    </row>
    <row r="133" spans="1:5" x14ac:dyDescent="0.35">
      <c r="A133" t="s">
        <v>92</v>
      </c>
      <c r="B133">
        <v>243</v>
      </c>
      <c r="C133" t="s">
        <v>5</v>
      </c>
      <c r="D133">
        <v>708536</v>
      </c>
      <c r="E133" t="s">
        <v>242</v>
      </c>
    </row>
    <row r="134" spans="1:5" x14ac:dyDescent="0.35">
      <c r="A134" t="s">
        <v>92</v>
      </c>
      <c r="B134">
        <v>244</v>
      </c>
      <c r="C134" t="s">
        <v>5</v>
      </c>
      <c r="D134">
        <v>708536</v>
      </c>
      <c r="E134" t="s">
        <v>243</v>
      </c>
    </row>
    <row r="135" spans="1:5" x14ac:dyDescent="0.35">
      <c r="A135" t="s">
        <v>92</v>
      </c>
      <c r="B135">
        <v>247</v>
      </c>
      <c r="C135" t="s">
        <v>5</v>
      </c>
      <c r="D135">
        <v>708562</v>
      </c>
      <c r="E135" t="s">
        <v>244</v>
      </c>
    </row>
    <row r="136" spans="1:5" x14ac:dyDescent="0.35">
      <c r="A136" t="s">
        <v>245</v>
      </c>
      <c r="B136">
        <v>170</v>
      </c>
      <c r="C136" t="s">
        <v>5</v>
      </c>
      <c r="D136">
        <v>1294628</v>
      </c>
      <c r="E136" t="s">
        <v>246</v>
      </c>
    </row>
    <row r="137" spans="1:5" x14ac:dyDescent="0.35">
      <c r="A137" t="s">
        <v>96</v>
      </c>
      <c r="B137">
        <v>171</v>
      </c>
      <c r="C137" t="s">
        <v>5</v>
      </c>
      <c r="D137">
        <v>1173632</v>
      </c>
      <c r="E137" t="s">
        <v>247</v>
      </c>
    </row>
    <row r="138" spans="1:5" x14ac:dyDescent="0.35">
      <c r="A138" t="s">
        <v>248</v>
      </c>
      <c r="B138">
        <v>249</v>
      </c>
      <c r="C138" t="s">
        <v>5</v>
      </c>
      <c r="D138">
        <v>586845</v>
      </c>
      <c r="E138" t="s">
        <v>249</v>
      </c>
    </row>
    <row r="139" spans="1:5" x14ac:dyDescent="0.35">
      <c r="A139" t="s">
        <v>250</v>
      </c>
      <c r="B139">
        <v>176</v>
      </c>
      <c r="C139" t="s">
        <v>5</v>
      </c>
      <c r="D139">
        <v>1091666</v>
      </c>
      <c r="E139" t="s">
        <v>251</v>
      </c>
    </row>
    <row r="140" spans="1:5" x14ac:dyDescent="0.35">
      <c r="A140" t="s">
        <v>252</v>
      </c>
      <c r="B140">
        <v>252</v>
      </c>
      <c r="C140" t="s">
        <v>5</v>
      </c>
      <c r="D140">
        <v>500599</v>
      </c>
      <c r="E140" t="s">
        <v>253</v>
      </c>
    </row>
    <row r="141" spans="1:5" x14ac:dyDescent="0.35">
      <c r="A141" t="s">
        <v>254</v>
      </c>
      <c r="B141">
        <v>253</v>
      </c>
      <c r="C141" t="s">
        <v>5</v>
      </c>
      <c r="D141">
        <v>395079</v>
      </c>
      <c r="E141" t="s">
        <v>255</v>
      </c>
    </row>
    <row r="142" spans="1:5" x14ac:dyDescent="0.35">
      <c r="A142" t="s">
        <v>256</v>
      </c>
      <c r="B142">
        <v>254</v>
      </c>
      <c r="C142" t="s">
        <v>5</v>
      </c>
      <c r="D142">
        <v>299282</v>
      </c>
      <c r="E142" t="s">
        <v>257</v>
      </c>
    </row>
    <row r="143" spans="1:5" x14ac:dyDescent="0.35">
      <c r="A143" t="s">
        <v>100</v>
      </c>
      <c r="B143">
        <v>258</v>
      </c>
      <c r="C143" t="s">
        <v>5</v>
      </c>
      <c r="D143">
        <v>192654</v>
      </c>
      <c r="E143" t="s">
        <v>258</v>
      </c>
    </row>
    <row r="144" spans="1:5" x14ac:dyDescent="0.35">
      <c r="A144" t="s">
        <v>100</v>
      </c>
      <c r="B144">
        <v>260</v>
      </c>
      <c r="C144" t="s">
        <v>5</v>
      </c>
      <c r="D144">
        <v>192719</v>
      </c>
      <c r="E144" t="s">
        <v>259</v>
      </c>
    </row>
    <row r="145" spans="1:5" x14ac:dyDescent="0.35">
      <c r="A145" t="s">
        <v>100</v>
      </c>
      <c r="B145">
        <v>261</v>
      </c>
      <c r="C145" t="s">
        <v>5</v>
      </c>
      <c r="D145">
        <v>192717</v>
      </c>
      <c r="E145" t="s">
        <v>260</v>
      </c>
    </row>
    <row r="146" spans="1:5" x14ac:dyDescent="0.35">
      <c r="A146" t="s">
        <v>261</v>
      </c>
      <c r="B146">
        <v>262</v>
      </c>
      <c r="C146" t="s">
        <v>5</v>
      </c>
      <c r="D146">
        <v>1544831</v>
      </c>
      <c r="E146" t="s">
        <v>262</v>
      </c>
    </row>
  </sheetData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4"/>
  <sheetViews>
    <sheetView topLeftCell="A41" zoomScale="83" workbookViewId="0">
      <selection activeCell="B74" sqref="B74"/>
    </sheetView>
  </sheetViews>
  <sheetFormatPr defaultColWidth="8.81640625" defaultRowHeight="14.5" x14ac:dyDescent="0.35"/>
  <cols>
    <col min="1" max="1" width="21.6328125" customWidth="1"/>
    <col min="6" max="6" width="14.453125" customWidth="1"/>
  </cols>
  <sheetData>
    <row r="1" spans="1:12" x14ac:dyDescent="0.35">
      <c r="A1" t="s">
        <v>421</v>
      </c>
      <c r="B1" t="s">
        <v>422</v>
      </c>
      <c r="C1" t="s">
        <v>423</v>
      </c>
      <c r="D1" t="s">
        <v>424</v>
      </c>
      <c r="F1" t="s">
        <v>421</v>
      </c>
      <c r="G1" t="s">
        <v>422</v>
      </c>
      <c r="H1" t="s">
        <v>423</v>
      </c>
      <c r="I1" t="s">
        <v>424</v>
      </c>
    </row>
    <row r="2" spans="1:12" ht="16" customHeight="1" x14ac:dyDescent="0.4">
      <c r="A2" s="75"/>
      <c r="D2" s="17"/>
      <c r="F2" s="75"/>
      <c r="I2" s="17"/>
      <c r="L2" s="6"/>
    </row>
    <row r="3" spans="1:12" ht="16" customHeight="1" x14ac:dyDescent="0.4">
      <c r="A3" s="76"/>
      <c r="D3" s="10"/>
      <c r="F3" s="76"/>
      <c r="I3" s="10"/>
      <c r="L3" s="6"/>
    </row>
    <row r="4" spans="1:12" ht="16" customHeight="1" x14ac:dyDescent="0.4">
      <c r="A4" s="75"/>
      <c r="D4" s="10"/>
      <c r="F4" s="75"/>
      <c r="I4" s="10"/>
      <c r="L4" s="6"/>
    </row>
    <row r="5" spans="1:12" ht="16" customHeight="1" x14ac:dyDescent="0.4">
      <c r="A5" s="75"/>
      <c r="D5" s="10"/>
      <c r="F5" s="75"/>
      <c r="I5" s="10"/>
      <c r="L5" s="6"/>
    </row>
    <row r="6" spans="1:12" ht="16" customHeight="1" x14ac:dyDescent="0.4">
      <c r="A6" s="75"/>
      <c r="D6" s="10"/>
      <c r="F6" s="75"/>
      <c r="I6" s="10"/>
      <c r="L6" s="6"/>
    </row>
    <row r="7" spans="1:12" ht="16" customHeight="1" x14ac:dyDescent="0.4">
      <c r="A7" s="75"/>
      <c r="D7" s="10"/>
      <c r="F7" s="75"/>
      <c r="I7" s="10"/>
      <c r="L7" s="6"/>
    </row>
    <row r="8" spans="1:12" ht="16" customHeight="1" x14ac:dyDescent="0.4">
      <c r="A8" s="75"/>
      <c r="D8" s="10"/>
      <c r="F8" s="75"/>
      <c r="I8" s="10"/>
      <c r="L8" s="6"/>
    </row>
    <row r="9" spans="1:12" ht="16" customHeight="1" x14ac:dyDescent="0.4">
      <c r="A9" s="75"/>
      <c r="D9" s="10"/>
      <c r="F9" s="75"/>
      <c r="I9" s="10"/>
      <c r="L9" s="6"/>
    </row>
    <row r="10" spans="1:12" ht="16" customHeight="1" x14ac:dyDescent="0.4">
      <c r="A10" s="75"/>
      <c r="D10" s="10"/>
      <c r="F10" s="75"/>
      <c r="I10" s="10"/>
      <c r="L10" s="6"/>
    </row>
    <row r="11" spans="1:12" ht="16" customHeight="1" x14ac:dyDescent="0.4">
      <c r="A11" s="75"/>
      <c r="D11" s="10"/>
      <c r="F11" s="75"/>
      <c r="I11" s="10"/>
      <c r="L11" s="6"/>
    </row>
    <row r="12" spans="1:12" ht="16" customHeight="1" x14ac:dyDescent="0.4">
      <c r="A12" s="75"/>
      <c r="D12" s="10"/>
      <c r="F12" s="75"/>
      <c r="I12" s="10"/>
      <c r="L12" s="6"/>
    </row>
    <row r="13" spans="1:12" ht="16" customHeight="1" x14ac:dyDescent="0.4">
      <c r="A13" s="75"/>
      <c r="D13" s="10"/>
      <c r="F13" s="75"/>
      <c r="I13" s="10"/>
      <c r="L13" s="6"/>
    </row>
    <row r="14" spans="1:12" ht="16" customHeight="1" x14ac:dyDescent="0.4">
      <c r="A14" s="75"/>
      <c r="D14" s="10"/>
      <c r="F14" s="75"/>
      <c r="I14" s="10"/>
      <c r="L14" s="6"/>
    </row>
    <row r="15" spans="1:12" ht="16" customHeight="1" x14ac:dyDescent="0.4">
      <c r="A15" s="75"/>
      <c r="D15" s="10"/>
      <c r="F15" s="75"/>
      <c r="I15" s="10"/>
      <c r="L15" s="6"/>
    </row>
    <row r="16" spans="1:12" ht="16" customHeight="1" x14ac:dyDescent="0.4">
      <c r="A16" s="75"/>
      <c r="D16" s="10"/>
      <c r="F16" s="75"/>
      <c r="I16" s="10"/>
      <c r="L16" s="6"/>
    </row>
    <row r="17" spans="1:12" ht="16" customHeight="1" x14ac:dyDescent="0.4">
      <c r="A17" s="75"/>
      <c r="D17" s="10"/>
      <c r="F17" s="75"/>
      <c r="I17" s="10"/>
      <c r="L17" s="6"/>
    </row>
    <row r="18" spans="1:12" ht="16" customHeight="1" x14ac:dyDescent="0.4">
      <c r="A18" s="75"/>
      <c r="D18" s="10"/>
      <c r="F18" s="75"/>
      <c r="I18" s="10"/>
      <c r="L18" s="6"/>
    </row>
    <row r="19" spans="1:12" ht="16" customHeight="1" x14ac:dyDescent="0.4">
      <c r="A19" s="75"/>
      <c r="D19" s="10"/>
      <c r="F19" s="75"/>
      <c r="I19" s="10"/>
      <c r="L19" s="6"/>
    </row>
    <row r="20" spans="1:12" ht="16" customHeight="1" x14ac:dyDescent="0.4">
      <c r="A20" s="75"/>
      <c r="D20" s="10"/>
      <c r="F20" s="75"/>
      <c r="I20" s="10"/>
      <c r="L20" s="6"/>
    </row>
    <row r="21" spans="1:12" ht="16" customHeight="1" x14ac:dyDescent="0.4">
      <c r="A21" s="75"/>
      <c r="D21" s="10"/>
      <c r="F21" s="75"/>
      <c r="I21" s="10"/>
      <c r="L21" s="6"/>
    </row>
    <row r="22" spans="1:12" ht="16" customHeight="1" x14ac:dyDescent="0.4">
      <c r="A22" s="75"/>
      <c r="D22" s="10"/>
      <c r="F22" s="75"/>
      <c r="I22" s="10"/>
      <c r="L22" s="6"/>
    </row>
    <row r="23" spans="1:12" ht="16" customHeight="1" x14ac:dyDescent="0.4">
      <c r="A23" s="75"/>
      <c r="D23" s="10"/>
      <c r="F23" s="75"/>
      <c r="I23" s="10"/>
      <c r="L23" s="6"/>
    </row>
    <row r="24" spans="1:12" ht="16" customHeight="1" x14ac:dyDescent="0.4">
      <c r="A24" s="75"/>
      <c r="D24" s="10"/>
      <c r="F24" s="75"/>
      <c r="I24" s="10"/>
      <c r="L24" s="6"/>
    </row>
    <row r="25" spans="1:12" ht="16" customHeight="1" x14ac:dyDescent="0.4">
      <c r="A25" s="75"/>
      <c r="D25" s="10"/>
      <c r="F25" s="75"/>
      <c r="I25" s="10"/>
      <c r="L25" s="6"/>
    </row>
    <row r="26" spans="1:12" ht="16" customHeight="1" x14ac:dyDescent="0.4">
      <c r="A26" s="75"/>
      <c r="D26" s="10"/>
      <c r="F26" s="75"/>
      <c r="I26" s="10"/>
      <c r="L26" s="6"/>
    </row>
    <row r="27" spans="1:12" ht="16" customHeight="1" x14ac:dyDescent="0.4">
      <c r="A27" s="75"/>
      <c r="D27" s="10"/>
      <c r="F27" s="75"/>
      <c r="I27" s="10"/>
      <c r="L27" s="6"/>
    </row>
    <row r="28" spans="1:12" ht="16" customHeight="1" x14ac:dyDescent="0.4">
      <c r="A28" s="75"/>
      <c r="D28" s="10"/>
      <c r="F28" s="75"/>
      <c r="I28" s="10"/>
      <c r="L28" s="6"/>
    </row>
    <row r="29" spans="1:12" ht="16" customHeight="1" x14ac:dyDescent="0.4">
      <c r="A29" s="75"/>
      <c r="D29" s="10"/>
      <c r="F29" s="75"/>
      <c r="I29" s="10"/>
      <c r="L29" s="6"/>
    </row>
    <row r="30" spans="1:12" ht="16" customHeight="1" x14ac:dyDescent="0.4">
      <c r="A30" s="75"/>
      <c r="D30" s="10"/>
      <c r="F30" s="75"/>
      <c r="I30" s="10"/>
      <c r="L30" s="6"/>
    </row>
    <row r="31" spans="1:12" ht="16" customHeight="1" x14ac:dyDescent="0.4">
      <c r="A31" s="75"/>
      <c r="D31" s="10"/>
      <c r="F31" s="75"/>
      <c r="I31" s="10"/>
      <c r="L31" s="6"/>
    </row>
    <row r="32" spans="1:12" ht="16" customHeight="1" x14ac:dyDescent="0.4">
      <c r="A32" s="75"/>
      <c r="D32" s="10"/>
      <c r="F32" s="75"/>
      <c r="I32" s="10"/>
      <c r="L32" s="6"/>
    </row>
    <row r="33" spans="1:12" ht="16" customHeight="1" x14ac:dyDescent="0.4">
      <c r="A33" s="76"/>
      <c r="D33" s="10"/>
      <c r="F33" s="76"/>
      <c r="I33" s="10"/>
      <c r="L33" s="6"/>
    </row>
    <row r="34" spans="1:12" ht="16" customHeight="1" x14ac:dyDescent="0.4">
      <c r="A34" s="76"/>
      <c r="D34" s="10"/>
      <c r="F34" s="76"/>
      <c r="I34" s="10"/>
      <c r="L34" s="6"/>
    </row>
    <row r="35" spans="1:12" ht="16" customHeight="1" x14ac:dyDescent="0.4">
      <c r="A35" s="76"/>
      <c r="D35" s="10"/>
      <c r="F35" s="76"/>
      <c r="I35" s="10"/>
      <c r="L35" s="6"/>
    </row>
    <row r="36" spans="1:12" ht="16" customHeight="1" x14ac:dyDescent="0.4">
      <c r="A36" s="75"/>
      <c r="D36" s="10"/>
      <c r="F36" s="75"/>
      <c r="I36" s="10"/>
      <c r="L36" s="6"/>
    </row>
    <row r="37" spans="1:12" ht="16" customHeight="1" x14ac:dyDescent="0.4">
      <c r="A37" s="75"/>
      <c r="D37" s="10"/>
      <c r="F37" s="75"/>
      <c r="I37" s="10"/>
      <c r="L37" s="6"/>
    </row>
    <row r="38" spans="1:12" ht="16" customHeight="1" x14ac:dyDescent="0.4">
      <c r="A38" s="75"/>
      <c r="D38" s="10"/>
      <c r="F38" s="75"/>
      <c r="I38" s="10"/>
      <c r="L38" s="6"/>
    </row>
    <row r="39" spans="1:12" ht="16" customHeight="1" x14ac:dyDescent="0.4">
      <c r="A39" s="75"/>
      <c r="D39" s="10"/>
      <c r="F39" s="75"/>
      <c r="I39" s="10"/>
      <c r="L39" s="6"/>
    </row>
    <row r="40" spans="1:12" ht="16" customHeight="1" x14ac:dyDescent="0.4">
      <c r="A40" s="75"/>
      <c r="D40" s="10"/>
      <c r="F40" s="75"/>
      <c r="I40" s="10"/>
      <c r="L40" s="6"/>
    </row>
    <row r="41" spans="1:12" ht="16" customHeight="1" x14ac:dyDescent="0.4">
      <c r="A41" s="75"/>
      <c r="D41" s="10"/>
      <c r="F41" s="75"/>
      <c r="I41" s="10"/>
      <c r="L41" s="6"/>
    </row>
    <row r="42" spans="1:12" ht="16" customHeight="1" x14ac:dyDescent="0.4">
      <c r="A42" s="75"/>
      <c r="D42" s="10"/>
      <c r="F42" s="75"/>
      <c r="I42" s="10"/>
      <c r="L42" s="6"/>
    </row>
    <row r="43" spans="1:12" ht="16" customHeight="1" x14ac:dyDescent="0.4">
      <c r="A43" s="75"/>
      <c r="D43" s="10"/>
      <c r="F43" s="75"/>
      <c r="I43" s="10"/>
      <c r="L43" s="6"/>
    </row>
    <row r="44" spans="1:12" ht="16" customHeight="1" x14ac:dyDescent="0.4">
      <c r="A44" s="75"/>
      <c r="F44" s="75"/>
      <c r="L44" s="6"/>
    </row>
    <row r="45" spans="1:12" ht="16" customHeight="1" x14ac:dyDescent="0.4">
      <c r="A45" s="76"/>
      <c r="F45" s="76"/>
      <c r="L45" s="6"/>
    </row>
    <row r="46" spans="1:12" ht="16" customHeight="1" x14ac:dyDescent="0.4">
      <c r="A46" s="75"/>
      <c r="F46" s="75"/>
      <c r="L46" s="6"/>
    </row>
    <row r="47" spans="1:12" ht="16" customHeight="1" x14ac:dyDescent="0.4">
      <c r="A47" s="75"/>
      <c r="F47" s="75"/>
      <c r="L47" s="6"/>
    </row>
    <row r="48" spans="1:12" ht="16" customHeight="1" x14ac:dyDescent="0.4">
      <c r="A48" s="75"/>
      <c r="F48" s="75"/>
      <c r="L48" s="6"/>
    </row>
    <row r="49" spans="1:12" ht="16" customHeight="1" x14ac:dyDescent="0.4">
      <c r="A49" s="75"/>
      <c r="F49" s="75"/>
      <c r="L49" s="6"/>
    </row>
    <row r="50" spans="1:12" ht="16" customHeight="1" x14ac:dyDescent="0.4">
      <c r="A50" s="75"/>
      <c r="F50" s="75"/>
      <c r="L50" s="6"/>
    </row>
    <row r="51" spans="1:12" x14ac:dyDescent="0.35">
      <c r="A51" s="75"/>
      <c r="F51" s="75"/>
    </row>
    <row r="52" spans="1:12" x14ac:dyDescent="0.35">
      <c r="A52" s="75"/>
      <c r="F52" s="75"/>
    </row>
    <row r="53" spans="1:12" x14ac:dyDescent="0.35">
      <c r="A53" s="75"/>
      <c r="F53" s="75"/>
    </row>
    <row r="54" spans="1:12" x14ac:dyDescent="0.35">
      <c r="A54" s="75"/>
      <c r="F54" s="75"/>
    </row>
    <row r="55" spans="1:12" x14ac:dyDescent="0.35">
      <c r="A55" s="75"/>
      <c r="F55" s="75"/>
    </row>
    <row r="56" spans="1:12" x14ac:dyDescent="0.35">
      <c r="A56" s="75"/>
      <c r="F56" s="75"/>
    </row>
    <row r="57" spans="1:12" x14ac:dyDescent="0.35">
      <c r="A57" s="75"/>
      <c r="F57" s="75"/>
    </row>
    <row r="58" spans="1:12" x14ac:dyDescent="0.35">
      <c r="A58" s="75"/>
      <c r="F58" s="75"/>
    </row>
    <row r="59" spans="1:12" x14ac:dyDescent="0.35">
      <c r="A59" s="76"/>
      <c r="F59" s="76"/>
    </row>
    <row r="60" spans="1:12" x14ac:dyDescent="0.35">
      <c r="A60" s="76"/>
      <c r="F60" s="76"/>
    </row>
    <row r="61" spans="1:12" x14ac:dyDescent="0.35">
      <c r="A61" s="76"/>
      <c r="F61" s="76"/>
    </row>
    <row r="62" spans="1:12" x14ac:dyDescent="0.35">
      <c r="A62" s="76"/>
      <c r="F62" s="76"/>
    </row>
    <row r="63" spans="1:12" x14ac:dyDescent="0.35">
      <c r="F63" s="99"/>
    </row>
    <row r="64" spans="1:12" ht="23.5" customHeight="1" x14ac:dyDescent="0.55000000000000004">
      <c r="A64" s="115"/>
      <c r="F64" s="99"/>
    </row>
    <row r="65" spans="1:6" x14ac:dyDescent="0.35">
      <c r="A65" t="s">
        <v>263</v>
      </c>
      <c r="B65">
        <f>C62+H62</f>
        <v>0</v>
      </c>
      <c r="F65" s="99"/>
    </row>
    <row r="66" spans="1:6" x14ac:dyDescent="0.35">
      <c r="A66" t="s">
        <v>264</v>
      </c>
      <c r="B66">
        <f>SUM(B71:B137)</f>
        <v>2705</v>
      </c>
      <c r="D66" t="s">
        <v>265</v>
      </c>
    </row>
    <row r="67" spans="1:6" x14ac:dyDescent="0.35">
      <c r="A67" t="s">
        <v>9</v>
      </c>
      <c r="B67">
        <f>B65-B66</f>
        <v>-2705</v>
      </c>
    </row>
    <row r="69" spans="1:6" x14ac:dyDescent="0.35">
      <c r="A69" t="s">
        <v>266</v>
      </c>
    </row>
    <row r="70" spans="1:6" x14ac:dyDescent="0.35">
      <c r="A70" t="s">
        <v>14</v>
      </c>
      <c r="B70" t="s">
        <v>15</v>
      </c>
      <c r="C70" t="s">
        <v>16</v>
      </c>
      <c r="D70" t="s">
        <v>17</v>
      </c>
      <c r="E70" t="s">
        <v>18</v>
      </c>
    </row>
    <row r="71" spans="1:6" x14ac:dyDescent="0.35">
      <c r="A71" t="s">
        <v>114</v>
      </c>
      <c r="B71">
        <v>50</v>
      </c>
      <c r="C71" t="s">
        <v>5</v>
      </c>
      <c r="D71">
        <v>10141</v>
      </c>
      <c r="E71" t="s">
        <v>267</v>
      </c>
    </row>
    <row r="72" spans="1:6" x14ac:dyDescent="0.35">
      <c r="A72" t="s">
        <v>41</v>
      </c>
      <c r="B72">
        <v>194</v>
      </c>
      <c r="C72" t="s">
        <v>5</v>
      </c>
      <c r="D72">
        <v>391661</v>
      </c>
      <c r="E72" t="s">
        <v>268</v>
      </c>
    </row>
    <row r="73" spans="1:6" x14ac:dyDescent="0.35">
      <c r="A73" t="s">
        <v>112</v>
      </c>
      <c r="B73">
        <v>59</v>
      </c>
      <c r="C73" t="s">
        <v>5</v>
      </c>
      <c r="D73">
        <v>768485</v>
      </c>
      <c r="E73" t="s">
        <v>269</v>
      </c>
    </row>
    <row r="74" spans="1:6" x14ac:dyDescent="0.35">
      <c r="A74" t="s">
        <v>53</v>
      </c>
      <c r="B74">
        <v>100</v>
      </c>
      <c r="C74" t="s">
        <v>5</v>
      </c>
      <c r="D74">
        <v>10140</v>
      </c>
      <c r="E74" t="s">
        <v>267</v>
      </c>
    </row>
    <row r="75" spans="1:6" x14ac:dyDescent="0.35">
      <c r="A75" t="s">
        <v>57</v>
      </c>
      <c r="B75">
        <v>206</v>
      </c>
      <c r="C75" t="s">
        <v>5</v>
      </c>
      <c r="D75">
        <v>1450281</v>
      </c>
      <c r="E75" t="s">
        <v>270</v>
      </c>
    </row>
    <row r="76" spans="1:6" x14ac:dyDescent="0.35">
      <c r="A76" t="s">
        <v>216</v>
      </c>
      <c r="B76">
        <v>212</v>
      </c>
      <c r="C76" t="s">
        <v>5</v>
      </c>
      <c r="D76">
        <v>10138</v>
      </c>
      <c r="E76" t="s">
        <v>267</v>
      </c>
    </row>
    <row r="77" spans="1:6" x14ac:dyDescent="0.35">
      <c r="A77" t="s">
        <v>55</v>
      </c>
      <c r="B77">
        <v>229</v>
      </c>
      <c r="C77" t="s">
        <v>5</v>
      </c>
      <c r="D77">
        <v>10137</v>
      </c>
      <c r="E77" t="s">
        <v>267</v>
      </c>
    </row>
    <row r="78" spans="1:6" x14ac:dyDescent="0.35">
      <c r="A78" t="s">
        <v>236</v>
      </c>
      <c r="B78">
        <v>234</v>
      </c>
      <c r="C78" t="s">
        <v>5</v>
      </c>
      <c r="D78">
        <v>988727</v>
      </c>
      <c r="E78" t="s">
        <v>271</v>
      </c>
    </row>
    <row r="79" spans="1:6" x14ac:dyDescent="0.35">
      <c r="A79" t="s">
        <v>92</v>
      </c>
      <c r="B79">
        <v>246</v>
      </c>
      <c r="C79" t="s">
        <v>5</v>
      </c>
      <c r="D79">
        <v>10136</v>
      </c>
      <c r="E79" t="s">
        <v>267</v>
      </c>
    </row>
    <row r="80" spans="1:6" x14ac:dyDescent="0.35">
      <c r="A80" t="s">
        <v>245</v>
      </c>
      <c r="B80">
        <v>169</v>
      </c>
      <c r="C80" t="s">
        <v>5</v>
      </c>
      <c r="D80">
        <v>10139</v>
      </c>
      <c r="E80" t="s">
        <v>267</v>
      </c>
    </row>
    <row r="81" spans="1:5" x14ac:dyDescent="0.35">
      <c r="A81" t="s">
        <v>272</v>
      </c>
      <c r="B81">
        <v>248</v>
      </c>
      <c r="C81" t="s">
        <v>5</v>
      </c>
      <c r="D81">
        <v>10135</v>
      </c>
      <c r="E81" t="s">
        <v>267</v>
      </c>
    </row>
    <row r="82" spans="1:5" x14ac:dyDescent="0.35">
      <c r="A82" t="s">
        <v>248</v>
      </c>
      <c r="B82">
        <v>250</v>
      </c>
      <c r="C82" t="s">
        <v>5</v>
      </c>
      <c r="D82">
        <v>10134</v>
      </c>
      <c r="E82" t="s">
        <v>267</v>
      </c>
    </row>
    <row r="83" spans="1:5" x14ac:dyDescent="0.35">
      <c r="A83" t="s">
        <v>252</v>
      </c>
      <c r="B83">
        <v>251</v>
      </c>
      <c r="C83" t="s">
        <v>5</v>
      </c>
      <c r="D83">
        <v>496549</v>
      </c>
      <c r="E83" t="s">
        <v>273</v>
      </c>
    </row>
    <row r="84" spans="1:5" x14ac:dyDescent="0.35">
      <c r="A84" t="s">
        <v>256</v>
      </c>
      <c r="B84">
        <v>257</v>
      </c>
      <c r="C84" t="s">
        <v>5</v>
      </c>
      <c r="D84">
        <v>10133</v>
      </c>
      <c r="E84" t="s">
        <v>267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2"/>
  <sheetViews>
    <sheetView zoomScale="99" workbookViewId="0">
      <selection activeCell="S20" sqref="S20"/>
    </sheetView>
  </sheetViews>
  <sheetFormatPr defaultColWidth="8.81640625" defaultRowHeight="14.5" x14ac:dyDescent="0.35"/>
  <cols>
    <col min="1" max="1" width="19.7265625" bestFit="1" customWidth="1"/>
    <col min="2" max="2" width="11.26953125" bestFit="1" customWidth="1"/>
    <col min="3" max="3" width="11.1796875" bestFit="1" customWidth="1"/>
    <col min="4" max="4" width="8.6328125" bestFit="1" customWidth="1"/>
    <col min="5" max="6" width="11.1796875" bestFit="1" customWidth="1"/>
    <col min="7" max="7" width="11.26953125" bestFit="1" customWidth="1"/>
    <col min="8" max="8" width="12.81640625" bestFit="1" customWidth="1"/>
    <col min="9" max="9" width="11.1796875" bestFit="1" customWidth="1"/>
    <col min="10" max="10" width="12.1796875" bestFit="1" customWidth="1"/>
    <col min="11" max="11" width="14.1796875" bestFit="1" customWidth="1"/>
    <col min="12" max="13" width="12.1796875" bestFit="1" customWidth="1"/>
    <col min="14" max="14" width="12.26953125" bestFit="1" customWidth="1"/>
    <col min="15" max="15" width="12.1796875" bestFit="1" customWidth="1"/>
    <col min="16" max="16" width="5.90625" customWidth="1"/>
    <col min="17" max="17" width="8.6328125" customWidth="1"/>
    <col min="18" max="18" width="19.1796875" customWidth="1"/>
    <col min="19" max="19" width="10.36328125" bestFit="1" customWidth="1"/>
    <col min="20" max="20" width="13.1796875" customWidth="1"/>
    <col min="21" max="21" width="12.7265625" bestFit="1" customWidth="1"/>
    <col min="22" max="22" width="17.81640625" customWidth="1"/>
  </cols>
  <sheetData>
    <row r="1" spans="1:23" ht="15" customHeight="1" thickBot="1" x14ac:dyDescent="0.4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93"/>
    </row>
    <row r="2" spans="1:23" ht="15" customHeight="1" thickBot="1" x14ac:dyDescent="0.4">
      <c r="A2" s="134" t="s">
        <v>274</v>
      </c>
      <c r="B2" s="133"/>
      <c r="C2" s="133"/>
      <c r="D2" s="134" t="s">
        <v>275</v>
      </c>
      <c r="E2" s="133"/>
      <c r="F2" s="133"/>
      <c r="G2" s="133"/>
      <c r="H2" s="133"/>
      <c r="I2" s="133"/>
      <c r="J2" s="133"/>
      <c r="K2" s="135" t="s">
        <v>276</v>
      </c>
      <c r="L2" s="133"/>
      <c r="M2" s="133"/>
      <c r="N2" s="133"/>
      <c r="O2" s="133"/>
      <c r="P2" s="93"/>
      <c r="R2" s="113" t="s">
        <v>166</v>
      </c>
      <c r="T2" t="s">
        <v>9</v>
      </c>
      <c r="U2" s="138">
        <f>SUM(S4:S10)+B5</f>
        <v>0</v>
      </c>
      <c r="V2" s="138"/>
      <c r="W2" s="137"/>
    </row>
    <row r="3" spans="1:23" ht="15" customHeight="1" thickBot="1" x14ac:dyDescent="0.4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R3" s="106" t="s">
        <v>14</v>
      </c>
      <c r="S3" s="8" t="s">
        <v>31</v>
      </c>
      <c r="T3" s="8" t="s">
        <v>16</v>
      </c>
      <c r="U3" s="8" t="s">
        <v>17</v>
      </c>
      <c r="V3" s="8" t="s">
        <v>18</v>
      </c>
    </row>
    <row r="4" spans="1:23" ht="15" customHeight="1" thickBot="1" x14ac:dyDescent="0.4">
      <c r="A4" s="84" t="s">
        <v>277</v>
      </c>
      <c r="B4" s="84" t="s">
        <v>99</v>
      </c>
      <c r="C4" s="133"/>
      <c r="D4" s="85" t="s">
        <v>278</v>
      </c>
      <c r="E4" s="85" t="s">
        <v>278</v>
      </c>
      <c r="F4" s="85" t="s">
        <v>279</v>
      </c>
      <c r="G4" s="85" t="s">
        <v>99</v>
      </c>
      <c r="H4" s="85" t="s">
        <v>280</v>
      </c>
      <c r="I4" s="85" t="s">
        <v>149</v>
      </c>
      <c r="J4" s="133"/>
      <c r="K4" s="86" t="s">
        <v>281</v>
      </c>
      <c r="L4" s="86" t="s">
        <v>278</v>
      </c>
      <c r="M4" s="86" t="s">
        <v>279</v>
      </c>
      <c r="N4" s="86" t="s">
        <v>99</v>
      </c>
      <c r="O4" s="86" t="s">
        <v>149</v>
      </c>
      <c r="R4" t="s">
        <v>55</v>
      </c>
      <c r="S4" s="139">
        <v>-30</v>
      </c>
      <c r="T4" t="s">
        <v>282</v>
      </c>
      <c r="U4">
        <v>19204740000</v>
      </c>
      <c r="V4" t="s">
        <v>283</v>
      </c>
    </row>
    <row r="5" spans="1:23" ht="15" customHeight="1" thickBot="1" x14ac:dyDescent="0.4">
      <c r="A5" s="87" t="s">
        <v>284</v>
      </c>
      <c r="B5" s="136">
        <v>660</v>
      </c>
      <c r="C5" s="133"/>
      <c r="D5" s="89" t="s">
        <v>285</v>
      </c>
      <c r="E5" s="89" t="s">
        <v>286</v>
      </c>
      <c r="F5" s="89" t="s">
        <v>287</v>
      </c>
      <c r="G5" s="90" t="s">
        <v>288</v>
      </c>
      <c r="H5" s="90">
        <v>30007202462</v>
      </c>
      <c r="I5" s="89" t="s">
        <v>289</v>
      </c>
      <c r="J5" s="133"/>
      <c r="K5" s="91" t="s">
        <v>290</v>
      </c>
      <c r="L5" s="91" t="s">
        <v>291</v>
      </c>
      <c r="M5" s="91" t="s">
        <v>287</v>
      </c>
      <c r="N5" s="92">
        <v>405</v>
      </c>
      <c r="O5" s="91" t="s">
        <v>292</v>
      </c>
      <c r="R5" t="s">
        <v>256</v>
      </c>
      <c r="S5" s="139">
        <v>-315</v>
      </c>
      <c r="T5" t="s">
        <v>293</v>
      </c>
      <c r="U5">
        <v>57384120000</v>
      </c>
      <c r="V5" t="s">
        <v>294</v>
      </c>
    </row>
    <row r="6" spans="1:23" ht="15" customHeight="1" thickBot="1" x14ac:dyDescent="0.4">
      <c r="A6" s="87" t="s">
        <v>295</v>
      </c>
      <c r="B6" s="88">
        <v>810</v>
      </c>
      <c r="C6" s="133"/>
      <c r="D6" s="89" t="s">
        <v>296</v>
      </c>
      <c r="E6" s="89" t="s">
        <v>297</v>
      </c>
      <c r="F6" s="89" t="s">
        <v>287</v>
      </c>
      <c r="G6" s="90" t="s">
        <v>288</v>
      </c>
      <c r="H6" s="90">
        <v>30303937613</v>
      </c>
      <c r="I6" s="89" t="s">
        <v>289</v>
      </c>
      <c r="J6" s="133"/>
      <c r="K6" s="91" t="s">
        <v>298</v>
      </c>
      <c r="L6" s="91" t="s">
        <v>299</v>
      </c>
      <c r="M6" s="91" t="s">
        <v>287</v>
      </c>
      <c r="N6" s="92">
        <v>405</v>
      </c>
      <c r="O6" s="91" t="s">
        <v>292</v>
      </c>
      <c r="R6" t="s">
        <v>256</v>
      </c>
      <c r="S6" s="139">
        <v>-315</v>
      </c>
      <c r="T6" t="s">
        <v>300</v>
      </c>
      <c r="U6">
        <v>57384110000</v>
      </c>
      <c r="V6" t="s">
        <v>301</v>
      </c>
    </row>
    <row r="7" spans="1:23" ht="15" customHeight="1" thickBot="1" x14ac:dyDescent="0.4">
      <c r="A7" s="87" t="s">
        <v>302</v>
      </c>
      <c r="B7" s="88" t="s">
        <v>303</v>
      </c>
      <c r="C7" s="133"/>
      <c r="D7" s="89" t="s">
        <v>304</v>
      </c>
      <c r="E7" s="89" t="s">
        <v>305</v>
      </c>
      <c r="F7" s="89" t="s">
        <v>306</v>
      </c>
      <c r="G7" s="90" t="s">
        <v>307</v>
      </c>
      <c r="H7" s="90">
        <v>30005311655</v>
      </c>
      <c r="I7" s="89" t="s">
        <v>289</v>
      </c>
      <c r="J7" s="133"/>
      <c r="K7" s="91"/>
      <c r="L7" s="91"/>
      <c r="M7" s="91"/>
      <c r="N7" s="92">
        <v>0</v>
      </c>
      <c r="O7" s="91" t="s">
        <v>292</v>
      </c>
      <c r="S7" s="139"/>
    </row>
    <row r="8" spans="1:23" ht="15" customHeight="1" thickBot="1" x14ac:dyDescent="0.4">
      <c r="A8" s="133"/>
      <c r="B8" s="133"/>
      <c r="C8" s="133"/>
      <c r="D8" s="89"/>
      <c r="E8" s="89"/>
      <c r="F8" s="89"/>
      <c r="G8" s="90" t="s">
        <v>308</v>
      </c>
      <c r="H8" s="89"/>
      <c r="I8" s="89" t="s">
        <v>292</v>
      </c>
      <c r="J8" s="133"/>
      <c r="K8" s="91"/>
      <c r="L8" s="91"/>
      <c r="M8" s="91"/>
      <c r="N8" s="92">
        <v>0</v>
      </c>
      <c r="O8" s="91" t="s">
        <v>292</v>
      </c>
    </row>
    <row r="9" spans="1:23" ht="15" customHeight="1" thickBot="1" x14ac:dyDescent="0.4">
      <c r="A9" s="133"/>
      <c r="B9" s="133"/>
      <c r="C9" s="133"/>
      <c r="D9" s="89"/>
      <c r="E9" s="89"/>
      <c r="F9" s="89"/>
      <c r="G9" s="90" t="s">
        <v>308</v>
      </c>
      <c r="H9" s="89"/>
      <c r="I9" s="89" t="s">
        <v>292</v>
      </c>
      <c r="J9" s="133"/>
      <c r="K9" s="91"/>
      <c r="L9" s="91"/>
      <c r="M9" s="91"/>
      <c r="N9" s="92">
        <v>0</v>
      </c>
      <c r="O9" s="91" t="s">
        <v>292</v>
      </c>
    </row>
    <row r="10" spans="1:23" ht="15" customHeight="1" thickBot="1" x14ac:dyDescent="0.4">
      <c r="A10" s="133"/>
      <c r="B10" s="133"/>
      <c r="C10" s="133"/>
      <c r="D10" s="89"/>
      <c r="E10" s="89"/>
      <c r="F10" s="89"/>
      <c r="G10" s="89"/>
      <c r="H10" s="89"/>
      <c r="I10" s="89" t="s">
        <v>292</v>
      </c>
      <c r="J10" s="133"/>
      <c r="K10" s="91"/>
      <c r="L10" s="91"/>
      <c r="M10" s="91"/>
      <c r="N10" s="91"/>
      <c r="O10" s="91" t="s">
        <v>292</v>
      </c>
    </row>
    <row r="11" spans="1:23" ht="15" customHeight="1" thickBot="1" x14ac:dyDescent="0.4">
      <c r="A11" s="133"/>
      <c r="B11" s="133"/>
      <c r="C11" s="133"/>
      <c r="D11" s="89"/>
      <c r="E11" s="89"/>
      <c r="F11" s="89"/>
      <c r="G11" s="89"/>
      <c r="H11" s="89"/>
      <c r="I11" s="89" t="s">
        <v>292</v>
      </c>
      <c r="J11" s="133"/>
      <c r="K11" s="91"/>
      <c r="L11" s="91"/>
      <c r="M11" s="91"/>
      <c r="N11" s="91"/>
      <c r="O11" s="91" t="s">
        <v>292</v>
      </c>
    </row>
    <row r="12" spans="1:23" x14ac:dyDescent="0.35">
      <c r="A12" s="1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1"/>
  <sheetViews>
    <sheetView zoomScale="69" workbookViewId="0">
      <selection activeCell="E6" sqref="E6"/>
    </sheetView>
  </sheetViews>
  <sheetFormatPr defaultColWidth="8.81640625" defaultRowHeight="14.5" x14ac:dyDescent="0.35"/>
  <cols>
    <col min="1" max="1" width="19.81640625" customWidth="1"/>
    <col min="2" max="3" width="15.36328125" customWidth="1"/>
    <col min="4" max="4" width="16.36328125" customWidth="1"/>
    <col min="5" max="5" width="17.26953125" customWidth="1"/>
    <col min="6" max="6" width="21.453125" customWidth="1"/>
    <col min="7" max="7" width="25.81640625" customWidth="1"/>
    <col min="30" max="30" width="21.1796875" customWidth="1"/>
    <col min="31" max="31" width="17.453125" customWidth="1"/>
    <col min="32" max="32" width="19" customWidth="1"/>
    <col min="33" max="33" width="12.6328125" customWidth="1"/>
    <col min="34" max="34" width="22.36328125" customWidth="1"/>
  </cols>
  <sheetData>
    <row r="1" spans="1:15" x14ac:dyDescent="0.35">
      <c r="A1" s="94" t="s">
        <v>20</v>
      </c>
    </row>
    <row r="3" spans="1:15" x14ac:dyDescent="0.35">
      <c r="B3" t="s">
        <v>309</v>
      </c>
      <c r="C3">
        <f>SUM(B11:B21)</f>
        <v>-32485.25</v>
      </c>
    </row>
    <row r="4" spans="1:15" x14ac:dyDescent="0.35">
      <c r="B4" t="s">
        <v>310</v>
      </c>
      <c r="C4">
        <v>0</v>
      </c>
    </row>
    <row r="5" spans="1:15" x14ac:dyDescent="0.35">
      <c r="B5" t="s">
        <v>311</v>
      </c>
      <c r="C5">
        <f>C3+C4</f>
        <v>-32485.25</v>
      </c>
    </row>
    <row r="10" spans="1:15" x14ac:dyDescent="0.35">
      <c r="A10" s="110" t="s">
        <v>312</v>
      </c>
      <c r="B10" s="110" t="s">
        <v>31</v>
      </c>
      <c r="C10" s="110" t="s">
        <v>16</v>
      </c>
      <c r="D10" s="110" t="s">
        <v>313</v>
      </c>
      <c r="E10" s="110" t="s">
        <v>17</v>
      </c>
      <c r="F10" s="110" t="s">
        <v>14</v>
      </c>
      <c r="G10" s="110" t="s">
        <v>18</v>
      </c>
      <c r="I10" s="8" t="s">
        <v>15</v>
      </c>
      <c r="J10" s="8" t="s">
        <v>16</v>
      </c>
      <c r="K10" s="8" t="s">
        <v>313</v>
      </c>
      <c r="L10" s="8" t="s">
        <v>17</v>
      </c>
      <c r="M10" s="8" t="s">
        <v>14</v>
      </c>
      <c r="N10" s="8" t="s">
        <v>18</v>
      </c>
      <c r="O10" s="8"/>
    </row>
    <row r="11" spans="1:15" x14ac:dyDescent="0.35">
      <c r="A11" s="103"/>
      <c r="B11" s="103"/>
      <c r="C11" s="103" t="s">
        <v>5</v>
      </c>
      <c r="D11" s="111" t="s">
        <v>314</v>
      </c>
      <c r="E11" s="103">
        <v>996770</v>
      </c>
      <c r="F11" s="111" t="s">
        <v>114</v>
      </c>
      <c r="G11" s="103" t="s">
        <v>64</v>
      </c>
      <c r="I11" s="27"/>
      <c r="J11" s="27"/>
      <c r="K11" s="27"/>
      <c r="L11" s="27"/>
      <c r="M11" s="27"/>
      <c r="N11" s="27"/>
      <c r="O11" s="27"/>
    </row>
    <row r="12" spans="1:15" x14ac:dyDescent="0.35">
      <c r="A12" s="103"/>
      <c r="B12" s="103"/>
      <c r="C12" s="111" t="s">
        <v>5</v>
      </c>
      <c r="D12" s="111" t="s">
        <v>314</v>
      </c>
      <c r="E12" s="103">
        <v>498</v>
      </c>
      <c r="F12" s="111" t="s">
        <v>114</v>
      </c>
      <c r="G12" s="103" t="s">
        <v>315</v>
      </c>
      <c r="I12" s="27"/>
      <c r="J12" s="27"/>
      <c r="K12" s="27"/>
      <c r="L12" s="27"/>
      <c r="M12" s="27"/>
      <c r="N12" s="27"/>
      <c r="O12" s="27"/>
    </row>
    <row r="13" spans="1:15" x14ac:dyDescent="0.35">
      <c r="A13" s="103"/>
      <c r="B13" s="103"/>
      <c r="C13" s="103" t="s">
        <v>5</v>
      </c>
      <c r="D13" s="111" t="s">
        <v>314</v>
      </c>
      <c r="E13" s="103">
        <v>907111</v>
      </c>
      <c r="F13" s="103" t="s">
        <v>53</v>
      </c>
      <c r="G13" s="103" t="s">
        <v>316</v>
      </c>
      <c r="I13" s="27"/>
      <c r="J13" s="27"/>
      <c r="K13" s="27"/>
      <c r="L13" s="27"/>
      <c r="M13" s="27"/>
      <c r="N13" s="27"/>
      <c r="O13" s="27"/>
    </row>
    <row r="14" spans="1:15" x14ac:dyDescent="0.35">
      <c r="A14" s="103"/>
      <c r="B14" s="103"/>
      <c r="C14" s="103" t="s">
        <v>5</v>
      </c>
      <c r="D14" s="103" t="s">
        <v>314</v>
      </c>
      <c r="E14" s="103">
        <v>101760</v>
      </c>
      <c r="F14" s="103" t="s">
        <v>53</v>
      </c>
      <c r="G14" s="103" t="s">
        <v>317</v>
      </c>
      <c r="I14" s="27"/>
      <c r="J14" s="27"/>
      <c r="K14" s="27"/>
      <c r="L14" s="27"/>
      <c r="M14" s="27"/>
      <c r="N14" s="27"/>
      <c r="O14" s="27"/>
    </row>
    <row r="15" spans="1:15" x14ac:dyDescent="0.35">
      <c r="A15" s="103"/>
      <c r="B15" s="103"/>
      <c r="C15" s="103" t="s">
        <v>5</v>
      </c>
      <c r="D15" s="103" t="s">
        <v>314</v>
      </c>
      <c r="E15" s="103">
        <v>202</v>
      </c>
      <c r="F15" s="103" t="s">
        <v>53</v>
      </c>
      <c r="G15" s="103" t="s">
        <v>64</v>
      </c>
      <c r="I15" s="27"/>
      <c r="J15" s="27"/>
      <c r="K15" s="27"/>
      <c r="L15" s="27"/>
      <c r="M15" s="27"/>
      <c r="N15" s="27"/>
      <c r="O15" s="27"/>
    </row>
    <row r="16" spans="1:15" x14ac:dyDescent="0.35">
      <c r="A16" s="103"/>
      <c r="B16" s="103">
        <v>-2395</v>
      </c>
      <c r="C16" s="103" t="s">
        <v>318</v>
      </c>
      <c r="D16" s="103" t="s">
        <v>319</v>
      </c>
      <c r="E16" s="103">
        <v>19204770000</v>
      </c>
      <c r="F16" s="103" t="s">
        <v>55</v>
      </c>
      <c r="G16" s="103" t="s">
        <v>320</v>
      </c>
      <c r="I16" s="27"/>
      <c r="J16" s="27"/>
      <c r="K16" s="27"/>
      <c r="L16" s="27"/>
      <c r="M16" s="27"/>
      <c r="N16" s="27"/>
      <c r="O16" s="27"/>
    </row>
    <row r="17" spans="2:7" x14ac:dyDescent="0.35">
      <c r="B17">
        <v>-12689</v>
      </c>
      <c r="C17" t="s">
        <v>321</v>
      </c>
      <c r="D17" t="s">
        <v>322</v>
      </c>
      <c r="E17">
        <v>22959020000</v>
      </c>
      <c r="F17" t="s">
        <v>323</v>
      </c>
      <c r="G17" t="s">
        <v>324</v>
      </c>
    </row>
    <row r="18" spans="2:7" x14ac:dyDescent="0.35">
      <c r="B18">
        <v>-5980</v>
      </c>
      <c r="C18" t="s">
        <v>321</v>
      </c>
      <c r="D18" t="s">
        <v>322</v>
      </c>
      <c r="E18">
        <v>22959030000</v>
      </c>
      <c r="F18" t="s">
        <v>323</v>
      </c>
      <c r="G18" t="s">
        <v>325</v>
      </c>
    </row>
    <row r="19" spans="2:7" x14ac:dyDescent="0.35">
      <c r="B19">
        <v>-556.25</v>
      </c>
      <c r="C19" t="s">
        <v>318</v>
      </c>
      <c r="D19" t="s">
        <v>319</v>
      </c>
      <c r="E19">
        <v>22959010000</v>
      </c>
      <c r="F19" t="s">
        <v>323</v>
      </c>
      <c r="G19" t="s">
        <v>320</v>
      </c>
    </row>
    <row r="20" spans="2:7" x14ac:dyDescent="0.35">
      <c r="B20">
        <v>-5990</v>
      </c>
      <c r="C20" t="s">
        <v>326</v>
      </c>
      <c r="D20" t="s">
        <v>327</v>
      </c>
      <c r="E20">
        <v>22959040000</v>
      </c>
      <c r="F20" t="s">
        <v>323</v>
      </c>
      <c r="G20" t="s">
        <v>328</v>
      </c>
    </row>
    <row r="21" spans="2:7" x14ac:dyDescent="0.35">
      <c r="B21">
        <v>-4875</v>
      </c>
      <c r="C21" t="s">
        <v>318</v>
      </c>
      <c r="D21" t="s">
        <v>319</v>
      </c>
      <c r="E21">
        <v>94480440000</v>
      </c>
      <c r="F21" t="s">
        <v>329</v>
      </c>
      <c r="G21" t="s">
        <v>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3:N90"/>
  <sheetViews>
    <sheetView topLeftCell="A5" zoomScale="150" zoomScaleNormal="70" workbookViewId="0">
      <selection activeCell="K17" sqref="K17"/>
    </sheetView>
  </sheetViews>
  <sheetFormatPr defaultColWidth="8.7265625" defaultRowHeight="14.5" x14ac:dyDescent="0.35"/>
  <sheetData>
    <row r="3" spans="3:14" x14ac:dyDescent="0.35">
      <c r="C3" s="105" t="s">
        <v>330</v>
      </c>
      <c r="D3" s="94"/>
    </row>
    <row r="4" spans="3:14" x14ac:dyDescent="0.35">
      <c r="C4" s="103" t="s">
        <v>331</v>
      </c>
      <c r="D4" s="103">
        <f>SUM(D13:D38)</f>
        <v>-6502.8</v>
      </c>
    </row>
    <row r="5" spans="3:14" x14ac:dyDescent="0.35">
      <c r="C5" s="27" t="s">
        <v>10</v>
      </c>
      <c r="D5" s="27">
        <f>SUM(K13:K91)</f>
        <v>2932</v>
      </c>
    </row>
    <row r="6" spans="3:14" x14ac:dyDescent="0.35">
      <c r="C6" s="41" t="s">
        <v>1</v>
      </c>
      <c r="D6" s="41">
        <f>D4+D5</f>
        <v>-3570.8</v>
      </c>
    </row>
    <row r="11" spans="3:14" ht="39.5" customHeight="1" x14ac:dyDescent="0.9">
      <c r="C11" s="107" t="s">
        <v>20</v>
      </c>
      <c r="J11" s="107" t="s">
        <v>10</v>
      </c>
    </row>
    <row r="12" spans="3:14" x14ac:dyDescent="0.35">
      <c r="C12" s="104" t="s">
        <v>14</v>
      </c>
      <c r="D12" s="104" t="s">
        <v>31</v>
      </c>
      <c r="E12" s="104" t="s">
        <v>16</v>
      </c>
      <c r="F12" s="104" t="s">
        <v>17</v>
      </c>
      <c r="G12" s="104" t="s">
        <v>18</v>
      </c>
      <c r="J12" s="8" t="s">
        <v>14</v>
      </c>
      <c r="K12" s="8" t="s">
        <v>15</v>
      </c>
      <c r="L12" s="8" t="s">
        <v>16</v>
      </c>
      <c r="M12" s="8" t="s">
        <v>17</v>
      </c>
      <c r="N12" s="8" t="s">
        <v>18</v>
      </c>
    </row>
    <row r="13" spans="3:14" x14ac:dyDescent="0.35">
      <c r="C13" s="103" t="s">
        <v>33</v>
      </c>
      <c r="D13" s="103">
        <v>-903.8</v>
      </c>
      <c r="E13" s="103" t="s">
        <v>332</v>
      </c>
      <c r="F13" s="103">
        <v>39541100000</v>
      </c>
      <c r="G13" s="103" t="s">
        <v>333</v>
      </c>
      <c r="J13" s="27" t="s">
        <v>24</v>
      </c>
      <c r="K13" s="27">
        <v>189</v>
      </c>
      <c r="L13" s="27" t="s">
        <v>5</v>
      </c>
      <c r="M13" s="27">
        <v>607955</v>
      </c>
      <c r="N13" s="27" t="s">
        <v>334</v>
      </c>
    </row>
    <row r="14" spans="3:14" x14ac:dyDescent="0.35">
      <c r="C14" s="103" t="s">
        <v>68</v>
      </c>
      <c r="D14" s="103">
        <v>-156</v>
      </c>
      <c r="E14" s="103" t="s">
        <v>335</v>
      </c>
      <c r="F14" s="103">
        <v>94483090000</v>
      </c>
      <c r="G14" s="103" t="s">
        <v>336</v>
      </c>
      <c r="J14" s="27" t="s">
        <v>24</v>
      </c>
      <c r="K14" s="27">
        <v>187</v>
      </c>
      <c r="L14" s="27" t="s">
        <v>5</v>
      </c>
      <c r="M14" s="27">
        <v>607968</v>
      </c>
      <c r="N14" s="27" t="s">
        <v>337</v>
      </c>
    </row>
    <row r="15" spans="3:14" x14ac:dyDescent="0.35">
      <c r="C15" s="103" t="s">
        <v>227</v>
      </c>
      <c r="D15" s="103">
        <v>-5443</v>
      </c>
      <c r="E15" s="103" t="s">
        <v>338</v>
      </c>
      <c r="F15" s="103">
        <v>85523960000</v>
      </c>
      <c r="G15" s="103" t="s">
        <v>339</v>
      </c>
      <c r="J15" s="27" t="s">
        <v>122</v>
      </c>
      <c r="K15" s="27">
        <v>6</v>
      </c>
      <c r="L15" s="27" t="s">
        <v>5</v>
      </c>
      <c r="M15" s="27">
        <v>1029196</v>
      </c>
      <c r="N15" s="27" t="s">
        <v>340</v>
      </c>
    </row>
    <row r="16" spans="3:14" x14ac:dyDescent="0.35">
      <c r="C16" s="103"/>
      <c r="D16" s="108"/>
      <c r="E16" s="109"/>
      <c r="F16" s="103"/>
      <c r="G16" s="103"/>
      <c r="J16" s="27" t="s">
        <v>33</v>
      </c>
      <c r="K16" s="27">
        <v>39</v>
      </c>
      <c r="L16" s="27" t="s">
        <v>5</v>
      </c>
      <c r="M16" s="27">
        <v>941221</v>
      </c>
      <c r="N16" s="27" t="s">
        <v>341</v>
      </c>
    </row>
    <row r="17" spans="3:14" x14ac:dyDescent="0.35">
      <c r="C17" s="103"/>
      <c r="D17" s="103"/>
      <c r="E17" s="103"/>
      <c r="F17" s="103"/>
      <c r="G17" s="103"/>
      <c r="J17" s="27" t="s">
        <v>33</v>
      </c>
      <c r="K17" s="27">
        <v>14</v>
      </c>
      <c r="L17" s="27" t="s">
        <v>5</v>
      </c>
      <c r="M17" s="27">
        <v>941220</v>
      </c>
      <c r="N17" s="27" t="s">
        <v>342</v>
      </c>
    </row>
    <row r="18" spans="3:14" x14ac:dyDescent="0.35">
      <c r="C18" s="103"/>
      <c r="D18" s="109"/>
      <c r="E18" s="103"/>
      <c r="F18" s="103"/>
      <c r="G18" s="103"/>
      <c r="J18" s="27" t="s">
        <v>33</v>
      </c>
      <c r="K18" s="27">
        <v>38</v>
      </c>
      <c r="L18" s="27" t="s">
        <v>5</v>
      </c>
      <c r="M18" s="27">
        <v>941095</v>
      </c>
      <c r="N18" s="27" t="s">
        <v>343</v>
      </c>
    </row>
    <row r="19" spans="3:14" x14ac:dyDescent="0.35">
      <c r="C19" s="103"/>
      <c r="D19" s="103"/>
      <c r="E19" s="103"/>
      <c r="F19" s="103"/>
      <c r="G19" s="103"/>
      <c r="J19" s="27" t="s">
        <v>114</v>
      </c>
      <c r="K19" s="27">
        <v>55</v>
      </c>
      <c r="L19" s="27" t="s">
        <v>5</v>
      </c>
      <c r="M19" s="27">
        <v>836512</v>
      </c>
      <c r="N19" s="27" t="s">
        <v>344</v>
      </c>
    </row>
    <row r="20" spans="3:14" x14ac:dyDescent="0.35">
      <c r="C20" s="103"/>
      <c r="D20" s="103"/>
      <c r="E20" s="103"/>
      <c r="F20" s="103"/>
      <c r="G20" s="103"/>
      <c r="J20" s="27" t="s">
        <v>112</v>
      </c>
      <c r="K20" s="27">
        <v>60</v>
      </c>
      <c r="L20" s="27" t="s">
        <v>5</v>
      </c>
      <c r="M20" s="27">
        <v>770108</v>
      </c>
      <c r="N20" s="27" t="s">
        <v>345</v>
      </c>
    </row>
    <row r="21" spans="3:14" x14ac:dyDescent="0.35">
      <c r="C21" s="103"/>
      <c r="D21" s="103"/>
      <c r="E21" s="103"/>
      <c r="F21" s="103"/>
      <c r="G21" s="103"/>
      <c r="J21" s="27" t="s">
        <v>68</v>
      </c>
      <c r="K21" s="27">
        <v>78</v>
      </c>
      <c r="L21" s="27" t="s">
        <v>5</v>
      </c>
      <c r="M21" s="27">
        <v>672524</v>
      </c>
      <c r="N21" s="27" t="s">
        <v>346</v>
      </c>
    </row>
    <row r="22" spans="3:14" x14ac:dyDescent="0.35">
      <c r="C22" s="103"/>
      <c r="D22" s="103"/>
      <c r="E22" s="103"/>
      <c r="F22" s="103"/>
      <c r="G22" s="103"/>
      <c r="J22" s="27" t="s">
        <v>106</v>
      </c>
      <c r="K22" s="27">
        <v>91</v>
      </c>
      <c r="L22" s="27" t="s">
        <v>5</v>
      </c>
      <c r="M22" s="27">
        <v>596605</v>
      </c>
      <c r="N22" s="27" t="s">
        <v>347</v>
      </c>
    </row>
    <row r="23" spans="3:14" x14ac:dyDescent="0.35">
      <c r="C23" s="103"/>
      <c r="D23" s="103"/>
      <c r="E23" s="103"/>
      <c r="F23" s="103"/>
      <c r="G23" s="103"/>
      <c r="J23" s="27" t="s">
        <v>53</v>
      </c>
      <c r="K23" s="27">
        <v>97</v>
      </c>
      <c r="L23" s="27" t="s">
        <v>5</v>
      </c>
      <c r="M23" s="27">
        <v>517324</v>
      </c>
      <c r="N23" s="27" t="s">
        <v>348</v>
      </c>
    </row>
    <row r="24" spans="3:14" x14ac:dyDescent="0.35">
      <c r="C24" s="103"/>
      <c r="D24" s="103"/>
      <c r="E24" s="103"/>
      <c r="F24" s="103"/>
      <c r="G24" s="103"/>
      <c r="J24" s="27" t="s">
        <v>53</v>
      </c>
      <c r="K24" s="27">
        <v>115</v>
      </c>
      <c r="L24" s="27" t="s">
        <v>5</v>
      </c>
      <c r="M24" s="27">
        <v>517804</v>
      </c>
      <c r="N24" s="27" t="s">
        <v>349</v>
      </c>
    </row>
    <row r="25" spans="3:14" x14ac:dyDescent="0.35">
      <c r="C25" s="103"/>
      <c r="D25" s="103"/>
      <c r="E25" s="103"/>
      <c r="F25" s="103"/>
      <c r="G25" s="103"/>
      <c r="J25" s="27" t="s">
        <v>53</v>
      </c>
      <c r="K25" s="27">
        <v>119</v>
      </c>
      <c r="L25" s="27" t="s">
        <v>5</v>
      </c>
      <c r="M25" s="27">
        <v>517799</v>
      </c>
      <c r="N25" s="27" t="s">
        <v>350</v>
      </c>
    </row>
    <row r="26" spans="3:14" x14ac:dyDescent="0.35">
      <c r="C26" s="103"/>
      <c r="D26" s="103"/>
      <c r="E26" s="103"/>
      <c r="F26" s="103"/>
      <c r="G26" s="103"/>
      <c r="J26" s="27" t="s">
        <v>63</v>
      </c>
      <c r="K26" s="27">
        <v>124</v>
      </c>
      <c r="L26" s="27" t="s">
        <v>5</v>
      </c>
      <c r="M26" s="27">
        <v>414192</v>
      </c>
      <c r="N26" s="27" t="s">
        <v>351</v>
      </c>
    </row>
    <row r="27" spans="3:14" x14ac:dyDescent="0.35">
      <c r="C27" s="103"/>
      <c r="D27" s="103"/>
      <c r="E27" s="103"/>
      <c r="F27" s="103"/>
      <c r="G27" s="103"/>
      <c r="J27" s="27" t="s">
        <v>220</v>
      </c>
      <c r="K27" s="27">
        <v>134</v>
      </c>
      <c r="L27" s="27" t="s">
        <v>5</v>
      </c>
      <c r="M27" s="27">
        <v>339492</v>
      </c>
      <c r="N27" s="27" t="s">
        <v>352</v>
      </c>
    </row>
    <row r="28" spans="3:14" x14ac:dyDescent="0.35">
      <c r="C28" s="103"/>
      <c r="D28" s="103"/>
      <c r="E28" s="103"/>
      <c r="F28" s="103"/>
      <c r="G28" s="103"/>
      <c r="J28" s="27" t="s">
        <v>59</v>
      </c>
      <c r="K28" s="27">
        <v>137</v>
      </c>
      <c r="L28" s="27" t="s">
        <v>5</v>
      </c>
      <c r="M28" s="27">
        <v>234407</v>
      </c>
      <c r="N28" s="27" t="s">
        <v>353</v>
      </c>
    </row>
    <row r="29" spans="3:14" x14ac:dyDescent="0.35">
      <c r="C29" s="103"/>
      <c r="D29" s="103"/>
      <c r="E29" s="103"/>
      <c r="F29" s="103"/>
      <c r="G29" s="103"/>
      <c r="J29" s="27" t="s">
        <v>227</v>
      </c>
      <c r="K29" s="27">
        <v>139</v>
      </c>
      <c r="L29" s="27" t="s">
        <v>5</v>
      </c>
      <c r="M29" s="27">
        <v>147914</v>
      </c>
      <c r="N29" s="27" t="s">
        <v>354</v>
      </c>
    </row>
    <row r="30" spans="3:14" x14ac:dyDescent="0.35">
      <c r="C30" s="103"/>
      <c r="D30" s="103"/>
      <c r="E30" s="103"/>
      <c r="F30" s="103"/>
      <c r="G30" s="103"/>
      <c r="J30" s="27" t="s">
        <v>77</v>
      </c>
      <c r="K30" s="27">
        <v>143</v>
      </c>
      <c r="L30" s="27" t="s">
        <v>5</v>
      </c>
      <c r="M30" s="27">
        <v>1556209</v>
      </c>
      <c r="N30" s="27" t="s">
        <v>355</v>
      </c>
    </row>
    <row r="31" spans="3:14" x14ac:dyDescent="0.35">
      <c r="C31" s="103"/>
      <c r="D31" s="103"/>
      <c r="E31" s="103"/>
      <c r="F31" s="103"/>
      <c r="G31" s="103"/>
      <c r="J31" s="27" t="s">
        <v>77</v>
      </c>
      <c r="K31" s="27">
        <v>145</v>
      </c>
      <c r="L31" s="27" t="s">
        <v>5</v>
      </c>
      <c r="M31" s="27">
        <v>1556213</v>
      </c>
      <c r="N31" s="27" t="s">
        <v>356</v>
      </c>
    </row>
    <row r="32" spans="3:14" x14ac:dyDescent="0.35">
      <c r="C32" s="103"/>
      <c r="D32" s="103"/>
      <c r="E32" s="103"/>
      <c r="F32" s="103"/>
      <c r="G32" s="103"/>
      <c r="J32" s="27" t="s">
        <v>77</v>
      </c>
      <c r="K32" s="27">
        <v>152</v>
      </c>
      <c r="L32" s="27" t="s">
        <v>5</v>
      </c>
      <c r="M32" s="27">
        <v>1555163</v>
      </c>
      <c r="N32" s="27" t="s">
        <v>357</v>
      </c>
    </row>
    <row r="33" spans="3:14" x14ac:dyDescent="0.35">
      <c r="C33" s="103"/>
      <c r="D33" s="103"/>
      <c r="E33" s="103"/>
      <c r="F33" s="103"/>
      <c r="G33" s="103"/>
      <c r="J33" s="27" t="s">
        <v>89</v>
      </c>
      <c r="K33" s="27">
        <v>164</v>
      </c>
      <c r="L33" s="27" t="s">
        <v>5</v>
      </c>
      <c r="M33" s="27">
        <v>1363385</v>
      </c>
      <c r="N33" s="27" t="s">
        <v>358</v>
      </c>
    </row>
    <row r="34" spans="3:14" x14ac:dyDescent="0.35">
      <c r="C34" s="103"/>
      <c r="D34" s="103"/>
      <c r="E34" s="103"/>
      <c r="F34" s="103"/>
      <c r="G34" s="103"/>
      <c r="J34" s="27" t="s">
        <v>96</v>
      </c>
      <c r="K34" s="27">
        <v>172</v>
      </c>
      <c r="L34" s="27" t="s">
        <v>5</v>
      </c>
      <c r="M34" s="27">
        <v>1173632</v>
      </c>
      <c r="N34" s="27" t="s">
        <v>359</v>
      </c>
    </row>
    <row r="35" spans="3:14" x14ac:dyDescent="0.35">
      <c r="C35" s="103"/>
      <c r="D35" s="103"/>
      <c r="E35" s="103"/>
      <c r="F35" s="103"/>
      <c r="G35" s="103"/>
      <c r="J35" s="27" t="s">
        <v>250</v>
      </c>
      <c r="K35" s="27">
        <v>175</v>
      </c>
      <c r="L35" s="27" t="s">
        <v>5</v>
      </c>
      <c r="M35" s="27">
        <v>1091666</v>
      </c>
      <c r="N35" s="27" t="s">
        <v>360</v>
      </c>
    </row>
    <row r="36" spans="3:14" x14ac:dyDescent="0.35">
      <c r="C36" s="103"/>
      <c r="D36" s="103"/>
      <c r="E36" s="103"/>
      <c r="F36" s="103"/>
      <c r="G36" s="103"/>
      <c r="J36" s="27" t="s">
        <v>250</v>
      </c>
      <c r="K36" s="27">
        <v>177</v>
      </c>
      <c r="L36" s="27" t="s">
        <v>5</v>
      </c>
      <c r="M36" s="27">
        <v>1091666</v>
      </c>
      <c r="N36" s="27" t="s">
        <v>361</v>
      </c>
    </row>
    <row r="37" spans="3:14" x14ac:dyDescent="0.35">
      <c r="C37" s="103"/>
      <c r="D37" s="103"/>
      <c r="E37" s="103"/>
      <c r="F37" s="103"/>
      <c r="G37" s="103"/>
      <c r="J37" s="27" t="s">
        <v>362</v>
      </c>
      <c r="K37" s="27">
        <v>182</v>
      </c>
      <c r="L37" s="27" t="s">
        <v>5</v>
      </c>
      <c r="M37" s="27">
        <v>910158</v>
      </c>
      <c r="N37" s="27" t="s">
        <v>363</v>
      </c>
    </row>
    <row r="38" spans="3:14" x14ac:dyDescent="0.35">
      <c r="C38" s="103"/>
      <c r="D38" s="103"/>
      <c r="E38" s="103"/>
      <c r="F38" s="103"/>
      <c r="G38" s="103"/>
      <c r="J38" s="27"/>
      <c r="K38" s="27"/>
      <c r="L38" s="27"/>
      <c r="M38" s="27"/>
      <c r="N38" s="27"/>
    </row>
    <row r="39" spans="3:14" x14ac:dyDescent="0.35">
      <c r="C39" s="103"/>
      <c r="D39" s="103"/>
      <c r="E39" s="103"/>
      <c r="F39" s="103"/>
      <c r="G39" s="103"/>
      <c r="J39" s="27"/>
      <c r="K39" s="27"/>
      <c r="L39" s="27"/>
      <c r="M39" s="27"/>
      <c r="N39" s="27"/>
    </row>
    <row r="40" spans="3:14" x14ac:dyDescent="0.35">
      <c r="C40" s="103"/>
      <c r="D40" s="103"/>
      <c r="E40" s="103"/>
      <c r="F40" s="103"/>
      <c r="G40" s="103"/>
      <c r="J40" s="27"/>
      <c r="K40" s="27"/>
      <c r="L40" s="27"/>
      <c r="M40" s="27"/>
      <c r="N40" s="27"/>
    </row>
    <row r="41" spans="3:14" x14ac:dyDescent="0.35">
      <c r="C41" s="103"/>
      <c r="D41" s="103"/>
      <c r="E41" s="103"/>
      <c r="F41" s="103"/>
      <c r="G41" s="103"/>
      <c r="J41" s="27"/>
      <c r="K41" s="27"/>
      <c r="L41" s="27"/>
      <c r="M41" s="27"/>
      <c r="N41" s="27"/>
    </row>
    <row r="42" spans="3:14" x14ac:dyDescent="0.35">
      <c r="C42" s="103"/>
      <c r="D42" s="103"/>
      <c r="E42" s="103"/>
      <c r="F42" s="103"/>
      <c r="G42" s="103"/>
      <c r="J42" s="27"/>
      <c r="K42" s="27"/>
      <c r="L42" s="27"/>
      <c r="M42" s="27"/>
      <c r="N42" s="27"/>
    </row>
    <row r="43" spans="3:14" x14ac:dyDescent="0.35">
      <c r="C43" s="103"/>
      <c r="D43" s="103"/>
      <c r="E43" s="103"/>
      <c r="F43" s="103"/>
      <c r="G43" s="103"/>
      <c r="J43" s="27"/>
      <c r="K43" s="27"/>
      <c r="L43" s="27"/>
      <c r="M43" s="27"/>
      <c r="N43" s="27"/>
    </row>
    <row r="44" spans="3:14" x14ac:dyDescent="0.35">
      <c r="C44" s="103"/>
      <c r="D44" s="103"/>
      <c r="E44" s="103"/>
      <c r="F44" s="103"/>
      <c r="G44" s="103"/>
      <c r="J44" s="27"/>
      <c r="K44" s="27"/>
      <c r="L44" s="27"/>
      <c r="M44" s="27"/>
      <c r="N44" s="27"/>
    </row>
    <row r="45" spans="3:14" x14ac:dyDescent="0.35">
      <c r="C45" s="103"/>
      <c r="D45" s="103"/>
      <c r="E45" s="103"/>
      <c r="F45" s="103"/>
      <c r="G45" s="103"/>
      <c r="J45" s="27"/>
      <c r="K45" s="27"/>
      <c r="L45" s="27"/>
      <c r="M45" s="27"/>
      <c r="N45" s="27"/>
    </row>
    <row r="46" spans="3:14" x14ac:dyDescent="0.35">
      <c r="C46" s="103"/>
      <c r="D46" s="103"/>
      <c r="E46" s="103"/>
      <c r="F46" s="103"/>
      <c r="G46" s="103"/>
      <c r="J46" s="27"/>
      <c r="K46" s="27"/>
      <c r="L46" s="27"/>
      <c r="M46" s="27"/>
      <c r="N46" s="27"/>
    </row>
    <row r="47" spans="3:14" x14ac:dyDescent="0.35">
      <c r="C47" s="103"/>
      <c r="D47" s="103"/>
      <c r="E47" s="103"/>
      <c r="F47" s="103"/>
      <c r="G47" s="103"/>
      <c r="J47" s="27"/>
      <c r="K47" s="27"/>
      <c r="L47" s="27"/>
      <c r="M47" s="27"/>
      <c r="N47" s="27"/>
    </row>
    <row r="48" spans="3:14" x14ac:dyDescent="0.35">
      <c r="C48" s="103"/>
      <c r="D48" s="103"/>
      <c r="E48" s="103"/>
      <c r="F48" s="103"/>
      <c r="G48" s="103"/>
      <c r="J48" s="27"/>
      <c r="K48" s="27"/>
      <c r="L48" s="27"/>
      <c r="M48" s="27"/>
      <c r="N48" s="27"/>
    </row>
    <row r="49" spans="3:14" x14ac:dyDescent="0.35">
      <c r="C49" s="103"/>
      <c r="D49" s="103"/>
      <c r="E49" s="103"/>
      <c r="F49" s="103"/>
      <c r="G49" s="103"/>
      <c r="J49" s="27"/>
      <c r="K49" s="27"/>
      <c r="L49" s="27"/>
      <c r="M49" s="27"/>
      <c r="N49" s="27"/>
    </row>
    <row r="50" spans="3:14" x14ac:dyDescent="0.35">
      <c r="C50" s="103"/>
      <c r="D50" s="103"/>
      <c r="E50" s="103"/>
      <c r="F50" s="103"/>
      <c r="G50" s="103"/>
      <c r="J50" s="27"/>
      <c r="K50" s="27"/>
      <c r="L50" s="27"/>
      <c r="M50" s="27"/>
      <c r="N50" s="27"/>
    </row>
    <row r="51" spans="3:14" x14ac:dyDescent="0.35">
      <c r="C51" s="103"/>
      <c r="D51" s="103"/>
      <c r="E51" s="103"/>
      <c r="F51" s="103"/>
      <c r="G51" s="103"/>
      <c r="J51" s="27"/>
      <c r="K51" s="27"/>
      <c r="L51" s="27"/>
      <c r="M51" s="27"/>
      <c r="N51" s="27"/>
    </row>
    <row r="52" spans="3:14" x14ac:dyDescent="0.35">
      <c r="C52" s="103"/>
      <c r="D52" s="103"/>
      <c r="E52" s="103"/>
      <c r="F52" s="103"/>
      <c r="G52" s="103"/>
      <c r="J52" s="27"/>
      <c r="K52" s="27"/>
      <c r="L52" s="27"/>
      <c r="M52" s="27"/>
      <c r="N52" s="27"/>
    </row>
    <row r="53" spans="3:14" x14ac:dyDescent="0.35">
      <c r="C53" s="103"/>
      <c r="D53" s="103"/>
      <c r="E53" s="103"/>
      <c r="F53" s="103"/>
      <c r="G53" s="103"/>
      <c r="J53" s="27"/>
      <c r="K53" s="27"/>
      <c r="L53" s="27"/>
      <c r="M53" s="27"/>
      <c r="N53" s="27"/>
    </row>
    <row r="54" spans="3:14" x14ac:dyDescent="0.35">
      <c r="C54" s="103"/>
      <c r="D54" s="103"/>
      <c r="E54" s="103"/>
      <c r="F54" s="103"/>
      <c r="G54" s="103"/>
      <c r="J54" s="27"/>
      <c r="K54" s="27"/>
      <c r="L54" s="27"/>
      <c r="M54" s="27"/>
      <c r="N54" s="27"/>
    </row>
    <row r="55" spans="3:14" x14ac:dyDescent="0.35">
      <c r="C55" s="103"/>
      <c r="D55" s="103"/>
      <c r="E55" s="103"/>
      <c r="F55" s="103"/>
      <c r="G55" s="103"/>
      <c r="J55" s="27"/>
      <c r="K55" s="27"/>
      <c r="L55" s="27"/>
      <c r="M55" s="27"/>
      <c r="N55" s="27"/>
    </row>
    <row r="56" spans="3:14" x14ac:dyDescent="0.35">
      <c r="C56" s="103"/>
      <c r="D56" s="103"/>
      <c r="E56" s="103"/>
      <c r="F56" s="103"/>
      <c r="G56" s="103"/>
      <c r="J56" s="27"/>
      <c r="K56" s="27"/>
      <c r="L56" s="27"/>
      <c r="M56" s="27"/>
      <c r="N56" s="27"/>
    </row>
    <row r="57" spans="3:14" x14ac:dyDescent="0.35">
      <c r="C57" s="103"/>
      <c r="D57" s="103"/>
      <c r="E57" s="103"/>
      <c r="F57" s="103"/>
      <c r="G57" s="103"/>
      <c r="J57" s="27"/>
      <c r="K57" s="27"/>
      <c r="L57" s="27"/>
      <c r="M57" s="27"/>
      <c r="N57" s="27"/>
    </row>
    <row r="58" spans="3:14" x14ac:dyDescent="0.35">
      <c r="C58" s="103"/>
      <c r="D58" s="103"/>
      <c r="E58" s="103"/>
      <c r="F58" s="103"/>
      <c r="G58" s="103"/>
      <c r="J58" s="27"/>
      <c r="K58" s="27"/>
      <c r="L58" s="27"/>
      <c r="M58" s="27"/>
      <c r="N58" s="27"/>
    </row>
    <row r="59" spans="3:14" x14ac:dyDescent="0.35">
      <c r="C59" s="103"/>
      <c r="D59" s="103"/>
      <c r="E59" s="103"/>
      <c r="F59" s="103"/>
      <c r="G59" s="103"/>
      <c r="J59" s="27"/>
      <c r="K59" s="27"/>
      <c r="L59" s="27"/>
      <c r="M59" s="27"/>
      <c r="N59" s="27"/>
    </row>
    <row r="60" spans="3:14" x14ac:dyDescent="0.35">
      <c r="C60" s="103"/>
      <c r="D60" s="103"/>
      <c r="E60" s="103"/>
      <c r="F60" s="103"/>
      <c r="G60" s="103"/>
      <c r="J60" s="27"/>
      <c r="K60" s="27"/>
      <c r="L60" s="27"/>
      <c r="M60" s="27"/>
      <c r="N60" s="27"/>
    </row>
    <row r="61" spans="3:14" x14ac:dyDescent="0.35">
      <c r="C61" s="103"/>
      <c r="D61" s="103"/>
      <c r="E61" s="103"/>
      <c r="F61" s="103"/>
      <c r="G61" s="103"/>
      <c r="J61" s="27"/>
      <c r="K61" s="27"/>
      <c r="L61" s="27"/>
      <c r="M61" s="27"/>
      <c r="N61" s="27"/>
    </row>
    <row r="62" spans="3:14" x14ac:dyDescent="0.35">
      <c r="C62" s="103"/>
      <c r="D62" s="103"/>
      <c r="E62" s="103"/>
      <c r="F62" s="103"/>
      <c r="G62" s="103"/>
      <c r="J62" s="27"/>
      <c r="K62" s="27"/>
      <c r="L62" s="27"/>
      <c r="M62" s="27"/>
      <c r="N62" s="27"/>
    </row>
    <row r="63" spans="3:14" x14ac:dyDescent="0.35">
      <c r="C63" s="103"/>
      <c r="D63" s="103"/>
      <c r="E63" s="103"/>
      <c r="F63" s="103"/>
      <c r="G63" s="103"/>
      <c r="J63" s="27"/>
      <c r="K63" s="27"/>
      <c r="L63" s="27"/>
      <c r="M63" s="27"/>
      <c r="N63" s="27"/>
    </row>
    <row r="64" spans="3:14" x14ac:dyDescent="0.35">
      <c r="C64" s="103"/>
      <c r="D64" s="103"/>
      <c r="E64" s="103"/>
      <c r="F64" s="103"/>
      <c r="G64" s="103"/>
      <c r="J64" s="27"/>
      <c r="K64" s="27"/>
      <c r="L64" s="27"/>
      <c r="M64" s="27"/>
      <c r="N64" s="27"/>
    </row>
    <row r="65" spans="3:14" x14ac:dyDescent="0.35">
      <c r="C65" s="103"/>
      <c r="D65" s="103"/>
      <c r="E65" s="103"/>
      <c r="F65" s="103"/>
      <c r="G65" s="103"/>
      <c r="J65" s="27"/>
      <c r="K65" s="27"/>
      <c r="L65" s="27"/>
      <c r="M65" s="27"/>
      <c r="N65" s="27"/>
    </row>
    <row r="66" spans="3:14" x14ac:dyDescent="0.35">
      <c r="C66" s="103"/>
      <c r="D66" s="103"/>
      <c r="E66" s="103"/>
      <c r="F66" s="103"/>
      <c r="G66" s="103"/>
      <c r="J66" s="27"/>
      <c r="K66" s="27"/>
      <c r="L66" s="27"/>
      <c r="M66" s="27"/>
      <c r="N66" s="27"/>
    </row>
    <row r="67" spans="3:14" x14ac:dyDescent="0.35">
      <c r="C67" s="103"/>
      <c r="D67" s="103"/>
      <c r="E67" s="103"/>
      <c r="F67" s="103"/>
      <c r="G67" s="103"/>
      <c r="J67" s="27"/>
      <c r="K67" s="27"/>
      <c r="L67" s="27"/>
      <c r="M67" s="27"/>
      <c r="N67" s="27"/>
    </row>
    <row r="68" spans="3:14" x14ac:dyDescent="0.35">
      <c r="C68" s="103"/>
      <c r="D68" s="103"/>
      <c r="E68" s="103"/>
      <c r="F68" s="103"/>
      <c r="G68" s="103"/>
      <c r="J68" s="27"/>
      <c r="K68" s="27"/>
      <c r="L68" s="27"/>
      <c r="M68" s="27"/>
      <c r="N68" s="27"/>
    </row>
    <row r="69" spans="3:14" x14ac:dyDescent="0.35">
      <c r="C69" s="103"/>
      <c r="D69" s="103"/>
      <c r="E69" s="103"/>
      <c r="F69" s="103"/>
      <c r="G69" s="103"/>
      <c r="J69" s="27"/>
      <c r="K69" s="27"/>
      <c r="L69" s="27"/>
      <c r="M69" s="27"/>
      <c r="N69" s="27"/>
    </row>
    <row r="70" spans="3:14" x14ac:dyDescent="0.35">
      <c r="C70" s="103"/>
      <c r="D70" s="103"/>
      <c r="E70" s="103"/>
      <c r="F70" s="103"/>
      <c r="G70" s="103"/>
      <c r="J70" s="27"/>
      <c r="K70" s="27"/>
      <c r="L70" s="27"/>
      <c r="M70" s="27"/>
      <c r="N70" s="27"/>
    </row>
    <row r="71" spans="3:14" x14ac:dyDescent="0.35">
      <c r="C71" s="103"/>
      <c r="D71" s="103"/>
      <c r="E71" s="103"/>
      <c r="F71" s="103"/>
      <c r="G71" s="103"/>
      <c r="J71" s="27"/>
      <c r="K71" s="27"/>
      <c r="L71" s="27"/>
      <c r="M71" s="27"/>
      <c r="N71" s="27"/>
    </row>
    <row r="72" spans="3:14" x14ac:dyDescent="0.35">
      <c r="C72" s="103"/>
      <c r="D72" s="103"/>
      <c r="E72" s="103"/>
      <c r="F72" s="103"/>
      <c r="G72" s="103"/>
      <c r="J72" s="27"/>
      <c r="K72" s="27"/>
      <c r="L72" s="27"/>
      <c r="M72" s="27"/>
      <c r="N72" s="27"/>
    </row>
    <row r="73" spans="3:14" x14ac:dyDescent="0.35">
      <c r="C73" s="103"/>
      <c r="D73" s="103"/>
      <c r="E73" s="103"/>
      <c r="F73" s="103"/>
      <c r="G73" s="103"/>
      <c r="J73" s="27"/>
      <c r="K73" s="27"/>
      <c r="L73" s="27"/>
      <c r="M73" s="27"/>
      <c r="N73" s="27"/>
    </row>
    <row r="74" spans="3:14" x14ac:dyDescent="0.35">
      <c r="C74" s="103"/>
      <c r="D74" s="103"/>
      <c r="E74" s="103"/>
      <c r="F74" s="103"/>
      <c r="G74" s="103"/>
      <c r="J74" s="27"/>
      <c r="K74" s="27"/>
      <c r="L74" s="27"/>
      <c r="M74" s="27"/>
      <c r="N74" s="27"/>
    </row>
    <row r="75" spans="3:14" x14ac:dyDescent="0.35">
      <c r="C75" s="103"/>
      <c r="D75" s="103"/>
      <c r="E75" s="103"/>
      <c r="F75" s="103"/>
      <c r="G75" s="103"/>
      <c r="J75" s="27"/>
      <c r="K75" s="27"/>
      <c r="L75" s="27"/>
      <c r="M75" s="27"/>
      <c r="N75" s="27"/>
    </row>
    <row r="76" spans="3:14" x14ac:dyDescent="0.35">
      <c r="C76" s="103"/>
      <c r="D76" s="103"/>
      <c r="E76" s="103"/>
      <c r="F76" s="103"/>
      <c r="G76" s="103"/>
      <c r="J76" s="27"/>
      <c r="K76" s="27"/>
      <c r="L76" s="27"/>
      <c r="M76" s="27"/>
      <c r="N76" s="27"/>
    </row>
    <row r="77" spans="3:14" x14ac:dyDescent="0.35">
      <c r="C77" s="103"/>
      <c r="D77" s="103"/>
      <c r="E77" s="103"/>
      <c r="F77" s="103"/>
      <c r="G77" s="103"/>
      <c r="J77" s="27"/>
      <c r="K77" s="27"/>
      <c r="L77" s="27"/>
      <c r="M77" s="27"/>
      <c r="N77" s="27"/>
    </row>
    <row r="78" spans="3:14" x14ac:dyDescent="0.35">
      <c r="C78" s="103"/>
      <c r="D78" s="103"/>
      <c r="E78" s="103"/>
      <c r="F78" s="103"/>
      <c r="G78" s="103"/>
      <c r="J78" s="27"/>
      <c r="K78" s="27"/>
      <c r="L78" s="27"/>
      <c r="M78" s="27"/>
      <c r="N78" s="27"/>
    </row>
    <row r="79" spans="3:14" x14ac:dyDescent="0.35">
      <c r="C79" s="103"/>
      <c r="D79" s="103"/>
      <c r="E79" s="103"/>
      <c r="F79" s="103"/>
      <c r="G79" s="103"/>
      <c r="J79" s="27"/>
      <c r="K79" s="27"/>
      <c r="L79" s="27"/>
      <c r="M79" s="27"/>
      <c r="N79" s="27"/>
    </row>
    <row r="80" spans="3:14" x14ac:dyDescent="0.35">
      <c r="C80" s="103"/>
      <c r="D80" s="103"/>
      <c r="E80" s="103"/>
      <c r="F80" s="103"/>
      <c r="G80" s="103"/>
      <c r="J80" s="27"/>
      <c r="K80" s="27"/>
      <c r="L80" s="27"/>
      <c r="M80" s="27"/>
      <c r="N80" s="27"/>
    </row>
    <row r="81" spans="3:14" x14ac:dyDescent="0.35">
      <c r="C81" s="103"/>
      <c r="D81" s="103"/>
      <c r="E81" s="103"/>
      <c r="F81" s="103"/>
      <c r="G81" s="103"/>
      <c r="J81" s="27"/>
      <c r="K81" s="27"/>
      <c r="L81" s="27"/>
      <c r="M81" s="27"/>
      <c r="N81" s="27"/>
    </row>
    <row r="82" spans="3:14" x14ac:dyDescent="0.35">
      <c r="C82" s="103"/>
      <c r="D82" s="103"/>
      <c r="E82" s="103"/>
      <c r="F82" s="103"/>
      <c r="G82" s="103"/>
      <c r="J82" s="27"/>
      <c r="K82" s="27"/>
      <c r="L82" s="27"/>
      <c r="M82" s="27"/>
      <c r="N82" s="27"/>
    </row>
    <row r="83" spans="3:14" x14ac:dyDescent="0.35">
      <c r="C83" s="103"/>
      <c r="D83" s="103"/>
      <c r="E83" s="103"/>
      <c r="F83" s="103"/>
      <c r="G83" s="103"/>
      <c r="J83" s="27"/>
      <c r="K83" s="27"/>
      <c r="L83" s="27"/>
      <c r="M83" s="27"/>
      <c r="N83" s="27"/>
    </row>
    <row r="84" spans="3:14" x14ac:dyDescent="0.35">
      <c r="C84" s="103"/>
      <c r="D84" s="103"/>
      <c r="E84" s="103"/>
      <c r="F84" s="103"/>
      <c r="G84" s="103"/>
      <c r="J84" s="27"/>
      <c r="K84" s="27"/>
      <c r="L84" s="27"/>
      <c r="M84" s="27"/>
      <c r="N84" s="27"/>
    </row>
    <row r="85" spans="3:14" x14ac:dyDescent="0.35">
      <c r="C85" s="103"/>
      <c r="D85" s="103"/>
      <c r="E85" s="103"/>
      <c r="F85" s="103"/>
      <c r="G85" s="103"/>
      <c r="J85" s="27"/>
      <c r="K85" s="27"/>
      <c r="L85" s="27"/>
      <c r="M85" s="27"/>
      <c r="N85" s="27"/>
    </row>
    <row r="86" spans="3:14" x14ac:dyDescent="0.35">
      <c r="C86" s="103"/>
      <c r="D86" s="103"/>
      <c r="E86" s="103"/>
      <c r="F86" s="103"/>
      <c r="G86" s="103"/>
      <c r="J86" s="27"/>
      <c r="K86" s="27"/>
      <c r="L86" s="27"/>
      <c r="M86" s="27"/>
      <c r="N86" s="27"/>
    </row>
    <row r="87" spans="3:14" x14ac:dyDescent="0.35">
      <c r="C87" s="103"/>
      <c r="D87" s="103"/>
      <c r="E87" s="103"/>
      <c r="F87" s="103"/>
      <c r="G87" s="103"/>
      <c r="J87" s="27"/>
      <c r="K87" s="27"/>
      <c r="L87" s="27"/>
      <c r="M87" s="27"/>
      <c r="N87" s="27"/>
    </row>
    <row r="88" spans="3:14" x14ac:dyDescent="0.35">
      <c r="C88" s="103"/>
      <c r="D88" s="103"/>
      <c r="E88" s="103"/>
      <c r="F88" s="103"/>
      <c r="G88" s="103"/>
      <c r="J88" s="27"/>
      <c r="K88" s="27"/>
      <c r="L88" s="27"/>
      <c r="M88" s="27"/>
      <c r="N88" s="27"/>
    </row>
    <row r="89" spans="3:14" x14ac:dyDescent="0.35">
      <c r="C89" s="103"/>
      <c r="D89" s="103"/>
      <c r="E89" s="103"/>
      <c r="F89" s="103"/>
      <c r="G89" s="103"/>
      <c r="J89" s="27"/>
      <c r="K89" s="27"/>
      <c r="L89" s="27"/>
      <c r="M89" s="27"/>
      <c r="N89" s="27"/>
    </row>
    <row r="90" spans="3:14" x14ac:dyDescent="0.35">
      <c r="C90" s="103"/>
      <c r="D90" s="103"/>
      <c r="E90" s="103"/>
      <c r="F90" s="103"/>
      <c r="G90" s="103"/>
      <c r="J90" s="27"/>
      <c r="K90" s="27"/>
      <c r="L90" s="27"/>
      <c r="M90" s="27"/>
      <c r="N90" s="2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3:O90"/>
  <sheetViews>
    <sheetView zoomScale="85" zoomScaleNormal="100" workbookViewId="0">
      <selection activeCell="J13" sqref="J13:Q16"/>
    </sheetView>
  </sheetViews>
  <sheetFormatPr defaultColWidth="10.90625" defaultRowHeight="14.5" x14ac:dyDescent="0.35"/>
  <cols>
    <col min="2" max="2" width="15.453125" customWidth="1"/>
    <col min="4" max="4" width="11" bestFit="1" customWidth="1"/>
    <col min="6" max="6" width="12.453125" bestFit="1" customWidth="1"/>
    <col min="11" max="11" width="11" bestFit="1" customWidth="1"/>
    <col min="13" max="13" width="11" bestFit="1" customWidth="1"/>
  </cols>
  <sheetData>
    <row r="3" spans="3:15" x14ac:dyDescent="0.35">
      <c r="D3" s="105" t="s">
        <v>330</v>
      </c>
      <c r="E3" s="94"/>
    </row>
    <row r="4" spans="3:15" x14ac:dyDescent="0.35">
      <c r="D4" s="103" t="s">
        <v>331</v>
      </c>
      <c r="E4" s="103">
        <f>SUM(D14:D40)</f>
        <v>0</v>
      </c>
    </row>
    <row r="5" spans="3:15" x14ac:dyDescent="0.35">
      <c r="D5" s="27" t="s">
        <v>10</v>
      </c>
      <c r="E5" s="27">
        <f>SUM(K13:K50)</f>
        <v>428</v>
      </c>
    </row>
    <row r="6" spans="3:15" x14ac:dyDescent="0.35">
      <c r="D6" s="41" t="s">
        <v>1</v>
      </c>
      <c r="E6" s="41">
        <f>E4+E5</f>
        <v>428</v>
      </c>
    </row>
    <row r="11" spans="3:15" ht="39.5" customHeight="1" x14ac:dyDescent="0.9">
      <c r="D11" s="107" t="s">
        <v>20</v>
      </c>
      <c r="K11" s="107" t="s">
        <v>10</v>
      </c>
    </row>
    <row r="12" spans="3:15" x14ac:dyDescent="0.35">
      <c r="C12" t="s">
        <v>14</v>
      </c>
      <c r="D12" s="104" t="s">
        <v>31</v>
      </c>
      <c r="E12" s="104" t="s">
        <v>16</v>
      </c>
      <c r="F12" s="104" t="s">
        <v>17</v>
      </c>
      <c r="G12" s="104" t="s">
        <v>18</v>
      </c>
      <c r="H12" s="104" t="s">
        <v>18</v>
      </c>
      <c r="J12" t="s">
        <v>14</v>
      </c>
      <c r="K12" s="8" t="s">
        <v>15</v>
      </c>
      <c r="L12" s="8" t="s">
        <v>16</v>
      </c>
      <c r="M12" s="8" t="s">
        <v>17</v>
      </c>
      <c r="N12" s="8" t="s">
        <v>18</v>
      </c>
      <c r="O12" s="8" t="s">
        <v>18</v>
      </c>
    </row>
    <row r="13" spans="3:15" x14ac:dyDescent="0.35">
      <c r="D13" s="103"/>
      <c r="E13" s="103"/>
      <c r="F13" s="103"/>
      <c r="G13" s="103"/>
      <c r="H13" s="103"/>
      <c r="J13" t="s">
        <v>57</v>
      </c>
      <c r="K13" s="27">
        <v>208</v>
      </c>
      <c r="L13" s="27" t="s">
        <v>5</v>
      </c>
      <c r="M13" s="27">
        <v>1451924</v>
      </c>
      <c r="N13" s="27" t="s">
        <v>364</v>
      </c>
      <c r="O13" s="27"/>
    </row>
    <row r="14" spans="3:15" x14ac:dyDescent="0.35">
      <c r="D14" s="103"/>
      <c r="E14" s="103"/>
      <c r="F14" s="103"/>
      <c r="G14" s="103"/>
      <c r="H14" s="103"/>
      <c r="J14" t="s">
        <v>72</v>
      </c>
      <c r="K14" s="27">
        <v>220</v>
      </c>
      <c r="L14" s="27" t="s">
        <v>5</v>
      </c>
      <c r="M14" s="27">
        <v>1169651</v>
      </c>
      <c r="N14" s="27" t="s">
        <v>365</v>
      </c>
      <c r="O14" s="27"/>
    </row>
    <row r="15" spans="3:15" x14ac:dyDescent="0.35">
      <c r="D15" s="103"/>
      <c r="E15" s="103"/>
      <c r="F15" s="103"/>
      <c r="G15" s="103"/>
      <c r="H15" s="103"/>
      <c r="K15" s="27"/>
      <c r="L15" s="27"/>
      <c r="M15" s="27"/>
      <c r="N15" s="27"/>
      <c r="O15" s="27"/>
    </row>
    <row r="16" spans="3:15" x14ac:dyDescent="0.35">
      <c r="D16" s="103"/>
      <c r="E16" s="108"/>
      <c r="F16" s="109"/>
      <c r="G16" s="103"/>
      <c r="H16" s="103"/>
      <c r="K16" s="27"/>
      <c r="L16" s="27"/>
      <c r="M16" s="27"/>
      <c r="N16" s="27"/>
      <c r="O16" s="27"/>
    </row>
    <row r="17" spans="4:15" x14ac:dyDescent="0.35">
      <c r="D17" s="103"/>
      <c r="E17" s="103"/>
      <c r="F17" s="103"/>
      <c r="G17" s="103"/>
      <c r="H17" s="103"/>
      <c r="K17" s="27"/>
      <c r="L17" s="27"/>
      <c r="M17" s="27"/>
      <c r="N17" s="27"/>
      <c r="O17" s="27"/>
    </row>
    <row r="18" spans="4:15" x14ac:dyDescent="0.35">
      <c r="D18" s="103"/>
      <c r="E18" s="109"/>
      <c r="F18" s="103"/>
      <c r="G18" s="103"/>
      <c r="H18" s="103"/>
      <c r="K18" s="27"/>
      <c r="L18" s="27"/>
      <c r="M18" s="27"/>
      <c r="N18" s="27"/>
      <c r="O18" s="27"/>
    </row>
    <row r="19" spans="4:15" x14ac:dyDescent="0.35">
      <c r="D19" s="103"/>
      <c r="E19" s="103"/>
      <c r="F19" s="103"/>
      <c r="G19" s="103"/>
      <c r="H19" s="103"/>
      <c r="K19" s="27"/>
      <c r="L19" s="27"/>
      <c r="M19" s="27"/>
      <c r="N19" s="27"/>
      <c r="O19" s="27"/>
    </row>
    <row r="20" spans="4:15" x14ac:dyDescent="0.35">
      <c r="D20" s="103"/>
      <c r="E20" s="103"/>
      <c r="F20" s="103"/>
      <c r="G20" s="103"/>
      <c r="H20" s="103"/>
      <c r="K20" s="27"/>
      <c r="L20" s="27"/>
      <c r="M20" s="27"/>
      <c r="N20" s="27"/>
      <c r="O20" s="27"/>
    </row>
    <row r="21" spans="4:15" x14ac:dyDescent="0.35">
      <c r="D21" s="103"/>
      <c r="E21" s="103"/>
      <c r="F21" s="103"/>
      <c r="G21" s="103"/>
      <c r="H21" s="103"/>
      <c r="K21" s="27"/>
      <c r="L21" s="27"/>
      <c r="M21" s="27"/>
      <c r="N21" s="27"/>
      <c r="O21" s="27"/>
    </row>
    <row r="22" spans="4:15" x14ac:dyDescent="0.35">
      <c r="D22" s="103"/>
      <c r="E22" s="103"/>
      <c r="F22" s="103"/>
      <c r="G22" s="103"/>
      <c r="H22" s="103"/>
      <c r="K22" s="27"/>
      <c r="L22" s="27"/>
      <c r="M22" s="27"/>
      <c r="N22" s="27"/>
      <c r="O22" s="27"/>
    </row>
    <row r="23" spans="4:15" x14ac:dyDescent="0.35">
      <c r="D23" s="103"/>
      <c r="E23" s="103"/>
      <c r="F23" s="103"/>
      <c r="G23" s="103"/>
      <c r="H23" s="103"/>
      <c r="K23" s="27"/>
      <c r="L23" s="27"/>
      <c r="M23" s="27"/>
      <c r="N23" s="27"/>
      <c r="O23" s="27"/>
    </row>
    <row r="24" spans="4:15" x14ac:dyDescent="0.35">
      <c r="D24" s="103"/>
      <c r="E24" s="103"/>
      <c r="F24" s="103"/>
      <c r="G24" s="103"/>
      <c r="H24" s="103"/>
      <c r="K24" s="27"/>
      <c r="L24" s="27"/>
      <c r="M24" s="27"/>
      <c r="N24" s="27"/>
      <c r="O24" s="27"/>
    </row>
    <row r="25" spans="4:15" x14ac:dyDescent="0.35">
      <c r="D25" s="103"/>
      <c r="E25" s="103"/>
      <c r="F25" s="103"/>
      <c r="G25" s="103"/>
      <c r="H25" s="103"/>
      <c r="K25" s="27"/>
      <c r="L25" s="27"/>
      <c r="M25" s="27"/>
      <c r="N25" s="27"/>
      <c r="O25" s="27"/>
    </row>
    <row r="26" spans="4:15" x14ac:dyDescent="0.35">
      <c r="D26" s="103"/>
      <c r="E26" s="103"/>
      <c r="F26" s="103"/>
      <c r="G26" s="103"/>
      <c r="H26" s="103"/>
      <c r="K26" s="27"/>
      <c r="L26" s="27"/>
      <c r="M26" s="27"/>
      <c r="N26" s="27"/>
      <c r="O26" s="27"/>
    </row>
    <row r="27" spans="4:15" x14ac:dyDescent="0.35">
      <c r="D27" s="103"/>
      <c r="E27" s="103"/>
      <c r="F27" s="103"/>
      <c r="G27" s="103"/>
      <c r="H27" s="103"/>
      <c r="K27" s="27"/>
      <c r="L27" s="27"/>
      <c r="M27" s="27"/>
      <c r="N27" s="27"/>
      <c r="O27" s="27"/>
    </row>
    <row r="28" spans="4:15" x14ac:dyDescent="0.35">
      <c r="D28" s="103"/>
      <c r="E28" s="103"/>
      <c r="F28" s="103"/>
      <c r="G28" s="103"/>
      <c r="H28" s="103"/>
      <c r="K28" s="27"/>
      <c r="L28" s="27"/>
      <c r="M28" s="27"/>
      <c r="N28" s="27"/>
      <c r="O28" s="27"/>
    </row>
    <row r="29" spans="4:15" x14ac:dyDescent="0.35">
      <c r="D29" s="103"/>
      <c r="E29" s="103"/>
      <c r="F29" s="103"/>
      <c r="G29" s="103"/>
      <c r="H29" s="103"/>
      <c r="K29" s="27"/>
      <c r="L29" s="27"/>
      <c r="M29" s="27"/>
      <c r="N29" s="27"/>
      <c r="O29" s="27"/>
    </row>
    <row r="30" spans="4:15" x14ac:dyDescent="0.35">
      <c r="D30" s="103"/>
      <c r="E30" s="103"/>
      <c r="F30" s="103"/>
      <c r="G30" s="103"/>
      <c r="H30" s="103"/>
      <c r="K30" s="27"/>
      <c r="L30" s="27"/>
      <c r="M30" s="27"/>
      <c r="N30" s="27"/>
      <c r="O30" s="27"/>
    </row>
    <row r="31" spans="4:15" x14ac:dyDescent="0.35">
      <c r="D31" s="103"/>
      <c r="E31" s="103"/>
      <c r="F31" s="103"/>
      <c r="G31" s="103"/>
      <c r="H31" s="103"/>
      <c r="K31" s="27"/>
      <c r="L31" s="27"/>
      <c r="M31" s="27"/>
      <c r="N31" s="27"/>
      <c r="O31" s="27"/>
    </row>
    <row r="32" spans="4:15" x14ac:dyDescent="0.35">
      <c r="D32" s="103"/>
      <c r="E32" s="103"/>
      <c r="F32" s="103"/>
      <c r="G32" s="103"/>
      <c r="H32" s="103"/>
      <c r="K32" s="27"/>
      <c r="L32" s="27"/>
      <c r="M32" s="27"/>
      <c r="N32" s="27"/>
      <c r="O32" s="27"/>
    </row>
    <row r="33" spans="4:15" x14ac:dyDescent="0.35">
      <c r="D33" s="103"/>
      <c r="E33" s="103"/>
      <c r="F33" s="103"/>
      <c r="G33" s="103"/>
      <c r="H33" s="103"/>
      <c r="K33" s="27"/>
      <c r="L33" s="27"/>
      <c r="M33" s="27"/>
      <c r="N33" s="27"/>
      <c r="O33" s="27"/>
    </row>
    <row r="34" spans="4:15" x14ac:dyDescent="0.35">
      <c r="D34" s="103"/>
      <c r="E34" s="103"/>
      <c r="F34" s="103"/>
      <c r="G34" s="103"/>
      <c r="H34" s="103"/>
      <c r="K34" s="27"/>
      <c r="L34" s="27"/>
      <c r="M34" s="27"/>
      <c r="N34" s="27"/>
      <c r="O34" s="27"/>
    </row>
    <row r="35" spans="4:15" x14ac:dyDescent="0.35">
      <c r="D35" s="103"/>
      <c r="E35" s="103"/>
      <c r="F35" s="103"/>
      <c r="G35" s="103"/>
      <c r="H35" s="103"/>
      <c r="K35" s="27"/>
      <c r="L35" s="27"/>
      <c r="M35" s="27"/>
      <c r="N35" s="27"/>
      <c r="O35" s="27"/>
    </row>
    <row r="36" spans="4:15" x14ac:dyDescent="0.35">
      <c r="D36" s="103"/>
      <c r="E36" s="103"/>
      <c r="F36" s="103"/>
      <c r="G36" s="103"/>
      <c r="H36" s="103"/>
      <c r="K36" s="27"/>
      <c r="L36" s="27"/>
      <c r="M36" s="27"/>
      <c r="N36" s="27"/>
      <c r="O36" s="27"/>
    </row>
    <row r="37" spans="4:15" x14ac:dyDescent="0.35">
      <c r="D37" s="103"/>
      <c r="E37" s="103"/>
      <c r="F37" s="103"/>
      <c r="G37" s="103"/>
      <c r="H37" s="103"/>
      <c r="K37" s="27"/>
      <c r="L37" s="27"/>
      <c r="M37" s="27"/>
      <c r="N37" s="27"/>
      <c r="O37" s="27"/>
    </row>
    <row r="38" spans="4:15" x14ac:dyDescent="0.35">
      <c r="D38" s="103"/>
      <c r="E38" s="103"/>
      <c r="F38" s="103"/>
      <c r="G38" s="103"/>
      <c r="H38" s="103"/>
      <c r="K38" s="27"/>
      <c r="L38" s="27"/>
      <c r="M38" s="27"/>
      <c r="N38" s="27"/>
      <c r="O38" s="27"/>
    </row>
    <row r="39" spans="4:15" x14ac:dyDescent="0.35">
      <c r="D39" s="103"/>
      <c r="E39" s="103"/>
      <c r="F39" s="103"/>
      <c r="G39" s="103"/>
      <c r="H39" s="103"/>
      <c r="K39" s="27"/>
      <c r="L39" s="27"/>
      <c r="M39" s="27"/>
      <c r="N39" s="27"/>
      <c r="O39" s="27"/>
    </row>
    <row r="40" spans="4:15" x14ac:dyDescent="0.35">
      <c r="D40" s="103"/>
      <c r="E40" s="103"/>
      <c r="F40" s="103"/>
      <c r="G40" s="103"/>
      <c r="H40" s="103"/>
      <c r="K40" s="27"/>
      <c r="L40" s="27"/>
      <c r="M40" s="27"/>
      <c r="N40" s="27"/>
      <c r="O40" s="27"/>
    </row>
    <row r="41" spans="4:15" x14ac:dyDescent="0.35">
      <c r="D41" s="103"/>
      <c r="E41" s="103"/>
      <c r="F41" s="103"/>
      <c r="G41" s="103"/>
      <c r="H41" s="103"/>
      <c r="K41" s="27"/>
      <c r="L41" s="27"/>
      <c r="M41" s="27"/>
      <c r="N41" s="27"/>
      <c r="O41" s="27"/>
    </row>
    <row r="42" spans="4:15" x14ac:dyDescent="0.35">
      <c r="D42" s="103"/>
      <c r="E42" s="103"/>
      <c r="F42" s="103"/>
      <c r="G42" s="103"/>
      <c r="H42" s="103"/>
      <c r="K42" s="27"/>
      <c r="L42" s="27"/>
      <c r="M42" s="27"/>
      <c r="N42" s="27"/>
      <c r="O42" s="27"/>
    </row>
    <row r="43" spans="4:15" x14ac:dyDescent="0.35">
      <c r="D43" s="103"/>
      <c r="E43" s="103"/>
      <c r="F43" s="103"/>
      <c r="G43" s="103"/>
      <c r="H43" s="103"/>
      <c r="K43" s="27"/>
      <c r="L43" s="27"/>
      <c r="M43" s="27"/>
      <c r="N43" s="27"/>
      <c r="O43" s="27"/>
    </row>
    <row r="44" spans="4:15" x14ac:dyDescent="0.35">
      <c r="D44" s="103"/>
      <c r="E44" s="103"/>
      <c r="F44" s="103"/>
      <c r="G44" s="103"/>
      <c r="H44" s="103"/>
      <c r="K44" s="27"/>
      <c r="L44" s="27"/>
      <c r="M44" s="27"/>
      <c r="N44" s="27"/>
      <c r="O44" s="27"/>
    </row>
    <row r="45" spans="4:15" x14ac:dyDescent="0.35">
      <c r="D45" s="103"/>
      <c r="E45" s="103"/>
      <c r="F45" s="103"/>
      <c r="G45" s="103"/>
      <c r="H45" s="103"/>
      <c r="K45" s="27"/>
      <c r="L45" s="27"/>
      <c r="M45" s="27"/>
      <c r="N45" s="27"/>
      <c r="O45" s="27"/>
    </row>
    <row r="46" spans="4:15" x14ac:dyDescent="0.35">
      <c r="D46" s="103"/>
      <c r="E46" s="103"/>
      <c r="F46" s="103"/>
      <c r="G46" s="103"/>
      <c r="H46" s="103"/>
      <c r="K46" s="27"/>
      <c r="L46" s="27"/>
      <c r="M46" s="27"/>
      <c r="N46" s="27"/>
      <c r="O46" s="27"/>
    </row>
    <row r="47" spans="4:15" x14ac:dyDescent="0.35">
      <c r="D47" s="103"/>
      <c r="E47" s="103"/>
      <c r="F47" s="103"/>
      <c r="G47" s="103"/>
      <c r="H47" s="103"/>
      <c r="K47" s="27"/>
      <c r="L47" s="27"/>
      <c r="M47" s="27"/>
      <c r="N47" s="27"/>
      <c r="O47" s="27"/>
    </row>
    <row r="48" spans="4:15" x14ac:dyDescent="0.35">
      <c r="D48" s="103"/>
      <c r="E48" s="103"/>
      <c r="F48" s="103"/>
      <c r="G48" s="103"/>
      <c r="H48" s="103"/>
      <c r="K48" s="27"/>
      <c r="L48" s="27"/>
      <c r="M48" s="27"/>
      <c r="N48" s="27"/>
      <c r="O48" s="27"/>
    </row>
    <row r="49" spans="4:15" x14ac:dyDescent="0.35">
      <c r="D49" s="103"/>
      <c r="E49" s="103"/>
      <c r="F49" s="103"/>
      <c r="G49" s="103"/>
      <c r="H49" s="103"/>
      <c r="K49" s="27"/>
      <c r="L49" s="27"/>
      <c r="M49" s="27"/>
      <c r="N49" s="27"/>
      <c r="O49" s="27"/>
    </row>
    <row r="50" spans="4:15" x14ac:dyDescent="0.35">
      <c r="D50" s="103"/>
      <c r="E50" s="103"/>
      <c r="F50" s="103"/>
      <c r="G50" s="103"/>
      <c r="H50" s="103"/>
      <c r="K50" s="27"/>
      <c r="L50" s="27"/>
      <c r="M50" s="27"/>
      <c r="N50" s="27"/>
      <c r="O50" s="27"/>
    </row>
    <row r="51" spans="4:15" x14ac:dyDescent="0.35">
      <c r="D51" s="103"/>
      <c r="E51" s="103"/>
      <c r="F51" s="103"/>
      <c r="G51" s="103"/>
      <c r="H51" s="103"/>
      <c r="K51" s="27"/>
      <c r="L51" s="27"/>
      <c r="M51" s="27"/>
      <c r="N51" s="27"/>
      <c r="O51" s="27"/>
    </row>
    <row r="52" spans="4:15" x14ac:dyDescent="0.35">
      <c r="D52" s="103"/>
      <c r="E52" s="103"/>
      <c r="F52" s="103"/>
      <c r="G52" s="103"/>
      <c r="H52" s="103"/>
      <c r="K52" s="27"/>
      <c r="L52" s="27"/>
      <c r="M52" s="27"/>
      <c r="N52" s="27"/>
      <c r="O52" s="27"/>
    </row>
    <row r="53" spans="4:15" x14ac:dyDescent="0.35">
      <c r="D53" s="103"/>
      <c r="E53" s="103"/>
      <c r="F53" s="103"/>
      <c r="G53" s="103"/>
      <c r="H53" s="103"/>
      <c r="K53" s="27"/>
      <c r="L53" s="27"/>
      <c r="M53" s="27"/>
      <c r="N53" s="27"/>
      <c r="O53" s="27"/>
    </row>
    <row r="54" spans="4:15" x14ac:dyDescent="0.35">
      <c r="D54" s="103"/>
      <c r="E54" s="103"/>
      <c r="F54" s="103"/>
      <c r="G54" s="103"/>
      <c r="H54" s="103"/>
      <c r="K54" s="27"/>
      <c r="L54" s="27"/>
      <c r="M54" s="27"/>
      <c r="N54" s="27"/>
      <c r="O54" s="27"/>
    </row>
    <row r="55" spans="4:15" x14ac:dyDescent="0.35">
      <c r="D55" s="103"/>
      <c r="E55" s="103"/>
      <c r="F55" s="103"/>
      <c r="G55" s="103"/>
      <c r="H55" s="103"/>
      <c r="K55" s="27"/>
      <c r="L55" s="27"/>
      <c r="M55" s="27"/>
      <c r="N55" s="27"/>
      <c r="O55" s="27"/>
    </row>
    <row r="56" spans="4:15" x14ac:dyDescent="0.35">
      <c r="D56" s="103"/>
      <c r="E56" s="103"/>
      <c r="F56" s="103"/>
      <c r="G56" s="103"/>
      <c r="H56" s="103"/>
      <c r="K56" s="27"/>
      <c r="L56" s="27"/>
      <c r="M56" s="27"/>
      <c r="N56" s="27"/>
      <c r="O56" s="27"/>
    </row>
    <row r="57" spans="4:15" x14ac:dyDescent="0.35">
      <c r="D57" s="103"/>
      <c r="E57" s="103"/>
      <c r="F57" s="103"/>
      <c r="G57" s="103"/>
      <c r="H57" s="103"/>
      <c r="K57" s="27"/>
      <c r="L57" s="27"/>
      <c r="M57" s="27"/>
      <c r="N57" s="27"/>
      <c r="O57" s="27"/>
    </row>
    <row r="58" spans="4:15" x14ac:dyDescent="0.35">
      <c r="D58" s="103"/>
      <c r="E58" s="103"/>
      <c r="F58" s="103"/>
      <c r="G58" s="103"/>
      <c r="H58" s="103"/>
      <c r="K58" s="27"/>
      <c r="L58" s="27"/>
      <c r="M58" s="27"/>
      <c r="N58" s="27"/>
      <c r="O58" s="27"/>
    </row>
    <row r="59" spans="4:15" x14ac:dyDescent="0.35">
      <c r="D59" s="103"/>
      <c r="E59" s="103"/>
      <c r="F59" s="103"/>
      <c r="G59" s="103"/>
      <c r="H59" s="103"/>
      <c r="K59" s="27"/>
      <c r="L59" s="27"/>
      <c r="M59" s="27"/>
      <c r="N59" s="27"/>
      <c r="O59" s="27"/>
    </row>
    <row r="60" spans="4:15" x14ac:dyDescent="0.35">
      <c r="D60" s="103"/>
      <c r="E60" s="103"/>
      <c r="F60" s="103"/>
      <c r="G60" s="103"/>
      <c r="H60" s="103"/>
      <c r="K60" s="27"/>
      <c r="L60" s="27"/>
      <c r="M60" s="27"/>
      <c r="N60" s="27"/>
      <c r="O60" s="27"/>
    </row>
    <row r="61" spans="4:15" x14ac:dyDescent="0.35">
      <c r="D61" s="103"/>
      <c r="E61" s="103"/>
      <c r="F61" s="103"/>
      <c r="G61" s="103"/>
      <c r="H61" s="103"/>
      <c r="K61" s="27"/>
      <c r="L61" s="27"/>
      <c r="M61" s="27"/>
      <c r="N61" s="27"/>
      <c r="O61" s="27"/>
    </row>
    <row r="62" spans="4:15" x14ac:dyDescent="0.35">
      <c r="D62" s="103"/>
      <c r="E62" s="103"/>
      <c r="F62" s="103"/>
      <c r="G62" s="103"/>
      <c r="H62" s="103"/>
      <c r="K62" s="27"/>
      <c r="L62" s="27"/>
      <c r="M62" s="27"/>
      <c r="N62" s="27"/>
      <c r="O62" s="27"/>
    </row>
    <row r="63" spans="4:15" x14ac:dyDescent="0.35">
      <c r="D63" s="103"/>
      <c r="E63" s="103"/>
      <c r="F63" s="103"/>
      <c r="G63" s="103"/>
      <c r="H63" s="103"/>
      <c r="K63" s="27"/>
      <c r="L63" s="27"/>
      <c r="M63" s="27"/>
      <c r="N63" s="27"/>
      <c r="O63" s="27"/>
    </row>
    <row r="64" spans="4:15" x14ac:dyDescent="0.35">
      <c r="D64" s="103"/>
      <c r="E64" s="103"/>
      <c r="F64" s="103"/>
      <c r="G64" s="103"/>
      <c r="H64" s="103"/>
      <c r="K64" s="27"/>
      <c r="L64" s="27"/>
      <c r="M64" s="27"/>
      <c r="N64" s="27"/>
      <c r="O64" s="27"/>
    </row>
    <row r="65" spans="4:15" x14ac:dyDescent="0.35">
      <c r="D65" s="103"/>
      <c r="E65" s="103"/>
      <c r="F65" s="103"/>
      <c r="G65" s="103"/>
      <c r="H65" s="103"/>
      <c r="K65" s="27"/>
      <c r="L65" s="27"/>
      <c r="M65" s="27"/>
      <c r="N65" s="27"/>
      <c r="O65" s="27"/>
    </row>
    <row r="66" spans="4:15" x14ac:dyDescent="0.35">
      <c r="D66" s="103"/>
      <c r="E66" s="103"/>
      <c r="F66" s="103"/>
      <c r="G66" s="103"/>
      <c r="H66" s="103"/>
      <c r="K66" s="27"/>
      <c r="L66" s="27"/>
      <c r="M66" s="27"/>
      <c r="N66" s="27"/>
      <c r="O66" s="27"/>
    </row>
    <row r="67" spans="4:15" x14ac:dyDescent="0.35">
      <c r="D67" s="103"/>
      <c r="E67" s="103"/>
      <c r="F67" s="103"/>
      <c r="G67" s="103"/>
      <c r="H67" s="103"/>
      <c r="K67" s="27"/>
      <c r="L67" s="27"/>
      <c r="M67" s="27"/>
      <c r="N67" s="27"/>
      <c r="O67" s="27"/>
    </row>
    <row r="68" spans="4:15" x14ac:dyDescent="0.35">
      <c r="D68" s="103"/>
      <c r="E68" s="103"/>
      <c r="F68" s="103"/>
      <c r="G68" s="103"/>
      <c r="H68" s="103"/>
      <c r="K68" s="27"/>
      <c r="L68" s="27"/>
      <c r="M68" s="27"/>
      <c r="N68" s="27"/>
      <c r="O68" s="27"/>
    </row>
    <row r="69" spans="4:15" x14ac:dyDescent="0.35">
      <c r="D69" s="103"/>
      <c r="E69" s="103"/>
      <c r="F69" s="103"/>
      <c r="G69" s="103"/>
      <c r="H69" s="103"/>
      <c r="K69" s="27"/>
      <c r="L69" s="27"/>
      <c r="M69" s="27"/>
      <c r="N69" s="27"/>
      <c r="O69" s="27"/>
    </row>
    <row r="70" spans="4:15" x14ac:dyDescent="0.35">
      <c r="D70" s="103"/>
      <c r="E70" s="103"/>
      <c r="F70" s="103"/>
      <c r="G70" s="103"/>
      <c r="H70" s="103"/>
      <c r="K70" s="27"/>
      <c r="L70" s="27"/>
      <c r="M70" s="27"/>
      <c r="N70" s="27"/>
      <c r="O70" s="27"/>
    </row>
    <row r="71" spans="4:15" x14ac:dyDescent="0.35">
      <c r="D71" s="103"/>
      <c r="E71" s="103"/>
      <c r="F71" s="103"/>
      <c r="G71" s="103"/>
      <c r="H71" s="103"/>
      <c r="K71" s="27"/>
      <c r="L71" s="27"/>
      <c r="M71" s="27"/>
      <c r="N71" s="27"/>
      <c r="O71" s="27"/>
    </row>
    <row r="72" spans="4:15" x14ac:dyDescent="0.35">
      <c r="D72" s="103"/>
      <c r="E72" s="103"/>
      <c r="F72" s="103"/>
      <c r="G72" s="103"/>
      <c r="H72" s="103"/>
      <c r="K72" s="27"/>
      <c r="L72" s="27"/>
      <c r="M72" s="27"/>
      <c r="N72" s="27"/>
      <c r="O72" s="27"/>
    </row>
    <row r="73" spans="4:15" x14ac:dyDescent="0.35">
      <c r="D73" s="103"/>
      <c r="E73" s="103"/>
      <c r="F73" s="103"/>
      <c r="G73" s="103"/>
      <c r="H73" s="103"/>
      <c r="K73" s="27"/>
      <c r="L73" s="27"/>
      <c r="M73" s="27"/>
      <c r="N73" s="27"/>
      <c r="O73" s="27"/>
    </row>
    <row r="74" spans="4:15" x14ac:dyDescent="0.35">
      <c r="D74" s="103"/>
      <c r="E74" s="103"/>
      <c r="F74" s="103"/>
      <c r="G74" s="103"/>
      <c r="H74" s="103"/>
      <c r="K74" s="27"/>
      <c r="L74" s="27"/>
      <c r="M74" s="27"/>
      <c r="N74" s="27"/>
      <c r="O74" s="27"/>
    </row>
    <row r="75" spans="4:15" x14ac:dyDescent="0.35">
      <c r="D75" s="103"/>
      <c r="E75" s="103"/>
      <c r="F75" s="103"/>
      <c r="G75" s="103"/>
      <c r="H75" s="103"/>
      <c r="K75" s="27"/>
      <c r="L75" s="27"/>
      <c r="M75" s="27"/>
      <c r="N75" s="27"/>
      <c r="O75" s="27"/>
    </row>
    <row r="76" spans="4:15" x14ac:dyDescent="0.35">
      <c r="D76" s="103"/>
      <c r="E76" s="103"/>
      <c r="F76" s="103"/>
      <c r="G76" s="103"/>
      <c r="H76" s="103"/>
      <c r="K76" s="27"/>
      <c r="L76" s="27"/>
      <c r="M76" s="27"/>
      <c r="N76" s="27"/>
      <c r="O76" s="27"/>
    </row>
    <row r="77" spans="4:15" x14ac:dyDescent="0.35">
      <c r="D77" s="103"/>
      <c r="E77" s="103"/>
      <c r="F77" s="103"/>
      <c r="G77" s="103"/>
      <c r="H77" s="103"/>
      <c r="K77" s="27"/>
      <c r="L77" s="27"/>
      <c r="M77" s="27"/>
      <c r="N77" s="27"/>
      <c r="O77" s="27"/>
    </row>
    <row r="78" spans="4:15" x14ac:dyDescent="0.35">
      <c r="D78" s="103"/>
      <c r="E78" s="103"/>
      <c r="F78" s="103"/>
      <c r="G78" s="103"/>
      <c r="H78" s="103"/>
      <c r="K78" s="27"/>
      <c r="L78" s="27"/>
      <c r="M78" s="27"/>
      <c r="N78" s="27"/>
      <c r="O78" s="27"/>
    </row>
    <row r="79" spans="4:15" x14ac:dyDescent="0.35">
      <c r="D79" s="103"/>
      <c r="E79" s="103"/>
      <c r="F79" s="103"/>
      <c r="G79" s="103"/>
      <c r="H79" s="103"/>
      <c r="K79" s="27"/>
      <c r="L79" s="27"/>
      <c r="M79" s="27"/>
      <c r="N79" s="27"/>
      <c r="O79" s="27"/>
    </row>
    <row r="80" spans="4:15" x14ac:dyDescent="0.35">
      <c r="D80" s="103"/>
      <c r="E80" s="103"/>
      <c r="F80" s="103"/>
      <c r="G80" s="103"/>
      <c r="H80" s="103"/>
      <c r="K80" s="27"/>
      <c r="L80" s="27"/>
      <c r="M80" s="27"/>
      <c r="N80" s="27"/>
      <c r="O80" s="27"/>
    </row>
    <row r="81" spans="4:15" x14ac:dyDescent="0.35">
      <c r="D81" s="103"/>
      <c r="E81" s="103"/>
      <c r="F81" s="103"/>
      <c r="G81" s="103"/>
      <c r="H81" s="103"/>
      <c r="K81" s="27"/>
      <c r="L81" s="27"/>
      <c r="M81" s="27"/>
      <c r="N81" s="27"/>
      <c r="O81" s="27"/>
    </row>
    <row r="82" spans="4:15" x14ac:dyDescent="0.35">
      <c r="D82" s="103"/>
      <c r="E82" s="103"/>
      <c r="F82" s="103"/>
      <c r="G82" s="103"/>
      <c r="H82" s="103"/>
      <c r="K82" s="27"/>
      <c r="L82" s="27"/>
      <c r="M82" s="27"/>
      <c r="N82" s="27"/>
      <c r="O82" s="27"/>
    </row>
    <row r="83" spans="4:15" x14ac:dyDescent="0.35">
      <c r="D83" s="103"/>
      <c r="E83" s="103"/>
      <c r="F83" s="103"/>
      <c r="G83" s="103"/>
      <c r="H83" s="103"/>
      <c r="K83" s="27"/>
      <c r="L83" s="27"/>
      <c r="M83" s="27"/>
      <c r="N83" s="27"/>
      <c r="O83" s="27"/>
    </row>
    <row r="84" spans="4:15" x14ac:dyDescent="0.35">
      <c r="D84" s="103"/>
      <c r="E84" s="103"/>
      <c r="F84" s="103"/>
      <c r="G84" s="103"/>
      <c r="H84" s="103"/>
      <c r="K84" s="27"/>
      <c r="L84" s="27"/>
      <c r="M84" s="27"/>
      <c r="N84" s="27"/>
      <c r="O84" s="27"/>
    </row>
    <row r="85" spans="4:15" x14ac:dyDescent="0.35">
      <c r="D85" s="103"/>
      <c r="E85" s="103"/>
      <c r="F85" s="103"/>
      <c r="G85" s="103"/>
      <c r="H85" s="103"/>
      <c r="K85" s="27"/>
      <c r="L85" s="27"/>
      <c r="M85" s="27"/>
      <c r="N85" s="27"/>
      <c r="O85" s="27"/>
    </row>
    <row r="86" spans="4:15" x14ac:dyDescent="0.35">
      <c r="D86" s="103"/>
      <c r="E86" s="103"/>
      <c r="F86" s="103"/>
      <c r="G86" s="103"/>
      <c r="H86" s="103"/>
      <c r="K86" s="27"/>
      <c r="L86" s="27"/>
      <c r="M86" s="27"/>
      <c r="N86" s="27"/>
      <c r="O86" s="27"/>
    </row>
    <row r="87" spans="4:15" x14ac:dyDescent="0.35">
      <c r="D87" s="103"/>
      <c r="E87" s="103"/>
      <c r="F87" s="103"/>
      <c r="G87" s="103"/>
      <c r="H87" s="103"/>
      <c r="K87" s="27"/>
      <c r="L87" s="27"/>
      <c r="M87" s="27"/>
      <c r="N87" s="27"/>
      <c r="O87" s="27"/>
    </row>
    <row r="88" spans="4:15" x14ac:dyDescent="0.35">
      <c r="D88" s="103"/>
      <c r="E88" s="103"/>
      <c r="F88" s="103"/>
      <c r="G88" s="103"/>
      <c r="H88" s="103"/>
      <c r="K88" s="27"/>
      <c r="L88" s="27"/>
      <c r="M88" s="27"/>
      <c r="N88" s="27"/>
      <c r="O88" s="27"/>
    </row>
    <row r="89" spans="4:15" x14ac:dyDescent="0.35">
      <c r="D89" s="103"/>
      <c r="E89" s="103"/>
      <c r="F89" s="103"/>
      <c r="G89" s="103"/>
      <c r="H89" s="103"/>
      <c r="K89" s="27"/>
      <c r="L89" s="27"/>
      <c r="M89" s="27"/>
      <c r="N89" s="27"/>
      <c r="O89" s="27"/>
    </row>
    <row r="90" spans="4:15" x14ac:dyDescent="0.35">
      <c r="D90" s="103"/>
      <c r="E90" s="103"/>
      <c r="F90" s="103"/>
      <c r="G90" s="103"/>
      <c r="H90" s="103"/>
      <c r="K90" s="27"/>
      <c r="L90" s="27"/>
      <c r="M90" s="27"/>
      <c r="N90" s="27"/>
      <c r="O90" s="2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3:N90"/>
  <sheetViews>
    <sheetView topLeftCell="J8" zoomScale="216" zoomScaleNormal="65" workbookViewId="0">
      <selection activeCell="J13" sqref="J13:Y22"/>
    </sheetView>
  </sheetViews>
  <sheetFormatPr defaultColWidth="8.7265625" defaultRowHeight="14.5" x14ac:dyDescent="0.35"/>
  <cols>
    <col min="3" max="3" width="10.6328125" customWidth="1"/>
    <col min="4" max="4" width="15.08984375" customWidth="1"/>
    <col min="5" max="5" width="37.7265625" customWidth="1"/>
    <col min="6" max="6" width="12.26953125" customWidth="1"/>
    <col min="7" max="7" width="46.81640625" customWidth="1"/>
    <col min="8" max="8" width="7.36328125" customWidth="1"/>
  </cols>
  <sheetData>
    <row r="3" spans="3:14" x14ac:dyDescent="0.35">
      <c r="C3" s="105" t="s">
        <v>330</v>
      </c>
      <c r="D3" s="94"/>
    </row>
    <row r="4" spans="3:14" x14ac:dyDescent="0.35">
      <c r="C4" s="103" t="s">
        <v>331</v>
      </c>
      <c r="D4" s="103">
        <f>SUM(D13:D55)</f>
        <v>-2263.9500000000003</v>
      </c>
    </row>
    <row r="5" spans="3:14" x14ac:dyDescent="0.35">
      <c r="C5" s="27" t="s">
        <v>10</v>
      </c>
      <c r="D5" s="27">
        <f>SUM(K13:K93)</f>
        <v>697</v>
      </c>
    </row>
    <row r="6" spans="3:14" x14ac:dyDescent="0.35">
      <c r="C6" s="41" t="s">
        <v>1</v>
      </c>
      <c r="D6" s="41">
        <f>D4+D5</f>
        <v>-1566.9500000000003</v>
      </c>
    </row>
    <row r="11" spans="3:14" ht="39.5" customHeight="1" x14ac:dyDescent="0.9">
      <c r="C11" s="107" t="s">
        <v>20</v>
      </c>
      <c r="J11" s="107" t="s">
        <v>10</v>
      </c>
    </row>
    <row r="12" spans="3:14" x14ac:dyDescent="0.35">
      <c r="C12" s="104" t="s">
        <v>14</v>
      </c>
      <c r="D12" s="104" t="s">
        <v>31</v>
      </c>
      <c r="E12" s="104" t="s">
        <v>16</v>
      </c>
      <c r="F12" s="104" t="s">
        <v>17</v>
      </c>
      <c r="G12" s="104" t="s">
        <v>18</v>
      </c>
      <c r="J12" s="8" t="s">
        <v>14</v>
      </c>
      <c r="K12" s="8" t="s">
        <v>15</v>
      </c>
      <c r="L12" s="8" t="s">
        <v>16</v>
      </c>
      <c r="M12" s="8" t="s">
        <v>17</v>
      </c>
      <c r="N12" s="8" t="s">
        <v>18</v>
      </c>
    </row>
    <row r="13" spans="3:14" x14ac:dyDescent="0.35">
      <c r="C13" s="103" t="s">
        <v>33</v>
      </c>
      <c r="D13" s="103">
        <v>-242</v>
      </c>
      <c r="E13" s="103" t="s">
        <v>332</v>
      </c>
      <c r="F13" s="103">
        <v>39541090000</v>
      </c>
      <c r="G13" s="103" t="s">
        <v>366</v>
      </c>
      <c r="J13" s="27" t="s">
        <v>122</v>
      </c>
      <c r="K13" s="27">
        <v>10</v>
      </c>
      <c r="L13" s="27" t="s">
        <v>5</v>
      </c>
      <c r="M13" s="27">
        <v>1029118</v>
      </c>
      <c r="N13" s="27" t="s">
        <v>367</v>
      </c>
    </row>
    <row r="14" spans="3:14" x14ac:dyDescent="0.35">
      <c r="C14" s="103" t="s">
        <v>33</v>
      </c>
      <c r="D14" s="103">
        <v>-308.2</v>
      </c>
      <c r="E14" s="103" t="s">
        <v>368</v>
      </c>
      <c r="F14" s="103">
        <v>37873150000</v>
      </c>
      <c r="G14" s="103" t="s">
        <v>369</v>
      </c>
      <c r="J14" s="27" t="s">
        <v>33</v>
      </c>
      <c r="K14" s="27">
        <v>22</v>
      </c>
      <c r="L14" s="27" t="s">
        <v>5</v>
      </c>
      <c r="M14" s="27">
        <v>941095</v>
      </c>
      <c r="N14" s="27" t="s">
        <v>370</v>
      </c>
    </row>
    <row r="15" spans="3:14" x14ac:dyDescent="0.35">
      <c r="C15" s="103" t="s">
        <v>68</v>
      </c>
      <c r="D15" s="103">
        <v>-982.78</v>
      </c>
      <c r="E15" s="103" t="s">
        <v>371</v>
      </c>
      <c r="F15" s="103">
        <v>94483100000</v>
      </c>
      <c r="G15" s="103" t="s">
        <v>372</v>
      </c>
      <c r="J15" s="27" t="s">
        <v>33</v>
      </c>
      <c r="K15" s="27">
        <v>27</v>
      </c>
      <c r="L15" s="27" t="s">
        <v>5</v>
      </c>
      <c r="M15" s="27">
        <v>941218</v>
      </c>
      <c r="N15" s="27" t="s">
        <v>373</v>
      </c>
    </row>
    <row r="16" spans="3:14" x14ac:dyDescent="0.35">
      <c r="C16" s="103" t="s">
        <v>47</v>
      </c>
      <c r="D16" s="132">
        <v>-189.9</v>
      </c>
      <c r="E16" s="109" t="s">
        <v>374</v>
      </c>
      <c r="F16" s="103">
        <v>96985720000</v>
      </c>
      <c r="G16" s="103" t="s">
        <v>375</v>
      </c>
      <c r="J16" s="27" t="s">
        <v>33</v>
      </c>
      <c r="K16" s="27">
        <v>31</v>
      </c>
      <c r="L16" s="27" t="s">
        <v>5</v>
      </c>
      <c r="M16" s="27">
        <v>941218</v>
      </c>
      <c r="N16" s="27" t="s">
        <v>376</v>
      </c>
    </row>
    <row r="17" spans="3:14" x14ac:dyDescent="0.35">
      <c r="C17" s="103" t="s">
        <v>47</v>
      </c>
      <c r="D17" s="103">
        <v>-117</v>
      </c>
      <c r="E17" s="103" t="s">
        <v>374</v>
      </c>
      <c r="F17" s="103">
        <v>96985730000</v>
      </c>
      <c r="G17" s="103" t="s">
        <v>377</v>
      </c>
      <c r="J17" s="27" t="s">
        <v>112</v>
      </c>
      <c r="K17" s="27">
        <v>69</v>
      </c>
      <c r="L17" s="27" t="s">
        <v>5</v>
      </c>
      <c r="M17" s="27">
        <v>770103</v>
      </c>
      <c r="N17" s="27" t="s">
        <v>378</v>
      </c>
    </row>
    <row r="18" spans="3:14" x14ac:dyDescent="0.35">
      <c r="C18" s="103" t="s">
        <v>63</v>
      </c>
      <c r="D18" s="109">
        <v>-230.07</v>
      </c>
      <c r="E18" s="103" t="s">
        <v>153</v>
      </c>
      <c r="F18" s="103">
        <v>45035870000</v>
      </c>
      <c r="G18" s="103" t="s">
        <v>379</v>
      </c>
      <c r="J18" s="27" t="s">
        <v>61</v>
      </c>
      <c r="K18" s="27">
        <v>216</v>
      </c>
      <c r="L18" s="27" t="s">
        <v>5</v>
      </c>
      <c r="M18" s="27">
        <v>1276017</v>
      </c>
      <c r="N18" s="27" t="s">
        <v>380</v>
      </c>
    </row>
    <row r="19" spans="3:14" x14ac:dyDescent="0.35">
      <c r="C19" s="103" t="s">
        <v>77</v>
      </c>
      <c r="D19" s="103">
        <v>-194</v>
      </c>
      <c r="E19" s="103" t="s">
        <v>381</v>
      </c>
      <c r="F19" s="103">
        <v>85429430000</v>
      </c>
      <c r="G19" s="103" t="s">
        <v>382</v>
      </c>
      <c r="J19" s="27" t="s">
        <v>77</v>
      </c>
      <c r="K19" s="27">
        <v>157</v>
      </c>
      <c r="L19" s="27" t="s">
        <v>5</v>
      </c>
      <c r="M19" s="27">
        <v>1556211</v>
      </c>
      <c r="N19" s="27" t="s">
        <v>383</v>
      </c>
    </row>
    <row r="20" spans="3:14" x14ac:dyDescent="0.35">
      <c r="C20" s="103"/>
      <c r="D20" s="103"/>
      <c r="E20" s="103"/>
      <c r="F20" s="103"/>
      <c r="G20" s="103"/>
      <c r="J20" s="27" t="s">
        <v>89</v>
      </c>
      <c r="K20" s="27">
        <v>165</v>
      </c>
      <c r="L20" s="27" t="s">
        <v>5</v>
      </c>
      <c r="M20" s="27">
        <v>1363386</v>
      </c>
      <c r="N20" s="27" t="s">
        <v>384</v>
      </c>
    </row>
    <row r="21" spans="3:14" x14ac:dyDescent="0.35">
      <c r="C21" s="103"/>
      <c r="D21" s="103"/>
      <c r="E21" s="103"/>
      <c r="F21" s="103"/>
      <c r="G21" s="103"/>
      <c r="J21" s="27"/>
      <c r="K21" s="27"/>
      <c r="L21" s="27"/>
      <c r="M21" s="27"/>
      <c r="N21" s="27"/>
    </row>
    <row r="22" spans="3:14" x14ac:dyDescent="0.35">
      <c r="C22" s="103"/>
      <c r="D22" s="103"/>
      <c r="E22" s="103"/>
      <c r="F22" s="103"/>
      <c r="G22" s="103"/>
      <c r="J22" s="27"/>
      <c r="K22" s="27"/>
      <c r="L22" s="27"/>
      <c r="M22" s="27"/>
      <c r="N22" s="27"/>
    </row>
    <row r="23" spans="3:14" x14ac:dyDescent="0.35">
      <c r="C23" s="103"/>
      <c r="D23" s="103"/>
      <c r="E23" s="103"/>
      <c r="F23" s="103"/>
      <c r="G23" s="103"/>
      <c r="J23" s="27"/>
      <c r="K23" s="27"/>
      <c r="L23" s="27"/>
      <c r="M23" s="27"/>
      <c r="N23" s="27"/>
    </row>
    <row r="24" spans="3:14" x14ac:dyDescent="0.35">
      <c r="C24" s="103"/>
      <c r="D24" s="103"/>
      <c r="E24" s="103"/>
      <c r="F24" s="103"/>
      <c r="G24" s="103"/>
      <c r="J24" s="27"/>
      <c r="K24" s="27"/>
      <c r="L24" s="27"/>
      <c r="M24" s="27"/>
      <c r="N24" s="27"/>
    </row>
    <row r="25" spans="3:14" x14ac:dyDescent="0.35">
      <c r="C25" s="103"/>
      <c r="D25" s="103"/>
      <c r="E25" s="103"/>
      <c r="F25" s="103"/>
      <c r="G25" s="103"/>
      <c r="J25" s="27"/>
      <c r="K25" s="27"/>
      <c r="L25" s="27"/>
      <c r="M25" s="27"/>
      <c r="N25" s="27"/>
    </row>
    <row r="26" spans="3:14" x14ac:dyDescent="0.35">
      <c r="C26" s="103"/>
      <c r="D26" s="103"/>
      <c r="E26" s="103"/>
      <c r="F26" s="103"/>
      <c r="G26" s="103"/>
      <c r="J26" s="27"/>
      <c r="K26" s="27"/>
      <c r="L26" s="27"/>
      <c r="M26" s="27"/>
      <c r="N26" s="27"/>
    </row>
    <row r="27" spans="3:14" x14ac:dyDescent="0.35">
      <c r="C27" s="103"/>
      <c r="D27" s="103"/>
      <c r="E27" s="103"/>
      <c r="F27" s="103"/>
      <c r="G27" s="103"/>
      <c r="J27" s="27"/>
      <c r="K27" s="27"/>
      <c r="L27" s="27"/>
      <c r="M27" s="27"/>
      <c r="N27" s="27"/>
    </row>
    <row r="28" spans="3:14" x14ac:dyDescent="0.35">
      <c r="C28" s="103"/>
      <c r="D28" s="103"/>
      <c r="E28" s="103"/>
      <c r="F28" s="103"/>
      <c r="G28" s="103"/>
      <c r="J28" s="27"/>
      <c r="K28" s="27"/>
      <c r="L28" s="27"/>
      <c r="M28" s="27"/>
      <c r="N28" s="27"/>
    </row>
    <row r="29" spans="3:14" x14ac:dyDescent="0.35">
      <c r="C29" s="103"/>
      <c r="D29" s="103"/>
      <c r="E29" s="103"/>
      <c r="F29" s="103"/>
      <c r="G29" s="103"/>
      <c r="J29" s="27"/>
      <c r="K29" s="27"/>
      <c r="L29" s="27"/>
      <c r="M29" s="27"/>
      <c r="N29" s="27"/>
    </row>
    <row r="30" spans="3:14" x14ac:dyDescent="0.35">
      <c r="C30" s="103"/>
      <c r="D30" s="103"/>
      <c r="E30" s="103"/>
      <c r="F30" s="103"/>
      <c r="G30" s="103"/>
      <c r="J30" s="27"/>
      <c r="K30" s="27"/>
      <c r="L30" s="27"/>
      <c r="M30" s="27"/>
      <c r="N30" s="27"/>
    </row>
    <row r="31" spans="3:14" x14ac:dyDescent="0.35">
      <c r="C31" s="103"/>
      <c r="D31" s="103"/>
      <c r="E31" s="103"/>
      <c r="F31" s="103"/>
      <c r="G31" s="103"/>
      <c r="J31" s="27"/>
      <c r="K31" s="27"/>
      <c r="L31" s="27"/>
      <c r="M31" s="27"/>
      <c r="N31" s="27"/>
    </row>
    <row r="32" spans="3:14" x14ac:dyDescent="0.35">
      <c r="C32" s="103"/>
      <c r="D32" s="103"/>
      <c r="E32" s="103"/>
      <c r="F32" s="103"/>
      <c r="G32" s="103"/>
      <c r="J32" s="27"/>
      <c r="K32" s="27"/>
      <c r="L32" s="27"/>
      <c r="M32" s="27"/>
      <c r="N32" s="27"/>
    </row>
    <row r="33" spans="3:14" x14ac:dyDescent="0.35">
      <c r="C33" s="103"/>
      <c r="D33" s="103"/>
      <c r="E33" s="103"/>
      <c r="F33" s="103"/>
      <c r="G33" s="103"/>
      <c r="J33" s="27"/>
      <c r="K33" s="27"/>
      <c r="L33" s="27"/>
      <c r="M33" s="27"/>
      <c r="N33" s="27"/>
    </row>
    <row r="34" spans="3:14" x14ac:dyDescent="0.35">
      <c r="C34" s="103"/>
      <c r="D34" s="103"/>
      <c r="E34" s="103"/>
      <c r="F34" s="103"/>
      <c r="G34" s="103"/>
      <c r="J34" s="27"/>
      <c r="K34" s="27"/>
      <c r="L34" s="27"/>
      <c r="M34" s="27"/>
      <c r="N34" s="27"/>
    </row>
    <row r="35" spans="3:14" x14ac:dyDescent="0.35">
      <c r="C35" s="103"/>
      <c r="D35" s="103"/>
      <c r="E35" s="103"/>
      <c r="F35" s="103"/>
      <c r="G35" s="103"/>
      <c r="J35" s="27"/>
      <c r="K35" s="27"/>
      <c r="L35" s="27"/>
      <c r="M35" s="27"/>
      <c r="N35" s="27"/>
    </row>
    <row r="36" spans="3:14" x14ac:dyDescent="0.35">
      <c r="C36" s="103"/>
      <c r="D36" s="103"/>
      <c r="E36" s="103"/>
      <c r="F36" s="103"/>
      <c r="G36" s="103"/>
      <c r="J36" s="27"/>
      <c r="K36" s="27"/>
      <c r="L36" s="27"/>
      <c r="M36" s="27"/>
      <c r="N36" s="27"/>
    </row>
    <row r="37" spans="3:14" x14ac:dyDescent="0.35">
      <c r="C37" s="103"/>
      <c r="D37" s="103"/>
      <c r="E37" s="103"/>
      <c r="F37" s="103"/>
      <c r="G37" s="103"/>
      <c r="J37" s="27"/>
      <c r="K37" s="27"/>
      <c r="L37" s="27"/>
      <c r="M37" s="27"/>
      <c r="N37" s="27"/>
    </row>
    <row r="38" spans="3:14" x14ac:dyDescent="0.35">
      <c r="C38" s="103"/>
      <c r="D38" s="103"/>
      <c r="E38" s="103"/>
      <c r="F38" s="103"/>
      <c r="G38" s="103"/>
      <c r="J38" s="27"/>
      <c r="K38" s="27"/>
      <c r="L38" s="27"/>
      <c r="M38" s="27"/>
      <c r="N38" s="27"/>
    </row>
    <row r="39" spans="3:14" x14ac:dyDescent="0.35">
      <c r="C39" s="103"/>
      <c r="D39" s="103"/>
      <c r="E39" s="103"/>
      <c r="F39" s="103"/>
      <c r="G39" s="103"/>
      <c r="J39" s="27"/>
      <c r="K39" s="27"/>
      <c r="L39" s="27"/>
      <c r="M39" s="27"/>
      <c r="N39" s="27"/>
    </row>
    <row r="40" spans="3:14" x14ac:dyDescent="0.35">
      <c r="C40" s="103"/>
      <c r="D40" s="103"/>
      <c r="E40" s="103"/>
      <c r="F40" s="103"/>
      <c r="G40" s="103"/>
      <c r="J40" s="27"/>
      <c r="K40" s="27"/>
      <c r="L40" s="27"/>
      <c r="M40" s="27"/>
      <c r="N40" s="27"/>
    </row>
    <row r="41" spans="3:14" x14ac:dyDescent="0.35">
      <c r="C41" s="103"/>
      <c r="D41" s="103"/>
      <c r="E41" s="103"/>
      <c r="F41" s="103"/>
      <c r="G41" s="103"/>
      <c r="J41" s="27"/>
      <c r="K41" s="27"/>
      <c r="L41" s="27"/>
      <c r="M41" s="27"/>
      <c r="N41" s="27"/>
    </row>
    <row r="42" spans="3:14" x14ac:dyDescent="0.35">
      <c r="C42" s="103"/>
      <c r="D42" s="103"/>
      <c r="E42" s="103"/>
      <c r="F42" s="103"/>
      <c r="G42" s="103"/>
      <c r="J42" s="27"/>
      <c r="K42" s="27"/>
      <c r="L42" s="27"/>
      <c r="M42" s="27"/>
      <c r="N42" s="27"/>
    </row>
    <row r="43" spans="3:14" x14ac:dyDescent="0.35">
      <c r="C43" s="103"/>
      <c r="D43" s="103"/>
      <c r="E43" s="103"/>
      <c r="F43" s="103"/>
      <c r="G43" s="103"/>
      <c r="J43" s="27"/>
      <c r="K43" s="27"/>
      <c r="L43" s="27"/>
      <c r="M43" s="27"/>
      <c r="N43" s="27"/>
    </row>
    <row r="44" spans="3:14" x14ac:dyDescent="0.35">
      <c r="C44" s="103"/>
      <c r="D44" s="103"/>
      <c r="E44" s="103"/>
      <c r="F44" s="103"/>
      <c r="G44" s="103"/>
      <c r="J44" s="27"/>
      <c r="K44" s="27"/>
      <c r="L44" s="27"/>
      <c r="M44" s="27"/>
      <c r="N44" s="27"/>
    </row>
    <row r="45" spans="3:14" x14ac:dyDescent="0.35">
      <c r="C45" s="103"/>
      <c r="D45" s="103"/>
      <c r="E45" s="103"/>
      <c r="F45" s="103"/>
      <c r="G45" s="103"/>
      <c r="J45" s="27"/>
      <c r="K45" s="27"/>
      <c r="L45" s="27"/>
      <c r="M45" s="27"/>
      <c r="N45" s="27"/>
    </row>
    <row r="46" spans="3:14" x14ac:dyDescent="0.35">
      <c r="C46" s="103"/>
      <c r="D46" s="103"/>
      <c r="E46" s="103"/>
      <c r="F46" s="103"/>
      <c r="G46" s="103"/>
      <c r="J46" s="27"/>
      <c r="K46" s="27"/>
      <c r="L46" s="27"/>
      <c r="M46" s="27"/>
      <c r="N46" s="27"/>
    </row>
    <row r="47" spans="3:14" x14ac:dyDescent="0.35">
      <c r="C47" s="103"/>
      <c r="D47" s="103"/>
      <c r="E47" s="103"/>
      <c r="F47" s="103"/>
      <c r="G47" s="103"/>
      <c r="J47" s="27"/>
      <c r="K47" s="27"/>
      <c r="L47" s="27"/>
      <c r="M47" s="27"/>
      <c r="N47" s="27"/>
    </row>
    <row r="48" spans="3:14" x14ac:dyDescent="0.35">
      <c r="C48" s="103"/>
      <c r="D48" s="103"/>
      <c r="E48" s="103"/>
      <c r="F48" s="103"/>
      <c r="G48" s="103"/>
      <c r="J48" s="27"/>
      <c r="K48" s="27"/>
      <c r="L48" s="27"/>
      <c r="M48" s="27"/>
      <c r="N48" s="27"/>
    </row>
    <row r="49" spans="3:14" x14ac:dyDescent="0.35">
      <c r="C49" s="103"/>
      <c r="D49" s="103"/>
      <c r="E49" s="103"/>
      <c r="F49" s="103"/>
      <c r="G49" s="103"/>
      <c r="J49" s="27"/>
      <c r="K49" s="27"/>
      <c r="L49" s="27"/>
      <c r="M49" s="27"/>
      <c r="N49" s="27"/>
    </row>
    <row r="50" spans="3:14" x14ac:dyDescent="0.35">
      <c r="C50" s="103"/>
      <c r="D50" s="103"/>
      <c r="E50" s="103"/>
      <c r="F50" s="103"/>
      <c r="G50" s="103"/>
      <c r="J50" s="27"/>
      <c r="K50" s="27"/>
      <c r="L50" s="27"/>
      <c r="M50" s="27"/>
      <c r="N50" s="27"/>
    </row>
    <row r="51" spans="3:14" x14ac:dyDescent="0.35">
      <c r="C51" s="103"/>
      <c r="D51" s="103"/>
      <c r="E51" s="103"/>
      <c r="F51" s="103"/>
      <c r="G51" s="103"/>
      <c r="J51" s="27"/>
      <c r="K51" s="27"/>
      <c r="L51" s="27"/>
      <c r="M51" s="27"/>
      <c r="N51" s="27"/>
    </row>
    <row r="52" spans="3:14" x14ac:dyDescent="0.35">
      <c r="C52" s="103"/>
      <c r="D52" s="103"/>
      <c r="E52" s="103"/>
      <c r="F52" s="103"/>
      <c r="G52" s="103"/>
      <c r="J52" s="27"/>
      <c r="K52" s="27"/>
      <c r="L52" s="27"/>
      <c r="M52" s="27"/>
      <c r="N52" s="27"/>
    </row>
    <row r="53" spans="3:14" x14ac:dyDescent="0.35">
      <c r="C53" s="103"/>
      <c r="D53" s="103"/>
      <c r="E53" s="103"/>
      <c r="F53" s="103"/>
      <c r="G53" s="103"/>
      <c r="J53" s="27"/>
      <c r="K53" s="27"/>
      <c r="L53" s="27"/>
      <c r="M53" s="27"/>
      <c r="N53" s="27"/>
    </row>
    <row r="54" spans="3:14" x14ac:dyDescent="0.35">
      <c r="C54" s="103"/>
      <c r="D54" s="103"/>
      <c r="E54" s="103"/>
      <c r="F54" s="103"/>
      <c r="G54" s="103"/>
      <c r="J54" s="27"/>
      <c r="K54" s="27"/>
      <c r="L54" s="27"/>
      <c r="M54" s="27"/>
      <c r="N54" s="27"/>
    </row>
    <row r="55" spans="3:14" x14ac:dyDescent="0.35">
      <c r="C55" s="103"/>
      <c r="D55" s="103"/>
      <c r="E55" s="103"/>
      <c r="F55" s="103"/>
      <c r="G55" s="103"/>
      <c r="J55" s="27"/>
      <c r="K55" s="27"/>
      <c r="L55" s="27"/>
      <c r="M55" s="27"/>
      <c r="N55" s="27"/>
    </row>
    <row r="56" spans="3:14" x14ac:dyDescent="0.35">
      <c r="C56" s="103"/>
      <c r="D56" s="103"/>
      <c r="E56" s="103"/>
      <c r="F56" s="103"/>
      <c r="G56" s="103"/>
      <c r="J56" s="27"/>
      <c r="K56" s="27"/>
      <c r="L56" s="27"/>
      <c r="M56" s="27"/>
      <c r="N56" s="27"/>
    </row>
    <row r="57" spans="3:14" x14ac:dyDescent="0.35">
      <c r="C57" s="103"/>
      <c r="D57" s="103"/>
      <c r="E57" s="103"/>
      <c r="F57" s="103"/>
      <c r="G57" s="103"/>
      <c r="J57" s="27"/>
      <c r="K57" s="27"/>
      <c r="L57" s="27"/>
      <c r="M57" s="27"/>
      <c r="N57" s="27"/>
    </row>
    <row r="58" spans="3:14" x14ac:dyDescent="0.35">
      <c r="C58" s="103"/>
      <c r="D58" s="103"/>
      <c r="E58" s="103"/>
      <c r="F58" s="103"/>
      <c r="G58" s="103"/>
      <c r="J58" s="27"/>
      <c r="K58" s="27"/>
      <c r="L58" s="27"/>
      <c r="M58" s="27"/>
      <c r="N58" s="27"/>
    </row>
    <row r="59" spans="3:14" x14ac:dyDescent="0.35">
      <c r="C59" s="103"/>
      <c r="D59" s="103"/>
      <c r="E59" s="103"/>
      <c r="F59" s="103"/>
      <c r="G59" s="103"/>
      <c r="J59" s="27"/>
      <c r="K59" s="27"/>
      <c r="L59" s="27"/>
      <c r="M59" s="27"/>
      <c r="N59" s="27"/>
    </row>
    <row r="60" spans="3:14" x14ac:dyDescent="0.35">
      <c r="C60" s="103"/>
      <c r="D60" s="103"/>
      <c r="E60" s="103"/>
      <c r="F60" s="103"/>
      <c r="G60" s="103"/>
      <c r="J60" s="27"/>
      <c r="K60" s="27"/>
      <c r="L60" s="27"/>
      <c r="M60" s="27"/>
      <c r="N60" s="27"/>
    </row>
    <row r="61" spans="3:14" x14ac:dyDescent="0.35">
      <c r="C61" s="103"/>
      <c r="D61" s="103"/>
      <c r="E61" s="103"/>
      <c r="F61" s="103"/>
      <c r="G61" s="103"/>
      <c r="J61" s="27"/>
      <c r="K61" s="27"/>
      <c r="L61" s="27"/>
      <c r="M61" s="27"/>
      <c r="N61" s="27"/>
    </row>
    <row r="62" spans="3:14" x14ac:dyDescent="0.35">
      <c r="C62" s="103"/>
      <c r="D62" s="103"/>
      <c r="E62" s="103"/>
      <c r="F62" s="103"/>
      <c r="G62" s="103"/>
      <c r="J62" s="27"/>
      <c r="K62" s="27"/>
      <c r="L62" s="27"/>
      <c r="M62" s="27"/>
      <c r="N62" s="27"/>
    </row>
    <row r="63" spans="3:14" x14ac:dyDescent="0.35">
      <c r="C63" s="103"/>
      <c r="D63" s="103"/>
      <c r="E63" s="103"/>
      <c r="F63" s="103"/>
      <c r="G63" s="103"/>
      <c r="J63" s="27"/>
      <c r="K63" s="27"/>
      <c r="L63" s="27"/>
      <c r="M63" s="27"/>
      <c r="N63" s="27"/>
    </row>
    <row r="64" spans="3:14" x14ac:dyDescent="0.35">
      <c r="C64" s="103"/>
      <c r="D64" s="103"/>
      <c r="E64" s="103"/>
      <c r="F64" s="103"/>
      <c r="G64" s="103"/>
      <c r="J64" s="27"/>
      <c r="K64" s="27"/>
      <c r="L64" s="27"/>
      <c r="M64" s="27"/>
      <c r="N64" s="27"/>
    </row>
    <row r="65" spans="3:14" x14ac:dyDescent="0.35">
      <c r="C65" s="103"/>
      <c r="D65" s="103"/>
      <c r="E65" s="103"/>
      <c r="F65" s="103"/>
      <c r="G65" s="103"/>
      <c r="J65" s="27"/>
      <c r="K65" s="27"/>
      <c r="L65" s="27"/>
      <c r="M65" s="27"/>
      <c r="N65" s="27"/>
    </row>
    <row r="66" spans="3:14" x14ac:dyDescent="0.35">
      <c r="C66" s="103"/>
      <c r="D66" s="103"/>
      <c r="E66" s="103"/>
      <c r="F66" s="103"/>
      <c r="G66" s="103"/>
      <c r="J66" s="27"/>
      <c r="K66" s="27"/>
      <c r="L66" s="27"/>
      <c r="M66" s="27"/>
      <c r="N66" s="27"/>
    </row>
    <row r="67" spans="3:14" x14ac:dyDescent="0.35">
      <c r="C67" s="103"/>
      <c r="D67" s="103"/>
      <c r="E67" s="103"/>
      <c r="F67" s="103"/>
      <c r="G67" s="103"/>
      <c r="J67" s="27"/>
      <c r="K67" s="27"/>
      <c r="L67" s="27"/>
      <c r="M67" s="27"/>
      <c r="N67" s="27"/>
    </row>
    <row r="68" spans="3:14" x14ac:dyDescent="0.35">
      <c r="C68" s="103"/>
      <c r="D68" s="103"/>
      <c r="E68" s="103"/>
      <c r="F68" s="103"/>
      <c r="G68" s="103"/>
      <c r="J68" s="27"/>
      <c r="K68" s="27"/>
      <c r="L68" s="27"/>
      <c r="M68" s="27"/>
      <c r="N68" s="27"/>
    </row>
    <row r="69" spans="3:14" x14ac:dyDescent="0.35">
      <c r="C69" s="103"/>
      <c r="D69" s="103"/>
      <c r="E69" s="103"/>
      <c r="F69" s="103"/>
      <c r="G69" s="103"/>
      <c r="J69" s="27"/>
      <c r="K69" s="27"/>
      <c r="L69" s="27"/>
      <c r="M69" s="27"/>
      <c r="N69" s="27"/>
    </row>
    <row r="70" spans="3:14" x14ac:dyDescent="0.35">
      <c r="C70" s="103"/>
      <c r="D70" s="103"/>
      <c r="E70" s="103"/>
      <c r="F70" s="103"/>
      <c r="G70" s="103"/>
      <c r="J70" s="27"/>
      <c r="K70" s="27"/>
      <c r="L70" s="27"/>
      <c r="M70" s="27"/>
      <c r="N70" s="27"/>
    </row>
    <row r="71" spans="3:14" x14ac:dyDescent="0.35">
      <c r="C71" s="103"/>
      <c r="D71" s="103"/>
      <c r="E71" s="103"/>
      <c r="F71" s="103"/>
      <c r="G71" s="103"/>
      <c r="J71" s="27"/>
      <c r="K71" s="27"/>
      <c r="L71" s="27"/>
      <c r="M71" s="27"/>
      <c r="N71" s="27"/>
    </row>
    <row r="72" spans="3:14" x14ac:dyDescent="0.35">
      <c r="C72" s="103"/>
      <c r="D72" s="103"/>
      <c r="E72" s="103"/>
      <c r="F72" s="103"/>
      <c r="G72" s="103"/>
      <c r="J72" s="27"/>
      <c r="K72" s="27"/>
      <c r="L72" s="27"/>
      <c r="M72" s="27"/>
      <c r="N72" s="27"/>
    </row>
    <row r="73" spans="3:14" x14ac:dyDescent="0.35">
      <c r="C73" s="103"/>
      <c r="D73" s="103"/>
      <c r="E73" s="103"/>
      <c r="F73" s="103"/>
      <c r="G73" s="103"/>
      <c r="J73" s="27"/>
      <c r="K73" s="27"/>
      <c r="L73" s="27"/>
      <c r="M73" s="27"/>
      <c r="N73" s="27"/>
    </row>
    <row r="74" spans="3:14" x14ac:dyDescent="0.35">
      <c r="C74" s="103"/>
      <c r="D74" s="103"/>
      <c r="E74" s="103"/>
      <c r="F74" s="103"/>
      <c r="G74" s="103"/>
      <c r="J74" s="27"/>
      <c r="K74" s="27"/>
      <c r="L74" s="27"/>
      <c r="M74" s="27"/>
      <c r="N74" s="27"/>
    </row>
    <row r="75" spans="3:14" x14ac:dyDescent="0.35">
      <c r="C75" s="103"/>
      <c r="D75" s="103"/>
      <c r="E75" s="103"/>
      <c r="F75" s="103"/>
      <c r="G75" s="103"/>
      <c r="J75" s="27"/>
      <c r="K75" s="27"/>
      <c r="L75" s="27"/>
      <c r="M75" s="27"/>
      <c r="N75" s="27"/>
    </row>
    <row r="76" spans="3:14" x14ac:dyDescent="0.35">
      <c r="C76" s="103"/>
      <c r="D76" s="103"/>
      <c r="E76" s="103"/>
      <c r="F76" s="103"/>
      <c r="G76" s="103"/>
      <c r="J76" s="27"/>
      <c r="K76" s="27"/>
      <c r="L76" s="27"/>
      <c r="M76" s="27"/>
      <c r="N76" s="27"/>
    </row>
    <row r="77" spans="3:14" x14ac:dyDescent="0.35">
      <c r="C77" s="103"/>
      <c r="D77" s="103"/>
      <c r="E77" s="103"/>
      <c r="F77" s="103"/>
      <c r="G77" s="103"/>
      <c r="J77" s="27"/>
      <c r="K77" s="27"/>
      <c r="L77" s="27"/>
      <c r="M77" s="27"/>
      <c r="N77" s="27"/>
    </row>
    <row r="78" spans="3:14" x14ac:dyDescent="0.35">
      <c r="C78" s="103"/>
      <c r="D78" s="103"/>
      <c r="E78" s="103"/>
      <c r="F78" s="103"/>
      <c r="G78" s="103"/>
      <c r="J78" s="27"/>
      <c r="K78" s="27"/>
      <c r="L78" s="27"/>
      <c r="M78" s="27"/>
      <c r="N78" s="27"/>
    </row>
    <row r="79" spans="3:14" x14ac:dyDescent="0.35">
      <c r="C79" s="103"/>
      <c r="D79" s="103"/>
      <c r="E79" s="103"/>
      <c r="F79" s="103"/>
      <c r="G79" s="103"/>
      <c r="J79" s="27"/>
      <c r="K79" s="27"/>
      <c r="L79" s="27"/>
      <c r="M79" s="27"/>
      <c r="N79" s="27"/>
    </row>
    <row r="80" spans="3:14" x14ac:dyDescent="0.35">
      <c r="C80" s="103"/>
      <c r="D80" s="103"/>
      <c r="E80" s="103"/>
      <c r="F80" s="103"/>
      <c r="G80" s="103"/>
      <c r="J80" s="27"/>
      <c r="K80" s="27"/>
      <c r="L80" s="27"/>
      <c r="M80" s="27"/>
      <c r="N80" s="27"/>
    </row>
    <row r="81" spans="3:14" x14ac:dyDescent="0.35">
      <c r="C81" s="103"/>
      <c r="D81" s="103"/>
      <c r="E81" s="103"/>
      <c r="F81" s="103"/>
      <c r="G81" s="103"/>
      <c r="J81" s="27"/>
      <c r="K81" s="27"/>
      <c r="L81" s="27"/>
      <c r="M81" s="27"/>
      <c r="N81" s="27"/>
    </row>
    <row r="82" spans="3:14" x14ac:dyDescent="0.35">
      <c r="C82" s="103"/>
      <c r="D82" s="103"/>
      <c r="E82" s="103"/>
      <c r="F82" s="103"/>
      <c r="G82" s="103"/>
      <c r="J82" s="27"/>
      <c r="K82" s="27"/>
      <c r="L82" s="27"/>
      <c r="M82" s="27"/>
      <c r="N82" s="27"/>
    </row>
    <row r="83" spans="3:14" x14ac:dyDescent="0.35">
      <c r="C83" s="103"/>
      <c r="D83" s="103"/>
      <c r="E83" s="103"/>
      <c r="F83" s="103"/>
      <c r="G83" s="103"/>
      <c r="J83" s="27"/>
      <c r="K83" s="27"/>
      <c r="L83" s="27"/>
      <c r="M83" s="27"/>
      <c r="N83" s="27"/>
    </row>
    <row r="84" spans="3:14" x14ac:dyDescent="0.35">
      <c r="C84" s="103"/>
      <c r="D84" s="103"/>
      <c r="E84" s="103"/>
      <c r="F84" s="103"/>
      <c r="G84" s="103"/>
      <c r="J84" s="27"/>
      <c r="K84" s="27"/>
      <c r="L84" s="27"/>
      <c r="M84" s="27"/>
      <c r="N84" s="27"/>
    </row>
    <row r="85" spans="3:14" x14ac:dyDescent="0.35">
      <c r="C85" s="103"/>
      <c r="D85" s="103"/>
      <c r="E85" s="103"/>
      <c r="F85" s="103"/>
      <c r="G85" s="103"/>
      <c r="J85" s="27"/>
      <c r="K85" s="27"/>
      <c r="L85" s="27"/>
      <c r="M85" s="27"/>
      <c r="N85" s="27"/>
    </row>
    <row r="86" spans="3:14" x14ac:dyDescent="0.35">
      <c r="C86" s="103"/>
      <c r="D86" s="103"/>
      <c r="E86" s="103"/>
      <c r="F86" s="103"/>
      <c r="G86" s="103"/>
      <c r="J86" s="27"/>
      <c r="K86" s="27"/>
      <c r="L86" s="27"/>
      <c r="M86" s="27"/>
      <c r="N86" s="27"/>
    </row>
    <row r="87" spans="3:14" x14ac:dyDescent="0.35">
      <c r="C87" s="103"/>
      <c r="D87" s="103"/>
      <c r="E87" s="103"/>
      <c r="F87" s="103"/>
      <c r="G87" s="103"/>
      <c r="J87" s="27"/>
      <c r="K87" s="27"/>
      <c r="L87" s="27"/>
      <c r="M87" s="27"/>
      <c r="N87" s="27"/>
    </row>
    <row r="88" spans="3:14" x14ac:dyDescent="0.35">
      <c r="C88" s="103"/>
      <c r="D88" s="103"/>
      <c r="E88" s="103"/>
      <c r="F88" s="103"/>
      <c r="G88" s="103"/>
      <c r="J88" s="27"/>
      <c r="K88" s="27"/>
      <c r="L88" s="27"/>
      <c r="M88" s="27"/>
      <c r="N88" s="27"/>
    </row>
    <row r="89" spans="3:14" x14ac:dyDescent="0.35">
      <c r="C89" s="103"/>
      <c r="D89" s="103"/>
      <c r="E89" s="103"/>
      <c r="F89" s="103"/>
      <c r="G89" s="103"/>
      <c r="J89" s="27"/>
      <c r="K89" s="27"/>
      <c r="L89" s="27"/>
      <c r="M89" s="27"/>
      <c r="N89" s="27"/>
    </row>
    <row r="90" spans="3:14" x14ac:dyDescent="0.35">
      <c r="C90" s="103"/>
      <c r="D90" s="103"/>
      <c r="E90" s="103"/>
      <c r="F90" s="103"/>
      <c r="G90" s="103"/>
      <c r="J90" s="27"/>
      <c r="K90" s="27"/>
      <c r="L90" s="27"/>
      <c r="M90" s="27"/>
      <c r="N90" s="27"/>
    </row>
  </sheetData>
  <pageMargins left="0.7" right="0.7" top="0.75" bottom="0.75" header="0.3" footer="0.3"/>
  <pageSetup paperSize="9" orientation="portrait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1:N90"/>
  <sheetViews>
    <sheetView zoomScale="89" workbookViewId="0">
      <selection activeCell="K14" sqref="K14"/>
    </sheetView>
  </sheetViews>
  <sheetFormatPr defaultColWidth="8.81640625" defaultRowHeight="14.5" x14ac:dyDescent="0.35"/>
  <cols>
    <col min="4" max="4" width="13.26953125" bestFit="1" customWidth="1"/>
    <col min="6" max="7" width="30.81640625" customWidth="1"/>
    <col min="11" max="11" width="8.90625" bestFit="1" customWidth="1"/>
    <col min="13" max="13" width="12.54296875" bestFit="1" customWidth="1"/>
    <col min="17" max="17" width="8.90625" bestFit="1" customWidth="1"/>
    <col min="19" max="19" width="8.90625" bestFit="1" customWidth="1"/>
  </cols>
  <sheetData>
    <row r="1" spans="3:14" ht="21" customHeight="1" x14ac:dyDescent="0.35"/>
    <row r="3" spans="3:14" x14ac:dyDescent="0.35">
      <c r="C3" s="105" t="s">
        <v>330</v>
      </c>
      <c r="D3" s="94"/>
    </row>
    <row r="4" spans="3:14" x14ac:dyDescent="0.35">
      <c r="C4" s="103" t="s">
        <v>331</v>
      </c>
      <c r="D4" s="109">
        <f>SUM(D13:D144)</f>
        <v>-6475.8899999999994</v>
      </c>
    </row>
    <row r="5" spans="3:14" x14ac:dyDescent="0.35">
      <c r="C5" s="27" t="s">
        <v>10</v>
      </c>
      <c r="D5" s="27">
        <f>SUM(K13:K38)</f>
        <v>1018</v>
      </c>
    </row>
    <row r="6" spans="3:14" x14ac:dyDescent="0.35">
      <c r="C6" s="41" t="s">
        <v>1</v>
      </c>
      <c r="D6" s="41">
        <f>D4+D5</f>
        <v>-5457.8899999999994</v>
      </c>
    </row>
    <row r="11" spans="3:14" ht="39.5" customHeight="1" x14ac:dyDescent="0.9">
      <c r="C11" s="107" t="s">
        <v>20</v>
      </c>
      <c r="J11" s="107" t="s">
        <v>10</v>
      </c>
    </row>
    <row r="12" spans="3:14" x14ac:dyDescent="0.35">
      <c r="C12" s="104" t="s">
        <v>14</v>
      </c>
      <c r="D12" s="104" t="s">
        <v>31</v>
      </c>
      <c r="E12" s="104" t="s">
        <v>16</v>
      </c>
      <c r="F12" s="104" t="s">
        <v>17</v>
      </c>
      <c r="G12" s="104" t="s">
        <v>18</v>
      </c>
      <c r="J12" s="8" t="s">
        <v>14</v>
      </c>
      <c r="K12" s="8" t="s">
        <v>15</v>
      </c>
      <c r="L12" s="8" t="s">
        <v>16</v>
      </c>
      <c r="M12" s="8" t="s">
        <v>17</v>
      </c>
      <c r="N12" s="8" t="s">
        <v>18</v>
      </c>
    </row>
    <row r="13" spans="3:14" x14ac:dyDescent="0.35">
      <c r="C13" s="103" t="s">
        <v>33</v>
      </c>
      <c r="D13" s="109">
        <v>-2318.1</v>
      </c>
      <c r="E13" s="103"/>
      <c r="F13" s="103">
        <v>37873170000</v>
      </c>
      <c r="G13" s="103" t="s">
        <v>385</v>
      </c>
      <c r="J13" s="27" t="s">
        <v>122</v>
      </c>
      <c r="K13" s="27">
        <v>12</v>
      </c>
      <c r="L13" s="27" t="s">
        <v>5</v>
      </c>
      <c r="M13" s="27">
        <v>1029196</v>
      </c>
      <c r="N13" s="27" t="s">
        <v>386</v>
      </c>
    </row>
    <row r="14" spans="3:14" x14ac:dyDescent="0.35">
      <c r="C14" s="103" t="s">
        <v>33</v>
      </c>
      <c r="D14" s="109">
        <v>-499</v>
      </c>
      <c r="E14" s="103" t="s">
        <v>387</v>
      </c>
      <c r="F14" s="103">
        <v>37873180000</v>
      </c>
      <c r="G14" s="103" t="s">
        <v>388</v>
      </c>
      <c r="J14" s="27" t="s">
        <v>33</v>
      </c>
      <c r="K14" s="27">
        <v>19</v>
      </c>
      <c r="L14" s="27" t="s">
        <v>5</v>
      </c>
      <c r="M14" s="27">
        <v>941210</v>
      </c>
      <c r="N14" s="27" t="s">
        <v>389</v>
      </c>
    </row>
    <row r="15" spans="3:14" x14ac:dyDescent="0.35">
      <c r="C15" s="103" t="s">
        <v>68</v>
      </c>
      <c r="D15" s="109">
        <v>-50</v>
      </c>
      <c r="E15" s="103" t="s">
        <v>387</v>
      </c>
      <c r="F15" s="103">
        <v>94483080000</v>
      </c>
      <c r="G15" s="103" t="s">
        <v>390</v>
      </c>
      <c r="J15" s="27" t="s">
        <v>33</v>
      </c>
      <c r="K15" s="27">
        <v>30</v>
      </c>
      <c r="L15" s="27" t="s">
        <v>5</v>
      </c>
      <c r="M15" s="27">
        <v>941210</v>
      </c>
      <c r="N15" s="27" t="s">
        <v>391</v>
      </c>
    </row>
    <row r="16" spans="3:14" x14ac:dyDescent="0.35">
      <c r="C16" s="103" t="s">
        <v>47</v>
      </c>
      <c r="D16" s="131">
        <v>-186</v>
      </c>
      <c r="E16" s="109" t="s">
        <v>282</v>
      </c>
      <c r="F16" s="103">
        <v>96985710000</v>
      </c>
      <c r="G16" s="103" t="s">
        <v>392</v>
      </c>
      <c r="J16" s="27" t="s">
        <v>220</v>
      </c>
      <c r="K16" s="27">
        <v>132</v>
      </c>
      <c r="L16" s="27" t="s">
        <v>5</v>
      </c>
      <c r="M16" s="27">
        <v>338604</v>
      </c>
      <c r="N16" s="27" t="s">
        <v>393</v>
      </c>
    </row>
    <row r="17" spans="3:14" x14ac:dyDescent="0.35">
      <c r="C17" s="103" t="s">
        <v>63</v>
      </c>
      <c r="D17" s="109">
        <v>-295.45999999999998</v>
      </c>
      <c r="E17" s="103" t="s">
        <v>153</v>
      </c>
      <c r="F17" s="103">
        <v>45035880000</v>
      </c>
      <c r="G17" s="103" t="s">
        <v>394</v>
      </c>
      <c r="J17" s="27" t="s">
        <v>61</v>
      </c>
      <c r="K17" s="27">
        <v>214</v>
      </c>
      <c r="L17" s="27" t="s">
        <v>5</v>
      </c>
      <c r="M17" s="27">
        <v>1275771</v>
      </c>
      <c r="N17" s="27" t="s">
        <v>395</v>
      </c>
    </row>
    <row r="18" spans="3:14" x14ac:dyDescent="0.35">
      <c r="C18" s="103" t="s">
        <v>63</v>
      </c>
      <c r="D18" s="109">
        <v>-449</v>
      </c>
      <c r="E18" s="103" t="s">
        <v>387</v>
      </c>
      <c r="F18" s="103">
        <v>45035900000</v>
      </c>
      <c r="G18" s="103" t="s">
        <v>396</v>
      </c>
      <c r="J18" s="27" t="s">
        <v>72</v>
      </c>
      <c r="K18" s="27">
        <v>222</v>
      </c>
      <c r="L18" s="27" t="s">
        <v>5</v>
      </c>
      <c r="M18" s="27">
        <v>1169652</v>
      </c>
      <c r="N18" s="27" t="s">
        <v>397</v>
      </c>
    </row>
    <row r="19" spans="3:14" x14ac:dyDescent="0.35">
      <c r="C19" s="103" t="s">
        <v>63</v>
      </c>
      <c r="D19" s="109">
        <v>-595.6</v>
      </c>
      <c r="E19" s="103" t="s">
        <v>387</v>
      </c>
      <c r="F19" s="103">
        <v>45035910000</v>
      </c>
      <c r="G19" s="103" t="s">
        <v>398</v>
      </c>
      <c r="J19" s="27" t="s">
        <v>72</v>
      </c>
      <c r="K19" s="27">
        <v>223</v>
      </c>
      <c r="L19" s="27" t="s">
        <v>5</v>
      </c>
      <c r="M19" s="27">
        <v>1169651</v>
      </c>
      <c r="N19" s="27" t="s">
        <v>399</v>
      </c>
    </row>
    <row r="20" spans="3:14" x14ac:dyDescent="0.35">
      <c r="C20" s="103" t="s">
        <v>55</v>
      </c>
      <c r="D20" s="109">
        <v>-1153.03</v>
      </c>
      <c r="E20" s="103" t="s">
        <v>282</v>
      </c>
      <c r="F20" s="103">
        <v>19204750000</v>
      </c>
      <c r="G20" s="103" t="s">
        <v>400</v>
      </c>
      <c r="J20" s="27" t="s">
        <v>89</v>
      </c>
      <c r="K20" s="27">
        <v>166</v>
      </c>
      <c r="L20" s="27" t="s">
        <v>5</v>
      </c>
      <c r="M20" s="27">
        <v>1363386</v>
      </c>
      <c r="N20" s="27" t="s">
        <v>401</v>
      </c>
    </row>
    <row r="21" spans="3:14" x14ac:dyDescent="0.35">
      <c r="C21" s="103" t="s">
        <v>77</v>
      </c>
      <c r="D21" s="103">
        <v>-80.8</v>
      </c>
      <c r="E21" s="103" t="s">
        <v>282</v>
      </c>
      <c r="F21" s="103">
        <v>85429450000</v>
      </c>
      <c r="G21" s="103" t="s">
        <v>402</v>
      </c>
      <c r="J21" s="27"/>
      <c r="K21" s="27"/>
      <c r="L21" s="27"/>
      <c r="M21" s="27"/>
      <c r="N21" s="27"/>
    </row>
    <row r="22" spans="3:14" x14ac:dyDescent="0.35">
      <c r="C22" s="103" t="s">
        <v>77</v>
      </c>
      <c r="D22" s="103">
        <v>-419.9</v>
      </c>
      <c r="E22" s="103" t="s">
        <v>282</v>
      </c>
      <c r="F22" s="103">
        <v>85429460000</v>
      </c>
      <c r="G22" s="103" t="s">
        <v>403</v>
      </c>
      <c r="J22" s="27"/>
      <c r="K22" s="27"/>
      <c r="L22" s="27"/>
      <c r="M22" s="27"/>
      <c r="N22" s="27"/>
    </row>
    <row r="23" spans="3:14" x14ac:dyDescent="0.35">
      <c r="C23" s="103" t="s">
        <v>77</v>
      </c>
      <c r="D23" s="103">
        <v>-429</v>
      </c>
      <c r="E23" s="103" t="s">
        <v>282</v>
      </c>
      <c r="F23" s="103">
        <v>85429440000</v>
      </c>
      <c r="G23" s="103" t="s">
        <v>404</v>
      </c>
      <c r="J23" s="27"/>
      <c r="K23" s="27"/>
      <c r="L23" s="27"/>
      <c r="M23" s="27"/>
      <c r="N23" s="27"/>
    </row>
    <row r="24" spans="3:14" x14ac:dyDescent="0.35">
      <c r="C24" s="103"/>
      <c r="D24" s="103"/>
      <c r="E24" s="103"/>
      <c r="F24" s="103"/>
      <c r="G24" s="103"/>
      <c r="J24" s="27"/>
      <c r="K24" s="27"/>
      <c r="L24" s="27"/>
      <c r="M24" s="27"/>
      <c r="N24" s="27"/>
    </row>
    <row r="25" spans="3:14" x14ac:dyDescent="0.35">
      <c r="C25" s="103"/>
      <c r="D25" s="103"/>
      <c r="E25" s="103"/>
      <c r="F25" s="103"/>
      <c r="G25" s="103"/>
      <c r="J25" s="27"/>
      <c r="K25" s="27"/>
      <c r="L25" s="27"/>
      <c r="M25" s="27"/>
      <c r="N25" s="27"/>
    </row>
    <row r="26" spans="3:14" x14ac:dyDescent="0.35">
      <c r="C26" s="103"/>
      <c r="D26" s="103"/>
      <c r="E26" s="103"/>
      <c r="F26" s="103"/>
      <c r="G26" s="103"/>
      <c r="J26" s="27"/>
      <c r="K26" s="27"/>
      <c r="L26" s="27"/>
      <c r="M26" s="27"/>
      <c r="N26" s="27"/>
    </row>
    <row r="27" spans="3:14" x14ac:dyDescent="0.35">
      <c r="C27" s="103"/>
      <c r="D27" s="103"/>
      <c r="E27" s="103"/>
      <c r="F27" s="103"/>
      <c r="G27" s="103"/>
      <c r="J27" s="27"/>
      <c r="K27" s="27"/>
      <c r="L27" s="27"/>
      <c r="M27" s="27"/>
      <c r="N27" s="27"/>
    </row>
    <row r="28" spans="3:14" x14ac:dyDescent="0.35">
      <c r="C28" s="103"/>
      <c r="D28" s="103"/>
      <c r="E28" s="103"/>
      <c r="F28" s="103"/>
      <c r="G28" s="103"/>
      <c r="J28" s="27"/>
      <c r="K28" s="27"/>
      <c r="L28" s="27"/>
      <c r="M28" s="27"/>
      <c r="N28" s="27"/>
    </row>
    <row r="29" spans="3:14" x14ac:dyDescent="0.35">
      <c r="C29" s="103"/>
      <c r="D29" s="103"/>
      <c r="E29" s="103"/>
      <c r="F29" s="103"/>
      <c r="G29" s="103"/>
      <c r="J29" s="27"/>
      <c r="K29" s="27"/>
      <c r="L29" s="27"/>
      <c r="M29" s="27"/>
      <c r="N29" s="27"/>
    </row>
    <row r="30" spans="3:14" x14ac:dyDescent="0.35">
      <c r="C30" s="103"/>
      <c r="D30" s="103"/>
      <c r="E30" s="103"/>
      <c r="F30" s="103"/>
      <c r="G30" s="103"/>
      <c r="J30" s="27"/>
      <c r="K30" s="27"/>
      <c r="L30" s="27"/>
      <c r="M30" s="27"/>
      <c r="N30" s="27"/>
    </row>
    <row r="31" spans="3:14" x14ac:dyDescent="0.35">
      <c r="C31" s="103"/>
      <c r="D31" s="103"/>
      <c r="E31" s="103"/>
      <c r="F31" s="103"/>
      <c r="G31" s="103"/>
      <c r="J31" s="27"/>
      <c r="K31" s="27"/>
      <c r="L31" s="27"/>
      <c r="M31" s="27"/>
      <c r="N31" s="27"/>
    </row>
    <row r="32" spans="3:14" x14ac:dyDescent="0.35">
      <c r="C32" s="103"/>
      <c r="D32" s="103"/>
      <c r="E32" s="103"/>
      <c r="F32" s="103"/>
      <c r="G32" s="103"/>
      <c r="J32" s="27"/>
      <c r="K32" s="27"/>
      <c r="L32" s="27"/>
      <c r="M32" s="27"/>
      <c r="N32" s="27"/>
    </row>
    <row r="33" spans="3:14" x14ac:dyDescent="0.35">
      <c r="C33" s="103"/>
      <c r="D33" s="103"/>
      <c r="E33" s="103"/>
      <c r="F33" s="103"/>
      <c r="G33" s="103"/>
      <c r="J33" s="27"/>
      <c r="K33" s="27"/>
      <c r="L33" s="27"/>
      <c r="M33" s="27"/>
      <c r="N33" s="27"/>
    </row>
    <row r="34" spans="3:14" x14ac:dyDescent="0.35">
      <c r="C34" s="103"/>
      <c r="D34" s="103"/>
      <c r="E34" s="103"/>
      <c r="F34" s="103"/>
      <c r="G34" s="103"/>
      <c r="J34" s="27"/>
      <c r="K34" s="27"/>
      <c r="L34" s="27"/>
      <c r="M34" s="27"/>
      <c r="N34" s="27"/>
    </row>
    <row r="35" spans="3:14" x14ac:dyDescent="0.35">
      <c r="C35" s="103"/>
      <c r="D35" s="103"/>
      <c r="E35" s="103"/>
      <c r="F35" s="103"/>
      <c r="G35" s="103"/>
      <c r="J35" s="27"/>
      <c r="K35" s="27"/>
      <c r="L35" s="27"/>
      <c r="M35" s="27"/>
      <c r="N35" s="27"/>
    </row>
    <row r="36" spans="3:14" x14ac:dyDescent="0.35">
      <c r="C36" s="103"/>
      <c r="D36" s="103"/>
      <c r="E36" s="103"/>
      <c r="F36" s="103"/>
      <c r="G36" s="103"/>
      <c r="J36" s="27"/>
      <c r="K36" s="27"/>
      <c r="L36" s="27"/>
      <c r="M36" s="27"/>
      <c r="N36" s="27"/>
    </row>
    <row r="37" spans="3:14" x14ac:dyDescent="0.35">
      <c r="C37" s="103"/>
      <c r="D37" s="103"/>
      <c r="E37" s="103"/>
      <c r="F37" s="103"/>
      <c r="G37" s="103"/>
      <c r="J37" s="27"/>
      <c r="K37" s="27"/>
      <c r="L37" s="27"/>
      <c r="M37" s="27"/>
      <c r="N37" s="27"/>
    </row>
    <row r="38" spans="3:14" x14ac:dyDescent="0.35">
      <c r="C38" s="103"/>
      <c r="D38" s="103"/>
      <c r="E38" s="103"/>
      <c r="F38" s="103"/>
      <c r="G38" s="103"/>
      <c r="J38" s="27"/>
      <c r="K38" s="27"/>
      <c r="L38" s="27"/>
      <c r="M38" s="27"/>
      <c r="N38" s="27"/>
    </row>
    <row r="39" spans="3:14" x14ac:dyDescent="0.35">
      <c r="C39" s="103"/>
      <c r="D39" s="103"/>
      <c r="E39" s="103"/>
      <c r="F39" s="103"/>
      <c r="G39" s="103"/>
      <c r="J39" s="27"/>
      <c r="K39" s="27"/>
      <c r="L39" s="27"/>
      <c r="M39" s="27"/>
      <c r="N39" s="27"/>
    </row>
    <row r="40" spans="3:14" x14ac:dyDescent="0.35">
      <c r="C40" s="103"/>
      <c r="D40" s="103"/>
      <c r="E40" s="103"/>
      <c r="F40" s="103"/>
      <c r="G40" s="103"/>
      <c r="J40" s="27"/>
      <c r="K40" s="27"/>
      <c r="L40" s="27"/>
      <c r="M40" s="27"/>
      <c r="N40" s="27"/>
    </row>
    <row r="41" spans="3:14" x14ac:dyDescent="0.35">
      <c r="C41" s="103"/>
      <c r="D41" s="103"/>
      <c r="E41" s="103"/>
      <c r="F41" s="103"/>
      <c r="G41" s="103"/>
      <c r="J41" s="27"/>
      <c r="K41" s="27"/>
      <c r="L41" s="27"/>
      <c r="M41" s="27"/>
      <c r="N41" s="27"/>
    </row>
    <row r="42" spans="3:14" x14ac:dyDescent="0.35">
      <c r="C42" s="103"/>
      <c r="D42" s="103"/>
      <c r="E42" s="103"/>
      <c r="F42" s="103"/>
      <c r="G42" s="103"/>
      <c r="J42" s="27"/>
      <c r="K42" s="27"/>
      <c r="L42" s="27"/>
      <c r="M42" s="27"/>
      <c r="N42" s="27"/>
    </row>
    <row r="43" spans="3:14" x14ac:dyDescent="0.35">
      <c r="C43" s="103"/>
      <c r="D43" s="103"/>
      <c r="E43" s="103"/>
      <c r="F43" s="103"/>
      <c r="G43" s="103"/>
      <c r="J43" s="27"/>
      <c r="K43" s="27"/>
      <c r="L43" s="27"/>
      <c r="M43" s="27"/>
      <c r="N43" s="27"/>
    </row>
    <row r="44" spans="3:14" x14ac:dyDescent="0.35">
      <c r="C44" s="103"/>
      <c r="D44" s="103"/>
      <c r="E44" s="103"/>
      <c r="F44" s="103"/>
      <c r="G44" s="103"/>
      <c r="J44" s="27"/>
      <c r="K44" s="27"/>
      <c r="L44" s="27"/>
      <c r="M44" s="27"/>
      <c r="N44" s="27"/>
    </row>
    <row r="45" spans="3:14" x14ac:dyDescent="0.35">
      <c r="C45" s="103"/>
      <c r="D45" s="103"/>
      <c r="E45" s="103"/>
      <c r="F45" s="103"/>
      <c r="G45" s="103"/>
      <c r="J45" s="27"/>
      <c r="K45" s="27"/>
      <c r="L45" s="27"/>
      <c r="M45" s="27"/>
      <c r="N45" s="27"/>
    </row>
    <row r="46" spans="3:14" x14ac:dyDescent="0.35">
      <c r="C46" s="103"/>
      <c r="D46" s="103"/>
      <c r="E46" s="103"/>
      <c r="F46" s="103"/>
      <c r="G46" s="103"/>
      <c r="J46" s="27"/>
      <c r="K46" s="27"/>
      <c r="L46" s="27"/>
      <c r="M46" s="27"/>
      <c r="N46" s="27"/>
    </row>
    <row r="47" spans="3:14" x14ac:dyDescent="0.35">
      <c r="C47" s="103"/>
      <c r="D47" s="103"/>
      <c r="E47" s="103"/>
      <c r="F47" s="103"/>
      <c r="G47" s="103"/>
      <c r="J47" s="27"/>
      <c r="K47" s="27"/>
      <c r="L47" s="27"/>
      <c r="M47" s="27"/>
      <c r="N47" s="27"/>
    </row>
    <row r="48" spans="3:14" x14ac:dyDescent="0.35">
      <c r="C48" s="103"/>
      <c r="D48" s="103"/>
      <c r="E48" s="103"/>
      <c r="F48" s="103"/>
      <c r="G48" s="103"/>
      <c r="J48" s="27"/>
      <c r="K48" s="27"/>
      <c r="L48" s="27"/>
      <c r="M48" s="27"/>
      <c r="N48" s="27"/>
    </row>
    <row r="49" spans="3:14" x14ac:dyDescent="0.35">
      <c r="C49" s="103"/>
      <c r="D49" s="103"/>
      <c r="E49" s="103"/>
      <c r="F49" s="103"/>
      <c r="G49" s="103"/>
      <c r="J49" s="27"/>
      <c r="K49" s="27"/>
      <c r="L49" s="27"/>
      <c r="M49" s="27"/>
      <c r="N49" s="27"/>
    </row>
    <row r="50" spans="3:14" x14ac:dyDescent="0.35">
      <c r="C50" s="103"/>
      <c r="D50" s="103"/>
      <c r="E50" s="103"/>
      <c r="F50" s="103"/>
      <c r="G50" s="103"/>
      <c r="J50" s="27"/>
      <c r="K50" s="27"/>
      <c r="L50" s="27"/>
      <c r="M50" s="27"/>
      <c r="N50" s="27"/>
    </row>
    <row r="51" spans="3:14" x14ac:dyDescent="0.35">
      <c r="C51" s="103"/>
      <c r="D51" s="103"/>
      <c r="E51" s="103"/>
      <c r="F51" s="103"/>
      <c r="G51" s="103"/>
      <c r="J51" s="27"/>
      <c r="K51" s="27"/>
      <c r="L51" s="27"/>
      <c r="M51" s="27"/>
      <c r="N51" s="27"/>
    </row>
    <row r="52" spans="3:14" x14ac:dyDescent="0.35">
      <c r="C52" s="103"/>
      <c r="D52" s="103"/>
      <c r="E52" s="103"/>
      <c r="F52" s="103"/>
      <c r="G52" s="103"/>
      <c r="J52" s="27"/>
      <c r="K52" s="27"/>
      <c r="L52" s="27"/>
      <c r="M52" s="27"/>
      <c r="N52" s="27"/>
    </row>
    <row r="53" spans="3:14" x14ac:dyDescent="0.35">
      <c r="C53" s="103"/>
      <c r="D53" s="103"/>
      <c r="E53" s="103"/>
      <c r="F53" s="103"/>
      <c r="G53" s="103"/>
      <c r="J53" s="27"/>
      <c r="K53" s="27"/>
      <c r="L53" s="27"/>
      <c r="M53" s="27"/>
      <c r="N53" s="27"/>
    </row>
    <row r="54" spans="3:14" x14ac:dyDescent="0.35">
      <c r="C54" s="103"/>
      <c r="D54" s="103"/>
      <c r="E54" s="103"/>
      <c r="F54" s="103"/>
      <c r="G54" s="103"/>
      <c r="J54" s="27"/>
      <c r="K54" s="27"/>
      <c r="L54" s="27"/>
      <c r="M54" s="27"/>
      <c r="N54" s="27"/>
    </row>
    <row r="55" spans="3:14" x14ac:dyDescent="0.35">
      <c r="C55" s="103"/>
      <c r="D55" s="103"/>
      <c r="E55" s="103"/>
      <c r="F55" s="103"/>
      <c r="G55" s="103"/>
      <c r="J55" s="27"/>
      <c r="K55" s="27"/>
      <c r="L55" s="27"/>
      <c r="M55" s="27"/>
      <c r="N55" s="27"/>
    </row>
    <row r="56" spans="3:14" x14ac:dyDescent="0.35">
      <c r="C56" s="103"/>
      <c r="D56" s="103"/>
      <c r="E56" s="103"/>
      <c r="F56" s="103"/>
      <c r="G56" s="103"/>
      <c r="J56" s="27"/>
      <c r="K56" s="27"/>
      <c r="L56" s="27"/>
      <c r="M56" s="27"/>
      <c r="N56" s="27"/>
    </row>
    <row r="57" spans="3:14" x14ac:dyDescent="0.35">
      <c r="C57" s="103"/>
      <c r="D57" s="103"/>
      <c r="E57" s="103"/>
      <c r="F57" s="103"/>
      <c r="G57" s="103"/>
      <c r="J57" s="27"/>
      <c r="K57" s="27"/>
      <c r="L57" s="27"/>
      <c r="M57" s="27"/>
      <c r="N57" s="27"/>
    </row>
    <row r="58" spans="3:14" x14ac:dyDescent="0.35">
      <c r="C58" s="103"/>
      <c r="D58" s="103"/>
      <c r="E58" s="103"/>
      <c r="F58" s="103"/>
      <c r="G58" s="103"/>
      <c r="J58" s="27"/>
      <c r="K58" s="27"/>
      <c r="L58" s="27"/>
      <c r="M58" s="27"/>
      <c r="N58" s="27"/>
    </row>
    <row r="59" spans="3:14" x14ac:dyDescent="0.35">
      <c r="C59" s="103"/>
      <c r="D59" s="103"/>
      <c r="E59" s="103"/>
      <c r="F59" s="103"/>
      <c r="G59" s="103"/>
      <c r="J59" s="27"/>
      <c r="K59" s="27"/>
      <c r="L59" s="27"/>
      <c r="M59" s="27"/>
      <c r="N59" s="27"/>
    </row>
    <row r="60" spans="3:14" x14ac:dyDescent="0.35">
      <c r="C60" s="103"/>
      <c r="D60" s="103"/>
      <c r="E60" s="103"/>
      <c r="F60" s="103"/>
      <c r="G60" s="103"/>
      <c r="J60" s="27"/>
      <c r="K60" s="27"/>
      <c r="L60" s="27"/>
      <c r="M60" s="27"/>
      <c r="N60" s="27"/>
    </row>
    <row r="61" spans="3:14" x14ac:dyDescent="0.35">
      <c r="C61" s="103"/>
      <c r="D61" s="103"/>
      <c r="E61" s="103"/>
      <c r="F61" s="103"/>
      <c r="G61" s="103"/>
      <c r="J61" s="27"/>
      <c r="K61" s="27"/>
      <c r="L61" s="27"/>
      <c r="M61" s="27"/>
      <c r="N61" s="27"/>
    </row>
    <row r="62" spans="3:14" x14ac:dyDescent="0.35">
      <c r="C62" s="103"/>
      <c r="D62" s="103"/>
      <c r="E62" s="103"/>
      <c r="F62" s="103"/>
      <c r="G62" s="103"/>
      <c r="J62" s="27"/>
      <c r="K62" s="27"/>
      <c r="L62" s="27"/>
      <c r="M62" s="27"/>
      <c r="N62" s="27"/>
    </row>
    <row r="63" spans="3:14" x14ac:dyDescent="0.35">
      <c r="C63" s="103"/>
      <c r="D63" s="103"/>
      <c r="E63" s="103"/>
      <c r="F63" s="103"/>
      <c r="G63" s="103"/>
      <c r="J63" s="27"/>
      <c r="K63" s="27"/>
      <c r="L63" s="27"/>
      <c r="M63" s="27"/>
      <c r="N63" s="27"/>
    </row>
    <row r="64" spans="3:14" x14ac:dyDescent="0.35">
      <c r="C64" s="103"/>
      <c r="D64" s="103"/>
      <c r="E64" s="103"/>
      <c r="F64" s="103"/>
      <c r="G64" s="103"/>
      <c r="J64" s="27"/>
      <c r="K64" s="27"/>
      <c r="L64" s="27"/>
      <c r="M64" s="27"/>
      <c r="N64" s="27"/>
    </row>
    <row r="65" spans="3:14" x14ac:dyDescent="0.35">
      <c r="C65" s="103"/>
      <c r="D65" s="103"/>
      <c r="E65" s="103"/>
      <c r="F65" s="103"/>
      <c r="G65" s="103"/>
      <c r="J65" s="27"/>
      <c r="K65" s="27"/>
      <c r="L65" s="27"/>
      <c r="M65" s="27"/>
      <c r="N65" s="27"/>
    </row>
    <row r="66" spans="3:14" x14ac:dyDescent="0.35">
      <c r="C66" s="103"/>
      <c r="D66" s="103"/>
      <c r="E66" s="103"/>
      <c r="F66" s="103"/>
      <c r="G66" s="103"/>
      <c r="J66" s="27"/>
      <c r="K66" s="27"/>
      <c r="L66" s="27"/>
      <c r="M66" s="27"/>
      <c r="N66" s="27"/>
    </row>
    <row r="67" spans="3:14" x14ac:dyDescent="0.35">
      <c r="C67" s="103"/>
      <c r="D67" s="103"/>
      <c r="E67" s="103"/>
      <c r="F67" s="103"/>
      <c r="G67" s="103"/>
      <c r="J67" s="27"/>
      <c r="K67" s="27"/>
      <c r="L67" s="27"/>
      <c r="M67" s="27"/>
      <c r="N67" s="27"/>
    </row>
    <row r="68" spans="3:14" x14ac:dyDescent="0.35">
      <c r="C68" s="103"/>
      <c r="D68" s="103"/>
      <c r="E68" s="103"/>
      <c r="F68" s="103"/>
      <c r="G68" s="103"/>
      <c r="J68" s="27"/>
      <c r="K68" s="27"/>
      <c r="L68" s="27"/>
      <c r="M68" s="27"/>
      <c r="N68" s="27"/>
    </row>
    <row r="69" spans="3:14" x14ac:dyDescent="0.35">
      <c r="C69" s="103"/>
      <c r="D69" s="103"/>
      <c r="E69" s="103"/>
      <c r="F69" s="103"/>
      <c r="G69" s="103"/>
      <c r="J69" s="27"/>
      <c r="K69" s="27"/>
      <c r="L69" s="27"/>
      <c r="M69" s="27"/>
      <c r="N69" s="27"/>
    </row>
    <row r="70" spans="3:14" x14ac:dyDescent="0.35">
      <c r="C70" s="103"/>
      <c r="D70" s="103"/>
      <c r="E70" s="103"/>
      <c r="F70" s="103"/>
      <c r="G70" s="103"/>
      <c r="J70" s="27"/>
      <c r="K70" s="27"/>
      <c r="L70" s="27"/>
      <c r="M70" s="27"/>
      <c r="N70" s="27"/>
    </row>
    <row r="71" spans="3:14" x14ac:dyDescent="0.35">
      <c r="C71" s="103"/>
      <c r="D71" s="103"/>
      <c r="E71" s="103"/>
      <c r="F71" s="103"/>
      <c r="G71" s="103"/>
      <c r="J71" s="27"/>
      <c r="K71" s="27"/>
      <c r="L71" s="27"/>
      <c r="M71" s="27"/>
      <c r="N71" s="27"/>
    </row>
    <row r="72" spans="3:14" x14ac:dyDescent="0.35">
      <c r="C72" s="103"/>
      <c r="D72" s="103"/>
      <c r="E72" s="103"/>
      <c r="F72" s="103"/>
      <c r="G72" s="103"/>
      <c r="J72" s="27"/>
      <c r="K72" s="27"/>
      <c r="L72" s="27"/>
      <c r="M72" s="27"/>
      <c r="N72" s="27"/>
    </row>
    <row r="73" spans="3:14" x14ac:dyDescent="0.35">
      <c r="C73" s="103"/>
      <c r="D73" s="103"/>
      <c r="E73" s="103"/>
      <c r="F73" s="103"/>
      <c r="G73" s="103"/>
      <c r="J73" s="27"/>
      <c r="K73" s="27"/>
      <c r="L73" s="27"/>
      <c r="M73" s="27"/>
      <c r="N73" s="27"/>
    </row>
    <row r="74" spans="3:14" x14ac:dyDescent="0.35">
      <c r="C74" s="103"/>
      <c r="D74" s="103"/>
      <c r="E74" s="103"/>
      <c r="F74" s="103"/>
      <c r="G74" s="103"/>
      <c r="J74" s="27"/>
      <c r="K74" s="27"/>
      <c r="L74" s="27"/>
      <c r="M74" s="27"/>
      <c r="N74" s="27"/>
    </row>
    <row r="75" spans="3:14" x14ac:dyDescent="0.35">
      <c r="C75" s="103"/>
      <c r="D75" s="103"/>
      <c r="E75" s="103"/>
      <c r="F75" s="103"/>
      <c r="G75" s="103"/>
      <c r="J75" s="27"/>
      <c r="K75" s="27"/>
      <c r="L75" s="27"/>
      <c r="M75" s="27"/>
      <c r="N75" s="27"/>
    </row>
    <row r="76" spans="3:14" x14ac:dyDescent="0.35">
      <c r="C76" s="103"/>
      <c r="D76" s="103"/>
      <c r="E76" s="103"/>
      <c r="F76" s="103"/>
      <c r="G76" s="103"/>
      <c r="J76" s="27"/>
      <c r="K76" s="27"/>
      <c r="L76" s="27"/>
      <c r="M76" s="27"/>
      <c r="N76" s="27"/>
    </row>
    <row r="77" spans="3:14" x14ac:dyDescent="0.35">
      <c r="C77" s="103"/>
      <c r="D77" s="103"/>
      <c r="E77" s="103"/>
      <c r="F77" s="103"/>
      <c r="G77" s="103"/>
      <c r="J77" s="27"/>
      <c r="K77" s="27"/>
      <c r="L77" s="27"/>
      <c r="M77" s="27"/>
      <c r="N77" s="27"/>
    </row>
    <row r="78" spans="3:14" x14ac:dyDescent="0.35">
      <c r="C78" s="103"/>
      <c r="D78" s="103"/>
      <c r="E78" s="103"/>
      <c r="F78" s="103"/>
      <c r="G78" s="103"/>
      <c r="J78" s="27"/>
      <c r="K78" s="27"/>
      <c r="L78" s="27"/>
      <c r="M78" s="27"/>
      <c r="N78" s="27"/>
    </row>
    <row r="79" spans="3:14" x14ac:dyDescent="0.35">
      <c r="C79" s="103"/>
      <c r="D79" s="103"/>
      <c r="E79" s="103"/>
      <c r="F79" s="103"/>
      <c r="G79" s="103"/>
      <c r="J79" s="27"/>
      <c r="K79" s="27"/>
      <c r="L79" s="27"/>
      <c r="M79" s="27"/>
      <c r="N79" s="27"/>
    </row>
    <row r="80" spans="3:14" x14ac:dyDescent="0.35">
      <c r="C80" s="103"/>
      <c r="D80" s="103"/>
      <c r="E80" s="103"/>
      <c r="F80" s="103"/>
      <c r="G80" s="103"/>
      <c r="J80" s="27"/>
      <c r="K80" s="27"/>
      <c r="L80" s="27"/>
      <c r="M80" s="27"/>
      <c r="N80" s="27"/>
    </row>
    <row r="81" spans="3:14" x14ac:dyDescent="0.35">
      <c r="C81" s="103"/>
      <c r="D81" s="103"/>
      <c r="E81" s="103"/>
      <c r="F81" s="103"/>
      <c r="G81" s="103"/>
      <c r="J81" s="27"/>
      <c r="K81" s="27"/>
      <c r="L81" s="27"/>
      <c r="M81" s="27"/>
      <c r="N81" s="27"/>
    </row>
    <row r="82" spans="3:14" x14ac:dyDescent="0.35">
      <c r="C82" s="103"/>
      <c r="D82" s="103"/>
      <c r="E82" s="103"/>
      <c r="F82" s="103"/>
      <c r="G82" s="103"/>
      <c r="J82" s="27"/>
      <c r="K82" s="27"/>
      <c r="L82" s="27"/>
      <c r="M82" s="27"/>
      <c r="N82" s="27"/>
    </row>
    <row r="83" spans="3:14" x14ac:dyDescent="0.35">
      <c r="C83" s="103"/>
      <c r="D83" s="103"/>
      <c r="E83" s="103"/>
      <c r="F83" s="103"/>
      <c r="G83" s="103"/>
      <c r="J83" s="27"/>
      <c r="K83" s="27"/>
      <c r="L83" s="27"/>
      <c r="M83" s="27"/>
      <c r="N83" s="27"/>
    </row>
    <row r="84" spans="3:14" x14ac:dyDescent="0.35">
      <c r="C84" s="103"/>
      <c r="D84" s="103"/>
      <c r="E84" s="103"/>
      <c r="F84" s="103"/>
      <c r="G84" s="103"/>
      <c r="J84" s="27"/>
      <c r="K84" s="27"/>
      <c r="L84" s="27"/>
      <c r="M84" s="27"/>
      <c r="N84" s="27"/>
    </row>
    <row r="85" spans="3:14" x14ac:dyDescent="0.35">
      <c r="C85" s="103"/>
      <c r="D85" s="103"/>
      <c r="E85" s="103"/>
      <c r="F85" s="103"/>
      <c r="G85" s="103"/>
      <c r="J85" s="27"/>
      <c r="K85" s="27"/>
      <c r="L85" s="27"/>
      <c r="M85" s="27"/>
      <c r="N85" s="27"/>
    </row>
    <row r="86" spans="3:14" x14ac:dyDescent="0.35">
      <c r="C86" s="103"/>
      <c r="D86" s="103"/>
      <c r="E86" s="103"/>
      <c r="F86" s="103"/>
      <c r="G86" s="103"/>
      <c r="J86" s="27"/>
      <c r="K86" s="27"/>
      <c r="L86" s="27"/>
      <c r="M86" s="27"/>
      <c r="N86" s="27"/>
    </row>
    <row r="87" spans="3:14" x14ac:dyDescent="0.35">
      <c r="C87" s="103"/>
      <c r="D87" s="103"/>
      <c r="E87" s="103"/>
      <c r="F87" s="103"/>
      <c r="G87" s="103"/>
      <c r="J87" s="27"/>
      <c r="K87" s="27"/>
      <c r="L87" s="27"/>
      <c r="M87" s="27"/>
      <c r="N87" s="27"/>
    </row>
    <row r="88" spans="3:14" x14ac:dyDescent="0.35">
      <c r="C88" s="103"/>
      <c r="D88" s="103"/>
      <c r="E88" s="103"/>
      <c r="F88" s="103"/>
      <c r="G88" s="103"/>
      <c r="J88" s="27"/>
      <c r="K88" s="27"/>
      <c r="L88" s="27"/>
      <c r="M88" s="27"/>
      <c r="N88" s="27"/>
    </row>
    <row r="89" spans="3:14" x14ac:dyDescent="0.35">
      <c r="C89" s="103"/>
      <c r="D89" s="103"/>
      <c r="E89" s="103"/>
      <c r="F89" s="103"/>
      <c r="G89" s="103"/>
      <c r="J89" s="27"/>
      <c r="K89" s="27"/>
      <c r="L89" s="27"/>
      <c r="M89" s="27"/>
      <c r="N89" s="27"/>
    </row>
    <row r="90" spans="3:14" x14ac:dyDescent="0.35">
      <c r="C90" s="103"/>
      <c r="D90" s="103"/>
      <c r="E90" s="103"/>
      <c r="F90" s="103"/>
      <c r="G90" s="103"/>
      <c r="J90" s="27"/>
      <c r="K90" s="27"/>
      <c r="L90" s="27"/>
      <c r="M90" s="27"/>
      <c r="N90" s="2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3:N90"/>
  <sheetViews>
    <sheetView topLeftCell="A5" zoomScale="45" zoomScaleNormal="57" workbookViewId="0">
      <selection activeCell="D5" sqref="D5"/>
    </sheetView>
  </sheetViews>
  <sheetFormatPr defaultColWidth="8.7265625" defaultRowHeight="14.5" x14ac:dyDescent="0.35"/>
  <cols>
    <col min="2" max="2" width="15.81640625" customWidth="1"/>
    <col min="5" max="5" width="16.453125" customWidth="1"/>
  </cols>
  <sheetData>
    <row r="3" spans="3:14" x14ac:dyDescent="0.35">
      <c r="C3" s="105" t="s">
        <v>330</v>
      </c>
      <c r="D3" s="94"/>
    </row>
    <row r="4" spans="3:14" x14ac:dyDescent="0.35">
      <c r="C4" s="103" t="s">
        <v>331</v>
      </c>
      <c r="D4" s="103">
        <f>SUM(K13:K30)</f>
        <v>0</v>
      </c>
    </row>
    <row r="5" spans="3:14" x14ac:dyDescent="0.35">
      <c r="C5" s="27" t="s">
        <v>10</v>
      </c>
      <c r="D5" s="27">
        <f>SUM(D13:D32)</f>
        <v>261</v>
      </c>
    </row>
    <row r="6" spans="3:14" x14ac:dyDescent="0.35">
      <c r="C6" s="41" t="s">
        <v>1</v>
      </c>
      <c r="D6" s="41">
        <f>D4+D5</f>
        <v>261</v>
      </c>
    </row>
    <row r="11" spans="3:14" ht="39.5" customHeight="1" x14ac:dyDescent="0.9">
      <c r="C11" s="107" t="s">
        <v>10</v>
      </c>
    </row>
    <row r="12" spans="3:14" x14ac:dyDescent="0.35">
      <c r="C12" s="8" t="s">
        <v>14</v>
      </c>
      <c r="D12" s="8" t="s">
        <v>15</v>
      </c>
      <c r="E12" s="8" t="s">
        <v>16</v>
      </c>
      <c r="F12" s="8" t="s">
        <v>17</v>
      </c>
      <c r="G12" s="8" t="s">
        <v>18</v>
      </c>
      <c r="J12" t="s">
        <v>14</v>
      </c>
      <c r="K12" t="s">
        <v>31</v>
      </c>
      <c r="L12" t="s">
        <v>16</v>
      </c>
      <c r="M12" t="s">
        <v>17</v>
      </c>
      <c r="N12" t="s">
        <v>18</v>
      </c>
    </row>
    <row r="13" spans="3:14" x14ac:dyDescent="0.35">
      <c r="C13" s="27" t="s">
        <v>33</v>
      </c>
      <c r="D13" s="27">
        <v>28</v>
      </c>
      <c r="E13" s="27" t="s">
        <v>5</v>
      </c>
      <c r="F13" s="27">
        <v>533860</v>
      </c>
      <c r="G13" s="27" t="s">
        <v>405</v>
      </c>
    </row>
    <row r="14" spans="3:14" x14ac:dyDescent="0.35">
      <c r="C14" s="27" t="s">
        <v>106</v>
      </c>
      <c r="D14" s="27">
        <v>89</v>
      </c>
      <c r="E14" s="27" t="s">
        <v>5</v>
      </c>
      <c r="F14" s="27">
        <v>905464</v>
      </c>
      <c r="G14" s="27" t="s">
        <v>406</v>
      </c>
    </row>
    <row r="15" spans="3:14" x14ac:dyDescent="0.35">
      <c r="C15" s="27" t="s">
        <v>77</v>
      </c>
      <c r="D15" s="27">
        <v>144</v>
      </c>
      <c r="E15" s="27" t="s">
        <v>5</v>
      </c>
      <c r="F15" s="27">
        <v>242304</v>
      </c>
      <c r="G15" s="27" t="s">
        <v>407</v>
      </c>
    </row>
    <row r="16" spans="3:14" x14ac:dyDescent="0.35">
      <c r="C16" s="27"/>
      <c r="D16" s="27"/>
      <c r="E16" s="27"/>
      <c r="F16" s="27"/>
      <c r="G16" s="27"/>
    </row>
    <row r="17" spans="3:7" x14ac:dyDescent="0.35">
      <c r="C17" s="27"/>
      <c r="D17" s="27"/>
      <c r="E17" s="27"/>
      <c r="F17" s="27"/>
      <c r="G17" s="27"/>
    </row>
    <row r="18" spans="3:7" x14ac:dyDescent="0.35">
      <c r="C18" s="27"/>
      <c r="D18" s="27"/>
      <c r="E18" s="27"/>
      <c r="F18" s="27"/>
      <c r="G18" s="27"/>
    </row>
    <row r="19" spans="3:7" x14ac:dyDescent="0.35">
      <c r="C19" s="27"/>
      <c r="D19" s="27"/>
      <c r="E19" s="27"/>
      <c r="F19" s="27"/>
      <c r="G19" s="27"/>
    </row>
    <row r="20" spans="3:7" x14ac:dyDescent="0.35">
      <c r="C20" s="27"/>
      <c r="D20" s="27"/>
      <c r="E20" s="27"/>
      <c r="F20" s="27"/>
      <c r="G20" s="27"/>
    </row>
    <row r="21" spans="3:7" x14ac:dyDescent="0.35">
      <c r="C21" s="27"/>
      <c r="D21" s="27"/>
      <c r="E21" s="27"/>
      <c r="F21" s="27"/>
      <c r="G21" s="27"/>
    </row>
    <row r="22" spans="3:7" x14ac:dyDescent="0.35">
      <c r="C22" s="27"/>
      <c r="D22" s="27"/>
      <c r="E22" s="27"/>
      <c r="F22" s="27"/>
      <c r="G22" s="27"/>
    </row>
    <row r="23" spans="3:7" x14ac:dyDescent="0.35">
      <c r="C23" s="27"/>
      <c r="D23" s="27"/>
      <c r="E23" s="27"/>
      <c r="F23" s="27"/>
      <c r="G23" s="27"/>
    </row>
    <row r="24" spans="3:7" x14ac:dyDescent="0.35">
      <c r="C24" s="27"/>
      <c r="D24" s="27"/>
      <c r="E24" s="27"/>
      <c r="F24" s="27"/>
      <c r="G24" s="27"/>
    </row>
    <row r="25" spans="3:7" x14ac:dyDescent="0.35">
      <c r="C25" s="27"/>
      <c r="D25" s="27"/>
      <c r="E25" s="27"/>
      <c r="F25" s="27"/>
      <c r="G25" s="27"/>
    </row>
    <row r="26" spans="3:7" x14ac:dyDescent="0.35">
      <c r="C26" s="27"/>
      <c r="D26" s="27"/>
      <c r="E26" s="27"/>
      <c r="F26" s="27"/>
      <c r="G26" s="27"/>
    </row>
    <row r="27" spans="3:7" x14ac:dyDescent="0.35">
      <c r="C27" s="27"/>
      <c r="D27" s="27"/>
      <c r="E27" s="27"/>
      <c r="F27" s="27"/>
      <c r="G27" s="27"/>
    </row>
    <row r="28" spans="3:7" x14ac:dyDescent="0.35">
      <c r="C28" s="27"/>
      <c r="D28" s="27"/>
      <c r="E28" s="27"/>
      <c r="F28" s="27"/>
      <c r="G28" s="27"/>
    </row>
    <row r="29" spans="3:7" x14ac:dyDescent="0.35">
      <c r="C29" s="27"/>
      <c r="D29" s="27"/>
      <c r="E29" s="27"/>
      <c r="F29" s="27"/>
      <c r="G29" s="27"/>
    </row>
    <row r="30" spans="3:7" x14ac:dyDescent="0.35">
      <c r="C30" s="27"/>
      <c r="D30" s="27"/>
      <c r="E30" s="27"/>
      <c r="F30" s="27"/>
      <c r="G30" s="27"/>
    </row>
    <row r="31" spans="3:7" x14ac:dyDescent="0.35">
      <c r="C31" s="27"/>
      <c r="D31" s="27"/>
      <c r="E31" s="27"/>
      <c r="F31" s="27"/>
      <c r="G31" s="27"/>
    </row>
    <row r="32" spans="3:7" x14ac:dyDescent="0.35">
      <c r="C32" s="27"/>
      <c r="D32" s="27"/>
      <c r="E32" s="27"/>
      <c r="F32" s="27"/>
      <c r="G32" s="27"/>
    </row>
    <row r="33" spans="3:7" x14ac:dyDescent="0.35">
      <c r="C33" s="27"/>
      <c r="D33" s="27"/>
      <c r="E33" s="27"/>
      <c r="F33" s="27"/>
      <c r="G33" s="27"/>
    </row>
    <row r="34" spans="3:7" x14ac:dyDescent="0.35">
      <c r="C34" s="27"/>
      <c r="D34" s="27"/>
      <c r="E34" s="27"/>
      <c r="F34" s="27"/>
      <c r="G34" s="27"/>
    </row>
    <row r="35" spans="3:7" x14ac:dyDescent="0.35">
      <c r="C35" s="27"/>
      <c r="D35" s="27"/>
      <c r="E35" s="27"/>
      <c r="F35" s="27"/>
      <c r="G35" s="27"/>
    </row>
    <row r="36" spans="3:7" x14ac:dyDescent="0.35">
      <c r="C36" s="27"/>
      <c r="D36" s="27"/>
      <c r="E36" s="27"/>
      <c r="F36" s="27"/>
      <c r="G36" s="27"/>
    </row>
    <row r="37" spans="3:7" x14ac:dyDescent="0.35">
      <c r="C37" s="27"/>
      <c r="D37" s="27"/>
      <c r="E37" s="27"/>
      <c r="F37" s="27"/>
      <c r="G37" s="27"/>
    </row>
    <row r="38" spans="3:7" x14ac:dyDescent="0.35">
      <c r="C38" s="27"/>
      <c r="D38" s="27"/>
      <c r="E38" s="27"/>
      <c r="F38" s="27"/>
      <c r="G38" s="27"/>
    </row>
    <row r="39" spans="3:7" x14ac:dyDescent="0.35">
      <c r="C39" s="27"/>
      <c r="D39" s="27"/>
      <c r="E39" s="27"/>
      <c r="F39" s="27"/>
      <c r="G39" s="27"/>
    </row>
    <row r="40" spans="3:7" x14ac:dyDescent="0.35">
      <c r="C40" s="27"/>
      <c r="D40" s="27"/>
      <c r="E40" s="27"/>
      <c r="F40" s="27"/>
      <c r="G40" s="27"/>
    </row>
    <row r="41" spans="3:7" x14ac:dyDescent="0.35">
      <c r="C41" s="27"/>
      <c r="D41" s="27"/>
      <c r="E41" s="27"/>
      <c r="F41" s="27"/>
      <c r="G41" s="27"/>
    </row>
    <row r="42" spans="3:7" x14ac:dyDescent="0.35">
      <c r="C42" s="27"/>
      <c r="D42" s="27"/>
      <c r="E42" s="27"/>
      <c r="F42" s="27"/>
      <c r="G42" s="27"/>
    </row>
    <row r="43" spans="3:7" x14ac:dyDescent="0.35">
      <c r="C43" s="27"/>
      <c r="D43" s="27"/>
      <c r="E43" s="27"/>
      <c r="F43" s="27"/>
      <c r="G43" s="27"/>
    </row>
    <row r="44" spans="3:7" x14ac:dyDescent="0.35">
      <c r="C44" s="27"/>
      <c r="D44" s="27"/>
      <c r="E44" s="27"/>
      <c r="F44" s="27"/>
      <c r="G44" s="27"/>
    </row>
    <row r="45" spans="3:7" x14ac:dyDescent="0.35">
      <c r="C45" s="27"/>
      <c r="D45" s="27"/>
      <c r="E45" s="27"/>
      <c r="F45" s="27"/>
      <c r="G45" s="27"/>
    </row>
    <row r="46" spans="3:7" x14ac:dyDescent="0.35">
      <c r="C46" s="27"/>
      <c r="D46" s="27"/>
      <c r="E46" s="27"/>
      <c r="F46" s="27"/>
      <c r="G46" s="27"/>
    </row>
    <row r="47" spans="3:7" x14ac:dyDescent="0.35">
      <c r="C47" s="27"/>
      <c r="D47" s="27"/>
      <c r="E47" s="27"/>
      <c r="F47" s="27"/>
      <c r="G47" s="27"/>
    </row>
    <row r="48" spans="3:7" x14ac:dyDescent="0.35">
      <c r="C48" s="27"/>
      <c r="D48" s="27"/>
      <c r="E48" s="27"/>
      <c r="F48" s="27"/>
      <c r="G48" s="27"/>
    </row>
    <row r="49" spans="3:7" x14ac:dyDescent="0.35">
      <c r="C49" s="27"/>
      <c r="D49" s="27"/>
      <c r="E49" s="27"/>
      <c r="F49" s="27"/>
      <c r="G49" s="27"/>
    </row>
    <row r="50" spans="3:7" x14ac:dyDescent="0.35">
      <c r="C50" s="27"/>
      <c r="D50" s="27"/>
      <c r="E50" s="27"/>
      <c r="F50" s="27"/>
      <c r="G50" s="27"/>
    </row>
    <row r="51" spans="3:7" x14ac:dyDescent="0.35">
      <c r="C51" s="27"/>
      <c r="D51" s="27"/>
      <c r="E51" s="27"/>
      <c r="F51" s="27"/>
      <c r="G51" s="27"/>
    </row>
    <row r="52" spans="3:7" x14ac:dyDescent="0.35">
      <c r="C52" s="27"/>
      <c r="D52" s="27"/>
      <c r="E52" s="27"/>
      <c r="F52" s="27"/>
      <c r="G52" s="27"/>
    </row>
    <row r="53" spans="3:7" x14ac:dyDescent="0.35">
      <c r="C53" s="27"/>
      <c r="D53" s="27"/>
      <c r="E53" s="27"/>
      <c r="F53" s="27"/>
      <c r="G53" s="27"/>
    </row>
    <row r="54" spans="3:7" x14ac:dyDescent="0.35">
      <c r="C54" s="27"/>
      <c r="D54" s="27"/>
      <c r="E54" s="27"/>
      <c r="F54" s="27"/>
      <c r="G54" s="27"/>
    </row>
    <row r="55" spans="3:7" x14ac:dyDescent="0.35">
      <c r="C55" s="27"/>
      <c r="D55" s="27"/>
      <c r="E55" s="27"/>
      <c r="F55" s="27"/>
      <c r="G55" s="27"/>
    </row>
    <row r="56" spans="3:7" x14ac:dyDescent="0.35">
      <c r="C56" s="27"/>
      <c r="D56" s="27"/>
      <c r="E56" s="27"/>
      <c r="F56" s="27"/>
      <c r="G56" s="27"/>
    </row>
    <row r="57" spans="3:7" x14ac:dyDescent="0.35">
      <c r="C57" s="27"/>
      <c r="D57" s="27"/>
      <c r="E57" s="27"/>
      <c r="F57" s="27"/>
      <c r="G57" s="27"/>
    </row>
    <row r="58" spans="3:7" x14ac:dyDescent="0.35">
      <c r="C58" s="27"/>
      <c r="D58" s="27"/>
      <c r="E58" s="27"/>
      <c r="F58" s="27"/>
      <c r="G58" s="27"/>
    </row>
    <row r="59" spans="3:7" x14ac:dyDescent="0.35">
      <c r="C59" s="27"/>
      <c r="D59" s="27"/>
      <c r="E59" s="27"/>
      <c r="F59" s="27"/>
      <c r="G59" s="27"/>
    </row>
    <row r="60" spans="3:7" x14ac:dyDescent="0.35">
      <c r="C60" s="27"/>
      <c r="D60" s="27"/>
      <c r="E60" s="27"/>
      <c r="F60" s="27"/>
      <c r="G60" s="27"/>
    </row>
    <row r="61" spans="3:7" x14ac:dyDescent="0.35">
      <c r="C61" s="27"/>
      <c r="D61" s="27"/>
      <c r="E61" s="27"/>
      <c r="F61" s="27"/>
      <c r="G61" s="27"/>
    </row>
    <row r="62" spans="3:7" x14ac:dyDescent="0.35">
      <c r="C62" s="27"/>
      <c r="D62" s="27"/>
      <c r="E62" s="27"/>
      <c r="F62" s="27"/>
      <c r="G62" s="27"/>
    </row>
    <row r="63" spans="3:7" x14ac:dyDescent="0.35">
      <c r="C63" s="27"/>
      <c r="D63" s="27"/>
      <c r="E63" s="27"/>
      <c r="F63" s="27"/>
      <c r="G63" s="27"/>
    </row>
    <row r="64" spans="3:7" x14ac:dyDescent="0.35">
      <c r="C64" s="27"/>
      <c r="D64" s="27"/>
      <c r="E64" s="27"/>
      <c r="F64" s="27"/>
      <c r="G64" s="27"/>
    </row>
    <row r="65" spans="3:7" x14ac:dyDescent="0.35">
      <c r="C65" s="27"/>
      <c r="D65" s="27"/>
      <c r="E65" s="27"/>
      <c r="F65" s="27"/>
      <c r="G65" s="27"/>
    </row>
    <row r="66" spans="3:7" x14ac:dyDescent="0.35">
      <c r="C66" s="27"/>
      <c r="D66" s="27"/>
      <c r="E66" s="27"/>
      <c r="F66" s="27"/>
      <c r="G66" s="27"/>
    </row>
    <row r="67" spans="3:7" x14ac:dyDescent="0.35">
      <c r="C67" s="27"/>
      <c r="D67" s="27"/>
      <c r="E67" s="27"/>
      <c r="F67" s="27"/>
      <c r="G67" s="27"/>
    </row>
    <row r="68" spans="3:7" x14ac:dyDescent="0.35">
      <c r="C68" s="27"/>
      <c r="D68" s="27"/>
      <c r="E68" s="27"/>
      <c r="F68" s="27"/>
      <c r="G68" s="27"/>
    </row>
    <row r="69" spans="3:7" x14ac:dyDescent="0.35">
      <c r="C69" s="27"/>
      <c r="D69" s="27"/>
      <c r="E69" s="27"/>
      <c r="F69" s="27"/>
      <c r="G69" s="27"/>
    </row>
    <row r="70" spans="3:7" x14ac:dyDescent="0.35">
      <c r="C70" s="27"/>
      <c r="D70" s="27"/>
      <c r="E70" s="27"/>
      <c r="F70" s="27"/>
      <c r="G70" s="27"/>
    </row>
    <row r="71" spans="3:7" x14ac:dyDescent="0.35">
      <c r="C71" s="27"/>
      <c r="D71" s="27"/>
      <c r="E71" s="27"/>
      <c r="F71" s="27"/>
      <c r="G71" s="27"/>
    </row>
    <row r="72" spans="3:7" x14ac:dyDescent="0.35">
      <c r="C72" s="27"/>
      <c r="D72" s="27"/>
      <c r="E72" s="27"/>
      <c r="F72" s="27"/>
      <c r="G72" s="27"/>
    </row>
    <row r="73" spans="3:7" x14ac:dyDescent="0.35">
      <c r="C73" s="27"/>
      <c r="D73" s="27"/>
      <c r="E73" s="27"/>
      <c r="F73" s="27"/>
      <c r="G73" s="27"/>
    </row>
    <row r="74" spans="3:7" x14ac:dyDescent="0.35">
      <c r="C74" s="27"/>
      <c r="D74" s="27"/>
      <c r="E74" s="27"/>
      <c r="F74" s="27"/>
      <c r="G74" s="27"/>
    </row>
    <row r="75" spans="3:7" x14ac:dyDescent="0.35">
      <c r="C75" s="27"/>
      <c r="D75" s="27"/>
      <c r="E75" s="27"/>
      <c r="F75" s="27"/>
      <c r="G75" s="27"/>
    </row>
    <row r="76" spans="3:7" x14ac:dyDescent="0.35">
      <c r="C76" s="27"/>
      <c r="D76" s="27"/>
      <c r="E76" s="27"/>
      <c r="F76" s="27"/>
      <c r="G76" s="27"/>
    </row>
    <row r="77" spans="3:7" x14ac:dyDescent="0.35">
      <c r="C77" s="27"/>
      <c r="D77" s="27"/>
      <c r="E77" s="27"/>
      <c r="F77" s="27"/>
      <c r="G77" s="27"/>
    </row>
    <row r="78" spans="3:7" x14ac:dyDescent="0.35">
      <c r="C78" s="27"/>
      <c r="D78" s="27"/>
      <c r="E78" s="27"/>
      <c r="F78" s="27"/>
      <c r="G78" s="27"/>
    </row>
    <row r="79" spans="3:7" x14ac:dyDescent="0.35">
      <c r="C79" s="27"/>
      <c r="D79" s="27"/>
      <c r="E79" s="27"/>
      <c r="F79" s="27"/>
      <c r="G79" s="27"/>
    </row>
    <row r="80" spans="3:7" x14ac:dyDescent="0.35">
      <c r="C80" s="27"/>
      <c r="D80" s="27"/>
      <c r="E80" s="27"/>
      <c r="F80" s="27"/>
      <c r="G80" s="27"/>
    </row>
    <row r="81" spans="3:7" x14ac:dyDescent="0.35">
      <c r="C81" s="27"/>
      <c r="D81" s="27"/>
      <c r="E81" s="27"/>
      <c r="F81" s="27"/>
      <c r="G81" s="27"/>
    </row>
    <row r="82" spans="3:7" x14ac:dyDescent="0.35">
      <c r="C82" s="27"/>
      <c r="D82" s="27"/>
      <c r="E82" s="27"/>
      <c r="F82" s="27"/>
      <c r="G82" s="27"/>
    </row>
    <row r="83" spans="3:7" x14ac:dyDescent="0.35">
      <c r="C83" s="27"/>
      <c r="D83" s="27"/>
      <c r="E83" s="27"/>
      <c r="F83" s="27"/>
      <c r="G83" s="27"/>
    </row>
    <row r="84" spans="3:7" x14ac:dyDescent="0.35">
      <c r="C84" s="27"/>
      <c r="D84" s="27"/>
      <c r="E84" s="27"/>
      <c r="F84" s="27"/>
      <c r="G84" s="27"/>
    </row>
    <row r="85" spans="3:7" x14ac:dyDescent="0.35">
      <c r="C85" s="27"/>
      <c r="D85" s="27"/>
      <c r="E85" s="27"/>
      <c r="F85" s="27"/>
      <c r="G85" s="27"/>
    </row>
    <row r="86" spans="3:7" x14ac:dyDescent="0.35">
      <c r="C86" s="27"/>
      <c r="D86" s="27"/>
      <c r="E86" s="27"/>
      <c r="F86" s="27"/>
      <c r="G86" s="27"/>
    </row>
    <row r="87" spans="3:7" x14ac:dyDescent="0.35">
      <c r="C87" s="27"/>
      <c r="D87" s="27"/>
      <c r="E87" s="27"/>
      <c r="F87" s="27"/>
      <c r="G87" s="27"/>
    </row>
    <row r="88" spans="3:7" x14ac:dyDescent="0.35">
      <c r="C88" s="27"/>
      <c r="D88" s="27"/>
      <c r="E88" s="27"/>
      <c r="F88" s="27"/>
      <c r="G88" s="27"/>
    </row>
    <row r="89" spans="3:7" x14ac:dyDescent="0.35">
      <c r="C89" s="27"/>
      <c r="D89" s="27"/>
      <c r="E89" s="27"/>
      <c r="F89" s="27"/>
      <c r="G89" s="27"/>
    </row>
    <row r="90" spans="3:7" x14ac:dyDescent="0.35">
      <c r="C90" s="27"/>
      <c r="D90" s="27"/>
      <c r="E90" s="27"/>
      <c r="F90" s="27"/>
      <c r="G90" s="2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3:AD90"/>
  <sheetViews>
    <sheetView topLeftCell="A3" zoomScale="110" zoomScaleNormal="56" workbookViewId="0">
      <selection activeCell="D6" sqref="D6"/>
    </sheetView>
  </sheetViews>
  <sheetFormatPr defaultColWidth="8.81640625" defaultRowHeight="14.5" x14ac:dyDescent="0.35"/>
  <cols>
    <col min="3" max="3" width="11.54296875" customWidth="1"/>
    <col min="4" max="4" width="10.54296875" customWidth="1"/>
    <col min="5" max="5" width="12.1796875" customWidth="1"/>
    <col min="6" max="6" width="17.6328125" customWidth="1"/>
    <col min="7" max="7" width="38.26953125" customWidth="1"/>
    <col min="10" max="10" width="11.6328125" customWidth="1"/>
    <col min="11" max="11" width="18.1796875" customWidth="1"/>
    <col min="12" max="12" width="10.90625" customWidth="1"/>
    <col min="13" max="13" width="12.453125" bestFit="1" customWidth="1"/>
    <col min="14" max="14" width="41.6328125" customWidth="1"/>
    <col min="16" max="16" width="13.7265625" customWidth="1"/>
    <col min="24" max="24" width="8.90625" bestFit="1" customWidth="1"/>
    <col min="27" max="28" width="13.08984375" bestFit="1" customWidth="1"/>
    <col min="29" max="29" width="40.90625" customWidth="1"/>
  </cols>
  <sheetData>
    <row r="3" spans="3:30" x14ac:dyDescent="0.35">
      <c r="C3" s="105" t="s">
        <v>330</v>
      </c>
      <c r="D3" s="94"/>
    </row>
    <row r="4" spans="3:30" x14ac:dyDescent="0.35">
      <c r="C4" s="103" t="s">
        <v>331</v>
      </c>
      <c r="D4" s="103">
        <f>SUM(D13:D156)</f>
        <v>-3917.8500000000004</v>
      </c>
    </row>
    <row r="5" spans="3:30" x14ac:dyDescent="0.35">
      <c r="C5" s="27" t="s">
        <v>10</v>
      </c>
      <c r="D5" s="103">
        <f>SUM(K13:K53)</f>
        <v>1100</v>
      </c>
      <c r="AD5" s="102"/>
    </row>
    <row r="6" spans="3:30" x14ac:dyDescent="0.35">
      <c r="C6" s="41" t="s">
        <v>1</v>
      </c>
      <c r="D6" s="103">
        <f>D4+D5</f>
        <v>-2817.8500000000004</v>
      </c>
      <c r="AD6" s="102"/>
    </row>
    <row r="11" spans="3:30" ht="39.5" customHeight="1" x14ac:dyDescent="0.9">
      <c r="C11" s="107" t="s">
        <v>20</v>
      </c>
      <c r="J11" s="107" t="s">
        <v>10</v>
      </c>
    </row>
    <row r="12" spans="3:30" x14ac:dyDescent="0.35">
      <c r="C12" s="104" t="s">
        <v>14</v>
      </c>
      <c r="D12" s="104" t="s">
        <v>31</v>
      </c>
      <c r="E12" s="104" t="s">
        <v>16</v>
      </c>
      <c r="F12" s="104" t="s">
        <v>17</v>
      </c>
      <c r="G12" s="104" t="s">
        <v>18</v>
      </c>
      <c r="J12" s="8" t="s">
        <v>14</v>
      </c>
      <c r="K12" s="8" t="s">
        <v>15</v>
      </c>
      <c r="L12" s="8" t="s">
        <v>16</v>
      </c>
      <c r="M12" s="8" t="s">
        <v>17</v>
      </c>
      <c r="N12" s="8" t="s">
        <v>18</v>
      </c>
    </row>
    <row r="13" spans="3:30" x14ac:dyDescent="0.35">
      <c r="C13" s="103" t="s">
        <v>114</v>
      </c>
      <c r="D13" s="103">
        <v>-1595.05</v>
      </c>
      <c r="E13" s="103" t="s">
        <v>408</v>
      </c>
      <c r="F13" s="103">
        <v>25926270000</v>
      </c>
      <c r="G13" s="103" t="s">
        <v>409</v>
      </c>
      <c r="J13" s="27" t="s">
        <v>33</v>
      </c>
      <c r="K13" s="27">
        <v>17</v>
      </c>
      <c r="L13" s="27" t="s">
        <v>5</v>
      </c>
      <c r="M13" s="27">
        <v>941210</v>
      </c>
      <c r="N13" s="27" t="s">
        <v>410</v>
      </c>
    </row>
    <row r="14" spans="3:30" x14ac:dyDescent="0.35">
      <c r="C14" s="103" t="s">
        <v>63</v>
      </c>
      <c r="D14" s="103">
        <v>-1017.75</v>
      </c>
      <c r="E14" s="103" t="s">
        <v>408</v>
      </c>
      <c r="F14" s="103">
        <v>45035920000</v>
      </c>
      <c r="G14" s="103" t="s">
        <v>411</v>
      </c>
      <c r="J14" s="27" t="s">
        <v>33</v>
      </c>
      <c r="K14" s="27">
        <v>25</v>
      </c>
      <c r="L14" s="27" t="s">
        <v>5</v>
      </c>
      <c r="M14" s="27">
        <v>941210</v>
      </c>
      <c r="N14" s="27" t="s">
        <v>412</v>
      </c>
    </row>
    <row r="15" spans="3:30" x14ac:dyDescent="0.35">
      <c r="C15" s="103" t="s">
        <v>55</v>
      </c>
      <c r="D15" s="103">
        <v>-335.6</v>
      </c>
      <c r="E15" s="103" t="s">
        <v>282</v>
      </c>
      <c r="F15" s="103">
        <v>19204760000</v>
      </c>
      <c r="G15" s="103" t="s">
        <v>413</v>
      </c>
      <c r="J15" s="27" t="s">
        <v>220</v>
      </c>
      <c r="K15" s="27">
        <v>131</v>
      </c>
      <c r="L15" s="27" t="s">
        <v>5</v>
      </c>
      <c r="M15" s="27">
        <v>338604</v>
      </c>
      <c r="N15" s="27" t="s">
        <v>414</v>
      </c>
    </row>
    <row r="16" spans="3:30" x14ac:dyDescent="0.35">
      <c r="C16" s="103" t="s">
        <v>35</v>
      </c>
      <c r="D16" s="140">
        <v>-969.45</v>
      </c>
      <c r="E16" s="109" t="s">
        <v>408</v>
      </c>
      <c r="F16" s="103">
        <v>61013320000</v>
      </c>
      <c r="G16" s="103" t="s">
        <v>415</v>
      </c>
      <c r="J16" s="27" t="s">
        <v>61</v>
      </c>
      <c r="K16" s="27">
        <v>213</v>
      </c>
      <c r="L16" s="27" t="s">
        <v>5</v>
      </c>
      <c r="M16" s="27">
        <v>1275771</v>
      </c>
      <c r="N16" s="27" t="s">
        <v>416</v>
      </c>
    </row>
    <row r="17" spans="3:14" x14ac:dyDescent="0.35">
      <c r="C17" s="103"/>
      <c r="D17" s="103"/>
      <c r="E17" s="103"/>
      <c r="F17" s="103"/>
      <c r="G17" s="103"/>
      <c r="J17" s="27" t="s">
        <v>72</v>
      </c>
      <c r="K17" s="27">
        <v>219</v>
      </c>
      <c r="L17" s="27" t="s">
        <v>5</v>
      </c>
      <c r="M17" s="27">
        <v>1169651</v>
      </c>
      <c r="N17" s="27" t="s">
        <v>417</v>
      </c>
    </row>
    <row r="18" spans="3:14" x14ac:dyDescent="0.35">
      <c r="C18" s="103"/>
      <c r="D18" s="109"/>
      <c r="E18" s="103"/>
      <c r="F18" s="103"/>
      <c r="G18" s="103"/>
      <c r="J18" s="27" t="s">
        <v>77</v>
      </c>
      <c r="K18" s="27">
        <v>155</v>
      </c>
      <c r="L18" s="27" t="s">
        <v>5</v>
      </c>
      <c r="M18" s="27">
        <v>1556215</v>
      </c>
      <c r="N18" s="27" t="s">
        <v>418</v>
      </c>
    </row>
    <row r="19" spans="3:14" x14ac:dyDescent="0.35">
      <c r="C19" s="103"/>
      <c r="D19" s="103"/>
      <c r="E19" s="103"/>
      <c r="F19" s="103"/>
      <c r="G19" s="103"/>
      <c r="J19" s="27" t="s">
        <v>89</v>
      </c>
      <c r="K19" s="27">
        <v>167</v>
      </c>
      <c r="L19" s="27" t="s">
        <v>5</v>
      </c>
      <c r="M19" s="27">
        <v>1363386</v>
      </c>
      <c r="N19" s="27" t="s">
        <v>419</v>
      </c>
    </row>
    <row r="20" spans="3:14" x14ac:dyDescent="0.35">
      <c r="C20" s="103"/>
      <c r="D20" s="103"/>
      <c r="E20" s="103"/>
      <c r="F20" s="103"/>
      <c r="G20" s="103"/>
      <c r="J20" s="27" t="s">
        <v>96</v>
      </c>
      <c r="K20" s="27">
        <v>173</v>
      </c>
      <c r="L20" s="27" t="s">
        <v>5</v>
      </c>
      <c r="M20" s="27">
        <v>1173633</v>
      </c>
      <c r="N20" s="27" t="s">
        <v>420</v>
      </c>
    </row>
    <row r="21" spans="3:14" x14ac:dyDescent="0.35">
      <c r="C21" s="103"/>
      <c r="D21" s="103"/>
      <c r="E21" s="103"/>
      <c r="F21" s="103"/>
      <c r="G21" s="103"/>
      <c r="J21" s="27"/>
      <c r="K21" s="27"/>
      <c r="L21" s="27"/>
      <c r="M21" s="27"/>
      <c r="N21" s="27"/>
    </row>
    <row r="22" spans="3:14" x14ac:dyDescent="0.35">
      <c r="C22" s="103"/>
      <c r="D22" s="103"/>
      <c r="E22" s="103"/>
      <c r="F22" s="103"/>
      <c r="G22" s="103"/>
      <c r="J22" s="27"/>
      <c r="K22" s="27"/>
      <c r="L22" s="27"/>
      <c r="M22" s="27"/>
      <c r="N22" s="27"/>
    </row>
    <row r="23" spans="3:14" x14ac:dyDescent="0.35">
      <c r="C23" s="103"/>
      <c r="D23" s="103"/>
      <c r="E23" s="103"/>
      <c r="F23" s="103"/>
      <c r="G23" s="103"/>
      <c r="J23" s="27"/>
      <c r="K23" s="27"/>
      <c r="L23" s="27"/>
      <c r="M23" s="27"/>
      <c r="N23" s="27"/>
    </row>
    <row r="24" spans="3:14" x14ac:dyDescent="0.35">
      <c r="C24" s="103"/>
      <c r="D24" s="103"/>
      <c r="E24" s="103"/>
      <c r="F24" s="103"/>
      <c r="G24" s="103"/>
      <c r="J24" s="27"/>
      <c r="K24" s="27"/>
      <c r="L24" s="27"/>
      <c r="M24" s="27"/>
      <c r="N24" s="27"/>
    </row>
    <row r="25" spans="3:14" x14ac:dyDescent="0.35">
      <c r="C25" s="103"/>
      <c r="D25" s="103"/>
      <c r="E25" s="103"/>
      <c r="F25" s="103"/>
      <c r="G25" s="103"/>
      <c r="J25" s="27"/>
      <c r="K25" s="27"/>
      <c r="L25" s="27"/>
      <c r="M25" s="27"/>
      <c r="N25" s="27"/>
    </row>
    <row r="26" spans="3:14" x14ac:dyDescent="0.35">
      <c r="C26" s="103"/>
      <c r="D26" s="103"/>
      <c r="E26" s="103"/>
      <c r="F26" s="103"/>
      <c r="G26" s="103"/>
      <c r="J26" s="27"/>
      <c r="K26" s="27"/>
      <c r="L26" s="27"/>
      <c r="M26" s="27"/>
      <c r="N26" s="27"/>
    </row>
    <row r="27" spans="3:14" x14ac:dyDescent="0.35">
      <c r="C27" s="103"/>
      <c r="D27" s="103"/>
      <c r="E27" s="103"/>
      <c r="F27" s="103"/>
      <c r="G27" s="103"/>
      <c r="J27" s="27"/>
      <c r="K27" s="27"/>
      <c r="L27" s="27"/>
      <c r="M27" s="27"/>
      <c r="N27" s="27"/>
    </row>
    <row r="28" spans="3:14" x14ac:dyDescent="0.35">
      <c r="C28" s="103"/>
      <c r="D28" s="103"/>
      <c r="E28" s="103"/>
      <c r="F28" s="103"/>
      <c r="G28" s="103"/>
      <c r="J28" s="27"/>
      <c r="K28" s="27"/>
      <c r="L28" s="27"/>
      <c r="M28" s="27"/>
      <c r="N28" s="27"/>
    </row>
    <row r="29" spans="3:14" x14ac:dyDescent="0.35">
      <c r="C29" s="103"/>
      <c r="D29" s="103"/>
      <c r="E29" s="103"/>
      <c r="F29" s="103"/>
      <c r="G29" s="103"/>
      <c r="J29" s="27"/>
      <c r="K29" s="27"/>
      <c r="L29" s="27"/>
      <c r="M29" s="27"/>
      <c r="N29" s="27"/>
    </row>
    <row r="30" spans="3:14" x14ac:dyDescent="0.35">
      <c r="C30" s="103"/>
      <c r="D30" s="103"/>
      <c r="E30" s="103"/>
      <c r="F30" s="103"/>
      <c r="G30" s="103"/>
      <c r="J30" s="27"/>
      <c r="K30" s="27"/>
      <c r="L30" s="27"/>
      <c r="M30" s="27"/>
      <c r="N30" s="27"/>
    </row>
    <row r="31" spans="3:14" x14ac:dyDescent="0.35">
      <c r="C31" s="103"/>
      <c r="D31" s="103"/>
      <c r="E31" s="103"/>
      <c r="F31" s="103"/>
      <c r="G31" s="103"/>
      <c r="J31" s="27"/>
      <c r="K31" s="27"/>
      <c r="L31" s="27"/>
      <c r="M31" s="27"/>
      <c r="N31" s="27"/>
    </row>
    <row r="32" spans="3:14" x14ac:dyDescent="0.35">
      <c r="C32" s="103"/>
      <c r="D32" s="103"/>
      <c r="E32" s="103"/>
      <c r="F32" s="103"/>
      <c r="G32" s="103"/>
      <c r="J32" s="27"/>
      <c r="K32" s="27"/>
      <c r="L32" s="27"/>
      <c r="M32" s="27"/>
      <c r="N32" s="27"/>
    </row>
    <row r="33" spans="3:14" x14ac:dyDescent="0.35">
      <c r="C33" s="103"/>
      <c r="D33" s="103"/>
      <c r="E33" s="103"/>
      <c r="F33" s="103"/>
      <c r="G33" s="103"/>
      <c r="J33" s="27"/>
      <c r="K33" s="27"/>
      <c r="L33" s="27"/>
      <c r="M33" s="27"/>
      <c r="N33" s="27"/>
    </row>
    <row r="34" spans="3:14" x14ac:dyDescent="0.35">
      <c r="C34" s="103"/>
      <c r="D34" s="103"/>
      <c r="E34" s="103"/>
      <c r="F34" s="103"/>
      <c r="G34" s="103"/>
      <c r="J34" s="27"/>
      <c r="K34" s="27"/>
      <c r="L34" s="27"/>
      <c r="M34" s="27"/>
      <c r="N34" s="27"/>
    </row>
    <row r="35" spans="3:14" x14ac:dyDescent="0.35">
      <c r="C35" s="103"/>
      <c r="D35" s="103"/>
      <c r="E35" s="103"/>
      <c r="F35" s="103"/>
      <c r="G35" s="103"/>
      <c r="J35" s="27"/>
      <c r="K35" s="27"/>
      <c r="L35" s="27"/>
      <c r="M35" s="27"/>
      <c r="N35" s="27"/>
    </row>
    <row r="36" spans="3:14" x14ac:dyDescent="0.35">
      <c r="C36" s="103"/>
      <c r="D36" s="103"/>
      <c r="E36" s="103"/>
      <c r="F36" s="103"/>
      <c r="G36" s="103"/>
      <c r="J36" s="27"/>
      <c r="K36" s="27"/>
      <c r="L36" s="27"/>
      <c r="M36" s="27"/>
      <c r="N36" s="27"/>
    </row>
    <row r="37" spans="3:14" x14ac:dyDescent="0.35">
      <c r="C37" s="103"/>
      <c r="D37" s="103"/>
      <c r="E37" s="103"/>
      <c r="F37" s="103"/>
      <c r="G37" s="103"/>
      <c r="J37" s="27"/>
      <c r="K37" s="27"/>
      <c r="L37" s="27"/>
      <c r="M37" s="27"/>
      <c r="N37" s="27"/>
    </row>
    <row r="38" spans="3:14" x14ac:dyDescent="0.35">
      <c r="C38" s="103"/>
      <c r="D38" s="103"/>
      <c r="E38" s="103"/>
      <c r="F38" s="103"/>
      <c r="G38" s="103"/>
      <c r="J38" s="27"/>
      <c r="K38" s="27"/>
      <c r="L38" s="27"/>
      <c r="M38" s="27"/>
      <c r="N38" s="27"/>
    </row>
    <row r="39" spans="3:14" x14ac:dyDescent="0.35">
      <c r="C39" s="103"/>
      <c r="D39" s="103"/>
      <c r="E39" s="103"/>
      <c r="F39" s="103"/>
      <c r="G39" s="103"/>
      <c r="J39" s="27"/>
      <c r="K39" s="27"/>
      <c r="L39" s="27"/>
      <c r="M39" s="27"/>
      <c r="N39" s="27"/>
    </row>
    <row r="40" spans="3:14" x14ac:dyDescent="0.35">
      <c r="C40" s="103"/>
      <c r="D40" s="103"/>
      <c r="E40" s="103"/>
      <c r="F40" s="103"/>
      <c r="G40" s="103"/>
      <c r="J40" s="27"/>
      <c r="K40" s="27"/>
      <c r="L40" s="27"/>
      <c r="M40" s="27"/>
      <c r="N40" s="27"/>
    </row>
    <row r="41" spans="3:14" x14ac:dyDescent="0.35">
      <c r="C41" s="103"/>
      <c r="D41" s="103"/>
      <c r="E41" s="103"/>
      <c r="F41" s="103"/>
      <c r="G41" s="103"/>
      <c r="J41" s="27"/>
      <c r="K41" s="27"/>
      <c r="L41" s="27"/>
      <c r="M41" s="27"/>
      <c r="N41" s="27"/>
    </row>
    <row r="42" spans="3:14" x14ac:dyDescent="0.35">
      <c r="C42" s="103"/>
      <c r="D42" s="103"/>
      <c r="E42" s="103"/>
      <c r="F42" s="103"/>
      <c r="G42" s="103"/>
      <c r="J42" s="27"/>
      <c r="K42" s="27"/>
      <c r="L42" s="27"/>
      <c r="M42" s="27"/>
      <c r="N42" s="27"/>
    </row>
    <row r="43" spans="3:14" x14ac:dyDescent="0.35">
      <c r="C43" s="103"/>
      <c r="D43" s="103"/>
      <c r="E43" s="103"/>
      <c r="F43" s="103"/>
      <c r="G43" s="103"/>
      <c r="J43" s="27"/>
      <c r="K43" s="27"/>
      <c r="L43" s="27"/>
      <c r="M43" s="27"/>
      <c r="N43" s="27"/>
    </row>
    <row r="44" spans="3:14" x14ac:dyDescent="0.35">
      <c r="C44" s="103"/>
      <c r="D44" s="103"/>
      <c r="E44" s="103"/>
      <c r="F44" s="103"/>
      <c r="G44" s="103"/>
      <c r="J44" s="27"/>
      <c r="K44" s="27"/>
      <c r="L44" s="27"/>
      <c r="M44" s="27"/>
      <c r="N44" s="27"/>
    </row>
    <row r="45" spans="3:14" x14ac:dyDescent="0.35">
      <c r="C45" s="103"/>
      <c r="D45" s="103"/>
      <c r="E45" s="103"/>
      <c r="F45" s="103"/>
      <c r="G45" s="103"/>
      <c r="J45" s="27"/>
      <c r="K45" s="27"/>
      <c r="L45" s="27"/>
      <c r="M45" s="27"/>
      <c r="N45" s="27"/>
    </row>
    <row r="46" spans="3:14" x14ac:dyDescent="0.35">
      <c r="C46" s="103"/>
      <c r="D46" s="103"/>
      <c r="E46" s="103"/>
      <c r="F46" s="103"/>
      <c r="G46" s="103"/>
      <c r="J46" s="27"/>
      <c r="K46" s="27"/>
      <c r="L46" s="27"/>
      <c r="M46" s="27"/>
      <c r="N46" s="27"/>
    </row>
    <row r="47" spans="3:14" x14ac:dyDescent="0.35">
      <c r="C47" s="103"/>
      <c r="D47" s="103"/>
      <c r="E47" s="103"/>
      <c r="F47" s="103"/>
      <c r="G47" s="103"/>
      <c r="J47" s="27"/>
      <c r="K47" s="27"/>
      <c r="L47" s="27"/>
      <c r="M47" s="27"/>
      <c r="N47" s="27"/>
    </row>
    <row r="48" spans="3:14" x14ac:dyDescent="0.35">
      <c r="C48" s="103"/>
      <c r="D48" s="103"/>
      <c r="E48" s="103"/>
      <c r="F48" s="103"/>
      <c r="G48" s="103"/>
      <c r="J48" s="27"/>
      <c r="K48" s="27"/>
      <c r="L48" s="27"/>
      <c r="M48" s="27"/>
      <c r="N48" s="27"/>
    </row>
    <row r="49" spans="3:14" x14ac:dyDescent="0.35">
      <c r="C49" s="103"/>
      <c r="D49" s="103"/>
      <c r="E49" s="103"/>
      <c r="F49" s="103"/>
      <c r="G49" s="103"/>
      <c r="J49" s="27"/>
      <c r="K49" s="27"/>
      <c r="L49" s="27"/>
      <c r="M49" s="27"/>
      <c r="N49" s="27"/>
    </row>
    <row r="50" spans="3:14" x14ac:dyDescent="0.35">
      <c r="C50" s="103"/>
      <c r="D50" s="103"/>
      <c r="E50" s="103"/>
      <c r="F50" s="103"/>
      <c r="G50" s="103"/>
      <c r="J50" s="27"/>
      <c r="K50" s="27"/>
      <c r="L50" s="27"/>
      <c r="M50" s="27"/>
      <c r="N50" s="27"/>
    </row>
    <row r="51" spans="3:14" x14ac:dyDescent="0.35">
      <c r="C51" s="103"/>
      <c r="D51" s="103"/>
      <c r="E51" s="103"/>
      <c r="F51" s="103"/>
      <c r="G51" s="103"/>
      <c r="J51" s="27"/>
      <c r="K51" s="27"/>
      <c r="L51" s="27"/>
      <c r="M51" s="27"/>
      <c r="N51" s="27"/>
    </row>
    <row r="52" spans="3:14" x14ac:dyDescent="0.35">
      <c r="C52" s="103"/>
      <c r="D52" s="103"/>
      <c r="E52" s="103"/>
      <c r="F52" s="103"/>
      <c r="G52" s="103"/>
      <c r="J52" s="27"/>
      <c r="K52" s="27"/>
      <c r="L52" s="27"/>
      <c r="M52" s="27"/>
      <c r="N52" s="27"/>
    </row>
    <row r="53" spans="3:14" x14ac:dyDescent="0.35">
      <c r="C53" s="103"/>
      <c r="D53" s="103"/>
      <c r="E53" s="103"/>
      <c r="F53" s="103"/>
      <c r="G53" s="103"/>
      <c r="J53" s="27"/>
      <c r="K53" s="27"/>
      <c r="L53" s="27"/>
      <c r="M53" s="27"/>
      <c r="N53" s="27"/>
    </row>
    <row r="54" spans="3:14" x14ac:dyDescent="0.35">
      <c r="C54" s="103"/>
      <c r="D54" s="103"/>
      <c r="E54" s="103"/>
      <c r="F54" s="103"/>
      <c r="G54" s="103"/>
      <c r="J54" s="27"/>
      <c r="K54" s="27"/>
      <c r="L54" s="27"/>
      <c r="M54" s="27"/>
      <c r="N54" s="27"/>
    </row>
    <row r="55" spans="3:14" x14ac:dyDescent="0.35">
      <c r="C55" s="103"/>
      <c r="D55" s="103"/>
      <c r="E55" s="103"/>
      <c r="F55" s="103"/>
      <c r="G55" s="103"/>
      <c r="J55" s="27"/>
      <c r="K55" s="27"/>
      <c r="L55" s="27"/>
      <c r="M55" s="27"/>
      <c r="N55" s="27"/>
    </row>
    <row r="56" spans="3:14" x14ac:dyDescent="0.35">
      <c r="C56" s="103"/>
      <c r="D56" s="103"/>
      <c r="E56" s="103"/>
      <c r="F56" s="103"/>
      <c r="G56" s="103"/>
      <c r="J56" s="27"/>
      <c r="K56" s="27"/>
      <c r="L56" s="27"/>
      <c r="M56" s="27"/>
      <c r="N56" s="27"/>
    </row>
    <row r="57" spans="3:14" x14ac:dyDescent="0.35">
      <c r="C57" s="103"/>
      <c r="D57" s="103"/>
      <c r="E57" s="103"/>
      <c r="F57" s="103"/>
      <c r="G57" s="103"/>
      <c r="J57" s="27"/>
      <c r="K57" s="27"/>
      <c r="L57" s="27"/>
      <c r="M57" s="27"/>
      <c r="N57" s="27"/>
    </row>
    <row r="58" spans="3:14" x14ac:dyDescent="0.35">
      <c r="C58" s="103"/>
      <c r="D58" s="103"/>
      <c r="E58" s="103"/>
      <c r="F58" s="103"/>
      <c r="G58" s="103"/>
      <c r="J58" s="27"/>
      <c r="K58" s="27"/>
      <c r="L58" s="27"/>
      <c r="M58" s="27"/>
      <c r="N58" s="27"/>
    </row>
    <row r="59" spans="3:14" x14ac:dyDescent="0.35">
      <c r="C59" s="103"/>
      <c r="D59" s="103"/>
      <c r="E59" s="103"/>
      <c r="F59" s="103"/>
      <c r="G59" s="103"/>
      <c r="J59" s="27"/>
      <c r="K59" s="27"/>
      <c r="L59" s="27"/>
      <c r="M59" s="27"/>
      <c r="N59" s="27"/>
    </row>
    <row r="60" spans="3:14" x14ac:dyDescent="0.35">
      <c r="C60" s="103"/>
      <c r="D60" s="103"/>
      <c r="E60" s="103"/>
      <c r="F60" s="103"/>
      <c r="G60" s="103"/>
      <c r="J60" s="27"/>
      <c r="K60" s="27"/>
      <c r="L60" s="27"/>
      <c r="M60" s="27"/>
      <c r="N60" s="27"/>
    </row>
    <row r="61" spans="3:14" x14ac:dyDescent="0.35">
      <c r="C61" s="103"/>
      <c r="D61" s="103"/>
      <c r="E61" s="103"/>
      <c r="F61" s="103"/>
      <c r="G61" s="103"/>
      <c r="J61" s="27"/>
      <c r="K61" s="27"/>
      <c r="L61" s="27"/>
      <c r="M61" s="27"/>
      <c r="N61" s="27"/>
    </row>
    <row r="62" spans="3:14" x14ac:dyDescent="0.35">
      <c r="C62" s="103"/>
      <c r="D62" s="103"/>
      <c r="E62" s="103"/>
      <c r="F62" s="103"/>
      <c r="G62" s="103"/>
      <c r="J62" s="27"/>
      <c r="K62" s="27"/>
      <c r="L62" s="27"/>
      <c r="M62" s="27"/>
      <c r="N62" s="27"/>
    </row>
    <row r="63" spans="3:14" x14ac:dyDescent="0.35">
      <c r="C63" s="103"/>
      <c r="D63" s="103"/>
      <c r="E63" s="103"/>
      <c r="F63" s="103"/>
      <c r="G63" s="103"/>
      <c r="J63" s="27"/>
      <c r="K63" s="27"/>
      <c r="L63" s="27"/>
      <c r="M63" s="27"/>
      <c r="N63" s="27"/>
    </row>
    <row r="64" spans="3:14" x14ac:dyDescent="0.35">
      <c r="C64" s="103"/>
      <c r="D64" s="103"/>
      <c r="E64" s="103"/>
      <c r="F64" s="103"/>
      <c r="G64" s="103"/>
      <c r="J64" s="27"/>
      <c r="K64" s="27"/>
      <c r="L64" s="27"/>
      <c r="M64" s="27"/>
      <c r="N64" s="27"/>
    </row>
    <row r="65" spans="3:14" x14ac:dyDescent="0.35">
      <c r="C65" s="103"/>
      <c r="D65" s="103"/>
      <c r="E65" s="103"/>
      <c r="F65" s="103"/>
      <c r="G65" s="103"/>
      <c r="J65" s="27"/>
      <c r="K65" s="27"/>
      <c r="L65" s="27"/>
      <c r="M65" s="27"/>
      <c r="N65" s="27"/>
    </row>
    <row r="66" spans="3:14" x14ac:dyDescent="0.35">
      <c r="C66" s="103"/>
      <c r="D66" s="103"/>
      <c r="E66" s="103"/>
      <c r="F66" s="103"/>
      <c r="G66" s="103"/>
      <c r="J66" s="27"/>
      <c r="K66" s="27"/>
      <c r="L66" s="27"/>
      <c r="M66" s="27"/>
      <c r="N66" s="27"/>
    </row>
    <row r="67" spans="3:14" x14ac:dyDescent="0.35">
      <c r="C67" s="103"/>
      <c r="D67" s="103"/>
      <c r="E67" s="103"/>
      <c r="F67" s="103"/>
      <c r="G67" s="103"/>
      <c r="J67" s="27"/>
      <c r="K67" s="27"/>
      <c r="L67" s="27"/>
      <c r="M67" s="27"/>
      <c r="N67" s="27"/>
    </row>
    <row r="68" spans="3:14" x14ac:dyDescent="0.35">
      <c r="C68" s="103"/>
      <c r="D68" s="103"/>
      <c r="E68" s="103"/>
      <c r="F68" s="103"/>
      <c r="G68" s="103"/>
      <c r="J68" s="27"/>
      <c r="K68" s="27"/>
      <c r="L68" s="27"/>
      <c r="M68" s="27"/>
      <c r="N68" s="27"/>
    </row>
    <row r="69" spans="3:14" x14ac:dyDescent="0.35">
      <c r="C69" s="103"/>
      <c r="D69" s="103"/>
      <c r="E69" s="103"/>
      <c r="F69" s="103"/>
      <c r="G69" s="103"/>
      <c r="J69" s="27"/>
      <c r="K69" s="27"/>
      <c r="L69" s="27"/>
      <c r="M69" s="27"/>
      <c r="N69" s="27"/>
    </row>
    <row r="70" spans="3:14" x14ac:dyDescent="0.35">
      <c r="C70" s="103"/>
      <c r="D70" s="103"/>
      <c r="E70" s="103"/>
      <c r="F70" s="103"/>
      <c r="G70" s="103"/>
      <c r="J70" s="27"/>
      <c r="K70" s="27"/>
      <c r="L70" s="27"/>
      <c r="M70" s="27"/>
      <c r="N70" s="27"/>
    </row>
    <row r="71" spans="3:14" x14ac:dyDescent="0.35">
      <c r="C71" s="103"/>
      <c r="D71" s="103"/>
      <c r="E71" s="103"/>
      <c r="F71" s="103"/>
      <c r="G71" s="103"/>
      <c r="J71" s="27"/>
      <c r="K71" s="27"/>
      <c r="L71" s="27"/>
      <c r="M71" s="27"/>
      <c r="N71" s="27"/>
    </row>
    <row r="72" spans="3:14" x14ac:dyDescent="0.35">
      <c r="C72" s="103"/>
      <c r="D72" s="103"/>
      <c r="E72" s="103"/>
      <c r="F72" s="103"/>
      <c r="G72" s="103"/>
      <c r="J72" s="27"/>
      <c r="K72" s="27"/>
      <c r="L72" s="27"/>
      <c r="M72" s="27"/>
      <c r="N72" s="27"/>
    </row>
    <row r="73" spans="3:14" x14ac:dyDescent="0.35">
      <c r="C73" s="103"/>
      <c r="D73" s="103"/>
      <c r="E73" s="103"/>
      <c r="F73" s="103"/>
      <c r="G73" s="103"/>
      <c r="J73" s="27"/>
      <c r="K73" s="27"/>
      <c r="L73" s="27"/>
      <c r="M73" s="27"/>
      <c r="N73" s="27"/>
    </row>
    <row r="74" spans="3:14" x14ac:dyDescent="0.35">
      <c r="C74" s="103"/>
      <c r="D74" s="103"/>
      <c r="E74" s="103"/>
      <c r="F74" s="103"/>
      <c r="G74" s="103"/>
      <c r="J74" s="27"/>
      <c r="K74" s="27"/>
      <c r="L74" s="27"/>
      <c r="M74" s="27"/>
      <c r="N74" s="27"/>
    </row>
    <row r="75" spans="3:14" x14ac:dyDescent="0.35">
      <c r="C75" s="103"/>
      <c r="D75" s="103"/>
      <c r="E75" s="103"/>
      <c r="F75" s="103"/>
      <c r="G75" s="103"/>
      <c r="J75" s="27"/>
      <c r="K75" s="27"/>
      <c r="L75" s="27"/>
      <c r="M75" s="27"/>
      <c r="N75" s="27"/>
    </row>
    <row r="76" spans="3:14" x14ac:dyDescent="0.35">
      <c r="C76" s="103"/>
      <c r="D76" s="103"/>
      <c r="E76" s="103"/>
      <c r="F76" s="103"/>
      <c r="G76" s="103"/>
      <c r="J76" s="27"/>
      <c r="K76" s="27"/>
      <c r="L76" s="27"/>
      <c r="M76" s="27"/>
      <c r="N76" s="27"/>
    </row>
    <row r="77" spans="3:14" x14ac:dyDescent="0.35">
      <c r="C77" s="103"/>
      <c r="D77" s="103"/>
      <c r="E77" s="103"/>
      <c r="F77" s="103"/>
      <c r="G77" s="103"/>
      <c r="J77" s="27"/>
      <c r="K77" s="27"/>
      <c r="L77" s="27"/>
      <c r="M77" s="27"/>
      <c r="N77" s="27"/>
    </row>
    <row r="78" spans="3:14" x14ac:dyDescent="0.35">
      <c r="C78" s="103"/>
      <c r="D78" s="103"/>
      <c r="E78" s="103"/>
      <c r="F78" s="103"/>
      <c r="G78" s="103"/>
      <c r="J78" s="27"/>
      <c r="K78" s="27"/>
      <c r="L78" s="27"/>
      <c r="M78" s="27"/>
      <c r="N78" s="27"/>
    </row>
    <row r="79" spans="3:14" x14ac:dyDescent="0.35">
      <c r="C79" s="103"/>
      <c r="D79" s="103"/>
      <c r="E79" s="103"/>
      <c r="F79" s="103"/>
      <c r="G79" s="103"/>
      <c r="J79" s="27"/>
      <c r="K79" s="27"/>
      <c r="L79" s="27"/>
      <c r="M79" s="27"/>
      <c r="N79" s="27"/>
    </row>
    <row r="80" spans="3:14" x14ac:dyDescent="0.35">
      <c r="C80" s="103"/>
      <c r="D80" s="103"/>
      <c r="E80" s="103"/>
      <c r="F80" s="103"/>
      <c r="G80" s="103"/>
      <c r="J80" s="27"/>
      <c r="K80" s="27"/>
      <c r="L80" s="27"/>
      <c r="M80" s="27"/>
      <c r="N80" s="27"/>
    </row>
    <row r="81" spans="3:14" x14ac:dyDescent="0.35">
      <c r="C81" s="103"/>
      <c r="D81" s="103"/>
      <c r="E81" s="103"/>
      <c r="F81" s="103"/>
      <c r="G81" s="103"/>
      <c r="J81" s="27"/>
      <c r="K81" s="27"/>
      <c r="L81" s="27"/>
      <c r="M81" s="27"/>
      <c r="N81" s="27"/>
    </row>
    <row r="82" spans="3:14" x14ac:dyDescent="0.35">
      <c r="C82" s="103"/>
      <c r="D82" s="103"/>
      <c r="E82" s="103"/>
      <c r="F82" s="103"/>
      <c r="G82" s="103"/>
      <c r="J82" s="27"/>
      <c r="K82" s="27"/>
      <c r="L82" s="27"/>
      <c r="M82" s="27"/>
      <c r="N82" s="27"/>
    </row>
    <row r="83" spans="3:14" x14ac:dyDescent="0.35">
      <c r="C83" s="103"/>
      <c r="D83" s="103"/>
      <c r="E83" s="103"/>
      <c r="F83" s="103"/>
      <c r="G83" s="103"/>
      <c r="J83" s="27"/>
      <c r="K83" s="27"/>
      <c r="L83" s="27"/>
      <c r="M83" s="27"/>
      <c r="N83" s="27"/>
    </row>
    <row r="84" spans="3:14" x14ac:dyDescent="0.35">
      <c r="C84" s="103"/>
      <c r="D84" s="103"/>
      <c r="E84" s="103"/>
      <c r="F84" s="103"/>
      <c r="G84" s="103"/>
      <c r="J84" s="27"/>
      <c r="K84" s="27"/>
      <c r="L84" s="27"/>
      <c r="M84" s="27"/>
      <c r="N84" s="27"/>
    </row>
    <row r="85" spans="3:14" x14ac:dyDescent="0.35">
      <c r="C85" s="103"/>
      <c r="D85" s="103"/>
      <c r="E85" s="103"/>
      <c r="F85" s="103"/>
      <c r="G85" s="103"/>
      <c r="J85" s="27"/>
      <c r="K85" s="27"/>
      <c r="L85" s="27"/>
      <c r="M85" s="27"/>
      <c r="N85" s="27"/>
    </row>
    <row r="86" spans="3:14" x14ac:dyDescent="0.35">
      <c r="C86" s="103"/>
      <c r="D86" s="103"/>
      <c r="E86" s="103"/>
      <c r="F86" s="103"/>
      <c r="G86" s="103"/>
      <c r="J86" s="27"/>
      <c r="K86" s="27"/>
      <c r="L86" s="27"/>
      <c r="M86" s="27"/>
      <c r="N86" s="27"/>
    </row>
    <row r="87" spans="3:14" x14ac:dyDescent="0.35">
      <c r="C87" s="103"/>
      <c r="D87" s="103"/>
      <c r="E87" s="103"/>
      <c r="F87" s="103"/>
      <c r="G87" s="103"/>
      <c r="J87" s="27"/>
      <c r="K87" s="27"/>
      <c r="L87" s="27"/>
      <c r="M87" s="27"/>
      <c r="N87" s="27"/>
    </row>
    <row r="88" spans="3:14" x14ac:dyDescent="0.35">
      <c r="C88" s="103"/>
      <c r="D88" s="103"/>
      <c r="E88" s="103"/>
      <c r="F88" s="103"/>
      <c r="G88" s="103"/>
      <c r="J88" s="27"/>
      <c r="K88" s="27"/>
      <c r="L88" s="27"/>
      <c r="M88" s="27"/>
      <c r="N88" s="27"/>
    </row>
    <row r="89" spans="3:14" x14ac:dyDescent="0.35">
      <c r="C89" s="103"/>
      <c r="D89" s="103"/>
      <c r="E89" s="103"/>
      <c r="F89" s="103"/>
      <c r="G89" s="103"/>
      <c r="J89" s="27"/>
      <c r="K89" s="27"/>
      <c r="L89" s="27"/>
      <c r="M89" s="27"/>
      <c r="N89" s="27"/>
    </row>
    <row r="90" spans="3:14" x14ac:dyDescent="0.35">
      <c r="C90" s="103"/>
      <c r="D90" s="103"/>
      <c r="E90" s="103"/>
      <c r="F90" s="103"/>
      <c r="G90" s="103"/>
      <c r="J90" s="27"/>
      <c r="K90" s="27"/>
      <c r="L90" s="27"/>
      <c r="M90" s="27"/>
      <c r="N90" s="27"/>
    </row>
  </sheetData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Master</vt:lpstr>
      <vt:lpstr>Master kiosk</vt:lpstr>
      <vt:lpstr>Inn Kiosk</vt:lpstr>
      <vt:lpstr>Vippsutskrifter+ Kiosk</vt:lpstr>
      <vt:lpstr>Terminalutskrifter</vt:lpstr>
      <vt:lpstr>Kjøregodtgjørelse</vt:lpstr>
      <vt:lpstr>Misjonsløp</vt:lpstr>
      <vt:lpstr>Nattcup</vt:lpstr>
      <vt:lpstr>Basar</vt:lpstr>
      <vt:lpstr>Barrista</vt:lpstr>
      <vt:lpstr>Milkshake</vt:lpstr>
      <vt:lpstr>Panteruss</vt:lpstr>
      <vt:lpstr>Isruss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Martin Linnebo</dc:creator>
  <cp:lastModifiedBy>Carl Martin Linnebo</cp:lastModifiedBy>
  <dcterms:created xsi:type="dcterms:W3CDTF">2025-09-10T14:35:01Z</dcterms:created>
  <dcterms:modified xsi:type="dcterms:W3CDTF">2025-10-31T12:59:52Z</dcterms:modified>
</cp:coreProperties>
</file>