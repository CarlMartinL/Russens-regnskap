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1.xml" ContentType="application/vnd.openxmlformats-officedocument.spreadsheetml.queryTable+xml"/>
  <Override PartName="/xl/tables/table11.xml" ContentType="application/vnd.openxmlformats-officedocument.spreadsheetml.table+xml"/>
  <Override PartName="/xl/queryTables/queryTable2.xml" ContentType="application/vnd.openxmlformats-officedocument.spreadsheetml.queryTable+xml"/>
  <Override PartName="/xl/tables/table12.xml" ContentType="application/vnd.openxmlformats-officedocument.spreadsheetml.table+xml"/>
  <Override PartName="/xl/queryTables/queryTable3.xml" ContentType="application/vnd.openxmlformats-officedocument.spreadsheetml.queryTable+xml"/>
  <Override PartName="/xl/tables/table13.xml" ContentType="application/vnd.openxmlformats-officedocument.spreadsheetml.table+xml"/>
  <Override PartName="/xl/queryTables/queryTable4.xml" ContentType="application/vnd.openxmlformats-officedocument.spreadsheetml.queryTable+xml"/>
  <Override PartName="/xl/tables/table14.xml" ContentType="application/vnd.openxmlformats-officedocument.spreadsheetml.table+xml"/>
  <Override PartName="/xl/queryTables/queryTable5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queryTables/queryTable6.xml" ContentType="application/vnd.openxmlformats-officedocument.spreadsheetml.queryTable+xml"/>
  <Override PartName="/xl/tables/table26.xml" ContentType="application/vnd.openxmlformats-officedocument.spreadsheetml.table+xml"/>
  <Override PartName="/xl/queryTables/queryTable7.xml" ContentType="application/vnd.openxmlformats-officedocument.spreadsheetml.query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queryTables/queryTable8.xml" ContentType="application/vnd.openxmlformats-officedocument.spreadsheetml.query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queryTables/queryTable9.xml" ContentType="application/vnd.openxmlformats-officedocument.spreadsheetml.query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queryTables/queryTable10.xml" ContentType="application/vnd.openxmlformats-officedocument.spreadsheetml.queryTable+xml"/>
  <Override PartName="/xl/tables/table34.xml" ContentType="application/vnd.openxmlformats-officedocument.spreadsheetml.table+xml"/>
  <Override PartName="/xl/queryTables/queryTable11.xml" ContentType="application/vnd.openxmlformats-officedocument.spreadsheetml.queryTable+xml"/>
  <Override PartName="/xl/tables/table35.xml" ContentType="application/vnd.openxmlformats-officedocument.spreadsheetml.table+xml"/>
  <Override PartName="/xl/queryTables/queryTable12.xml" ContentType="application/vnd.openxmlformats-officedocument.spreadsheetml.queryTable+xml"/>
  <Override PartName="/xl/tables/table36.xml" ContentType="application/vnd.openxmlformats-officedocument.spreadsheetml.table+xml"/>
  <Override PartName="/xl/queryTables/queryTable13.xml" ContentType="application/vnd.openxmlformats-officedocument.spreadsheetml.queryTable+xml"/>
  <Override PartName="/xl/tables/table37.xml" ContentType="application/vnd.openxmlformats-officedocument.spreadsheetml.table+xml"/>
  <Override PartName="/xl/queryTables/queryTable14.xml" ContentType="application/vnd.openxmlformats-officedocument.spreadsheetml.queryTable+xml"/>
  <Override PartName="/xl/tables/table38.xml" ContentType="application/vnd.openxmlformats-officedocument.spreadsheetml.table+xml"/>
  <Override PartName="/xl/queryTables/queryTable15.xml" ContentType="application/vnd.openxmlformats-officedocument.spreadsheetml.query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queryTables/queryTable1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linnebo07\PycharmProjects\Russeregnskap\Regnskap\"/>
    </mc:Choice>
  </mc:AlternateContent>
  <xr:revisionPtr revIDLastSave="0" documentId="13_ncr:1_{03952F92-302C-43EA-BCF3-3E8AC74E3C7B}" xr6:coauthVersionLast="47" xr6:coauthVersionMax="47" xr10:uidLastSave="{00000000-0000-0000-0000-000000000000}"/>
  <bookViews>
    <workbookView xWindow="-110" yWindow="-110" windowWidth="19420" windowHeight="10300" firstSheet="33" activeTab="33" xr2:uid="{00000000-000D-0000-FFFF-FFFF00000000}"/>
  </bookViews>
  <sheets>
    <sheet name="Master kiosk" sheetId="2" r:id="rId1"/>
    <sheet name="Inn Kiosk" sheetId="5" r:id="rId2"/>
    <sheet name="Januar" sheetId="53" state="hidden" r:id="rId3"/>
    <sheet name="Februar" sheetId="54" state="hidden" r:id="rId4"/>
    <sheet name="Mars" sheetId="55" state="hidden" r:id="rId5"/>
    <sheet name="April" sheetId="56" state="hidden" r:id="rId6"/>
    <sheet name="Mai" sheetId="57" state="hidden" r:id="rId7"/>
    <sheet name="Vippsutskrifter" sheetId="7" r:id="rId8"/>
    <sheet name="Salg_Total" sheetId="42" r:id="rId9"/>
    <sheet name="Vipps_Totalraport" sheetId="31" r:id="rId10"/>
    <sheet name="Terminalutskrifter" sheetId="9" r:id="rId11"/>
    <sheet name="Master" sheetId="1" r:id="rId12"/>
    <sheet name="Inkjøp" sheetId="45" state="hidden" r:id="rId13"/>
    <sheet name="Vipps_salg_Klar_til_sammensveis" sheetId="39" state="hidden" r:id="rId14"/>
    <sheet name="Isruss" sheetId="17" r:id="rId15"/>
    <sheet name="Milkshake" sheetId="15" r:id="rId16"/>
    <sheet name="Panteruss" sheetId="16" r:id="rId17"/>
    <sheet name="Basar" sheetId="13" r:id="rId18"/>
    <sheet name="Misjonsløp" sheetId="11" r:id="rId19"/>
    <sheet name="Kjøregodtgjørelse" sheetId="10" r:id="rId20"/>
    <sheet name="Barrista" sheetId="14" r:id="rId21"/>
    <sheet name="Nattcup" sheetId="12" r:id="rId22"/>
    <sheet name="Måneskinstur" sheetId="18" r:id="rId23"/>
    <sheet name="Premiere Leaugue" sheetId="4" r:id="rId24"/>
    <sheet name="Oktober" sheetId="24" state="hidden" r:id="rId25"/>
    <sheet name="GammelVipps" sheetId="25" state="hidden" r:id="rId26"/>
    <sheet name="November" sheetId="26" state="hidden" r:id="rId27"/>
    <sheet name="Desember" sheetId="27" state="hidden" r:id="rId28"/>
    <sheet name="GammelVipps (2)" sheetId="30" state="hidden" r:id="rId29"/>
    <sheet name="TerminalV1" sheetId="32" state="hidden" r:id="rId30"/>
    <sheet name="TerminalV2" sheetId="33" state="hidden" r:id="rId31"/>
    <sheet name="Terminal_Totalraport" sheetId="36" state="hidden" r:id="rId32"/>
    <sheet name="Terminal_Salg_klar_til_sammensv" sheetId="38" state="hidden" r:id="rId33"/>
    <sheet name="Salg_Totalraport_Ferdigprodukt" sheetId="40" r:id="rId34"/>
    <sheet name="Krympefest" sheetId="3" r:id="rId35"/>
    <sheet name="Redaksjonen" sheetId="8" r:id="rId36"/>
    <sheet name="Rolle Bryllup" sheetId="51" r:id="rId37"/>
    <sheet name="Skolegensere" sheetId="50" r:id="rId38"/>
    <sheet name="Vippsutskrifter Python" sheetId="46" r:id="rId39"/>
    <sheet name="Inn Kiosk Python" sheetId="47" r:id="rId40"/>
    <sheet name="Terminalutskrifter Python" sheetId="48" r:id="rId41"/>
    <sheet name="Sept" sheetId="23" state="hidden" r:id="rId42"/>
  </sheets>
  <externalReferences>
    <externalReference r:id="rId43"/>
  </externalReferences>
  <definedNames>
    <definedName name="EksterneData_1" localSheetId="5" hidden="1">April!$A$1:$D$51</definedName>
    <definedName name="EksterneData_1" localSheetId="3" hidden="1">Februar!$A$1:$D$50</definedName>
    <definedName name="EksterneData_1" localSheetId="2" hidden="1">Januar!$A$1:$D$54</definedName>
    <definedName name="EksterneData_1" localSheetId="6" hidden="1">Mai!$A$1:$D$34</definedName>
    <definedName name="EksterneData_1" localSheetId="4" hidden="1">Mars!$A$1:$D$55</definedName>
    <definedName name="ExternalData_1" localSheetId="27" hidden="1">Desember!$A$1:$D$58</definedName>
    <definedName name="ExternalData_1" localSheetId="25" hidden="1">GammelVipps!$A$1:$D$62</definedName>
    <definedName name="ExternalData_1" localSheetId="28" hidden="1">'GammelVipps (2)'!$A$1:$D$61</definedName>
    <definedName name="ExternalData_1" localSheetId="12" hidden="1">Inkjøp!$A$1:$C$71</definedName>
    <definedName name="ExternalData_1" localSheetId="19" hidden="1">Kjøregodtgjørelse!$A$1:$O$10</definedName>
    <definedName name="ExternalData_1" localSheetId="26" hidden="1">November!$A$1:$E$57</definedName>
    <definedName name="ExternalData_1" localSheetId="24" hidden="1">Oktober!$A$1:$D$59</definedName>
    <definedName name="ExternalData_1" localSheetId="33" hidden="1">Salg_Totalraport_Ferdigprodukt!$A$1:$C$68</definedName>
    <definedName name="ExternalData_1" localSheetId="41" hidden="1">Sept!$A$1:$D$58</definedName>
    <definedName name="ExternalData_1" localSheetId="32" hidden="1">Terminal_Salg_klar_til_sammensv!$A$1:$C$68</definedName>
    <definedName name="ExternalData_1" localSheetId="31" hidden="1">Terminal_Totalraport!$A$1:$C$67</definedName>
    <definedName name="ExternalData_1" localSheetId="29" hidden="1">TerminalV1!$A$1:$D$67</definedName>
    <definedName name="ExternalData_1" localSheetId="30" hidden="1">TerminalV2!$A$1:$D$67</definedName>
    <definedName name="ExternalData_1" localSheetId="13" hidden="1">Vipps_salg_Klar_til_sammensveis!$A$1:$C$68</definedName>
    <definedName name="ExternalData_1" localSheetId="9" hidden="1">Vipps_Totalraport!$A$1:$C$75</definedName>
    <definedName name="ExternalData_2" localSheetId="8" hidden="1">Salg_Total!$A$1:$C$76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6" i="5" l="1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G86" i="2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  <c r="C19" i="5" a="1"/>
  <c r="C19" i="5" s="1"/>
  <c r="C20" i="5" a="1"/>
  <c r="C20" i="5" s="1"/>
  <c r="C21" i="5" a="1"/>
  <c r="C21" i="5" s="1"/>
  <c r="C22" i="5" a="1"/>
  <c r="C22" i="5" s="1"/>
  <c r="C23" i="5" a="1"/>
  <c r="C23" i="5" s="1"/>
  <c r="C24" i="5" a="1"/>
  <c r="C24" i="5" s="1"/>
  <c r="C25" i="5" a="1"/>
  <c r="C25" i="5" s="1"/>
  <c r="C26" i="5" a="1"/>
  <c r="C26" i="5" s="1"/>
  <c r="C27" i="5" a="1"/>
  <c r="C27" i="5" s="1"/>
  <c r="C28" i="5" a="1"/>
  <c r="C28" i="5" s="1"/>
  <c r="C29" i="5" a="1"/>
  <c r="C29" i="5" s="1"/>
  <c r="C30" i="5" a="1"/>
  <c r="C30" i="5" s="1"/>
  <c r="C31" i="5" a="1"/>
  <c r="C31" i="5" s="1"/>
  <c r="C32" i="5" a="1"/>
  <c r="C32" i="5" s="1"/>
  <c r="C33" i="5" a="1"/>
  <c r="C33" i="5" s="1"/>
  <c r="C34" i="5" a="1"/>
  <c r="C34" i="5" s="1"/>
  <c r="C35" i="5" a="1"/>
  <c r="C35" i="5" s="1"/>
  <c r="C36" i="5" a="1"/>
  <c r="C36" i="5" s="1"/>
  <c r="C37" i="5" a="1"/>
  <c r="C37" i="5" s="1"/>
  <c r="C38" i="5" a="1"/>
  <c r="C38" i="5" s="1"/>
  <c r="C39" i="5" a="1"/>
  <c r="C39" i="5" s="1"/>
  <c r="C40" i="5" a="1"/>
  <c r="C40" i="5" s="1"/>
  <c r="C41" i="5" a="1"/>
  <c r="C41" i="5" s="1"/>
  <c r="C42" i="5" a="1"/>
  <c r="C42" i="5" s="1"/>
  <c r="C43" i="5" a="1"/>
  <c r="C43" i="5" s="1"/>
  <c r="C44" i="5" a="1"/>
  <c r="C44" i="5" s="1"/>
  <c r="C45" i="5" a="1"/>
  <c r="C45" i="5" s="1"/>
  <c r="C46" i="5" a="1"/>
  <c r="C46" i="5" s="1"/>
  <c r="C47" i="5" a="1"/>
  <c r="C47" i="5" s="1"/>
  <c r="C48" i="5" a="1"/>
  <c r="C48" i="5" s="1"/>
  <c r="C49" i="5" a="1"/>
  <c r="C49" i="5" s="1"/>
  <c r="C50" i="5" a="1"/>
  <c r="C50" i="5" s="1"/>
  <c r="C51" i="5" a="1"/>
  <c r="C51" i="5" s="1"/>
  <c r="C52" i="5" a="1"/>
  <c r="C52" i="5" s="1"/>
  <c r="C53" i="5" a="1"/>
  <c r="C53" i="5" s="1"/>
  <c r="C54" i="5" a="1"/>
  <c r="C54" i="5" s="1"/>
  <c r="C55" i="5" a="1"/>
  <c r="C55" i="5" s="1"/>
  <c r="C56" i="5" a="1"/>
  <c r="C56" i="5" s="1"/>
  <c r="C57" i="5" a="1"/>
  <c r="C57" i="5" s="1"/>
  <c r="C58" i="5" a="1"/>
  <c r="C58" i="5" s="1"/>
  <c r="C59" i="5" a="1"/>
  <c r="C59" i="5" s="1"/>
  <c r="C60" i="5" a="1"/>
  <c r="C60" i="5" s="1"/>
  <c r="C61" i="5" a="1"/>
  <c r="C61" i="5" s="1"/>
  <c r="C62" i="5" a="1"/>
  <c r="C62" i="5" s="1"/>
  <c r="C63" i="5" a="1"/>
  <c r="C63" i="5" s="1"/>
  <c r="C64" i="5" a="1"/>
  <c r="C64" i="5" s="1"/>
  <c r="C65" i="5" a="1"/>
  <c r="C65" i="5" s="1"/>
  <c r="C66" i="5" a="1"/>
  <c r="C66" i="5" s="1"/>
  <c r="C67" i="5" a="1"/>
  <c r="C67" i="5" s="1"/>
  <c r="C68" i="5" a="1"/>
  <c r="C68" i="5" s="1"/>
  <c r="C69" i="5" a="1"/>
  <c r="C69" i="5" s="1"/>
  <c r="C70" i="5" a="1"/>
  <c r="C70" i="5" s="1"/>
  <c r="C71" i="5" a="1"/>
  <c r="C71" i="5" s="1"/>
  <c r="E71" i="2" s="1"/>
  <c r="C72" i="5" a="1"/>
  <c r="C72" i="5" s="1"/>
  <c r="C73" i="5" a="1"/>
  <c r="C73" i="5" s="1"/>
  <c r="C74" i="5" a="1"/>
  <c r="C74" i="5" s="1"/>
  <c r="C2" i="5" a="1"/>
  <c r="C2" i="5" s="1"/>
  <c r="V4" i="2"/>
  <c r="J71" i="2"/>
  <c r="G70" i="2"/>
  <c r="H70" i="2"/>
  <c r="C70" i="2" s="1"/>
  <c r="R70" i="2" s="1"/>
  <c r="C71" i="2"/>
  <c r="G71" i="2"/>
  <c r="H71" i="2"/>
  <c r="BL36" i="5"/>
  <c r="BK2" i="5"/>
  <c r="BJ2" i="5"/>
  <c r="BI3" i="5"/>
  <c r="BI4" i="5"/>
  <c r="BI5" i="5"/>
  <c r="BI6" i="5"/>
  <c r="BI7" i="5"/>
  <c r="BI8" i="5"/>
  <c r="BI9" i="5"/>
  <c r="BI10" i="5"/>
  <c r="BI11" i="5"/>
  <c r="BI12" i="5"/>
  <c r="BI13" i="5"/>
  <c r="BI14" i="5"/>
  <c r="BI15" i="5"/>
  <c r="BI16" i="5"/>
  <c r="BI17" i="5"/>
  <c r="BI18" i="5"/>
  <c r="BI19" i="5"/>
  <c r="BI20" i="5"/>
  <c r="BI21" i="5"/>
  <c r="BI22" i="5"/>
  <c r="BI23" i="5"/>
  <c r="BI24" i="5"/>
  <c r="BI25" i="5"/>
  <c r="BI26" i="5"/>
  <c r="BI27" i="5"/>
  <c r="BI28" i="5"/>
  <c r="BI29" i="5"/>
  <c r="BI30" i="5"/>
  <c r="BI31" i="5"/>
  <c r="BI32" i="5"/>
  <c r="BI33" i="5"/>
  <c r="BI34" i="5"/>
  <c r="BI35" i="5"/>
  <c r="BI36" i="5"/>
  <c r="BI37" i="5"/>
  <c r="BI38" i="5"/>
  <c r="BI39" i="5"/>
  <c r="BI40" i="5"/>
  <c r="BI41" i="5"/>
  <c r="BI42" i="5"/>
  <c r="BI43" i="5"/>
  <c r="BI44" i="5"/>
  <c r="BI45" i="5"/>
  <c r="BI46" i="5"/>
  <c r="BI47" i="5"/>
  <c r="BI48" i="5"/>
  <c r="BI49" i="5"/>
  <c r="BI50" i="5"/>
  <c r="BI51" i="5"/>
  <c r="BI52" i="5"/>
  <c r="BI53" i="5"/>
  <c r="BI54" i="5"/>
  <c r="BI55" i="5"/>
  <c r="BI56" i="5"/>
  <c r="BI57" i="5"/>
  <c r="BI58" i="5"/>
  <c r="BI59" i="5"/>
  <c r="BI60" i="5"/>
  <c r="BI61" i="5"/>
  <c r="BI62" i="5"/>
  <c r="BI63" i="5"/>
  <c r="BI64" i="5"/>
  <c r="BI65" i="5"/>
  <c r="BI66" i="5"/>
  <c r="BI67" i="5"/>
  <c r="BI68" i="5"/>
  <c r="BI69" i="5"/>
  <c r="BI70" i="5"/>
  <c r="BI71" i="5"/>
  <c r="BI72" i="5"/>
  <c r="BI2" i="5"/>
  <c r="D71" i="2"/>
  <c r="J79" i="7"/>
  <c r="I76" i="7"/>
  <c r="F71" i="2" l="1"/>
  <c r="P71" i="2" s="1"/>
  <c r="L71" i="2"/>
  <c r="J70" i="2"/>
  <c r="R71" i="2"/>
  <c r="K71" i="2"/>
  <c r="M71" i="2" s="1"/>
  <c r="A80" i="7" a="1"/>
  <c r="D5" i="16"/>
  <c r="I63" i="7"/>
  <c r="O62" i="7"/>
  <c r="B2" i="7" a="1"/>
  <c r="C74" i="7" s="1"/>
  <c r="B2" i="2" a="1"/>
  <c r="A80" i="7" l="1"/>
  <c r="I77" i="7"/>
  <c r="S71" i="2"/>
  <c r="Q71" i="2"/>
  <c r="B2" i="2"/>
  <c r="C73" i="7"/>
  <c r="C72" i="7"/>
  <c r="D75" i="7"/>
  <c r="D74" i="7"/>
  <c r="D73" i="7"/>
  <c r="D72" i="7"/>
  <c r="C75" i="7"/>
  <c r="B2" i="7"/>
  <c r="AY18" i="7" s="1"/>
  <c r="AT35" i="7"/>
  <c r="AE14" i="7"/>
  <c r="AE41" i="7"/>
  <c r="AY21" i="7"/>
  <c r="AE13" i="7"/>
  <c r="AY33" i="7"/>
  <c r="AE21" i="7"/>
  <c r="AY13" i="7"/>
  <c r="AE29" i="7"/>
  <c r="AT6" i="7"/>
  <c r="AO9" i="7"/>
  <c r="AT12" i="7"/>
  <c r="AT20" i="7"/>
  <c r="AY27" i="7"/>
  <c r="AY2" i="7"/>
  <c r="AO34" i="7"/>
  <c r="AO42" i="7"/>
  <c r="AT45" i="7"/>
  <c r="AY4" i="7"/>
  <c r="AE24" i="7"/>
  <c r="AE32" i="7"/>
  <c r="AO4" i="7"/>
  <c r="AO12" i="7"/>
  <c r="AT15" i="7"/>
  <c r="AT23" i="7"/>
  <c r="AY30" i="7"/>
  <c r="AE2" i="7"/>
  <c r="AO5" i="7"/>
  <c r="AO13" i="7"/>
  <c r="AT16" i="7"/>
  <c r="AT24" i="7"/>
  <c r="AY31" i="7"/>
  <c r="AE3" i="7"/>
  <c r="AO6" i="7"/>
  <c r="AO14" i="7"/>
  <c r="AT17" i="7"/>
  <c r="AT25" i="7"/>
  <c r="AY32" i="7"/>
  <c r="AE4" i="7"/>
  <c r="AO7" i="7"/>
  <c r="AO15" i="7"/>
  <c r="AT18" i="7"/>
  <c r="AT26" i="7"/>
  <c r="D4" i="3"/>
  <c r="D5" i="3"/>
  <c r="D5" i="8"/>
  <c r="D6" i="8" s="1"/>
  <c r="D4" i="8"/>
  <c r="D6" i="51"/>
  <c r="D5" i="51"/>
  <c r="D21" i="1" s="1"/>
  <c r="D6" i="50"/>
  <c r="E22" i="1" s="1"/>
  <c r="D5" i="50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BC62" i="7"/>
  <c r="BB62" i="7"/>
  <c r="AX62" i="7"/>
  <c r="AW62" i="7"/>
  <c r="AS62" i="7"/>
  <c r="AR62" i="7"/>
  <c r="AN62" i="7"/>
  <c r="AM62" i="7"/>
  <c r="AI62" i="7"/>
  <c r="AH62" i="7"/>
  <c r="Y62" i="7"/>
  <c r="D70" i="2"/>
  <c r="BQ86" i="5"/>
  <c r="BP86" i="5"/>
  <c r="BT78" i="5" s="1"/>
  <c r="BS72" i="5"/>
  <c r="BR72" i="5"/>
  <c r="BT72" i="5" s="1"/>
  <c r="BU71" i="5"/>
  <c r="BT71" i="5"/>
  <c r="BS71" i="5"/>
  <c r="BU70" i="5"/>
  <c r="BS70" i="5"/>
  <c r="BR70" i="5"/>
  <c r="BT70" i="5" s="1"/>
  <c r="BU69" i="5"/>
  <c r="BS69" i="5"/>
  <c r="BR69" i="5"/>
  <c r="BT69" i="5" s="1"/>
  <c r="BS68" i="5"/>
  <c r="BR68" i="5"/>
  <c r="BT68" i="5" s="1"/>
  <c r="BS67" i="5"/>
  <c r="BR67" i="5"/>
  <c r="BT67" i="5" s="1"/>
  <c r="BS66" i="5"/>
  <c r="BR66" i="5"/>
  <c r="BT66" i="5" s="1"/>
  <c r="BS65" i="5"/>
  <c r="BR65" i="5"/>
  <c r="BT65" i="5" s="1"/>
  <c r="BS64" i="5"/>
  <c r="BR64" i="5"/>
  <c r="BT64" i="5" s="1"/>
  <c r="BS63" i="5"/>
  <c r="BR63" i="5"/>
  <c r="BT63" i="5" s="1"/>
  <c r="BS62" i="5"/>
  <c r="BR62" i="5"/>
  <c r="BT62" i="5" s="1"/>
  <c r="BS61" i="5"/>
  <c r="BR61" i="5"/>
  <c r="BT61" i="5" s="1"/>
  <c r="BS60" i="5"/>
  <c r="BR60" i="5"/>
  <c r="BT60" i="5" s="1"/>
  <c r="BS59" i="5"/>
  <c r="BR59" i="5"/>
  <c r="BT59" i="5" s="1"/>
  <c r="BS58" i="5"/>
  <c r="BR58" i="5"/>
  <c r="BT58" i="5" s="1"/>
  <c r="BS57" i="5"/>
  <c r="BR57" i="5"/>
  <c r="BT57" i="5" s="1"/>
  <c r="BS56" i="5"/>
  <c r="BR56" i="5"/>
  <c r="BT56" i="5" s="1"/>
  <c r="BS55" i="5"/>
  <c r="BR55" i="5"/>
  <c r="BT55" i="5" s="1"/>
  <c r="BS54" i="5"/>
  <c r="BR54" i="5"/>
  <c r="BT54" i="5" s="1"/>
  <c r="BS53" i="5"/>
  <c r="BR53" i="5"/>
  <c r="BT53" i="5" s="1"/>
  <c r="BS52" i="5"/>
  <c r="BR52" i="5"/>
  <c r="BT52" i="5" s="1"/>
  <c r="BS51" i="5"/>
  <c r="BR51" i="5"/>
  <c r="BT51" i="5" s="1"/>
  <c r="BS50" i="5"/>
  <c r="BR50" i="5"/>
  <c r="BT50" i="5" s="1"/>
  <c r="BS49" i="5"/>
  <c r="BR49" i="5"/>
  <c r="BT49" i="5" s="1"/>
  <c r="BS48" i="5"/>
  <c r="BR48" i="5"/>
  <c r="BT48" i="5" s="1"/>
  <c r="BS47" i="5"/>
  <c r="BR47" i="5"/>
  <c r="BT47" i="5" s="1"/>
  <c r="BS46" i="5"/>
  <c r="BS45" i="5"/>
  <c r="BR45" i="5"/>
  <c r="BT45" i="5" s="1"/>
  <c r="BS44" i="5"/>
  <c r="BR44" i="5"/>
  <c r="BT44" i="5" s="1"/>
  <c r="BS43" i="5"/>
  <c r="BR43" i="5"/>
  <c r="BT43" i="5" s="1"/>
  <c r="BS42" i="5"/>
  <c r="BR42" i="5"/>
  <c r="BT42" i="5" s="1"/>
  <c r="BT41" i="5"/>
  <c r="BS41" i="5"/>
  <c r="BU40" i="5"/>
  <c r="BS40" i="5"/>
  <c r="BR40" i="5"/>
  <c r="BT40" i="5" s="1"/>
  <c r="BU39" i="5"/>
  <c r="BS39" i="5"/>
  <c r="BR39" i="5"/>
  <c r="BT39" i="5" s="1"/>
  <c r="BU38" i="5"/>
  <c r="BS38" i="5"/>
  <c r="BR38" i="5"/>
  <c r="BT38" i="5" s="1"/>
  <c r="BU37" i="5"/>
  <c r="BS37" i="5"/>
  <c r="BR37" i="5"/>
  <c r="BT37" i="5" s="1"/>
  <c r="BS36" i="5"/>
  <c r="BR36" i="5"/>
  <c r="BT36" i="5" s="1"/>
  <c r="BU35" i="5"/>
  <c r="BS35" i="5"/>
  <c r="BR35" i="5"/>
  <c r="BT35" i="5" s="1"/>
  <c r="BU34" i="5"/>
  <c r="BS34" i="5"/>
  <c r="BR34" i="5"/>
  <c r="BT34" i="5" s="1"/>
  <c r="BU33" i="5"/>
  <c r="BS33" i="5"/>
  <c r="BR33" i="5"/>
  <c r="BT33" i="5" s="1"/>
  <c r="BU32" i="5"/>
  <c r="BS32" i="5"/>
  <c r="BR32" i="5"/>
  <c r="BT32" i="5" s="1"/>
  <c r="BU31" i="5"/>
  <c r="BS31" i="5"/>
  <c r="BR31" i="5"/>
  <c r="BT31" i="5" s="1"/>
  <c r="BS30" i="5"/>
  <c r="BR30" i="5"/>
  <c r="BT30" i="5" s="1"/>
  <c r="BS29" i="5"/>
  <c r="BR29" i="5"/>
  <c r="BT29" i="5" s="1"/>
  <c r="BS28" i="5"/>
  <c r="BR28" i="5"/>
  <c r="BT28" i="5" s="1"/>
  <c r="BS27" i="5"/>
  <c r="BR27" i="5"/>
  <c r="BT27" i="5" s="1"/>
  <c r="BS26" i="5"/>
  <c r="BR26" i="5"/>
  <c r="BT26" i="5" s="1"/>
  <c r="BS25" i="5"/>
  <c r="BR25" i="5"/>
  <c r="BT25" i="5" s="1"/>
  <c r="BS24" i="5"/>
  <c r="BR24" i="5"/>
  <c r="BT24" i="5" s="1"/>
  <c r="BU23" i="5"/>
  <c r="BS23" i="5"/>
  <c r="BR23" i="5"/>
  <c r="BT23" i="5" s="1"/>
  <c r="BU22" i="5"/>
  <c r="BS22" i="5"/>
  <c r="BR22" i="5"/>
  <c r="BT22" i="5" s="1"/>
  <c r="BU21" i="5"/>
  <c r="BS21" i="5"/>
  <c r="BR21" i="5"/>
  <c r="BT21" i="5" s="1"/>
  <c r="BU20" i="5"/>
  <c r="BS20" i="5"/>
  <c r="BR20" i="5"/>
  <c r="BT20" i="5" s="1"/>
  <c r="BU19" i="5"/>
  <c r="BS19" i="5"/>
  <c r="BR19" i="5"/>
  <c r="BT19" i="5" s="1"/>
  <c r="BU18" i="5"/>
  <c r="BS18" i="5"/>
  <c r="BR18" i="5"/>
  <c r="BT18" i="5" s="1"/>
  <c r="BU17" i="5"/>
  <c r="BS17" i="5"/>
  <c r="BR17" i="5"/>
  <c r="BT17" i="5" s="1"/>
  <c r="BU16" i="5"/>
  <c r="BS16" i="5"/>
  <c r="BR16" i="5"/>
  <c r="BT16" i="5" s="1"/>
  <c r="BU15" i="5"/>
  <c r="BS15" i="5"/>
  <c r="BR15" i="5"/>
  <c r="BT15" i="5" s="1"/>
  <c r="BU14" i="5"/>
  <c r="BS14" i="5"/>
  <c r="BR14" i="5"/>
  <c r="BT14" i="5" s="1"/>
  <c r="BU13" i="5"/>
  <c r="BS13" i="5"/>
  <c r="BR13" i="5"/>
  <c r="BT13" i="5" s="1"/>
  <c r="BU12" i="5"/>
  <c r="BS12" i="5"/>
  <c r="BR12" i="5"/>
  <c r="BT12" i="5" s="1"/>
  <c r="BU11" i="5"/>
  <c r="BS11" i="5"/>
  <c r="BR11" i="5"/>
  <c r="BT11" i="5" s="1"/>
  <c r="BU10" i="5"/>
  <c r="BS10" i="5"/>
  <c r="BR10" i="5"/>
  <c r="BT10" i="5" s="1"/>
  <c r="BU9" i="5"/>
  <c r="BS9" i="5"/>
  <c r="BR9" i="5"/>
  <c r="BT9" i="5" s="1"/>
  <c r="BU8" i="5"/>
  <c r="BS8" i="5"/>
  <c r="BR8" i="5"/>
  <c r="BT8" i="5" s="1"/>
  <c r="BU7" i="5"/>
  <c r="BS7" i="5"/>
  <c r="BR7" i="5"/>
  <c r="BT7" i="5" s="1"/>
  <c r="BU6" i="5"/>
  <c r="BS6" i="5"/>
  <c r="BR6" i="5"/>
  <c r="BT6" i="5" s="1"/>
  <c r="BU5" i="5"/>
  <c r="BS5" i="5"/>
  <c r="BR5" i="5"/>
  <c r="BT5" i="5" s="1"/>
  <c r="BU4" i="5"/>
  <c r="BS4" i="5"/>
  <c r="BR4" i="5"/>
  <c r="BT4" i="5" s="1"/>
  <c r="BU3" i="5"/>
  <c r="BS3" i="5"/>
  <c r="BR3" i="5"/>
  <c r="BT3" i="5" s="1"/>
  <c r="BU2" i="5"/>
  <c r="BS2" i="5"/>
  <c r="BR2" i="5"/>
  <c r="BT2" i="5" s="1"/>
  <c r="BH86" i="5"/>
  <c r="BG86" i="5"/>
  <c r="BK78" i="5" s="1"/>
  <c r="BJ72" i="5"/>
  <c r="BK72" i="5"/>
  <c r="BL71" i="5"/>
  <c r="BK71" i="5"/>
  <c r="BJ71" i="5"/>
  <c r="BL70" i="5"/>
  <c r="BJ70" i="5"/>
  <c r="BK70" i="5"/>
  <c r="BL69" i="5"/>
  <c r="BJ69" i="5"/>
  <c r="BK69" i="5"/>
  <c r="BJ68" i="5"/>
  <c r="BK68" i="5"/>
  <c r="BJ67" i="5"/>
  <c r="BK67" i="5"/>
  <c r="BJ66" i="5"/>
  <c r="BK66" i="5"/>
  <c r="BJ65" i="5"/>
  <c r="BK65" i="5"/>
  <c r="BJ64" i="5"/>
  <c r="BK64" i="5"/>
  <c r="BJ63" i="5"/>
  <c r="BK63" i="5"/>
  <c r="BJ62" i="5"/>
  <c r="BK62" i="5"/>
  <c r="BJ61" i="5"/>
  <c r="BK61" i="5"/>
  <c r="BJ60" i="5"/>
  <c r="BK60" i="5"/>
  <c r="BJ59" i="5"/>
  <c r="BK59" i="5"/>
  <c r="BJ58" i="5"/>
  <c r="BK58" i="5"/>
  <c r="BJ57" i="5"/>
  <c r="BK57" i="5"/>
  <c r="BJ56" i="5"/>
  <c r="BK56" i="5"/>
  <c r="BJ55" i="5"/>
  <c r="BK55" i="5"/>
  <c r="BJ54" i="5"/>
  <c r="BK54" i="5"/>
  <c r="BJ53" i="5"/>
  <c r="BK53" i="5"/>
  <c r="BJ52" i="5"/>
  <c r="BK52" i="5"/>
  <c r="BJ51" i="5"/>
  <c r="BK51" i="5"/>
  <c r="BJ50" i="5"/>
  <c r="BK50" i="5"/>
  <c r="BJ49" i="5"/>
  <c r="BK49" i="5"/>
  <c r="BJ48" i="5"/>
  <c r="BK48" i="5"/>
  <c r="BJ47" i="5"/>
  <c r="BK47" i="5"/>
  <c r="BG76" i="5"/>
  <c r="BJ45" i="5"/>
  <c r="BK45" i="5"/>
  <c r="BJ44" i="5"/>
  <c r="BK44" i="5"/>
  <c r="BJ43" i="5"/>
  <c r="BK43" i="5"/>
  <c r="BJ42" i="5"/>
  <c r="BK42" i="5"/>
  <c r="BK41" i="5"/>
  <c r="BJ41" i="5"/>
  <c r="BJ40" i="5"/>
  <c r="BK40" i="5"/>
  <c r="BL39" i="5"/>
  <c r="BJ39" i="5"/>
  <c r="BK39" i="5"/>
  <c r="BL38" i="5"/>
  <c r="BJ38" i="5"/>
  <c r="BK38" i="5"/>
  <c r="BL37" i="5"/>
  <c r="BJ37" i="5"/>
  <c r="BK37" i="5"/>
  <c r="BJ36" i="5"/>
  <c r="BK36" i="5"/>
  <c r="BL35" i="5"/>
  <c r="BJ35" i="5"/>
  <c r="BK35" i="5"/>
  <c r="BL34" i="5"/>
  <c r="BJ34" i="5"/>
  <c r="BK34" i="5"/>
  <c r="BL33" i="5"/>
  <c r="BJ33" i="5"/>
  <c r="BK33" i="5"/>
  <c r="BL32" i="5"/>
  <c r="BJ32" i="5"/>
  <c r="BK32" i="5"/>
  <c r="BL31" i="5"/>
  <c r="BJ31" i="5"/>
  <c r="BK31" i="5"/>
  <c r="BJ30" i="5"/>
  <c r="BK30" i="5"/>
  <c r="BJ29" i="5"/>
  <c r="BK29" i="5"/>
  <c r="BJ28" i="5"/>
  <c r="BK28" i="5"/>
  <c r="BJ27" i="5"/>
  <c r="BK27" i="5"/>
  <c r="BJ26" i="5"/>
  <c r="BK26" i="5"/>
  <c r="BJ25" i="5"/>
  <c r="BK25" i="5"/>
  <c r="BJ24" i="5"/>
  <c r="BK24" i="5"/>
  <c r="BL23" i="5"/>
  <c r="BJ23" i="5"/>
  <c r="BK23" i="5"/>
  <c r="BL22" i="5"/>
  <c r="BJ22" i="5"/>
  <c r="BK22" i="5"/>
  <c r="BL21" i="5"/>
  <c r="BJ21" i="5"/>
  <c r="BK21" i="5"/>
  <c r="BL20" i="5"/>
  <c r="BJ20" i="5"/>
  <c r="BK20" i="5"/>
  <c r="BL19" i="5"/>
  <c r="BJ19" i="5"/>
  <c r="BK19" i="5"/>
  <c r="BL18" i="5"/>
  <c r="BJ18" i="5"/>
  <c r="BK18" i="5"/>
  <c r="BL17" i="5"/>
  <c r="BJ17" i="5"/>
  <c r="BK17" i="5"/>
  <c r="BL16" i="5"/>
  <c r="BJ16" i="5"/>
  <c r="BK16" i="5"/>
  <c r="BL15" i="5"/>
  <c r="BJ15" i="5"/>
  <c r="BK15" i="5"/>
  <c r="BL14" i="5"/>
  <c r="BJ14" i="5"/>
  <c r="BK14" i="5"/>
  <c r="BL13" i="5"/>
  <c r="BJ13" i="5"/>
  <c r="BK13" i="5"/>
  <c r="BL12" i="5"/>
  <c r="BJ12" i="5"/>
  <c r="BK12" i="5"/>
  <c r="BL11" i="5"/>
  <c r="BJ11" i="5"/>
  <c r="BK11" i="5"/>
  <c r="BL10" i="5"/>
  <c r="BJ10" i="5"/>
  <c r="BK10" i="5"/>
  <c r="BL9" i="5"/>
  <c r="BJ9" i="5"/>
  <c r="BK9" i="5"/>
  <c r="BL8" i="5"/>
  <c r="BJ8" i="5"/>
  <c r="BK8" i="5"/>
  <c r="BL7" i="5"/>
  <c r="BJ7" i="5"/>
  <c r="BK7" i="5"/>
  <c r="BL6" i="5"/>
  <c r="BJ6" i="5"/>
  <c r="BK6" i="5"/>
  <c r="BL5" i="5"/>
  <c r="BJ5" i="5"/>
  <c r="BK5" i="5"/>
  <c r="BL4" i="5"/>
  <c r="BJ4" i="5"/>
  <c r="BK4" i="5"/>
  <c r="BL3" i="5"/>
  <c r="BJ3" i="5"/>
  <c r="BK3" i="5"/>
  <c r="BL2" i="5"/>
  <c r="AX46" i="5"/>
  <c r="AY86" i="5"/>
  <c r="BC71" i="5"/>
  <c r="K70" i="2" l="1"/>
  <c r="M70" i="2" s="1"/>
  <c r="F70" i="2"/>
  <c r="D7" i="50"/>
  <c r="D22" i="1"/>
  <c r="C22" i="1" s="1"/>
  <c r="I78" i="7"/>
  <c r="C81" i="2"/>
  <c r="D7" i="51"/>
  <c r="AT10" i="7"/>
  <c r="AE52" i="7"/>
  <c r="AY24" i="7"/>
  <c r="AT9" i="7"/>
  <c r="AE51" i="7"/>
  <c r="AY23" i="7"/>
  <c r="AT8" i="7"/>
  <c r="AE50" i="7"/>
  <c r="AY22" i="7"/>
  <c r="AT7" i="7"/>
  <c r="AO11" i="7"/>
  <c r="AE16" i="7"/>
  <c r="AT37" i="7"/>
  <c r="AO26" i="7"/>
  <c r="AY19" i="7"/>
  <c r="AT4" i="7"/>
  <c r="AT38" i="7"/>
  <c r="AT30" i="7"/>
  <c r="AT22" i="7"/>
  <c r="AY25" i="7"/>
  <c r="AT43" i="7"/>
  <c r="AY9" i="7"/>
  <c r="AY26" i="7"/>
  <c r="AO51" i="7"/>
  <c r="AO55" i="7"/>
  <c r="AE44" i="7"/>
  <c r="AY16" i="7"/>
  <c r="AO54" i="7"/>
  <c r="AE43" i="7"/>
  <c r="AY15" i="7"/>
  <c r="AO53" i="7"/>
  <c r="AE42" i="7"/>
  <c r="AY14" i="7"/>
  <c r="AO52" i="7"/>
  <c r="AO3" i="7"/>
  <c r="AE8" i="7"/>
  <c r="AT29" i="7"/>
  <c r="AO18" i="7"/>
  <c r="AY11" i="7"/>
  <c r="AO49" i="7"/>
  <c r="AY17" i="7"/>
  <c r="AO48" i="7"/>
  <c r="AO40" i="7"/>
  <c r="AT46" i="7"/>
  <c r="AT3" i="7"/>
  <c r="AE38" i="7"/>
  <c r="AT51" i="7"/>
  <c r="AO24" i="7"/>
  <c r="AO47" i="7"/>
  <c r="AE36" i="7"/>
  <c r="AY8" i="7"/>
  <c r="AO46" i="7"/>
  <c r="AE35" i="7"/>
  <c r="AY7" i="7"/>
  <c r="AO45" i="7"/>
  <c r="AE34" i="7"/>
  <c r="AY6" i="7"/>
  <c r="AO44" i="7"/>
  <c r="AO27" i="7"/>
  <c r="AT2" i="7"/>
  <c r="AT21" i="7"/>
  <c r="AO10" i="7"/>
  <c r="AY3" i="7"/>
  <c r="AO41" i="7"/>
  <c r="AO2" i="7"/>
  <c r="AE25" i="7"/>
  <c r="AE17" i="7"/>
  <c r="AT11" i="7"/>
  <c r="AO8" i="7"/>
  <c r="AY29" i="7"/>
  <c r="AT14" i="7"/>
  <c r="AT50" i="7"/>
  <c r="AO39" i="7"/>
  <c r="AE28" i="7"/>
  <c r="AT49" i="7"/>
  <c r="AO38" i="7"/>
  <c r="AE27" i="7"/>
  <c r="AT48" i="7"/>
  <c r="AO37" i="7"/>
  <c r="AE26" i="7"/>
  <c r="AT47" i="7"/>
  <c r="AO36" i="7"/>
  <c r="AO19" i="7"/>
  <c r="AY28" i="7"/>
  <c r="AT13" i="7"/>
  <c r="AE23" i="7"/>
  <c r="AT44" i="7"/>
  <c r="AO33" i="7"/>
  <c r="AE22" i="7"/>
  <c r="AY10" i="7"/>
  <c r="AE54" i="7"/>
  <c r="AO16" i="7"/>
  <c r="AE46" i="7"/>
  <c r="AY5" i="7"/>
  <c r="AE47" i="7"/>
  <c r="AT42" i="7"/>
  <c r="AO31" i="7"/>
  <c r="AE20" i="7"/>
  <c r="AT41" i="7"/>
  <c r="AO30" i="7"/>
  <c r="AE19" i="7"/>
  <c r="AT40" i="7"/>
  <c r="AO29" i="7"/>
  <c r="AE18" i="7"/>
  <c r="AT39" i="7"/>
  <c r="AO28" i="7"/>
  <c r="AE48" i="7"/>
  <c r="AY20" i="7"/>
  <c r="AT5" i="7"/>
  <c r="AE15" i="7"/>
  <c r="AT36" i="7"/>
  <c r="AO25" i="7"/>
  <c r="AE39" i="7"/>
  <c r="AT27" i="7"/>
  <c r="AO32" i="7"/>
  <c r="AE49" i="7"/>
  <c r="AE5" i="7"/>
  <c r="AT19" i="7"/>
  <c r="AE30" i="7"/>
  <c r="AT34" i="7"/>
  <c r="AO23" i="7"/>
  <c r="AE12" i="7"/>
  <c r="AT33" i="7"/>
  <c r="AO22" i="7"/>
  <c r="AE11" i="7"/>
  <c r="AT32" i="7"/>
  <c r="AO21" i="7"/>
  <c r="AE10" i="7"/>
  <c r="AT31" i="7"/>
  <c r="AO20" i="7"/>
  <c r="AE40" i="7"/>
  <c r="AY12" i="7"/>
  <c r="AO50" i="7"/>
  <c r="AE7" i="7"/>
  <c r="AT28" i="7"/>
  <c r="AO17" i="7"/>
  <c r="AE55" i="7"/>
  <c r="AO43" i="7"/>
  <c r="AE53" i="7"/>
  <c r="AE31" i="7"/>
  <c r="AE45" i="7"/>
  <c r="AO35" i="7"/>
  <c r="AE6" i="7"/>
  <c r="AE33" i="7"/>
  <c r="AE9" i="7"/>
  <c r="AY34" i="7"/>
  <c r="AE37" i="7"/>
  <c r="BK80" i="5"/>
  <c r="E21" i="1"/>
  <c r="BL76" i="5"/>
  <c r="BU76" i="5"/>
  <c r="BS76" i="5"/>
  <c r="BT46" i="5"/>
  <c r="BT76" i="5" s="1"/>
  <c r="BP76" i="5"/>
  <c r="BT80" i="5" s="1"/>
  <c r="BJ46" i="5"/>
  <c r="BJ76" i="5" s="1"/>
  <c r="BK46" i="5"/>
  <c r="BK76" i="5" s="1"/>
  <c r="AP86" i="5"/>
  <c r="AO46" i="5"/>
  <c r="AR46" i="5" s="1"/>
  <c r="AO81" i="5"/>
  <c r="AO86" i="5" s="1"/>
  <c r="AS78" i="5" s="1"/>
  <c r="AS41" i="5"/>
  <c r="AX86" i="5"/>
  <c r="BB78" i="5" s="1"/>
  <c r="AX76" i="5"/>
  <c r="BB80" i="5" s="1"/>
  <c r="BA72" i="5"/>
  <c r="AZ72" i="5"/>
  <c r="BB72" i="5" s="1"/>
  <c r="BA71" i="5"/>
  <c r="BB71" i="5"/>
  <c r="BC70" i="5"/>
  <c r="BA70" i="5"/>
  <c r="AZ70" i="5"/>
  <c r="BB70" i="5" s="1"/>
  <c r="BC69" i="5"/>
  <c r="BA69" i="5"/>
  <c r="AZ69" i="5"/>
  <c r="BB69" i="5" s="1"/>
  <c r="BA68" i="5"/>
  <c r="AZ68" i="5"/>
  <c r="BB68" i="5" s="1"/>
  <c r="BA67" i="5"/>
  <c r="AZ67" i="5"/>
  <c r="BB67" i="5" s="1"/>
  <c r="BA66" i="5"/>
  <c r="AZ66" i="5"/>
  <c r="BB66" i="5" s="1"/>
  <c r="BA65" i="5"/>
  <c r="AZ65" i="5"/>
  <c r="BB65" i="5" s="1"/>
  <c r="BA64" i="5"/>
  <c r="AZ64" i="5"/>
  <c r="BB64" i="5" s="1"/>
  <c r="BA63" i="5"/>
  <c r="AZ63" i="5"/>
  <c r="BB63" i="5" s="1"/>
  <c r="BA62" i="5"/>
  <c r="AZ62" i="5"/>
  <c r="BB62" i="5" s="1"/>
  <c r="BA61" i="5"/>
  <c r="AZ61" i="5"/>
  <c r="BB61" i="5" s="1"/>
  <c r="BA60" i="5"/>
  <c r="AZ60" i="5"/>
  <c r="BB60" i="5" s="1"/>
  <c r="BA59" i="5"/>
  <c r="AZ59" i="5"/>
  <c r="BB59" i="5" s="1"/>
  <c r="BA58" i="5"/>
  <c r="AZ58" i="5"/>
  <c r="BB58" i="5" s="1"/>
  <c r="BA57" i="5"/>
  <c r="AZ57" i="5"/>
  <c r="BB57" i="5" s="1"/>
  <c r="BA56" i="5"/>
  <c r="AZ56" i="5"/>
  <c r="BB56" i="5" s="1"/>
  <c r="BA55" i="5"/>
  <c r="AZ55" i="5"/>
  <c r="BB55" i="5" s="1"/>
  <c r="BA54" i="5"/>
  <c r="AZ54" i="5"/>
  <c r="BB54" i="5" s="1"/>
  <c r="BA53" i="5"/>
  <c r="AZ53" i="5"/>
  <c r="BB53" i="5" s="1"/>
  <c r="BA52" i="5"/>
  <c r="AZ52" i="5"/>
  <c r="BB52" i="5" s="1"/>
  <c r="BA51" i="5"/>
  <c r="AZ51" i="5"/>
  <c r="BB51" i="5" s="1"/>
  <c r="BA50" i="5"/>
  <c r="AZ50" i="5"/>
  <c r="BB50" i="5" s="1"/>
  <c r="BA49" i="5"/>
  <c r="AZ49" i="5"/>
  <c r="BB49" i="5" s="1"/>
  <c r="BA48" i="5"/>
  <c r="AZ48" i="5"/>
  <c r="BB48" i="5" s="1"/>
  <c r="BA47" i="5"/>
  <c r="AZ47" i="5"/>
  <c r="BB47" i="5" s="1"/>
  <c r="BA46" i="5"/>
  <c r="BB46" i="5"/>
  <c r="BA45" i="5"/>
  <c r="AZ45" i="5"/>
  <c r="BB45" i="5" s="1"/>
  <c r="BA44" i="5"/>
  <c r="AZ44" i="5"/>
  <c r="BB44" i="5" s="1"/>
  <c r="BA43" i="5"/>
  <c r="AZ43" i="5"/>
  <c r="BB43" i="5" s="1"/>
  <c r="BA42" i="5"/>
  <c r="AZ42" i="5"/>
  <c r="BB42" i="5" s="1"/>
  <c r="BB41" i="5"/>
  <c r="BA41" i="5"/>
  <c r="BC40" i="5"/>
  <c r="BA40" i="5"/>
  <c r="AZ40" i="5"/>
  <c r="BB40" i="5" s="1"/>
  <c r="BC39" i="5"/>
  <c r="BA39" i="5"/>
  <c r="AZ39" i="5"/>
  <c r="BB39" i="5" s="1"/>
  <c r="BC38" i="5"/>
  <c r="BA38" i="5"/>
  <c r="AZ38" i="5"/>
  <c r="BB38" i="5" s="1"/>
  <c r="BC37" i="5"/>
  <c r="BA37" i="5"/>
  <c r="AZ37" i="5"/>
  <c r="BB37" i="5" s="1"/>
  <c r="BA36" i="5"/>
  <c r="AZ36" i="5"/>
  <c r="BB36" i="5" s="1"/>
  <c r="BC35" i="5"/>
  <c r="BA35" i="5"/>
  <c r="AZ35" i="5"/>
  <c r="BB35" i="5" s="1"/>
  <c r="BC34" i="5"/>
  <c r="BA34" i="5"/>
  <c r="AZ34" i="5"/>
  <c r="BB34" i="5" s="1"/>
  <c r="BC33" i="5"/>
  <c r="BA33" i="5"/>
  <c r="AZ33" i="5"/>
  <c r="BB33" i="5" s="1"/>
  <c r="BC32" i="5"/>
  <c r="BA32" i="5"/>
  <c r="AZ32" i="5"/>
  <c r="BB32" i="5" s="1"/>
  <c r="BC31" i="5"/>
  <c r="BA31" i="5"/>
  <c r="AZ31" i="5"/>
  <c r="BB31" i="5" s="1"/>
  <c r="BA30" i="5"/>
  <c r="AZ30" i="5"/>
  <c r="BB30" i="5" s="1"/>
  <c r="BA29" i="5"/>
  <c r="AZ29" i="5"/>
  <c r="BB29" i="5" s="1"/>
  <c r="BA28" i="5"/>
  <c r="AZ28" i="5"/>
  <c r="BB28" i="5" s="1"/>
  <c r="BA27" i="5"/>
  <c r="AZ27" i="5"/>
  <c r="BB27" i="5" s="1"/>
  <c r="BA26" i="5"/>
  <c r="AZ26" i="5"/>
  <c r="BB26" i="5" s="1"/>
  <c r="BA25" i="5"/>
  <c r="AZ25" i="5"/>
  <c r="BB25" i="5" s="1"/>
  <c r="BA24" i="5"/>
  <c r="AZ24" i="5"/>
  <c r="BB24" i="5" s="1"/>
  <c r="BC23" i="5"/>
  <c r="BA23" i="5"/>
  <c r="AZ23" i="5"/>
  <c r="BB23" i="5" s="1"/>
  <c r="BC22" i="5"/>
  <c r="BA22" i="5"/>
  <c r="AZ22" i="5"/>
  <c r="BB22" i="5" s="1"/>
  <c r="BC21" i="5"/>
  <c r="BA21" i="5"/>
  <c r="AZ21" i="5"/>
  <c r="BB21" i="5" s="1"/>
  <c r="BC20" i="5"/>
  <c r="BA20" i="5"/>
  <c r="AZ20" i="5"/>
  <c r="BB20" i="5" s="1"/>
  <c r="BC19" i="5"/>
  <c r="BA19" i="5"/>
  <c r="BB19" i="5"/>
  <c r="BC18" i="5"/>
  <c r="BA18" i="5"/>
  <c r="AZ18" i="5"/>
  <c r="BB18" i="5" s="1"/>
  <c r="BC17" i="5"/>
  <c r="BA17" i="5"/>
  <c r="AZ17" i="5"/>
  <c r="BB17" i="5" s="1"/>
  <c r="BC16" i="5"/>
  <c r="BA16" i="5"/>
  <c r="AZ16" i="5"/>
  <c r="BB16" i="5" s="1"/>
  <c r="BC15" i="5"/>
  <c r="BA15" i="5"/>
  <c r="AZ15" i="5"/>
  <c r="BB15" i="5" s="1"/>
  <c r="BC14" i="5"/>
  <c r="BA14" i="5"/>
  <c r="AZ14" i="5"/>
  <c r="BB14" i="5" s="1"/>
  <c r="BC13" i="5"/>
  <c r="BA13" i="5"/>
  <c r="AZ13" i="5"/>
  <c r="BB13" i="5" s="1"/>
  <c r="BC12" i="5"/>
  <c r="BA12" i="5"/>
  <c r="AZ12" i="5"/>
  <c r="BB12" i="5" s="1"/>
  <c r="BC11" i="5"/>
  <c r="BA11" i="5"/>
  <c r="AZ11" i="5"/>
  <c r="BB11" i="5" s="1"/>
  <c r="BC10" i="5"/>
  <c r="BA10" i="5"/>
  <c r="AZ10" i="5"/>
  <c r="BB10" i="5" s="1"/>
  <c r="BC9" i="5"/>
  <c r="BA9" i="5"/>
  <c r="AZ9" i="5"/>
  <c r="BB9" i="5" s="1"/>
  <c r="BC8" i="5"/>
  <c r="BA8" i="5"/>
  <c r="BB8" i="5"/>
  <c r="BC7" i="5"/>
  <c r="BA7" i="5"/>
  <c r="AZ7" i="5"/>
  <c r="BB7" i="5" s="1"/>
  <c r="BC6" i="5"/>
  <c r="BA6" i="5"/>
  <c r="BB6" i="5"/>
  <c r="BC5" i="5"/>
  <c r="BA5" i="5"/>
  <c r="AZ5" i="5"/>
  <c r="BB5" i="5" s="1"/>
  <c r="BC4" i="5"/>
  <c r="BA4" i="5"/>
  <c r="AZ4" i="5"/>
  <c r="BB4" i="5" s="1"/>
  <c r="BC3" i="5"/>
  <c r="BA3" i="5"/>
  <c r="BB3" i="5"/>
  <c r="BC2" i="5"/>
  <c r="BA2" i="5"/>
  <c r="BB2" i="5"/>
  <c r="AQ2" i="5"/>
  <c r="AS2" i="5" s="1"/>
  <c r="AR2" i="5"/>
  <c r="AT2" i="5"/>
  <c r="AQ3" i="5"/>
  <c r="AS3" i="5" s="1"/>
  <c r="AR3" i="5"/>
  <c r="AT3" i="5"/>
  <c r="AQ4" i="5"/>
  <c r="AS4" i="5" s="1"/>
  <c r="AR4" i="5"/>
  <c r="AT4" i="5"/>
  <c r="AQ5" i="5"/>
  <c r="AS5" i="5" s="1"/>
  <c r="AR5" i="5"/>
  <c r="AT5" i="5"/>
  <c r="AQ6" i="5"/>
  <c r="AS6" i="5" s="1"/>
  <c r="AR6" i="5"/>
  <c r="AT6" i="5"/>
  <c r="AQ7" i="5"/>
  <c r="AS7" i="5" s="1"/>
  <c r="AR7" i="5"/>
  <c r="AT7" i="5"/>
  <c r="AQ8" i="5"/>
  <c r="AS8" i="5" s="1"/>
  <c r="AR8" i="5"/>
  <c r="AT8" i="5"/>
  <c r="AQ9" i="5"/>
  <c r="AS9" i="5" s="1"/>
  <c r="AR9" i="5"/>
  <c r="AT9" i="5"/>
  <c r="AQ10" i="5"/>
  <c r="AS10" i="5" s="1"/>
  <c r="AR10" i="5"/>
  <c r="AT10" i="5"/>
  <c r="AQ11" i="5"/>
  <c r="AS11" i="5" s="1"/>
  <c r="AR11" i="5"/>
  <c r="AT11" i="5"/>
  <c r="AQ12" i="5"/>
  <c r="AS12" i="5" s="1"/>
  <c r="AR12" i="5"/>
  <c r="AT12" i="5"/>
  <c r="AQ13" i="5"/>
  <c r="AS13" i="5" s="1"/>
  <c r="AR13" i="5"/>
  <c r="AT13" i="5"/>
  <c r="AQ14" i="5"/>
  <c r="AS14" i="5" s="1"/>
  <c r="AR14" i="5"/>
  <c r="AT14" i="5"/>
  <c r="AQ15" i="5"/>
  <c r="AS15" i="5" s="1"/>
  <c r="AR15" i="5"/>
  <c r="AT15" i="5"/>
  <c r="AQ16" i="5"/>
  <c r="AS16" i="5" s="1"/>
  <c r="AR16" i="5"/>
  <c r="AT16" i="5"/>
  <c r="AQ17" i="5"/>
  <c r="AS17" i="5" s="1"/>
  <c r="AR17" i="5"/>
  <c r="AT17" i="5"/>
  <c r="AQ18" i="5"/>
  <c r="AS18" i="5" s="1"/>
  <c r="AR18" i="5"/>
  <c r="AT18" i="5"/>
  <c r="AQ19" i="5"/>
  <c r="AS19" i="5" s="1"/>
  <c r="AR19" i="5"/>
  <c r="AT19" i="5"/>
  <c r="AQ20" i="5"/>
  <c r="AS20" i="5" s="1"/>
  <c r="AR20" i="5"/>
  <c r="AT20" i="5"/>
  <c r="AQ21" i="5"/>
  <c r="AS21" i="5" s="1"/>
  <c r="AR21" i="5"/>
  <c r="AT21" i="5"/>
  <c r="AQ22" i="5"/>
  <c r="AS22" i="5" s="1"/>
  <c r="AR22" i="5"/>
  <c r="AT22" i="5"/>
  <c r="AQ23" i="5"/>
  <c r="AS23" i="5" s="1"/>
  <c r="AR23" i="5"/>
  <c r="AT23" i="5"/>
  <c r="AQ24" i="5"/>
  <c r="AS24" i="5" s="1"/>
  <c r="AR24" i="5"/>
  <c r="AQ25" i="5"/>
  <c r="AS25" i="5" s="1"/>
  <c r="AR25" i="5"/>
  <c r="AQ26" i="5"/>
  <c r="AS26" i="5" s="1"/>
  <c r="AR26" i="5"/>
  <c r="AQ27" i="5"/>
  <c r="AS27" i="5" s="1"/>
  <c r="AR27" i="5"/>
  <c r="AQ28" i="5"/>
  <c r="AS28" i="5" s="1"/>
  <c r="AR28" i="5"/>
  <c r="AQ29" i="5"/>
  <c r="AS29" i="5" s="1"/>
  <c r="AR29" i="5"/>
  <c r="AQ30" i="5"/>
  <c r="AS30" i="5" s="1"/>
  <c r="AR30" i="5"/>
  <c r="AQ31" i="5"/>
  <c r="AS31" i="5" s="1"/>
  <c r="AR31" i="5"/>
  <c r="AT31" i="5"/>
  <c r="AQ32" i="5"/>
  <c r="AS32" i="5" s="1"/>
  <c r="AR32" i="5"/>
  <c r="AT32" i="5"/>
  <c r="AQ33" i="5"/>
  <c r="AS33" i="5" s="1"/>
  <c r="AR33" i="5"/>
  <c r="AT33" i="5"/>
  <c r="AQ34" i="5"/>
  <c r="AS34" i="5" s="1"/>
  <c r="AR34" i="5"/>
  <c r="AT34" i="5"/>
  <c r="AQ35" i="5"/>
  <c r="AS35" i="5" s="1"/>
  <c r="AR35" i="5"/>
  <c r="AT35" i="5"/>
  <c r="AQ36" i="5"/>
  <c r="AS36" i="5" s="1"/>
  <c r="AR36" i="5"/>
  <c r="AQ37" i="5"/>
  <c r="AS37" i="5" s="1"/>
  <c r="AR37" i="5"/>
  <c r="AT37" i="5"/>
  <c r="AQ38" i="5"/>
  <c r="AS38" i="5" s="1"/>
  <c r="AR38" i="5"/>
  <c r="AT38" i="5"/>
  <c r="AQ39" i="5"/>
  <c r="AS39" i="5" s="1"/>
  <c r="AR39" i="5"/>
  <c r="AT39" i="5"/>
  <c r="AQ40" i="5"/>
  <c r="AS40" i="5" s="1"/>
  <c r="AR40" i="5"/>
  <c r="AT40" i="5"/>
  <c r="AR41" i="5"/>
  <c r="AQ42" i="5"/>
  <c r="AS42" i="5" s="1"/>
  <c r="AR42" i="5"/>
  <c r="AQ43" i="5"/>
  <c r="AS43" i="5" s="1"/>
  <c r="AR43" i="5"/>
  <c r="AQ44" i="5"/>
  <c r="AS44" i="5" s="1"/>
  <c r="AR44" i="5"/>
  <c r="AQ45" i="5"/>
  <c r="AS45" i="5" s="1"/>
  <c r="AR45" i="5"/>
  <c r="AQ47" i="5"/>
  <c r="AS47" i="5" s="1"/>
  <c r="AR47" i="5"/>
  <c r="AQ48" i="5"/>
  <c r="AS48" i="5" s="1"/>
  <c r="AR48" i="5"/>
  <c r="AQ49" i="5"/>
  <c r="AS49" i="5" s="1"/>
  <c r="AR49" i="5"/>
  <c r="AQ50" i="5"/>
  <c r="AS50" i="5" s="1"/>
  <c r="AR50" i="5"/>
  <c r="AQ51" i="5"/>
  <c r="AS51" i="5" s="1"/>
  <c r="AR51" i="5"/>
  <c r="AQ52" i="5"/>
  <c r="AS52" i="5" s="1"/>
  <c r="AR52" i="5"/>
  <c r="AQ53" i="5"/>
  <c r="AS53" i="5" s="1"/>
  <c r="AR53" i="5"/>
  <c r="AQ54" i="5"/>
  <c r="AS54" i="5" s="1"/>
  <c r="AR54" i="5"/>
  <c r="AQ55" i="5"/>
  <c r="AS55" i="5" s="1"/>
  <c r="AR55" i="5"/>
  <c r="AQ56" i="5"/>
  <c r="AS56" i="5" s="1"/>
  <c r="AR56" i="5"/>
  <c r="AQ57" i="5"/>
  <c r="AS57" i="5" s="1"/>
  <c r="AR57" i="5"/>
  <c r="AQ58" i="5"/>
  <c r="AS58" i="5" s="1"/>
  <c r="AR58" i="5"/>
  <c r="AQ59" i="5"/>
  <c r="AS59" i="5" s="1"/>
  <c r="AR59" i="5"/>
  <c r="AQ60" i="5"/>
  <c r="AS60" i="5" s="1"/>
  <c r="AR60" i="5"/>
  <c r="AQ61" i="5"/>
  <c r="AS61" i="5" s="1"/>
  <c r="AR61" i="5"/>
  <c r="AQ62" i="5"/>
  <c r="AS62" i="5" s="1"/>
  <c r="AR62" i="5"/>
  <c r="AQ63" i="5"/>
  <c r="AS63" i="5" s="1"/>
  <c r="AR63" i="5"/>
  <c r="AQ64" i="5"/>
  <c r="AS64" i="5" s="1"/>
  <c r="AR64" i="5"/>
  <c r="AQ65" i="5"/>
  <c r="AS65" i="5" s="1"/>
  <c r="AR65" i="5"/>
  <c r="AQ66" i="5"/>
  <c r="AS66" i="5" s="1"/>
  <c r="AR66" i="5"/>
  <c r="AQ67" i="5"/>
  <c r="AS67" i="5" s="1"/>
  <c r="AR67" i="5"/>
  <c r="AQ68" i="5"/>
  <c r="AS68" i="5" s="1"/>
  <c r="AR68" i="5"/>
  <c r="AQ69" i="5"/>
  <c r="AS69" i="5" s="1"/>
  <c r="AR69" i="5"/>
  <c r="AT69" i="5"/>
  <c r="AQ70" i="5"/>
  <c r="AS70" i="5" s="1"/>
  <c r="AR70" i="5"/>
  <c r="AT70" i="5"/>
  <c r="AQ71" i="5"/>
  <c r="AS71" i="5" s="1"/>
  <c r="AR71" i="5"/>
  <c r="AQ72" i="5"/>
  <c r="AS72" i="5" s="1"/>
  <c r="AR72" i="5"/>
  <c r="AG80" i="5"/>
  <c r="AF76" i="5"/>
  <c r="AJ41" i="5"/>
  <c r="AI3" i="5"/>
  <c r="AI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19" i="5"/>
  <c r="AI20" i="5"/>
  <c r="AI21" i="5"/>
  <c r="AI22" i="5"/>
  <c r="AI23" i="5"/>
  <c r="AI24" i="5"/>
  <c r="AI25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2" i="5"/>
  <c r="AK70" i="5"/>
  <c r="AK69" i="5"/>
  <c r="AK38" i="5"/>
  <c r="A97" i="5" a="1"/>
  <c r="S70" i="2" l="1"/>
  <c r="BK77" i="5"/>
  <c r="BK79" i="5" s="1"/>
  <c r="BT77" i="5"/>
  <c r="BT79" i="5" s="1"/>
  <c r="A97" i="5"/>
  <c r="AV6" i="5" s="1"/>
  <c r="B83" i="5"/>
  <c r="C85" i="2" s="1"/>
  <c r="AS46" i="5"/>
  <c r="B77" i="5"/>
  <c r="AO76" i="5"/>
  <c r="AS80" i="5" s="1"/>
  <c r="BA76" i="5"/>
  <c r="BC76" i="5"/>
  <c r="AT76" i="5"/>
  <c r="AR76" i="5"/>
  <c r="BB76" i="5"/>
  <c r="AS76" i="5"/>
  <c r="AJ80" i="5"/>
  <c r="D4" i="4"/>
  <c r="D5" i="4"/>
  <c r="D4" i="18"/>
  <c r="D5" i="18"/>
  <c r="D4" i="12"/>
  <c r="D5" i="12"/>
  <c r="D4" i="14"/>
  <c r="D5" i="14"/>
  <c r="B7" i="10"/>
  <c r="C3" i="11"/>
  <c r="C4" i="11"/>
  <c r="E12" i="1" s="1"/>
  <c r="E4" i="13"/>
  <c r="E5" i="13"/>
  <c r="D4" i="15"/>
  <c r="D5" i="15"/>
  <c r="D4" i="17"/>
  <c r="D5" i="17"/>
  <c r="AE3" i="1"/>
  <c r="D25" i="1" s="1"/>
  <c r="Y3" i="1"/>
  <c r="E25" i="1" s="1"/>
  <c r="O9" i="1"/>
  <c r="E24" i="1" s="1"/>
  <c r="B6" i="10"/>
  <c r="B5" i="10"/>
  <c r="U2" i="10"/>
  <c r="D24" i="1"/>
  <c r="AV45" i="5" l="1"/>
  <c r="AM15" i="5"/>
  <c r="AV51" i="5"/>
  <c r="AM6" i="5"/>
  <c r="AV72" i="5"/>
  <c r="AM21" i="5"/>
  <c r="AV7" i="5"/>
  <c r="AV13" i="5"/>
  <c r="AV9" i="5"/>
  <c r="AV53" i="5"/>
  <c r="AM28" i="5"/>
  <c r="AV70" i="5"/>
  <c r="AV27" i="5"/>
  <c r="AV34" i="5"/>
  <c r="AV36" i="5"/>
  <c r="AM26" i="5"/>
  <c r="BE71" i="5"/>
  <c r="AV2" i="5"/>
  <c r="AM17" i="5"/>
  <c r="AM9" i="5"/>
  <c r="BN38" i="5"/>
  <c r="AM63" i="5"/>
  <c r="AV21" i="5"/>
  <c r="AM55" i="5"/>
  <c r="AM4" i="5"/>
  <c r="BN42" i="5"/>
  <c r="AM27" i="5"/>
  <c r="AM10" i="5"/>
  <c r="AV48" i="5"/>
  <c r="AV56" i="5"/>
  <c r="AM16" i="5"/>
  <c r="AM38" i="5"/>
  <c r="AV43" i="5"/>
  <c r="AV16" i="5"/>
  <c r="BE43" i="5"/>
  <c r="AM22" i="5"/>
  <c r="AM11" i="5"/>
  <c r="AM29" i="5"/>
  <c r="AM25" i="5"/>
  <c r="AM41" i="5"/>
  <c r="BE50" i="5"/>
  <c r="AM71" i="5"/>
  <c r="AM66" i="5"/>
  <c r="AV38" i="5"/>
  <c r="BN4" i="5"/>
  <c r="AM8" i="5"/>
  <c r="AV49" i="5"/>
  <c r="AV31" i="5"/>
  <c r="AM12" i="5"/>
  <c r="AM58" i="5"/>
  <c r="AM45" i="5"/>
  <c r="BE59" i="5"/>
  <c r="BN21" i="5"/>
  <c r="AM50" i="5"/>
  <c r="AV5" i="5"/>
  <c r="AM37" i="5"/>
  <c r="AV14" i="5"/>
  <c r="AV65" i="5"/>
  <c r="AV67" i="5"/>
  <c r="AV25" i="5"/>
  <c r="AM14" i="5"/>
  <c r="AM18" i="5"/>
  <c r="BE69" i="5"/>
  <c r="BN25" i="5"/>
  <c r="AV24" i="5"/>
  <c r="AM57" i="5"/>
  <c r="AM49" i="5"/>
  <c r="AV63" i="5"/>
  <c r="AV46" i="5"/>
  <c r="AV58" i="5"/>
  <c r="BN47" i="5"/>
  <c r="BN28" i="5"/>
  <c r="AV61" i="5"/>
  <c r="AM40" i="5"/>
  <c r="AV39" i="5"/>
  <c r="AV40" i="5"/>
  <c r="AM23" i="5"/>
  <c r="AV68" i="5"/>
  <c r="AM35" i="5"/>
  <c r="AM36" i="5"/>
  <c r="AM48" i="5"/>
  <c r="AM51" i="5"/>
  <c r="AV66" i="5"/>
  <c r="BN57" i="5"/>
  <c r="BE5" i="5"/>
  <c r="AM70" i="5"/>
  <c r="AV20" i="5"/>
  <c r="AV4" i="5"/>
  <c r="AM52" i="5"/>
  <c r="AM64" i="5"/>
  <c r="AV37" i="5"/>
  <c r="AV41" i="5"/>
  <c r="AV69" i="5"/>
  <c r="AV35" i="5"/>
  <c r="AM62" i="5"/>
  <c r="AV10" i="5"/>
  <c r="AM31" i="5"/>
  <c r="AV8" i="5"/>
  <c r="AM46" i="5"/>
  <c r="BE23" i="5"/>
  <c r="BE14" i="5"/>
  <c r="BE24" i="5"/>
  <c r="BE22" i="5"/>
  <c r="BE3" i="5"/>
  <c r="BE18" i="5"/>
  <c r="BE20" i="5"/>
  <c r="BN71" i="5"/>
  <c r="BN20" i="5"/>
  <c r="BN64" i="5"/>
  <c r="BE41" i="5"/>
  <c r="BE46" i="5"/>
  <c r="BN50" i="5"/>
  <c r="BN37" i="5"/>
  <c r="BN66" i="5"/>
  <c r="BN69" i="5"/>
  <c r="BE9" i="5"/>
  <c r="BE15" i="5"/>
  <c r="AV33" i="5"/>
  <c r="AM34" i="5"/>
  <c r="BE52" i="5"/>
  <c r="BN65" i="5"/>
  <c r="BN52" i="5"/>
  <c r="BE26" i="5"/>
  <c r="BE60" i="5"/>
  <c r="BE17" i="5"/>
  <c r="BE12" i="5"/>
  <c r="BN8" i="5"/>
  <c r="BE37" i="5"/>
  <c r="BN35" i="5"/>
  <c r="BE56" i="5"/>
  <c r="BE10" i="5"/>
  <c r="BN40" i="5"/>
  <c r="BN58" i="5"/>
  <c r="BE29" i="5"/>
  <c r="BN48" i="5"/>
  <c r="BE47" i="5"/>
  <c r="BN7" i="5"/>
  <c r="BE49" i="5"/>
  <c r="BN45" i="5"/>
  <c r="BE51" i="5"/>
  <c r="BN56" i="5"/>
  <c r="BN39" i="5"/>
  <c r="BE63" i="5"/>
  <c r="BE19" i="5"/>
  <c r="BN9" i="5"/>
  <c r="BN11" i="5"/>
  <c r="BN18" i="5"/>
  <c r="BN13" i="5"/>
  <c r="BE6" i="5"/>
  <c r="BN27" i="5"/>
  <c r="BE54" i="5"/>
  <c r="BN32" i="5"/>
  <c r="AM61" i="5"/>
  <c r="BN15" i="5"/>
  <c r="BE13" i="5"/>
  <c r="BE57" i="5"/>
  <c r="BN60" i="5"/>
  <c r="BN31" i="5"/>
  <c r="BE48" i="5"/>
  <c r="BE39" i="5"/>
  <c r="BE72" i="5"/>
  <c r="BE32" i="5"/>
  <c r="BE30" i="5"/>
  <c r="BN51" i="5"/>
  <c r="BE21" i="5"/>
  <c r="BN44" i="5"/>
  <c r="AV32" i="5"/>
  <c r="AM43" i="5"/>
  <c r="AV15" i="5"/>
  <c r="BE44" i="5"/>
  <c r="AV64" i="5"/>
  <c r="AM54" i="5"/>
  <c r="AV22" i="5"/>
  <c r="AM69" i="5"/>
  <c r="AV28" i="5"/>
  <c r="AV62" i="5"/>
  <c r="AV44" i="5"/>
  <c r="AM32" i="5"/>
  <c r="AV26" i="5"/>
  <c r="AM24" i="5"/>
  <c r="AV47" i="5"/>
  <c r="AM20" i="5"/>
  <c r="AM56" i="5"/>
  <c r="AV17" i="5"/>
  <c r="BN5" i="5"/>
  <c r="BN17" i="5"/>
  <c r="BE68" i="5"/>
  <c r="BE64" i="5"/>
  <c r="BN68" i="5"/>
  <c r="BN33" i="5"/>
  <c r="BE67" i="5"/>
  <c r="BE53" i="5"/>
  <c r="BN16" i="5"/>
  <c r="BE58" i="5"/>
  <c r="BE34" i="5"/>
  <c r="BN59" i="5"/>
  <c r="BE25" i="5"/>
  <c r="BN49" i="5"/>
  <c r="AM33" i="5"/>
  <c r="AV29" i="5"/>
  <c r="AM39" i="5"/>
  <c r="AM72" i="5"/>
  <c r="AM47" i="5"/>
  <c r="AV60" i="5"/>
  <c r="AM5" i="5"/>
  <c r="AV54" i="5"/>
  <c r="AM19" i="5"/>
  <c r="AV55" i="5"/>
  <c r="AV12" i="5"/>
  <c r="AM60" i="5"/>
  <c r="AV30" i="5"/>
  <c r="BE8" i="5"/>
  <c r="BN36" i="5"/>
  <c r="BN22" i="5"/>
  <c r="BN2" i="5"/>
  <c r="BE55" i="5"/>
  <c r="BN43" i="5"/>
  <c r="BN23" i="5"/>
  <c r="BE7" i="5"/>
  <c r="BN26" i="5"/>
  <c r="BN3" i="5"/>
  <c r="BE42" i="5"/>
  <c r="BN67" i="5"/>
  <c r="BE40" i="5"/>
  <c r="AV18" i="5"/>
  <c r="AM53" i="5"/>
  <c r="AV23" i="5"/>
  <c r="AM13" i="5"/>
  <c r="AV3" i="5"/>
  <c r="AV57" i="5"/>
  <c r="AV19" i="5"/>
  <c r="AM3" i="5"/>
  <c r="AM42" i="5"/>
  <c r="AV52" i="5"/>
  <c r="AV71" i="5"/>
  <c r="AM59" i="5"/>
  <c r="AM44" i="5"/>
  <c r="AV11" i="5"/>
  <c r="AM30" i="5"/>
  <c r="AV59" i="5"/>
  <c r="AM65" i="5"/>
  <c r="AM7" i="5"/>
  <c r="AV42" i="5"/>
  <c r="BE28" i="5"/>
  <c r="BN30" i="5"/>
  <c r="BN70" i="5"/>
  <c r="BE31" i="5"/>
  <c r="BN6" i="5"/>
  <c r="BE27" i="5"/>
  <c r="BN10" i="5"/>
  <c r="BE11" i="5"/>
  <c r="BN55" i="5"/>
  <c r="BE62" i="5"/>
  <c r="BE65" i="5"/>
  <c r="BN53" i="5"/>
  <c r="BN29" i="5"/>
  <c r="BE36" i="5"/>
  <c r="BN24" i="5"/>
  <c r="BE2" i="5"/>
  <c r="BE61" i="5"/>
  <c r="BN54" i="5"/>
  <c r="AM68" i="5"/>
  <c r="AM67" i="5"/>
  <c r="AM2" i="5"/>
  <c r="AV50" i="5"/>
  <c r="BE45" i="5"/>
  <c r="BN34" i="5"/>
  <c r="BN72" i="5"/>
  <c r="BE33" i="5"/>
  <c r="BN19" i="5"/>
  <c r="BE35" i="5"/>
  <c r="BN14" i="5"/>
  <c r="BE16" i="5"/>
  <c r="BN63" i="5"/>
  <c r="BN12" i="5"/>
  <c r="BE70" i="5"/>
  <c r="BN61" i="5"/>
  <c r="BN41" i="5"/>
  <c r="BE38" i="5"/>
  <c r="BN46" i="5"/>
  <c r="BE4" i="5"/>
  <c r="BE66" i="5"/>
  <c r="BN62" i="5"/>
  <c r="C24" i="1"/>
  <c r="D11" i="1"/>
  <c r="H4" i="13"/>
  <c r="BB77" i="5"/>
  <c r="BB79" i="5" s="1"/>
  <c r="AS77" i="5"/>
  <c r="AS79" i="5" s="1"/>
  <c r="AG2" i="2"/>
  <c r="AE70" i="2"/>
  <c r="AF69" i="2" l="1"/>
  <c r="AH72" i="5"/>
  <c r="AJ72" i="5" s="1"/>
  <c r="AH71" i="5"/>
  <c r="AJ71" i="5" s="1"/>
  <c r="AH70" i="5"/>
  <c r="AJ70" i="5" s="1"/>
  <c r="AH69" i="5"/>
  <c r="AJ69" i="5" s="1"/>
  <c r="AH68" i="5"/>
  <c r="AJ68" i="5" s="1"/>
  <c r="AH67" i="5"/>
  <c r="AJ67" i="5" s="1"/>
  <c r="AH66" i="5"/>
  <c r="AJ66" i="5" s="1"/>
  <c r="AH65" i="5"/>
  <c r="AJ65" i="5" s="1"/>
  <c r="AH64" i="5"/>
  <c r="AJ64" i="5" s="1"/>
  <c r="AH63" i="5"/>
  <c r="AJ63" i="5" s="1"/>
  <c r="AH62" i="5"/>
  <c r="AJ62" i="5" s="1"/>
  <c r="AH61" i="5"/>
  <c r="AJ61" i="5" s="1"/>
  <c r="AH60" i="5"/>
  <c r="AJ60" i="5" s="1"/>
  <c r="AH59" i="5"/>
  <c r="AJ59" i="5" s="1"/>
  <c r="AH58" i="5"/>
  <c r="AJ58" i="5" s="1"/>
  <c r="AH57" i="5"/>
  <c r="AJ57" i="5" s="1"/>
  <c r="AH56" i="5"/>
  <c r="AJ56" i="5" s="1"/>
  <c r="AH55" i="5"/>
  <c r="AJ55" i="5" s="1"/>
  <c r="AH54" i="5"/>
  <c r="AJ54" i="5" s="1"/>
  <c r="AH53" i="5"/>
  <c r="AJ53" i="5" s="1"/>
  <c r="AH52" i="5"/>
  <c r="AJ52" i="5" s="1"/>
  <c r="AH51" i="5"/>
  <c r="AJ51" i="5" s="1"/>
  <c r="AH50" i="5"/>
  <c r="AJ50" i="5" s="1"/>
  <c r="AH49" i="5"/>
  <c r="AJ49" i="5" s="1"/>
  <c r="AH48" i="5"/>
  <c r="AJ48" i="5" s="1"/>
  <c r="AH47" i="5"/>
  <c r="AJ47" i="5" s="1"/>
  <c r="AH46" i="5"/>
  <c r="AJ46" i="5" s="1"/>
  <c r="AH45" i="5"/>
  <c r="AJ45" i="5" s="1"/>
  <c r="AH44" i="5"/>
  <c r="AJ44" i="5" s="1"/>
  <c r="AH43" i="5"/>
  <c r="AJ43" i="5" s="1"/>
  <c r="AH42" i="5"/>
  <c r="AJ42" i="5" s="1"/>
  <c r="AK40" i="5"/>
  <c r="AH40" i="5"/>
  <c r="AJ40" i="5" s="1"/>
  <c r="AK39" i="5"/>
  <c r="AH39" i="5"/>
  <c r="AJ39" i="5" s="1"/>
  <c r="AH38" i="5"/>
  <c r="AJ38" i="5" s="1"/>
  <c r="AK37" i="5"/>
  <c r="AH37" i="5"/>
  <c r="AJ37" i="5" s="1"/>
  <c r="AH36" i="5"/>
  <c r="AJ36" i="5" s="1"/>
  <c r="AK35" i="5"/>
  <c r="AH35" i="5"/>
  <c r="AJ35" i="5" s="1"/>
  <c r="AK34" i="5"/>
  <c r="AH34" i="5"/>
  <c r="AJ34" i="5" s="1"/>
  <c r="AK33" i="5"/>
  <c r="AH33" i="5"/>
  <c r="AJ33" i="5" s="1"/>
  <c r="AK32" i="5"/>
  <c r="AH32" i="5"/>
  <c r="AJ32" i="5" s="1"/>
  <c r="AK31" i="5"/>
  <c r="AH31" i="5"/>
  <c r="AJ31" i="5" s="1"/>
  <c r="AH30" i="5"/>
  <c r="AJ30" i="5" s="1"/>
  <c r="AH29" i="5"/>
  <c r="AJ29" i="5" s="1"/>
  <c r="AH28" i="5"/>
  <c r="AJ28" i="5" s="1"/>
  <c r="AH27" i="5"/>
  <c r="AJ27" i="5" s="1"/>
  <c r="AH26" i="5"/>
  <c r="AJ26" i="5" s="1"/>
  <c r="AH25" i="5"/>
  <c r="AJ25" i="5" s="1"/>
  <c r="AH24" i="5"/>
  <c r="AJ24" i="5" s="1"/>
  <c r="AK23" i="5"/>
  <c r="AH23" i="5"/>
  <c r="AJ23" i="5" s="1"/>
  <c r="AK22" i="5"/>
  <c r="AH22" i="5"/>
  <c r="AJ22" i="5" s="1"/>
  <c r="AK21" i="5"/>
  <c r="AH21" i="5"/>
  <c r="AJ21" i="5" s="1"/>
  <c r="AK20" i="5"/>
  <c r="AH20" i="5"/>
  <c r="AJ20" i="5" s="1"/>
  <c r="AK19" i="5"/>
  <c r="AH19" i="5"/>
  <c r="AJ19" i="5" s="1"/>
  <c r="AK18" i="5"/>
  <c r="AH18" i="5"/>
  <c r="AJ18" i="5" s="1"/>
  <c r="AK17" i="5"/>
  <c r="AH17" i="5"/>
  <c r="AJ17" i="5" s="1"/>
  <c r="AK16" i="5"/>
  <c r="AH16" i="5"/>
  <c r="AJ16" i="5" s="1"/>
  <c r="AK15" i="5"/>
  <c r="AH15" i="5"/>
  <c r="AJ15" i="5" s="1"/>
  <c r="AK14" i="5"/>
  <c r="AH14" i="5"/>
  <c r="AJ14" i="5" s="1"/>
  <c r="AK13" i="5"/>
  <c r="AH13" i="5"/>
  <c r="AJ13" i="5" s="1"/>
  <c r="AK12" i="5"/>
  <c r="AH12" i="5"/>
  <c r="AJ12" i="5" s="1"/>
  <c r="AK11" i="5"/>
  <c r="AH11" i="5"/>
  <c r="AJ11" i="5" s="1"/>
  <c r="AK10" i="5"/>
  <c r="AH10" i="5"/>
  <c r="AJ10" i="5" s="1"/>
  <c r="AK9" i="5"/>
  <c r="AH9" i="5"/>
  <c r="AJ9" i="5" s="1"/>
  <c r="AK8" i="5"/>
  <c r="AH8" i="5"/>
  <c r="AJ8" i="5" s="1"/>
  <c r="AK7" i="5"/>
  <c r="AH7" i="5"/>
  <c r="AJ7" i="5" s="1"/>
  <c r="AK6" i="5"/>
  <c r="AH6" i="5"/>
  <c r="AJ6" i="5" s="1"/>
  <c r="AK5" i="5"/>
  <c r="AH5" i="5"/>
  <c r="AJ5" i="5" s="1"/>
  <c r="AK4" i="5"/>
  <c r="AH4" i="5"/>
  <c r="AJ4" i="5" s="1"/>
  <c r="AK3" i="5"/>
  <c r="AH3" i="5"/>
  <c r="AJ3" i="5" s="1"/>
  <c r="AK2" i="5"/>
  <c r="AI76" i="5"/>
  <c r="AH2" i="5"/>
  <c r="AJ2" i="5" s="1"/>
  <c r="AF86" i="5"/>
  <c r="AJ78" i="5" s="1"/>
  <c r="W83" i="5"/>
  <c r="AK76" i="5" l="1"/>
  <c r="AJ76" i="5"/>
  <c r="AD70" i="2"/>
  <c r="AD71" i="2"/>
  <c r="AF71" i="2" s="1"/>
  <c r="AD72" i="2"/>
  <c r="AF72" i="2" s="1"/>
  <c r="AD73" i="2"/>
  <c r="AF73" i="2" s="1"/>
  <c r="AJ77" i="5" l="1"/>
  <c r="AJ79" i="5" s="1"/>
  <c r="C16" i="1"/>
  <c r="C21" i="1"/>
  <c r="B8" i="10"/>
  <c r="AD69" i="2" l="1"/>
  <c r="AD7" i="2"/>
  <c r="AJ7" i="2" s="1"/>
  <c r="AD62" i="7"/>
  <c r="AC62" i="7"/>
  <c r="A80" i="9" a="1"/>
  <c r="J77" i="9" s="1"/>
  <c r="C82" i="2" s="1"/>
  <c r="C83" i="2" s="1"/>
  <c r="E7" i="1" s="1"/>
  <c r="AD41" i="5" l="1"/>
  <c r="AD49" i="5"/>
  <c r="AD11" i="5"/>
  <c r="AD42" i="5"/>
  <c r="AD21" i="5"/>
  <c r="AD35" i="5"/>
  <c r="AD63" i="5"/>
  <c r="AD39" i="5"/>
  <c r="AD31" i="5"/>
  <c r="AD23" i="5"/>
  <c r="AD15" i="5"/>
  <c r="AD13" i="5"/>
  <c r="AD27" i="5"/>
  <c r="AD66" i="5"/>
  <c r="AD26" i="5"/>
  <c r="AD62" i="5"/>
  <c r="AD54" i="5"/>
  <c r="AD46" i="5"/>
  <c r="AD38" i="5"/>
  <c r="AD30" i="5"/>
  <c r="AD22" i="5"/>
  <c r="AD14" i="5"/>
  <c r="AD6" i="5"/>
  <c r="AD45" i="5"/>
  <c r="AD5" i="5"/>
  <c r="AD67" i="5"/>
  <c r="AD3" i="5"/>
  <c r="AD50" i="5"/>
  <c r="AD10" i="5"/>
  <c r="AD61" i="5"/>
  <c r="AD53" i="5"/>
  <c r="AD29" i="5"/>
  <c r="AD68" i="5"/>
  <c r="AD60" i="5"/>
  <c r="AD52" i="5"/>
  <c r="AD44" i="5"/>
  <c r="AD36" i="5"/>
  <c r="AD28" i="5"/>
  <c r="AD20" i="5"/>
  <c r="AD12" i="5"/>
  <c r="AD4" i="5"/>
  <c r="AD43" i="5"/>
  <c r="AD19" i="5"/>
  <c r="AD58" i="5"/>
  <c r="AD18" i="5"/>
  <c r="A80" i="9"/>
  <c r="A2" i="9" a="1"/>
  <c r="J64" i="7"/>
  <c r="U68" i="5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2" i="5"/>
  <c r="E63" i="5"/>
  <c r="E64" i="5"/>
  <c r="E65" i="5"/>
  <c r="E66" i="5"/>
  <c r="E67" i="5"/>
  <c r="E68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2" i="5"/>
  <c r="E2" i="5"/>
  <c r="I66" i="7"/>
  <c r="T62" i="7"/>
  <c r="J63" i="7"/>
  <c r="B71" i="9" l="1"/>
  <c r="C71" i="9"/>
  <c r="AD47" i="5"/>
  <c r="AD8" i="5"/>
  <c r="AD16" i="5"/>
  <c r="AD24" i="5"/>
  <c r="AD40" i="5"/>
  <c r="AD51" i="5"/>
  <c r="AD55" i="5"/>
  <c r="AD32" i="5"/>
  <c r="AD59" i="5"/>
  <c r="AD57" i="5"/>
  <c r="AD37" i="5"/>
  <c r="AD65" i="5"/>
  <c r="AD7" i="5"/>
  <c r="AD34" i="5"/>
  <c r="AD48" i="5"/>
  <c r="AD9" i="5"/>
  <c r="AD70" i="5"/>
  <c r="AD56" i="5"/>
  <c r="AD17" i="5"/>
  <c r="AD69" i="5"/>
  <c r="AD64" i="5"/>
  <c r="AD25" i="5"/>
  <c r="AD72" i="5"/>
  <c r="AD2" i="5"/>
  <c r="AD33" i="5"/>
  <c r="AD71" i="5"/>
  <c r="H3" i="2"/>
  <c r="D39" i="2"/>
  <c r="C70" i="9"/>
  <c r="C69" i="9"/>
  <c r="B70" i="9"/>
  <c r="B69" i="9"/>
  <c r="C94" i="2"/>
  <c r="H7" i="2"/>
  <c r="H15" i="2"/>
  <c r="H23" i="2"/>
  <c r="H31" i="2"/>
  <c r="H39" i="2"/>
  <c r="H47" i="2"/>
  <c r="H55" i="2"/>
  <c r="H63" i="2"/>
  <c r="H9" i="2"/>
  <c r="H33" i="2"/>
  <c r="H49" i="2"/>
  <c r="H11" i="2"/>
  <c r="H19" i="2"/>
  <c r="H27" i="2"/>
  <c r="H35" i="2"/>
  <c r="H43" i="2"/>
  <c r="H51" i="2"/>
  <c r="H67" i="2"/>
  <c r="H12" i="2"/>
  <c r="H28" i="2"/>
  <c r="H44" i="2"/>
  <c r="H60" i="2"/>
  <c r="H13" i="2"/>
  <c r="H29" i="2"/>
  <c r="H45" i="2"/>
  <c r="H61" i="2"/>
  <c r="H6" i="2"/>
  <c r="H30" i="2"/>
  <c r="H46" i="2"/>
  <c r="H62" i="2"/>
  <c r="H8" i="2"/>
  <c r="H16" i="2"/>
  <c r="H24" i="2"/>
  <c r="H32" i="2"/>
  <c r="H40" i="2"/>
  <c r="H48" i="2"/>
  <c r="H56" i="2"/>
  <c r="H64" i="2"/>
  <c r="H17" i="2"/>
  <c r="H25" i="2"/>
  <c r="H41" i="2"/>
  <c r="H57" i="2"/>
  <c r="H65" i="2"/>
  <c r="H10" i="2"/>
  <c r="H18" i="2"/>
  <c r="H26" i="2"/>
  <c r="H34" i="2"/>
  <c r="H42" i="2"/>
  <c r="H50" i="2"/>
  <c r="H58" i="2"/>
  <c r="H66" i="2"/>
  <c r="H59" i="2"/>
  <c r="H4" i="2"/>
  <c r="H20" i="2"/>
  <c r="H36" i="2"/>
  <c r="H52" i="2"/>
  <c r="H68" i="2"/>
  <c r="H5" i="2"/>
  <c r="H21" i="2"/>
  <c r="H37" i="2"/>
  <c r="H53" i="2"/>
  <c r="H69" i="2"/>
  <c r="H14" i="2"/>
  <c r="H22" i="2"/>
  <c r="H38" i="2"/>
  <c r="H54" i="2"/>
  <c r="G3" i="2"/>
  <c r="G11" i="2"/>
  <c r="C11" i="2" s="1"/>
  <c r="G19" i="2"/>
  <c r="C19" i="2" s="1"/>
  <c r="G27" i="2"/>
  <c r="C27" i="2" s="1"/>
  <c r="G35" i="2"/>
  <c r="C35" i="2" s="1"/>
  <c r="G43" i="2"/>
  <c r="C43" i="2" s="1"/>
  <c r="G51" i="2"/>
  <c r="G59" i="2"/>
  <c r="G67" i="2"/>
  <c r="G54" i="2"/>
  <c r="G23" i="2"/>
  <c r="G16" i="2"/>
  <c r="G24" i="2"/>
  <c r="G40" i="2"/>
  <c r="G64" i="2"/>
  <c r="G17" i="2"/>
  <c r="G41" i="2"/>
  <c r="G57" i="2"/>
  <c r="G18" i="2"/>
  <c r="G42" i="2"/>
  <c r="G58" i="2"/>
  <c r="G4" i="2"/>
  <c r="G12" i="2"/>
  <c r="G20" i="2"/>
  <c r="G28" i="2"/>
  <c r="G36" i="2"/>
  <c r="G44" i="2"/>
  <c r="C44" i="2" s="1"/>
  <c r="G52" i="2"/>
  <c r="G60" i="2"/>
  <c r="G68" i="2"/>
  <c r="G5" i="2"/>
  <c r="G13" i="2"/>
  <c r="G21" i="2"/>
  <c r="C21" i="2" s="1"/>
  <c r="G29" i="2"/>
  <c r="G37" i="2"/>
  <c r="G45" i="2"/>
  <c r="G53" i="2"/>
  <c r="G61" i="2"/>
  <c r="G69" i="2"/>
  <c r="G6" i="2"/>
  <c r="G14" i="2"/>
  <c r="G22" i="2"/>
  <c r="G30" i="2"/>
  <c r="G38" i="2"/>
  <c r="G46" i="2"/>
  <c r="G62" i="2"/>
  <c r="G7" i="2"/>
  <c r="C7" i="2" s="1"/>
  <c r="G15" i="2"/>
  <c r="C15" i="2" s="1"/>
  <c r="G31" i="2"/>
  <c r="G39" i="2"/>
  <c r="G47" i="2"/>
  <c r="G55" i="2"/>
  <c r="G63" i="2"/>
  <c r="G8" i="2"/>
  <c r="G32" i="2"/>
  <c r="G48" i="2"/>
  <c r="G56" i="2"/>
  <c r="G9" i="2"/>
  <c r="G25" i="2"/>
  <c r="G33" i="2"/>
  <c r="G49" i="2"/>
  <c r="G65" i="2"/>
  <c r="G10" i="2"/>
  <c r="G26" i="2"/>
  <c r="G34" i="2"/>
  <c r="G50" i="2"/>
  <c r="G66" i="2"/>
  <c r="A2" i="9"/>
  <c r="C3" i="9"/>
  <c r="C11" i="9"/>
  <c r="C19" i="9"/>
  <c r="C27" i="9"/>
  <c r="C35" i="9"/>
  <c r="C43" i="9"/>
  <c r="C51" i="9"/>
  <c r="C59" i="9"/>
  <c r="C67" i="9"/>
  <c r="C4" i="9"/>
  <c r="C12" i="9"/>
  <c r="C20" i="9"/>
  <c r="C28" i="9"/>
  <c r="C36" i="9"/>
  <c r="C44" i="9"/>
  <c r="C52" i="9"/>
  <c r="C60" i="9"/>
  <c r="C68" i="9"/>
  <c r="C5" i="9"/>
  <c r="C13" i="9"/>
  <c r="C21" i="9"/>
  <c r="C29" i="9"/>
  <c r="C37" i="9"/>
  <c r="C45" i="9"/>
  <c r="C53" i="9"/>
  <c r="C61" i="9"/>
  <c r="C6" i="9"/>
  <c r="C14" i="9"/>
  <c r="C22" i="9"/>
  <c r="C30" i="9"/>
  <c r="C38" i="9"/>
  <c r="C46" i="9"/>
  <c r="C54" i="9"/>
  <c r="C62" i="9"/>
  <c r="C7" i="9"/>
  <c r="C15" i="9"/>
  <c r="C23" i="9"/>
  <c r="C31" i="9"/>
  <c r="C39" i="9"/>
  <c r="C47" i="9"/>
  <c r="C55" i="9"/>
  <c r="C63" i="9"/>
  <c r="C8" i="9"/>
  <c r="C16" i="9"/>
  <c r="C24" i="9"/>
  <c r="C32" i="9"/>
  <c r="C40" i="9"/>
  <c r="C48" i="9"/>
  <c r="C56" i="9"/>
  <c r="C64" i="9"/>
  <c r="C9" i="9"/>
  <c r="C17" i="9"/>
  <c r="C25" i="9"/>
  <c r="C33" i="9"/>
  <c r="C41" i="9"/>
  <c r="C49" i="9"/>
  <c r="C57" i="9"/>
  <c r="C65" i="9"/>
  <c r="C10" i="9"/>
  <c r="C18" i="9"/>
  <c r="C26" i="9"/>
  <c r="C34" i="9"/>
  <c r="C42" i="9"/>
  <c r="C50" i="9"/>
  <c r="C58" i="9"/>
  <c r="C66" i="9"/>
  <c r="U56" i="7"/>
  <c r="H2" i="2"/>
  <c r="U32" i="7"/>
  <c r="U27" i="7"/>
  <c r="U28" i="7"/>
  <c r="U36" i="7"/>
  <c r="C3" i="2" l="1"/>
  <c r="U31" i="7"/>
  <c r="U19" i="7"/>
  <c r="U46" i="7"/>
  <c r="U54" i="7"/>
  <c r="U18" i="7"/>
  <c r="U10" i="7"/>
  <c r="U45" i="7"/>
  <c r="U9" i="7"/>
  <c r="U37" i="7"/>
  <c r="D2" i="7"/>
  <c r="C2" i="7"/>
  <c r="U39" i="7"/>
  <c r="U38" i="7"/>
  <c r="U29" i="7"/>
  <c r="U20" i="7"/>
  <c r="U11" i="7"/>
  <c r="U57" i="7"/>
  <c r="U48" i="7"/>
  <c r="U47" i="7"/>
  <c r="U30" i="7"/>
  <c r="U21" i="7"/>
  <c r="U12" i="7"/>
  <c r="U3" i="7"/>
  <c r="U49" i="7"/>
  <c r="U40" i="7"/>
  <c r="U55" i="7"/>
  <c r="U22" i="7"/>
  <c r="U13" i="7"/>
  <c r="U4" i="7"/>
  <c r="U50" i="7"/>
  <c r="U41" i="7"/>
  <c r="U23" i="7"/>
  <c r="U14" i="7"/>
  <c r="U5" i="7"/>
  <c r="U51" i="7"/>
  <c r="U42" i="7"/>
  <c r="U33" i="7"/>
  <c r="U16" i="7"/>
  <c r="U15" i="7"/>
  <c r="U6" i="7"/>
  <c r="U52" i="7"/>
  <c r="U43" i="7"/>
  <c r="U34" i="7"/>
  <c r="U25" i="7"/>
  <c r="U8" i="7"/>
  <c r="U7" i="7"/>
  <c r="U53" i="7"/>
  <c r="U44" i="7"/>
  <c r="U35" i="7"/>
  <c r="U26" i="7"/>
  <c r="U17" i="7"/>
  <c r="P59" i="7"/>
  <c r="AJ47" i="7"/>
  <c r="AJ39" i="7"/>
  <c r="AJ31" i="7"/>
  <c r="AJ23" i="7"/>
  <c r="AJ15" i="7"/>
  <c r="AJ7" i="7"/>
  <c r="AJ46" i="7"/>
  <c r="AJ38" i="7"/>
  <c r="AJ30" i="7"/>
  <c r="AJ22" i="7"/>
  <c r="AJ14" i="7"/>
  <c r="AJ6" i="7"/>
  <c r="AJ48" i="7"/>
  <c r="AJ8" i="7"/>
  <c r="AJ45" i="7"/>
  <c r="AJ37" i="7"/>
  <c r="AJ29" i="7"/>
  <c r="AJ21" i="7"/>
  <c r="AJ13" i="7"/>
  <c r="AJ5" i="7"/>
  <c r="AJ24" i="7"/>
  <c r="AJ44" i="7"/>
  <c r="AJ36" i="7"/>
  <c r="AJ28" i="7"/>
  <c r="AJ20" i="7"/>
  <c r="AJ12" i="7"/>
  <c r="AJ4" i="7"/>
  <c r="AJ16" i="7"/>
  <c r="AJ43" i="7"/>
  <c r="AJ35" i="7"/>
  <c r="AJ27" i="7"/>
  <c r="AJ19" i="7"/>
  <c r="AJ11" i="7"/>
  <c r="AJ3" i="7"/>
  <c r="AJ50" i="7"/>
  <c r="AJ42" i="7"/>
  <c r="AJ34" i="7"/>
  <c r="AJ26" i="7"/>
  <c r="AJ18" i="7"/>
  <c r="AJ10" i="7"/>
  <c r="AJ2" i="7"/>
  <c r="AJ40" i="7"/>
  <c r="AJ49" i="7"/>
  <c r="AJ41" i="7"/>
  <c r="AJ33" i="7"/>
  <c r="AJ25" i="7"/>
  <c r="AJ17" i="7"/>
  <c r="AJ9" i="7"/>
  <c r="AJ32" i="7"/>
  <c r="Z2" i="7"/>
  <c r="Z10" i="7"/>
  <c r="Z18" i="7"/>
  <c r="Z26" i="7"/>
  <c r="Z34" i="7"/>
  <c r="Z42" i="7"/>
  <c r="Z50" i="7"/>
  <c r="Z35" i="7"/>
  <c r="Z3" i="7"/>
  <c r="Z11" i="7"/>
  <c r="Z19" i="7"/>
  <c r="Z27" i="7"/>
  <c r="Z43" i="7"/>
  <c r="Z51" i="7"/>
  <c r="Z4" i="7"/>
  <c r="Z12" i="7"/>
  <c r="Z20" i="7"/>
  <c r="Z28" i="7"/>
  <c r="Z36" i="7"/>
  <c r="Z44" i="7"/>
  <c r="Z52" i="7"/>
  <c r="Z48" i="7"/>
  <c r="Z5" i="7"/>
  <c r="Z13" i="7"/>
  <c r="Z21" i="7"/>
  <c r="Z29" i="7"/>
  <c r="Z37" i="7"/>
  <c r="Z45" i="7"/>
  <c r="Z53" i="7"/>
  <c r="Z56" i="7"/>
  <c r="Z25" i="7"/>
  <c r="Z6" i="7"/>
  <c r="Z14" i="7"/>
  <c r="Z22" i="7"/>
  <c r="Z30" i="7"/>
  <c r="Z38" i="7"/>
  <c r="Z46" i="7"/>
  <c r="Z54" i="7"/>
  <c r="Z17" i="7"/>
  <c r="Z41" i="7"/>
  <c r="Z7" i="7"/>
  <c r="Z15" i="7"/>
  <c r="Z23" i="7"/>
  <c r="Z31" i="7"/>
  <c r="Z39" i="7"/>
  <c r="Z47" i="7"/>
  <c r="Z55" i="7"/>
  <c r="Z8" i="7"/>
  <c r="Z16" i="7"/>
  <c r="Z24" i="7"/>
  <c r="Z32" i="7"/>
  <c r="Z40" i="7"/>
  <c r="Z9" i="7"/>
  <c r="Z33" i="7"/>
  <c r="Z49" i="7"/>
  <c r="C51" i="2"/>
  <c r="C50" i="2"/>
  <c r="C9" i="2"/>
  <c r="C30" i="2"/>
  <c r="C67" i="2"/>
  <c r="C33" i="2"/>
  <c r="C66" i="2"/>
  <c r="C37" i="2"/>
  <c r="C23" i="2"/>
  <c r="C45" i="2"/>
  <c r="C41" i="2"/>
  <c r="C18" i="2"/>
  <c r="C38" i="2"/>
  <c r="C63" i="2"/>
  <c r="C52" i="2"/>
  <c r="C42" i="2"/>
  <c r="C16" i="2"/>
  <c r="C25" i="2"/>
  <c r="C22" i="2"/>
  <c r="C29" i="2"/>
  <c r="C57" i="2"/>
  <c r="C54" i="2"/>
  <c r="C55" i="2"/>
  <c r="C36" i="2"/>
  <c r="C47" i="2"/>
  <c r="C39" i="2"/>
  <c r="C31" i="2"/>
  <c r="C68" i="2"/>
  <c r="C49" i="2"/>
  <c r="C58" i="2"/>
  <c r="C24" i="2"/>
  <c r="C56" i="2"/>
  <c r="C14" i="2"/>
  <c r="C28" i="2"/>
  <c r="C26" i="2"/>
  <c r="C6" i="2"/>
  <c r="C20" i="2"/>
  <c r="C59" i="2"/>
  <c r="C10" i="2"/>
  <c r="C32" i="2"/>
  <c r="C69" i="2"/>
  <c r="R69" i="2" s="1"/>
  <c r="C5" i="2"/>
  <c r="C12" i="2"/>
  <c r="C64" i="2"/>
  <c r="D2" i="2"/>
  <c r="G2" i="2"/>
  <c r="C34" i="2"/>
  <c r="C48" i="2"/>
  <c r="C13" i="2"/>
  <c r="C17" i="2"/>
  <c r="C65" i="2"/>
  <c r="C8" i="2"/>
  <c r="C62" i="2"/>
  <c r="C61" i="2"/>
  <c r="C4" i="2"/>
  <c r="C40" i="2"/>
  <c r="C46" i="2"/>
  <c r="C53" i="2"/>
  <c r="C60" i="2"/>
  <c r="B2" i="9"/>
  <c r="C2" i="9"/>
  <c r="J76" i="9" s="1"/>
  <c r="J78" i="9" s="1"/>
  <c r="G87" i="2" s="1"/>
  <c r="U24" i="7"/>
  <c r="K58" i="7"/>
  <c r="B68" i="9" l="1"/>
  <c r="B8" i="9"/>
  <c r="B9" i="9"/>
  <c r="B17" i="9"/>
  <c r="B23" i="9"/>
  <c r="B24" i="9"/>
  <c r="B25" i="9"/>
  <c r="B33" i="9"/>
  <c r="B39" i="9"/>
  <c r="B40" i="9"/>
  <c r="B41" i="9"/>
  <c r="B49" i="9"/>
  <c r="B57" i="9"/>
  <c r="B6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I68" i="9"/>
  <c r="N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3" i="9"/>
  <c r="O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2" i="9"/>
  <c r="O68" i="9" l="1"/>
  <c r="B56" i="9"/>
  <c r="B7" i="9"/>
  <c r="B64" i="9"/>
  <c r="B32" i="9"/>
  <c r="B55" i="9"/>
  <c r="B6" i="9"/>
  <c r="B63" i="9"/>
  <c r="B31" i="9"/>
  <c r="B54" i="9"/>
  <c r="B38" i="9"/>
  <c r="B22" i="9"/>
  <c r="B5" i="9"/>
  <c r="B62" i="9"/>
  <c r="B30" i="9"/>
  <c r="B53" i="9"/>
  <c r="B37" i="9"/>
  <c r="B21" i="9"/>
  <c r="B61" i="9"/>
  <c r="B29" i="9"/>
  <c r="B48" i="9"/>
  <c r="B16" i="9"/>
  <c r="B47" i="9"/>
  <c r="B15" i="9"/>
  <c r="B46" i="9"/>
  <c r="B14" i="9"/>
  <c r="B45" i="9"/>
  <c r="B13" i="9"/>
  <c r="B52" i="9"/>
  <c r="B36" i="9"/>
  <c r="B28" i="9"/>
  <c r="B20" i="9"/>
  <c r="B4" i="9"/>
  <c r="B67" i="9"/>
  <c r="B59" i="9"/>
  <c r="B51" i="9"/>
  <c r="B43" i="9"/>
  <c r="B35" i="9"/>
  <c r="B27" i="9"/>
  <c r="B19" i="9"/>
  <c r="B11" i="9"/>
  <c r="B60" i="9"/>
  <c r="B44" i="9"/>
  <c r="B12" i="9"/>
  <c r="B66" i="9"/>
  <c r="B58" i="9"/>
  <c r="B50" i="9"/>
  <c r="B42" i="9"/>
  <c r="B34" i="9"/>
  <c r="B26" i="9"/>
  <c r="B18" i="9"/>
  <c r="B10" i="9"/>
  <c r="J68" i="9"/>
  <c r="AD2" i="2" l="1"/>
  <c r="AE2" i="2" s="1"/>
  <c r="AD38" i="2"/>
  <c r="D69" i="2"/>
  <c r="Q11" i="3"/>
  <c r="Q12" i="3"/>
  <c r="Q17" i="3"/>
  <c r="Q18" i="3"/>
  <c r="Q10" i="3"/>
  <c r="AA73" i="5"/>
  <c r="T18" i="3"/>
  <c r="R18" i="3" s="1"/>
  <c r="R12" i="3"/>
  <c r="R19" i="3"/>
  <c r="Q19" i="3" s="1"/>
  <c r="R14" i="3"/>
  <c r="Q14" i="3" s="1"/>
  <c r="R16" i="3"/>
  <c r="Q16" i="3" s="1"/>
  <c r="R17" i="3"/>
  <c r="R11" i="3"/>
  <c r="R13" i="3"/>
  <c r="Q13" i="3" s="1"/>
  <c r="R15" i="3"/>
  <c r="Q15" i="3" s="1"/>
  <c r="R10" i="3"/>
  <c r="E17" i="1"/>
  <c r="E8" i="1"/>
  <c r="D8" i="1"/>
  <c r="D4" i="16"/>
  <c r="E9" i="1"/>
  <c r="D9" i="1"/>
  <c r="E14" i="1"/>
  <c r="E11" i="1"/>
  <c r="C11" i="1" s="1"/>
  <c r="E15" i="1"/>
  <c r="D15" i="1"/>
  <c r="H6" i="1"/>
  <c r="I65" i="7"/>
  <c r="J65" i="7" s="1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O79" i="5"/>
  <c r="S73" i="5" s="1"/>
  <c r="C78" i="5" s="1"/>
  <c r="B82" i="5" s="1"/>
  <c r="P78" i="5"/>
  <c r="P79" i="5" s="1"/>
  <c r="W71" i="5"/>
  <c r="P71" i="5"/>
  <c r="O71" i="5"/>
  <c r="N71" i="5"/>
  <c r="H71" i="5"/>
  <c r="G71" i="5"/>
  <c r="F71" i="5"/>
  <c r="V71" i="5" s="1"/>
  <c r="N70" i="5"/>
  <c r="F70" i="5"/>
  <c r="V70" i="5" s="1"/>
  <c r="N69" i="5"/>
  <c r="F69" i="5"/>
  <c r="V69" i="5" s="1"/>
  <c r="Z66" i="5"/>
  <c r="Y66" i="5"/>
  <c r="AA66" i="5" s="1"/>
  <c r="R66" i="5"/>
  <c r="Q66" i="5"/>
  <c r="S66" i="5" s="1"/>
  <c r="Z68" i="5"/>
  <c r="Y68" i="5"/>
  <c r="AA68" i="5" s="1"/>
  <c r="R68" i="5"/>
  <c r="Q68" i="5"/>
  <c r="S68" i="5" s="1"/>
  <c r="E70" i="2" s="1"/>
  <c r="Z67" i="5"/>
  <c r="Y67" i="5"/>
  <c r="AA67" i="5" s="1"/>
  <c r="R67" i="5"/>
  <c r="Q67" i="5"/>
  <c r="S67" i="5" s="1"/>
  <c r="Z65" i="5"/>
  <c r="Y65" i="5"/>
  <c r="AA65" i="5" s="1"/>
  <c r="R65" i="5"/>
  <c r="Q65" i="5"/>
  <c r="S65" i="5" s="1"/>
  <c r="Z64" i="5"/>
  <c r="Y64" i="5"/>
  <c r="AA64" i="5" s="1"/>
  <c r="R64" i="5"/>
  <c r="Q64" i="5"/>
  <c r="S64" i="5" s="1"/>
  <c r="J64" i="5"/>
  <c r="I64" i="5"/>
  <c r="K64" i="5" s="1"/>
  <c r="Z63" i="5"/>
  <c r="Y63" i="5"/>
  <c r="AA63" i="5" s="1"/>
  <c r="R63" i="5"/>
  <c r="Q63" i="5"/>
  <c r="S63" i="5" s="1"/>
  <c r="J63" i="5"/>
  <c r="I63" i="5"/>
  <c r="K63" i="5" s="1"/>
  <c r="Z62" i="5"/>
  <c r="Y62" i="5"/>
  <c r="AA62" i="5" s="1"/>
  <c r="R62" i="5"/>
  <c r="Q62" i="5"/>
  <c r="S62" i="5" s="1"/>
  <c r="J62" i="5"/>
  <c r="I62" i="5"/>
  <c r="K62" i="5" s="1"/>
  <c r="Z61" i="5"/>
  <c r="Y61" i="5"/>
  <c r="AA61" i="5" s="1"/>
  <c r="R61" i="5"/>
  <c r="Q61" i="5"/>
  <c r="S61" i="5" s="1"/>
  <c r="J61" i="5"/>
  <c r="I61" i="5"/>
  <c r="K61" i="5" s="1"/>
  <c r="Z60" i="5"/>
  <c r="Y60" i="5"/>
  <c r="AA60" i="5" s="1"/>
  <c r="R60" i="5"/>
  <c r="Q60" i="5"/>
  <c r="S60" i="5" s="1"/>
  <c r="J60" i="5"/>
  <c r="I60" i="5"/>
  <c r="K60" i="5" s="1"/>
  <c r="Z59" i="5"/>
  <c r="Y59" i="5"/>
  <c r="AA59" i="5" s="1"/>
  <c r="R59" i="5"/>
  <c r="Q59" i="5"/>
  <c r="S59" i="5" s="1"/>
  <c r="J59" i="5"/>
  <c r="I59" i="5"/>
  <c r="K59" i="5" s="1"/>
  <c r="Z58" i="5"/>
  <c r="Y58" i="5"/>
  <c r="AA58" i="5" s="1"/>
  <c r="R58" i="5"/>
  <c r="Q58" i="5"/>
  <c r="S58" i="5" s="1"/>
  <c r="J58" i="5"/>
  <c r="I58" i="5"/>
  <c r="K58" i="5" s="1"/>
  <c r="Z57" i="5"/>
  <c r="Y57" i="5"/>
  <c r="AA57" i="5" s="1"/>
  <c r="R57" i="5"/>
  <c r="Q57" i="5"/>
  <c r="S57" i="5" s="1"/>
  <c r="J57" i="5"/>
  <c r="I57" i="5"/>
  <c r="K57" i="5" s="1"/>
  <c r="Z56" i="5"/>
  <c r="Y56" i="5"/>
  <c r="AA56" i="5" s="1"/>
  <c r="R56" i="5"/>
  <c r="Q56" i="5"/>
  <c r="S56" i="5" s="1"/>
  <c r="J56" i="5"/>
  <c r="I56" i="5"/>
  <c r="K56" i="5" s="1"/>
  <c r="Z55" i="5"/>
  <c r="Y55" i="5"/>
  <c r="AA55" i="5" s="1"/>
  <c r="R55" i="5"/>
  <c r="Q55" i="5"/>
  <c r="S55" i="5" s="1"/>
  <c r="J55" i="5"/>
  <c r="I55" i="5"/>
  <c r="K55" i="5" s="1"/>
  <c r="Z54" i="5"/>
  <c r="Y54" i="5"/>
  <c r="AA54" i="5" s="1"/>
  <c r="R54" i="5"/>
  <c r="Q54" i="5"/>
  <c r="S54" i="5" s="1"/>
  <c r="J54" i="5"/>
  <c r="I54" i="5"/>
  <c r="K54" i="5" s="1"/>
  <c r="Z53" i="5"/>
  <c r="Y53" i="5"/>
  <c r="AA53" i="5" s="1"/>
  <c r="R53" i="5"/>
  <c r="Q53" i="5"/>
  <c r="S53" i="5" s="1"/>
  <c r="J53" i="5"/>
  <c r="I53" i="5"/>
  <c r="K53" i="5" s="1"/>
  <c r="Z52" i="5"/>
  <c r="Y52" i="5"/>
  <c r="AA52" i="5" s="1"/>
  <c r="R52" i="5"/>
  <c r="Q52" i="5"/>
  <c r="S52" i="5" s="1"/>
  <c r="Z51" i="5"/>
  <c r="Y51" i="5"/>
  <c r="AA51" i="5" s="1"/>
  <c r="R51" i="5"/>
  <c r="Q51" i="5"/>
  <c r="S51" i="5" s="1"/>
  <c r="Z50" i="5"/>
  <c r="Y50" i="5"/>
  <c r="AA50" i="5" s="1"/>
  <c r="R50" i="5"/>
  <c r="Q50" i="5"/>
  <c r="S50" i="5" s="1"/>
  <c r="J50" i="5"/>
  <c r="I50" i="5"/>
  <c r="K50" i="5" s="1"/>
  <c r="Z49" i="5"/>
  <c r="Y49" i="5"/>
  <c r="AA49" i="5" s="1"/>
  <c r="R49" i="5"/>
  <c r="Q49" i="5"/>
  <c r="S49" i="5" s="1"/>
  <c r="J49" i="5"/>
  <c r="I49" i="5"/>
  <c r="K49" i="5" s="1"/>
  <c r="Z48" i="5"/>
  <c r="Y48" i="5"/>
  <c r="AA48" i="5" s="1"/>
  <c r="R48" i="5"/>
  <c r="Q48" i="5"/>
  <c r="S48" i="5" s="1"/>
  <c r="J48" i="5"/>
  <c r="I48" i="5"/>
  <c r="K48" i="5" s="1"/>
  <c r="Z47" i="5"/>
  <c r="Y47" i="5"/>
  <c r="AA47" i="5" s="1"/>
  <c r="Z46" i="5"/>
  <c r="AA45" i="5"/>
  <c r="Z45" i="5"/>
  <c r="R45" i="5"/>
  <c r="Q45" i="5"/>
  <c r="S45" i="5" s="1"/>
  <c r="J45" i="5"/>
  <c r="I45" i="5"/>
  <c r="K45" i="5" s="1"/>
  <c r="Z44" i="5"/>
  <c r="Y44" i="5"/>
  <c r="AA44" i="5" s="1"/>
  <c r="R44" i="5"/>
  <c r="Q44" i="5"/>
  <c r="S44" i="5" s="1"/>
  <c r="J44" i="5"/>
  <c r="I44" i="5"/>
  <c r="K44" i="5" s="1"/>
  <c r="Z43" i="5"/>
  <c r="Y43" i="5"/>
  <c r="AA43" i="5" s="1"/>
  <c r="R43" i="5"/>
  <c r="Q43" i="5"/>
  <c r="S43" i="5" s="1"/>
  <c r="J43" i="5"/>
  <c r="I43" i="5"/>
  <c r="K43" i="5" s="1"/>
  <c r="Z42" i="5"/>
  <c r="Y42" i="5"/>
  <c r="AA42" i="5" s="1"/>
  <c r="R42" i="5"/>
  <c r="Q42" i="5"/>
  <c r="S42" i="5" s="1"/>
  <c r="J42" i="5"/>
  <c r="I42" i="5"/>
  <c r="K42" i="5" s="1"/>
  <c r="AA41" i="5"/>
  <c r="X41" i="5"/>
  <c r="X71" i="5" s="1"/>
  <c r="AB40" i="5"/>
  <c r="Z40" i="5"/>
  <c r="Y40" i="5"/>
  <c r="AA40" i="5" s="1"/>
  <c r="R40" i="5"/>
  <c r="Q40" i="5"/>
  <c r="S40" i="5" s="1"/>
  <c r="J40" i="5"/>
  <c r="I40" i="5"/>
  <c r="K40" i="5" s="1"/>
  <c r="AB39" i="5"/>
  <c r="Z39" i="5"/>
  <c r="Y39" i="5"/>
  <c r="AA39" i="5" s="1"/>
  <c r="T39" i="5"/>
  <c r="R39" i="5"/>
  <c r="Q39" i="5"/>
  <c r="S39" i="5" s="1"/>
  <c r="L39" i="5"/>
  <c r="AB38" i="5"/>
  <c r="Z38" i="5"/>
  <c r="Y38" i="5"/>
  <c r="AA38" i="5" s="1"/>
  <c r="T38" i="5"/>
  <c r="R38" i="5"/>
  <c r="Q38" i="5"/>
  <c r="S38" i="5" s="1"/>
  <c r="L38" i="5"/>
  <c r="AB37" i="5"/>
  <c r="Z37" i="5"/>
  <c r="Y37" i="5"/>
  <c r="AA37" i="5" s="1"/>
  <c r="T36" i="5"/>
  <c r="R36" i="5"/>
  <c r="Q36" i="5"/>
  <c r="S36" i="5" s="1"/>
  <c r="L36" i="5"/>
  <c r="AB35" i="5"/>
  <c r="Z35" i="5"/>
  <c r="Y35" i="5"/>
  <c r="AA35" i="5" s="1"/>
  <c r="T35" i="5"/>
  <c r="R35" i="5"/>
  <c r="Q35" i="5"/>
  <c r="S35" i="5" s="1"/>
  <c r="L35" i="5"/>
  <c r="AB34" i="5"/>
  <c r="Z34" i="5"/>
  <c r="Y34" i="5"/>
  <c r="AA34" i="5" s="1"/>
  <c r="T34" i="5"/>
  <c r="R34" i="5"/>
  <c r="Q34" i="5"/>
  <c r="S34" i="5" s="1"/>
  <c r="L34" i="5"/>
  <c r="J34" i="5"/>
  <c r="I34" i="5"/>
  <c r="K34" i="5" s="1"/>
  <c r="AB33" i="5"/>
  <c r="Z33" i="5"/>
  <c r="Y33" i="5"/>
  <c r="AA33" i="5" s="1"/>
  <c r="T33" i="5"/>
  <c r="R33" i="5"/>
  <c r="Q33" i="5"/>
  <c r="S33" i="5" s="1"/>
  <c r="L33" i="5"/>
  <c r="J33" i="5"/>
  <c r="I33" i="5"/>
  <c r="K33" i="5" s="1"/>
  <c r="AB32" i="5"/>
  <c r="Z32" i="5"/>
  <c r="Y32" i="5"/>
  <c r="AA32" i="5" s="1"/>
  <c r="T32" i="5"/>
  <c r="R32" i="5"/>
  <c r="Q32" i="5"/>
  <c r="S32" i="5" s="1"/>
  <c r="L32" i="5"/>
  <c r="J32" i="5"/>
  <c r="I32" i="5"/>
  <c r="K32" i="5" s="1"/>
  <c r="AB31" i="5"/>
  <c r="Z31" i="5"/>
  <c r="Y31" i="5"/>
  <c r="AA31" i="5" s="1"/>
  <c r="T31" i="5"/>
  <c r="R31" i="5"/>
  <c r="Q31" i="5"/>
  <c r="S31" i="5" s="1"/>
  <c r="L31" i="5"/>
  <c r="J31" i="5"/>
  <c r="I31" i="5"/>
  <c r="K31" i="5" s="1"/>
  <c r="Z30" i="5"/>
  <c r="Y30" i="5"/>
  <c r="AA30" i="5" s="1"/>
  <c r="R30" i="5"/>
  <c r="Q30" i="5"/>
  <c r="S30" i="5" s="1"/>
  <c r="J30" i="5"/>
  <c r="I30" i="5"/>
  <c r="K30" i="5" s="1"/>
  <c r="Z29" i="5"/>
  <c r="Y29" i="5"/>
  <c r="AA29" i="5" s="1"/>
  <c r="R29" i="5"/>
  <c r="Q29" i="5"/>
  <c r="S29" i="5" s="1"/>
  <c r="Z28" i="5"/>
  <c r="Y28" i="5"/>
  <c r="AA28" i="5" s="1"/>
  <c r="R28" i="5"/>
  <c r="Q28" i="5"/>
  <c r="S28" i="5" s="1"/>
  <c r="J28" i="5"/>
  <c r="I28" i="5"/>
  <c r="K28" i="5" s="1"/>
  <c r="Z27" i="5"/>
  <c r="Y27" i="5"/>
  <c r="AA27" i="5" s="1"/>
  <c r="R27" i="5"/>
  <c r="Q27" i="5"/>
  <c r="S27" i="5" s="1"/>
  <c r="Z26" i="5"/>
  <c r="Y26" i="5"/>
  <c r="AA26" i="5" s="1"/>
  <c r="R26" i="5"/>
  <c r="Q26" i="5"/>
  <c r="S26" i="5" s="1"/>
  <c r="J26" i="5"/>
  <c r="I26" i="5"/>
  <c r="K26" i="5" s="1"/>
  <c r="Z25" i="5"/>
  <c r="Y25" i="5"/>
  <c r="AA25" i="5" s="1"/>
  <c r="R25" i="5"/>
  <c r="Q25" i="5"/>
  <c r="S25" i="5" s="1"/>
  <c r="J25" i="5"/>
  <c r="I25" i="5"/>
  <c r="K25" i="5" s="1"/>
  <c r="Z24" i="5"/>
  <c r="Y24" i="5"/>
  <c r="AA24" i="5" s="1"/>
  <c r="R24" i="5"/>
  <c r="Q24" i="5"/>
  <c r="S24" i="5" s="1"/>
  <c r="J24" i="5"/>
  <c r="I24" i="5"/>
  <c r="K24" i="5" s="1"/>
  <c r="AB23" i="5"/>
  <c r="Z23" i="5"/>
  <c r="Y23" i="5"/>
  <c r="AA23" i="5" s="1"/>
  <c r="T23" i="5"/>
  <c r="R23" i="5"/>
  <c r="Q23" i="5"/>
  <c r="S23" i="5" s="1"/>
  <c r="AB22" i="5"/>
  <c r="Z22" i="5"/>
  <c r="Y22" i="5"/>
  <c r="AA22" i="5" s="1"/>
  <c r="AB21" i="5"/>
  <c r="Z21" i="5"/>
  <c r="Y21" i="5"/>
  <c r="AA21" i="5" s="1"/>
  <c r="AB20" i="5"/>
  <c r="Z20" i="5"/>
  <c r="Y20" i="5"/>
  <c r="AA20" i="5" s="1"/>
  <c r="E21" i="2" s="1"/>
  <c r="AB19" i="5"/>
  <c r="Z19" i="5"/>
  <c r="Y19" i="5"/>
  <c r="AA19" i="5" s="1"/>
  <c r="T19" i="5"/>
  <c r="R19" i="5"/>
  <c r="Q19" i="5"/>
  <c r="S19" i="5" s="1"/>
  <c r="L19" i="5"/>
  <c r="J19" i="5"/>
  <c r="I19" i="5"/>
  <c r="K19" i="5" s="1"/>
  <c r="AB18" i="5"/>
  <c r="Z18" i="5"/>
  <c r="Y18" i="5"/>
  <c r="AA18" i="5" s="1"/>
  <c r="T18" i="5"/>
  <c r="R18" i="5"/>
  <c r="Q18" i="5"/>
  <c r="S18" i="5" s="1"/>
  <c r="L18" i="5"/>
  <c r="J18" i="5"/>
  <c r="I18" i="5"/>
  <c r="K18" i="5" s="1"/>
  <c r="AB17" i="5"/>
  <c r="Z17" i="5"/>
  <c r="Y17" i="5"/>
  <c r="AA17" i="5" s="1"/>
  <c r="T17" i="5"/>
  <c r="R17" i="5"/>
  <c r="Q17" i="5"/>
  <c r="S17" i="5" s="1"/>
  <c r="L17" i="5"/>
  <c r="J17" i="5"/>
  <c r="I17" i="5"/>
  <c r="K17" i="5" s="1"/>
  <c r="AB16" i="5"/>
  <c r="Z16" i="5"/>
  <c r="Y16" i="5"/>
  <c r="AA16" i="5" s="1"/>
  <c r="T16" i="5"/>
  <c r="R16" i="5"/>
  <c r="Q16" i="5"/>
  <c r="S16" i="5" s="1"/>
  <c r="L16" i="5"/>
  <c r="J16" i="5"/>
  <c r="I16" i="5"/>
  <c r="K16" i="5" s="1"/>
  <c r="AB15" i="5"/>
  <c r="Z15" i="5"/>
  <c r="Y15" i="5"/>
  <c r="AA15" i="5" s="1"/>
  <c r="T15" i="5"/>
  <c r="R15" i="5"/>
  <c r="Q15" i="5"/>
  <c r="S15" i="5" s="1"/>
  <c r="L15" i="5"/>
  <c r="J15" i="5"/>
  <c r="I15" i="5"/>
  <c r="K15" i="5" s="1"/>
  <c r="AB14" i="5"/>
  <c r="Z14" i="5"/>
  <c r="Y14" i="5"/>
  <c r="AA14" i="5" s="1"/>
  <c r="T14" i="5"/>
  <c r="R14" i="5"/>
  <c r="Q14" i="5"/>
  <c r="S14" i="5" s="1"/>
  <c r="L14" i="5"/>
  <c r="J14" i="5"/>
  <c r="I14" i="5"/>
  <c r="K14" i="5" s="1"/>
  <c r="T13" i="5"/>
  <c r="R13" i="5"/>
  <c r="Q13" i="5"/>
  <c r="S13" i="5" s="1"/>
  <c r="L13" i="5"/>
  <c r="J13" i="5"/>
  <c r="I13" i="5"/>
  <c r="K13" i="5" s="1"/>
  <c r="AB12" i="5"/>
  <c r="Z12" i="5"/>
  <c r="Y12" i="5"/>
  <c r="AA12" i="5" s="1"/>
  <c r="T12" i="5"/>
  <c r="R12" i="5"/>
  <c r="Q12" i="5"/>
  <c r="S12" i="5" s="1"/>
  <c r="L12" i="5"/>
  <c r="J12" i="5"/>
  <c r="I12" i="5"/>
  <c r="K12" i="5" s="1"/>
  <c r="AB11" i="5"/>
  <c r="Z11" i="5"/>
  <c r="Y11" i="5"/>
  <c r="AA11" i="5" s="1"/>
  <c r="T11" i="5"/>
  <c r="R11" i="5"/>
  <c r="Q11" i="5"/>
  <c r="S11" i="5" s="1"/>
  <c r="L11" i="5"/>
  <c r="J11" i="5"/>
  <c r="I11" i="5"/>
  <c r="K11" i="5" s="1"/>
  <c r="AB10" i="5"/>
  <c r="Z10" i="5"/>
  <c r="Y10" i="5"/>
  <c r="AA10" i="5" s="1"/>
  <c r="T10" i="5"/>
  <c r="R10" i="5"/>
  <c r="Q10" i="5"/>
  <c r="S10" i="5" s="1"/>
  <c r="AB9" i="5"/>
  <c r="Z9" i="5"/>
  <c r="Y9" i="5"/>
  <c r="AA9" i="5" s="1"/>
  <c r="T9" i="5"/>
  <c r="R9" i="5"/>
  <c r="Q9" i="5"/>
  <c r="S9" i="5" s="1"/>
  <c r="L9" i="5"/>
  <c r="J9" i="5"/>
  <c r="I9" i="5"/>
  <c r="K9" i="5" s="1"/>
  <c r="AB8" i="5"/>
  <c r="Z8" i="5"/>
  <c r="Y8" i="5"/>
  <c r="AA8" i="5" s="1"/>
  <c r="T8" i="5"/>
  <c r="R8" i="5"/>
  <c r="Q8" i="5"/>
  <c r="S8" i="5" s="1"/>
  <c r="L8" i="5"/>
  <c r="J8" i="5"/>
  <c r="I8" i="5"/>
  <c r="K8" i="5" s="1"/>
  <c r="AB7" i="5"/>
  <c r="Z7" i="5"/>
  <c r="Y7" i="5"/>
  <c r="AA7" i="5" s="1"/>
  <c r="T7" i="5"/>
  <c r="R7" i="5"/>
  <c r="Q7" i="5"/>
  <c r="S7" i="5" s="1"/>
  <c r="L7" i="5"/>
  <c r="J7" i="5"/>
  <c r="I7" i="5"/>
  <c r="K7" i="5" s="1"/>
  <c r="AB6" i="5"/>
  <c r="Z6" i="5"/>
  <c r="Y6" i="5"/>
  <c r="AA6" i="5" s="1"/>
  <c r="T6" i="5"/>
  <c r="R6" i="5"/>
  <c r="Q6" i="5"/>
  <c r="S6" i="5" s="1"/>
  <c r="L6" i="5"/>
  <c r="J6" i="5"/>
  <c r="I6" i="5"/>
  <c r="K6" i="5" s="1"/>
  <c r="AB5" i="5"/>
  <c r="Z5" i="5"/>
  <c r="Y5" i="5"/>
  <c r="AA5" i="5" s="1"/>
  <c r="T5" i="5"/>
  <c r="R5" i="5"/>
  <c r="Q5" i="5"/>
  <c r="S5" i="5" s="1"/>
  <c r="L5" i="5"/>
  <c r="J5" i="5"/>
  <c r="I5" i="5"/>
  <c r="K5" i="5" s="1"/>
  <c r="AB4" i="5"/>
  <c r="Z4" i="5"/>
  <c r="Y4" i="5"/>
  <c r="AA4" i="5" s="1"/>
  <c r="T4" i="5"/>
  <c r="R4" i="5"/>
  <c r="Q4" i="5"/>
  <c r="S4" i="5" s="1"/>
  <c r="L4" i="5"/>
  <c r="J4" i="5"/>
  <c r="I4" i="5"/>
  <c r="K4" i="5" s="1"/>
  <c r="AB3" i="5"/>
  <c r="Z3" i="5"/>
  <c r="Y3" i="5"/>
  <c r="AA3" i="5" s="1"/>
  <c r="T3" i="5"/>
  <c r="R3" i="5"/>
  <c r="Q3" i="5"/>
  <c r="S3" i="5" s="1"/>
  <c r="L3" i="5"/>
  <c r="J3" i="5"/>
  <c r="I3" i="5"/>
  <c r="K3" i="5" s="1"/>
  <c r="AB2" i="5"/>
  <c r="Z2" i="5"/>
  <c r="Y2" i="5"/>
  <c r="AA2" i="5" s="1"/>
  <c r="T2" i="5"/>
  <c r="R2" i="5"/>
  <c r="Q2" i="5"/>
  <c r="S2" i="5" s="1"/>
  <c r="L2" i="5"/>
  <c r="J2" i="5"/>
  <c r="I2" i="5"/>
  <c r="K2" i="5" s="1"/>
  <c r="E18" i="1"/>
  <c r="DS21" i="3"/>
  <c r="DS20" i="3"/>
  <c r="DS19" i="3"/>
  <c r="DT18" i="3"/>
  <c r="DT17" i="3"/>
  <c r="DT16" i="3"/>
  <c r="DT15" i="3"/>
  <c r="DS14" i="3"/>
  <c r="DT13" i="3"/>
  <c r="E19" i="1"/>
  <c r="E20" i="1"/>
  <c r="D20" i="1"/>
  <c r="O8" i="1"/>
  <c r="C5" i="1"/>
  <c r="C4" i="1"/>
  <c r="C25" i="1"/>
  <c r="C3" i="1"/>
  <c r="L70" i="2" l="1"/>
  <c r="Q70" i="2"/>
  <c r="P70" i="2"/>
  <c r="E19" i="2"/>
  <c r="L19" i="2" s="1"/>
  <c r="E5" i="2"/>
  <c r="L5" i="2" s="1"/>
  <c r="E6" i="2"/>
  <c r="L6" i="2" s="1"/>
  <c r="E48" i="2"/>
  <c r="L48" i="2" s="1"/>
  <c r="E24" i="2"/>
  <c r="L24" i="2" s="1"/>
  <c r="E4" i="2"/>
  <c r="L4" i="2" s="1"/>
  <c r="E34" i="2"/>
  <c r="L34" i="2" s="1"/>
  <c r="E10" i="2"/>
  <c r="L10" i="2" s="1"/>
  <c r="E13" i="2"/>
  <c r="L13" i="2" s="1"/>
  <c r="E16" i="2"/>
  <c r="L16" i="2" s="1"/>
  <c r="D6" i="16"/>
  <c r="E42" i="2"/>
  <c r="L42" i="2" s="1"/>
  <c r="C5" i="11"/>
  <c r="D12" i="1"/>
  <c r="C12" i="1" s="1"/>
  <c r="C8" i="1"/>
  <c r="E45" i="2"/>
  <c r="L45" i="2" s="1"/>
  <c r="DT23" i="3"/>
  <c r="DT25" i="3" s="1"/>
  <c r="E32" i="2"/>
  <c r="L32" i="2" s="1"/>
  <c r="C9" i="1"/>
  <c r="C20" i="1"/>
  <c r="C15" i="1"/>
  <c r="D7" i="1"/>
  <c r="D6" i="14"/>
  <c r="F69" i="2"/>
  <c r="D13" i="1"/>
  <c r="C13" i="1" s="1"/>
  <c r="D14" i="1"/>
  <c r="C14" i="1" s="1"/>
  <c r="D6" i="15"/>
  <c r="D6" i="18"/>
  <c r="AD57" i="2"/>
  <c r="AD65" i="2"/>
  <c r="AD61" i="2"/>
  <c r="AD60" i="2"/>
  <c r="AD59" i="2"/>
  <c r="AD66" i="2"/>
  <c r="AD67" i="2"/>
  <c r="AD58" i="2"/>
  <c r="D44" i="2"/>
  <c r="AD45" i="2"/>
  <c r="D35" i="2"/>
  <c r="AD35" i="2"/>
  <c r="D19" i="2"/>
  <c r="AD19" i="2"/>
  <c r="D3" i="2"/>
  <c r="AD3" i="2"/>
  <c r="AE3" i="2" s="1"/>
  <c r="D67" i="2"/>
  <c r="AD68" i="2"/>
  <c r="D50" i="2"/>
  <c r="AD51" i="2"/>
  <c r="D42" i="2"/>
  <c r="AD43" i="2"/>
  <c r="D34" i="2"/>
  <c r="AD34" i="2"/>
  <c r="D26" i="2"/>
  <c r="AD26" i="2"/>
  <c r="D18" i="2"/>
  <c r="AD18" i="2"/>
  <c r="D10" i="2"/>
  <c r="AD10" i="2"/>
  <c r="D36" i="2"/>
  <c r="AD36" i="2"/>
  <c r="D49" i="2"/>
  <c r="AD50" i="2"/>
  <c r="D41" i="2"/>
  <c r="AD42" i="2"/>
  <c r="D33" i="2"/>
  <c r="AD33" i="2"/>
  <c r="D25" i="2"/>
  <c r="AD25" i="2"/>
  <c r="D17" i="2"/>
  <c r="AD17" i="2"/>
  <c r="D9" i="2"/>
  <c r="AD9" i="2"/>
  <c r="D40" i="2"/>
  <c r="AD41" i="2"/>
  <c r="D16" i="2"/>
  <c r="AD16" i="2"/>
  <c r="D52" i="2"/>
  <c r="AD53" i="2"/>
  <c r="D12" i="2"/>
  <c r="AD12" i="2"/>
  <c r="D51" i="2"/>
  <c r="AD52" i="2"/>
  <c r="D28" i="2"/>
  <c r="AD28" i="2"/>
  <c r="D4" i="2"/>
  <c r="AD4" i="2"/>
  <c r="D43" i="2"/>
  <c r="AD44" i="2"/>
  <c r="D32" i="2"/>
  <c r="AD32" i="2"/>
  <c r="D24" i="2"/>
  <c r="AD24" i="2"/>
  <c r="D63" i="2"/>
  <c r="AD64" i="2"/>
  <c r="AD40" i="2"/>
  <c r="D15" i="2"/>
  <c r="AD15" i="2"/>
  <c r="D38" i="2"/>
  <c r="AD39" i="2"/>
  <c r="D20" i="2"/>
  <c r="F20" i="2" s="1"/>
  <c r="AD20" i="2"/>
  <c r="D27" i="2"/>
  <c r="AD27" i="2"/>
  <c r="D11" i="2"/>
  <c r="AD11" i="2"/>
  <c r="D48" i="2"/>
  <c r="AD49" i="2"/>
  <c r="D8" i="2"/>
  <c r="AD8" i="2"/>
  <c r="D55" i="2"/>
  <c r="AD56" i="2"/>
  <c r="D47" i="2"/>
  <c r="AD48" i="2"/>
  <c r="D31" i="2"/>
  <c r="AD31" i="2"/>
  <c r="D23" i="2"/>
  <c r="AD23" i="2"/>
  <c r="D7" i="2"/>
  <c r="F7" i="2" s="1"/>
  <c r="D62" i="2"/>
  <c r="AD63" i="2"/>
  <c r="D54" i="2"/>
  <c r="AD55" i="2"/>
  <c r="D46" i="2"/>
  <c r="AD47" i="2"/>
  <c r="D30" i="2"/>
  <c r="AD30" i="2"/>
  <c r="D22" i="2"/>
  <c r="AD22" i="2"/>
  <c r="D14" i="2"/>
  <c r="AD14" i="2"/>
  <c r="D6" i="2"/>
  <c r="AD6" i="2"/>
  <c r="D61" i="2"/>
  <c r="AD62" i="2"/>
  <c r="D53" i="2"/>
  <c r="AD54" i="2"/>
  <c r="D45" i="2"/>
  <c r="AD46" i="2"/>
  <c r="D37" i="2"/>
  <c r="AD37" i="2"/>
  <c r="D29" i="2"/>
  <c r="AD29" i="2"/>
  <c r="D21" i="2"/>
  <c r="F21" i="2" s="1"/>
  <c r="AD21" i="2"/>
  <c r="D13" i="2"/>
  <c r="AD13" i="2"/>
  <c r="D5" i="2"/>
  <c r="AD5" i="2"/>
  <c r="D60" i="2"/>
  <c r="D57" i="2"/>
  <c r="D59" i="2"/>
  <c r="D68" i="2"/>
  <c r="D58" i="2"/>
  <c r="D65" i="2"/>
  <c r="D66" i="2"/>
  <c r="F66" i="2" s="1"/>
  <c r="D64" i="2"/>
  <c r="K64" i="2" s="1"/>
  <c r="D56" i="2"/>
  <c r="H4" i="1"/>
  <c r="E7" i="2"/>
  <c r="L7" i="2" s="1"/>
  <c r="E69" i="2"/>
  <c r="L69" i="2" s="1"/>
  <c r="E8" i="2"/>
  <c r="L8" i="2" s="1"/>
  <c r="E11" i="2"/>
  <c r="L11" i="2" s="1"/>
  <c r="E29" i="2"/>
  <c r="L29" i="2" s="1"/>
  <c r="E3" i="2"/>
  <c r="L3" i="2" s="1"/>
  <c r="E10" i="1"/>
  <c r="C10" i="1" s="1"/>
  <c r="Z41" i="5"/>
  <c r="Z71" i="5" s="1"/>
  <c r="O10" i="1"/>
  <c r="R22" i="3"/>
  <c r="E6" i="13"/>
  <c r="I71" i="5"/>
  <c r="D17" i="1"/>
  <c r="C17" i="1" s="1"/>
  <c r="AB71" i="5"/>
  <c r="AA71" i="5"/>
  <c r="J71" i="5"/>
  <c r="R21" i="3"/>
  <c r="L71" i="5"/>
  <c r="D6" i="4"/>
  <c r="D18" i="1"/>
  <c r="C18" i="1" s="1"/>
  <c r="D6" i="3"/>
  <c r="D19" i="1"/>
  <c r="C19" i="1" s="1"/>
  <c r="T71" i="5"/>
  <c r="R71" i="5"/>
  <c r="S71" i="5"/>
  <c r="K71" i="5"/>
  <c r="Y71" i="5"/>
  <c r="Q71" i="5"/>
  <c r="D6" i="17"/>
  <c r="D6" i="12"/>
  <c r="D26" i="1" l="1"/>
  <c r="D28" i="1" s="1"/>
  <c r="V3" i="2"/>
  <c r="V2" i="2" a="1"/>
  <c r="V2" i="2" s="1"/>
  <c r="V5" i="2"/>
  <c r="C77" i="5"/>
  <c r="C79" i="5" s="1"/>
  <c r="A53" i="7"/>
  <c r="A32" i="7"/>
  <c r="A69" i="7"/>
  <c r="A12" i="7"/>
  <c r="A51" i="7"/>
  <c r="A26" i="7"/>
  <c r="A25" i="7"/>
  <c r="A55" i="7"/>
  <c r="A23" i="7"/>
  <c r="A40" i="7"/>
  <c r="A42" i="7"/>
  <c r="A45" i="7"/>
  <c r="A37" i="7"/>
  <c r="A35" i="7"/>
  <c r="A29" i="7"/>
  <c r="A49" i="7"/>
  <c r="A9" i="7"/>
  <c r="A11" i="7"/>
  <c r="A13" i="7"/>
  <c r="A14" i="7"/>
  <c r="A3" i="7"/>
  <c r="A50" i="7"/>
  <c r="A54" i="7"/>
  <c r="A10" i="7"/>
  <c r="A56" i="7"/>
  <c r="A65" i="7"/>
  <c r="A70" i="7"/>
  <c r="A72" i="7"/>
  <c r="A27" i="7"/>
  <c r="A66" i="7"/>
  <c r="A20" i="7"/>
  <c r="A73" i="7"/>
  <c r="A7" i="7"/>
  <c r="A34" i="7"/>
  <c r="A44" i="7"/>
  <c r="A16" i="7"/>
  <c r="A47" i="7"/>
  <c r="A28" i="7"/>
  <c r="A4" i="7"/>
  <c r="A39" i="7"/>
  <c r="A57" i="7"/>
  <c r="A60" i="7"/>
  <c r="A17" i="7"/>
  <c r="A63" i="7"/>
  <c r="A36" i="7"/>
  <c r="A67" i="7"/>
  <c r="A74" i="7"/>
  <c r="A6" i="7"/>
  <c r="A68" i="7"/>
  <c r="A71" i="7"/>
  <c r="A30" i="7"/>
  <c r="A15" i="7"/>
  <c r="A52" i="7"/>
  <c r="A43" i="7"/>
  <c r="A41" i="7"/>
  <c r="A59" i="7"/>
  <c r="A64" i="7"/>
  <c r="A33" i="7"/>
  <c r="A61" i="7"/>
  <c r="A62" i="7"/>
  <c r="A75" i="7"/>
  <c r="A19" i="7"/>
  <c r="A5" i="7"/>
  <c r="A8" i="7"/>
  <c r="A38" i="7"/>
  <c r="A21" i="7"/>
  <c r="A22" i="7"/>
  <c r="A18" i="7"/>
  <c r="A58" i="7"/>
  <c r="A48" i="7"/>
  <c r="A24" i="7"/>
  <c r="A31" i="7"/>
  <c r="A46" i="7"/>
  <c r="A2" i="7"/>
  <c r="E36" i="2"/>
  <c r="L36" i="2" s="1"/>
  <c r="E17" i="2"/>
  <c r="L17" i="2" s="1"/>
  <c r="E25" i="2"/>
  <c r="L25" i="2" s="1"/>
  <c r="E26" i="1"/>
  <c r="E28" i="1" s="1"/>
  <c r="B84" i="5"/>
  <c r="H3" i="1" s="1"/>
  <c r="C7" i="1"/>
  <c r="C29" i="1" s="1"/>
  <c r="C31" i="1" s="1"/>
  <c r="K2" i="2"/>
  <c r="C87" i="2"/>
  <c r="C98" i="2"/>
  <c r="K7" i="2"/>
  <c r="E28" i="2"/>
  <c r="L28" i="2" s="1"/>
  <c r="E22" i="2"/>
  <c r="L22" i="2" s="1"/>
  <c r="E14" i="2"/>
  <c r="L14" i="2" s="1"/>
  <c r="E12" i="2"/>
  <c r="L12" i="2" s="1"/>
  <c r="E35" i="2"/>
  <c r="L35" i="2" s="1"/>
  <c r="E20" i="2"/>
  <c r="L20" i="2" s="1"/>
  <c r="E26" i="2"/>
  <c r="L26" i="2" s="1"/>
  <c r="L21" i="2"/>
  <c r="E33" i="2"/>
  <c r="L33" i="2" s="1"/>
  <c r="E15" i="2"/>
  <c r="L15" i="2" s="1"/>
  <c r="E23" i="2"/>
  <c r="L23" i="2" s="1"/>
  <c r="E30" i="2"/>
  <c r="L30" i="2" s="1"/>
  <c r="E31" i="2"/>
  <c r="L31" i="2" s="1"/>
  <c r="E9" i="2"/>
  <c r="L9" i="2" s="1"/>
  <c r="E27" i="2"/>
  <c r="L27" i="2" s="1"/>
  <c r="E18" i="2"/>
  <c r="L18" i="2" s="1"/>
  <c r="Q69" i="2"/>
  <c r="S69" i="2"/>
  <c r="P69" i="2"/>
  <c r="R23" i="3"/>
  <c r="E49" i="2"/>
  <c r="L49" i="2" s="1"/>
  <c r="E37" i="2"/>
  <c r="L37" i="2" s="1"/>
  <c r="E38" i="2"/>
  <c r="L38" i="2" s="1"/>
  <c r="E68" i="2"/>
  <c r="L68" i="2" s="1"/>
  <c r="E65" i="2"/>
  <c r="L65" i="2" s="1"/>
  <c r="E66" i="2"/>
  <c r="L66" i="2" s="1"/>
  <c r="E60" i="2"/>
  <c r="L60" i="2" s="1"/>
  <c r="E41" i="2"/>
  <c r="L41" i="2" s="1"/>
  <c r="E61" i="2"/>
  <c r="L61" i="2" s="1"/>
  <c r="E44" i="2"/>
  <c r="L44" i="2" s="1"/>
  <c r="E56" i="2"/>
  <c r="L56" i="2" s="1"/>
  <c r="E57" i="2"/>
  <c r="L57" i="2" s="1"/>
  <c r="E47" i="2"/>
  <c r="L47" i="2" s="1"/>
  <c r="E52" i="2"/>
  <c r="L52" i="2" s="1"/>
  <c r="E2" i="2"/>
  <c r="E39" i="2"/>
  <c r="L39" i="2" s="1"/>
  <c r="E43" i="2"/>
  <c r="L43" i="2" s="1"/>
  <c r="E46" i="2"/>
  <c r="L46" i="2" s="1"/>
  <c r="E50" i="2"/>
  <c r="L50" i="2" s="1"/>
  <c r="E40" i="2"/>
  <c r="L40" i="2" s="1"/>
  <c r="E53" i="2"/>
  <c r="L53" i="2" s="1"/>
  <c r="E51" i="2"/>
  <c r="L51" i="2" s="1"/>
  <c r="E58" i="2"/>
  <c r="L58" i="2" s="1"/>
  <c r="E64" i="2"/>
  <c r="L64" i="2" s="1"/>
  <c r="E59" i="2"/>
  <c r="L59" i="2" s="1"/>
  <c r="E55" i="2"/>
  <c r="L55" i="2" s="1"/>
  <c r="E54" i="2"/>
  <c r="L54" i="2" s="1"/>
  <c r="E62" i="2"/>
  <c r="L62" i="2" s="1"/>
  <c r="E63" i="2"/>
  <c r="L63" i="2" s="1"/>
  <c r="E67" i="2"/>
  <c r="L67" i="2" s="1"/>
  <c r="AA72" i="5"/>
  <c r="AA74" i="5" s="1"/>
  <c r="K72" i="5"/>
  <c r="K74" i="5" s="1"/>
  <c r="S72" i="5"/>
  <c r="S74" i="5" s="1"/>
  <c r="G84" i="2" l="1" a="1"/>
  <c r="G84" i="2" s="1"/>
  <c r="V9" i="2"/>
  <c r="V10" i="2" s="1"/>
  <c r="K47" i="2"/>
  <c r="K45" i="2"/>
  <c r="J48" i="2"/>
  <c r="K68" i="2"/>
  <c r="K55" i="2"/>
  <c r="G83" i="2" a="1"/>
  <c r="G83" i="2" s="1"/>
  <c r="K67" i="2"/>
  <c r="K8" i="2"/>
  <c r="K39" i="2"/>
  <c r="K29" i="2"/>
  <c r="K12" i="2"/>
  <c r="K4" i="2"/>
  <c r="K66" i="2"/>
  <c r="H5" i="1"/>
  <c r="K65" i="2"/>
  <c r="C97" i="2" l="1"/>
  <c r="C99" i="2" s="1"/>
  <c r="G88" i="2" a="1"/>
  <c r="G88" i="2" s="1"/>
  <c r="J69" i="2"/>
  <c r="K69" i="2"/>
  <c r="M69" i="2" s="1"/>
  <c r="K9" i="2"/>
  <c r="K10" i="2"/>
  <c r="K30" i="2"/>
  <c r="K57" i="2"/>
  <c r="K63" i="2"/>
  <c r="K11" i="2"/>
  <c r="K21" i="2"/>
  <c r="K26" i="2"/>
  <c r="K27" i="2"/>
  <c r="K48" i="2"/>
  <c r="K46" i="2"/>
  <c r="K14" i="2"/>
  <c r="K40" i="2"/>
  <c r="K54" i="2"/>
  <c r="K43" i="2"/>
  <c r="K19" i="2"/>
  <c r="K62" i="2"/>
  <c r="K35" i="2"/>
  <c r="K42" i="2"/>
  <c r="K61" i="2"/>
  <c r="K5" i="2"/>
  <c r="K56" i="2"/>
  <c r="K3" i="2"/>
  <c r="K22" i="2"/>
  <c r="K18" i="2"/>
  <c r="K13" i="2"/>
  <c r="K36" i="2"/>
  <c r="K38" i="2"/>
  <c r="K41" i="2"/>
  <c r="K34" i="2"/>
  <c r="K44" i="2"/>
  <c r="K15" i="2"/>
  <c r="K20" i="2"/>
  <c r="K24" i="2"/>
  <c r="K59" i="2"/>
  <c r="K25" i="2"/>
  <c r="K37" i="2"/>
  <c r="K50" i="2"/>
  <c r="K51" i="2"/>
  <c r="K52" i="2"/>
  <c r="K17" i="2"/>
  <c r="K53" i="2"/>
  <c r="K58" i="2"/>
  <c r="K23" i="2"/>
  <c r="K33" i="2"/>
  <c r="K28" i="2"/>
  <c r="K60" i="2"/>
  <c r="K16" i="2"/>
  <c r="K49" i="2"/>
  <c r="K31" i="2"/>
  <c r="K32" i="2"/>
  <c r="J68" i="2" l="1"/>
  <c r="J8" i="2"/>
  <c r="J67" i="2"/>
  <c r="K6" i="2"/>
  <c r="G90" i="2" s="1" a="1"/>
  <c r="G90" i="2" s="1"/>
  <c r="J28" i="2" l="1"/>
  <c r="J21" i="2"/>
  <c r="J24" i="2"/>
  <c r="J60" i="2"/>
  <c r="J29" i="2"/>
  <c r="J3" i="2"/>
  <c r="J37" i="2"/>
  <c r="J31" i="2"/>
  <c r="J19" i="2"/>
  <c r="J22" i="2"/>
  <c r="J11" i="2"/>
  <c r="J35" i="2"/>
  <c r="J30" i="2"/>
  <c r="J12" i="2"/>
  <c r="J17" i="2"/>
  <c r="J23" i="2"/>
  <c r="J52" i="2"/>
  <c r="J33" i="2"/>
  <c r="J59" i="2"/>
  <c r="J49" i="2"/>
  <c r="J16" i="2"/>
  <c r="F68" i="2"/>
  <c r="Q68" i="2" s="1"/>
  <c r="R68" i="2"/>
  <c r="M68" i="2"/>
  <c r="R67" i="2"/>
  <c r="F67" i="2"/>
  <c r="Q67" i="2" s="1"/>
  <c r="M67" i="2"/>
  <c r="J38" i="2"/>
  <c r="J39" i="2"/>
  <c r="J32" i="2"/>
  <c r="J62" i="2"/>
  <c r="J26" i="2"/>
  <c r="J51" i="2"/>
  <c r="J65" i="2"/>
  <c r="J45" i="2"/>
  <c r="J46" i="2"/>
  <c r="J47" i="2"/>
  <c r="J40" i="2"/>
  <c r="J58" i="2"/>
  <c r="J36" i="2"/>
  <c r="J9" i="2"/>
  <c r="J34" i="2"/>
  <c r="J53" i="2"/>
  <c r="J54" i="2"/>
  <c r="J55" i="2"/>
  <c r="J10" i="2"/>
  <c r="J43" i="2"/>
  <c r="J25" i="2"/>
  <c r="J66" i="2"/>
  <c r="J61" i="2"/>
  <c r="J63" i="2"/>
  <c r="J56" i="2"/>
  <c r="J20" i="2"/>
  <c r="J44" i="2"/>
  <c r="J18" i="2"/>
  <c r="J41" i="2"/>
  <c r="J5" i="2"/>
  <c r="J6" i="2"/>
  <c r="J7" i="2"/>
  <c r="J64" i="2"/>
  <c r="J42" i="2"/>
  <c r="J27" i="2"/>
  <c r="J50" i="2"/>
  <c r="J57" i="2"/>
  <c r="J13" i="2"/>
  <c r="J14" i="2"/>
  <c r="J15" i="2"/>
  <c r="F8" i="2"/>
  <c r="R8" i="2"/>
  <c r="M8" i="2"/>
  <c r="M28" i="2" l="1"/>
  <c r="M52" i="2"/>
  <c r="R52" i="2"/>
  <c r="M22" i="2"/>
  <c r="F52" i="2"/>
  <c r="Q52" i="2" s="1"/>
  <c r="M19" i="2"/>
  <c r="F19" i="2"/>
  <c r="S19" i="2" s="1"/>
  <c r="F28" i="2"/>
  <c r="Q28" i="2" s="1"/>
  <c r="R19" i="2"/>
  <c r="R28" i="2"/>
  <c r="M59" i="2"/>
  <c r="R22" i="2"/>
  <c r="R21" i="2"/>
  <c r="S21" i="2"/>
  <c r="F22" i="2"/>
  <c r="Q22" i="2" s="1"/>
  <c r="R49" i="2"/>
  <c r="M29" i="2"/>
  <c r="R29" i="2"/>
  <c r="F29" i="2"/>
  <c r="Q29" i="2" s="1"/>
  <c r="R12" i="2"/>
  <c r="R37" i="2"/>
  <c r="R16" i="2"/>
  <c r="R59" i="2"/>
  <c r="R24" i="2"/>
  <c r="R30" i="2"/>
  <c r="F33" i="2"/>
  <c r="Q33" i="2" s="1"/>
  <c r="R33" i="2"/>
  <c r="M3" i="2"/>
  <c r="M12" i="2"/>
  <c r="F49" i="2"/>
  <c r="Q49" i="2" s="1"/>
  <c r="M30" i="2"/>
  <c r="M16" i="2"/>
  <c r="F16" i="2"/>
  <c r="S16" i="2" s="1"/>
  <c r="F35" i="2"/>
  <c r="Q35" i="2" s="1"/>
  <c r="F60" i="2"/>
  <c r="S60" i="2" s="1"/>
  <c r="M35" i="2"/>
  <c r="M60" i="2"/>
  <c r="R35" i="2"/>
  <c r="F24" i="2"/>
  <c r="S24" i="2" s="1"/>
  <c r="R60" i="2"/>
  <c r="R17" i="2"/>
  <c r="F30" i="2"/>
  <c r="M37" i="2"/>
  <c r="R3" i="2"/>
  <c r="M31" i="2"/>
  <c r="F23" i="2"/>
  <c r="Q23" i="2" s="1"/>
  <c r="F31" i="2"/>
  <c r="Q31" i="2" s="1"/>
  <c r="R31" i="2"/>
  <c r="M17" i="2"/>
  <c r="R23" i="2"/>
  <c r="F12" i="2"/>
  <c r="S12" i="2" s="1"/>
  <c r="M23" i="2"/>
  <c r="M11" i="2"/>
  <c r="F17" i="2"/>
  <c r="Q17" i="2" s="1"/>
  <c r="F3" i="2"/>
  <c r="M33" i="2"/>
  <c r="M24" i="2"/>
  <c r="M21" i="2"/>
  <c r="R11" i="2"/>
  <c r="M49" i="2"/>
  <c r="F59" i="2"/>
  <c r="F11" i="2"/>
  <c r="Q11" i="2" s="1"/>
  <c r="J4" i="2"/>
  <c r="M4" i="2"/>
  <c r="F37" i="2"/>
  <c r="S37" i="2" s="1"/>
  <c r="F6" i="2"/>
  <c r="Q6" i="2" s="1"/>
  <c r="R54" i="2"/>
  <c r="S66" i="2"/>
  <c r="R47" i="2"/>
  <c r="F50" i="2"/>
  <c r="Q50" i="2" s="1"/>
  <c r="R41" i="2"/>
  <c r="F25" i="2"/>
  <c r="Q25" i="2" s="1"/>
  <c r="F61" i="2"/>
  <c r="Q61" i="2" s="1"/>
  <c r="F57" i="2"/>
  <c r="S57" i="2" s="1"/>
  <c r="F27" i="2"/>
  <c r="S27" i="2" s="1"/>
  <c r="F9" i="2"/>
  <c r="S9" i="2" s="1"/>
  <c r="F51" i="2"/>
  <c r="Q51" i="2" s="1"/>
  <c r="R46" i="2"/>
  <c r="F45" i="2"/>
  <c r="Q45" i="2" s="1"/>
  <c r="R38" i="2"/>
  <c r="F36" i="2"/>
  <c r="Q36" i="2" s="1"/>
  <c r="F53" i="2"/>
  <c r="Q53" i="2" s="1"/>
  <c r="M42" i="2"/>
  <c r="F44" i="2"/>
  <c r="S44" i="2" s="1"/>
  <c r="F43" i="2"/>
  <c r="S43" i="2" s="1"/>
  <c r="F4" i="2"/>
  <c r="S4" i="2" s="1"/>
  <c r="F58" i="2"/>
  <c r="S58" i="2" s="1"/>
  <c r="R48" i="2"/>
  <c r="F62" i="2"/>
  <c r="S62" i="2" s="1"/>
  <c r="F14" i="2"/>
  <c r="Q14" i="2" s="1"/>
  <c r="M7" i="2"/>
  <c r="R63" i="2"/>
  <c r="F32" i="2"/>
  <c r="Q32" i="2" s="1"/>
  <c r="F47" i="2"/>
  <c r="S47" i="2" s="1"/>
  <c r="R7" i="2"/>
  <c r="M32" i="2"/>
  <c r="S7" i="2"/>
  <c r="M14" i="2"/>
  <c r="R55" i="2"/>
  <c r="F63" i="2"/>
  <c r="S63" i="2" s="1"/>
  <c r="R13" i="2"/>
  <c r="M63" i="2"/>
  <c r="R32" i="2"/>
  <c r="R14" i="2"/>
  <c r="M55" i="2"/>
  <c r="M47" i="2"/>
  <c r="M26" i="2"/>
  <c r="R4" i="2"/>
  <c r="F55" i="2"/>
  <c r="Q55" i="2" s="1"/>
  <c r="S67" i="2"/>
  <c r="M40" i="2"/>
  <c r="R56" i="2"/>
  <c r="M58" i="2"/>
  <c r="F54" i="2"/>
  <c r="S54" i="2" s="1"/>
  <c r="M45" i="2"/>
  <c r="R61" i="2"/>
  <c r="R45" i="2"/>
  <c r="F38" i="2"/>
  <c r="S38" i="2" s="1"/>
  <c r="M66" i="2"/>
  <c r="M54" i="2"/>
  <c r="M38" i="2"/>
  <c r="M5" i="2"/>
  <c r="R66" i="2"/>
  <c r="R53" i="2"/>
  <c r="F5" i="2"/>
  <c r="Q5" i="2" s="1"/>
  <c r="S68" i="2"/>
  <c r="R5" i="2"/>
  <c r="R43" i="2"/>
  <c r="R26" i="2"/>
  <c r="M53" i="2"/>
  <c r="M56" i="2"/>
  <c r="M10" i="2"/>
  <c r="R40" i="2"/>
  <c r="M15" i="2"/>
  <c r="R57" i="2"/>
  <c r="M64" i="2"/>
  <c r="M48" i="2"/>
  <c r="R15" i="2"/>
  <c r="F48" i="2"/>
  <c r="Q48" i="2" s="1"/>
  <c r="M57" i="2"/>
  <c r="F56" i="2"/>
  <c r="S56" i="2" s="1"/>
  <c r="F40" i="2"/>
  <c r="S40" i="2" s="1"/>
  <c r="R42" i="2"/>
  <c r="F15" i="2"/>
  <c r="Q15" i="2" s="1"/>
  <c r="P68" i="2"/>
  <c r="R20" i="2"/>
  <c r="M43" i="2"/>
  <c r="M62" i="2"/>
  <c r="F42" i="2"/>
  <c r="Q42" i="2" s="1"/>
  <c r="M41" i="2"/>
  <c r="R10" i="2"/>
  <c r="M39" i="2"/>
  <c r="M27" i="2"/>
  <c r="M44" i="2"/>
  <c r="R62" i="2"/>
  <c r="M36" i="2"/>
  <c r="M13" i="2"/>
  <c r="R39" i="2"/>
  <c r="M51" i="2"/>
  <c r="F10" i="2"/>
  <c r="Q10" i="2" s="1"/>
  <c r="F26" i="2"/>
  <c r="S26" i="2" s="1"/>
  <c r="R44" i="2"/>
  <c r="R36" i="2"/>
  <c r="Q20" i="2"/>
  <c r="M65" i="2"/>
  <c r="R64" i="2"/>
  <c r="M20" i="2"/>
  <c r="R58" i="2"/>
  <c r="F64" i="2"/>
  <c r="Q64" i="2" s="1"/>
  <c r="P67" i="2"/>
  <c r="R34" i="2"/>
  <c r="R27" i="2"/>
  <c r="M34" i="2"/>
  <c r="M9" i="2"/>
  <c r="F13" i="2"/>
  <c r="F46" i="2"/>
  <c r="Q46" i="2" s="1"/>
  <c r="F41" i="2"/>
  <c r="F34" i="2"/>
  <c r="S34" i="2" s="1"/>
  <c r="F39" i="2"/>
  <c r="R25" i="2"/>
  <c r="R65" i="2"/>
  <c r="R51" i="2"/>
  <c r="R18" i="2"/>
  <c r="R50" i="2"/>
  <c r="M6" i="2"/>
  <c r="R9" i="2"/>
  <c r="M46" i="2"/>
  <c r="M50" i="2"/>
  <c r="M18" i="2"/>
  <c r="R6" i="2"/>
  <c r="M61" i="2"/>
  <c r="F65" i="2"/>
  <c r="S65" i="2" s="1"/>
  <c r="F18" i="2"/>
  <c r="S18" i="2" s="1"/>
  <c r="M25" i="2"/>
  <c r="Q8" i="2"/>
  <c r="P8" i="2"/>
  <c r="S8" i="2"/>
  <c r="S11" i="2" l="1"/>
  <c r="S28" i="2"/>
  <c r="P28" i="2"/>
  <c r="P52" i="2"/>
  <c r="S52" i="2"/>
  <c r="Q19" i="2"/>
  <c r="P21" i="2"/>
  <c r="Q21" i="2"/>
  <c r="P19" i="2"/>
  <c r="P30" i="2"/>
  <c r="P29" i="2"/>
  <c r="Q60" i="2"/>
  <c r="S29" i="2"/>
  <c r="P3" i="2"/>
  <c r="S22" i="2"/>
  <c r="P22" i="2"/>
  <c r="Q27" i="2"/>
  <c r="P12" i="2"/>
  <c r="P33" i="2"/>
  <c r="Q3" i="2"/>
  <c r="S17" i="2"/>
  <c r="P27" i="2"/>
  <c r="Q58" i="2"/>
  <c r="S45" i="2"/>
  <c r="S3" i="2"/>
  <c r="P59" i="2"/>
  <c r="S31" i="2"/>
  <c r="P24" i="2"/>
  <c r="Q24" i="2"/>
  <c r="S49" i="2"/>
  <c r="Q12" i="2"/>
  <c r="P41" i="2"/>
  <c r="P16" i="2"/>
  <c r="P58" i="2"/>
  <c r="P31" i="2"/>
  <c r="S33" i="2"/>
  <c r="Q30" i="2"/>
  <c r="Q16" i="2"/>
  <c r="S30" i="2"/>
  <c r="P11" i="2"/>
  <c r="P23" i="2"/>
  <c r="P35" i="2"/>
  <c r="P49" i="2"/>
  <c r="P60" i="2"/>
  <c r="Q59" i="2"/>
  <c r="S35" i="2"/>
  <c r="S59" i="2"/>
  <c r="S23" i="2"/>
  <c r="P17" i="2"/>
  <c r="P6" i="2"/>
  <c r="S25" i="2"/>
  <c r="S6" i="2"/>
  <c r="P37" i="2"/>
  <c r="Q37" i="2"/>
  <c r="Q66" i="2"/>
  <c r="P25" i="2"/>
  <c r="P45" i="2"/>
  <c r="P61" i="2"/>
  <c r="P66" i="2"/>
  <c r="P44" i="2"/>
  <c r="S32" i="2"/>
  <c r="S36" i="2"/>
  <c r="Q9" i="2"/>
  <c r="S51" i="2"/>
  <c r="P51" i="2"/>
  <c r="Q43" i="2"/>
  <c r="Q62" i="2"/>
  <c r="S61" i="2"/>
  <c r="Q44" i="2"/>
  <c r="S14" i="2"/>
  <c r="P53" i="2"/>
  <c r="P4" i="2"/>
  <c r="Q4" i="2"/>
  <c r="P50" i="2"/>
  <c r="S50" i="2"/>
  <c r="Q57" i="2"/>
  <c r="P36" i="2"/>
  <c r="P62" i="2"/>
  <c r="S53" i="2"/>
  <c r="P43" i="2"/>
  <c r="P14" i="2"/>
  <c r="P57" i="2"/>
  <c r="P32" i="2"/>
  <c r="Q7" i="2"/>
  <c r="P7" i="2"/>
  <c r="Q63" i="2"/>
  <c r="P63" i="2"/>
  <c r="Q47" i="2"/>
  <c r="P47" i="2"/>
  <c r="P13" i="2"/>
  <c r="Q38" i="2"/>
  <c r="Q34" i="2"/>
  <c r="S42" i="2"/>
  <c r="Q56" i="2"/>
  <c r="P55" i="2"/>
  <c r="S55" i="2"/>
  <c r="P38" i="2"/>
  <c r="P26" i="2"/>
  <c r="P56" i="2"/>
  <c r="P15" i="2"/>
  <c r="S48" i="2"/>
  <c r="P48" i="2"/>
  <c r="Q54" i="2"/>
  <c r="S5" i="2"/>
  <c r="P54" i="2"/>
  <c r="P40" i="2"/>
  <c r="P5" i="2"/>
  <c r="AE5" i="2" s="1"/>
  <c r="Q40" i="2"/>
  <c r="S15" i="2"/>
  <c r="Q26" i="2"/>
  <c r="P64" i="2"/>
  <c r="P65" i="2"/>
  <c r="S64" i="2"/>
  <c r="P42" i="2"/>
  <c r="P34" i="2"/>
  <c r="P10" i="2"/>
  <c r="S10" i="2"/>
  <c r="S20" i="2"/>
  <c r="P9" i="2"/>
  <c r="S41" i="2"/>
  <c r="P39" i="2"/>
  <c r="P20" i="2"/>
  <c r="Q41" i="2"/>
  <c r="Q65" i="2"/>
  <c r="Q39" i="2"/>
  <c r="S13" i="2"/>
  <c r="S39" i="2"/>
  <c r="Q13" i="2"/>
  <c r="Q18" i="2"/>
  <c r="S46" i="2"/>
  <c r="P18" i="2"/>
  <c r="P46" i="2"/>
  <c r="F23" i="7" l="1"/>
  <c r="F51" i="7"/>
  <c r="K22" i="7"/>
  <c r="F21" i="7"/>
  <c r="F53" i="7"/>
  <c r="P48" i="7"/>
  <c r="K29" i="7"/>
  <c r="F14" i="7"/>
  <c r="F42" i="7"/>
  <c r="F49" i="7"/>
  <c r="P38" i="7"/>
  <c r="K18" i="7"/>
  <c r="K4" i="7"/>
  <c r="P21" i="7"/>
  <c r="P6" i="7"/>
  <c r="K14" i="7"/>
  <c r="P11" i="7"/>
  <c r="P23" i="7"/>
  <c r="K3" i="7"/>
  <c r="F10" i="7"/>
  <c r="K27" i="7"/>
  <c r="K24" i="7"/>
  <c r="K30" i="7"/>
  <c r="P20" i="7"/>
  <c r="F7" i="7"/>
  <c r="F43" i="7"/>
  <c r="P43" i="7"/>
  <c r="F19" i="7"/>
  <c r="F57" i="7"/>
  <c r="F16" i="7"/>
  <c r="P17" i="7"/>
  <c r="P57" i="7"/>
  <c r="K47" i="7"/>
  <c r="K5" i="7"/>
  <c r="P50" i="7"/>
  <c r="P3" i="7"/>
  <c r="K8" i="7"/>
  <c r="K9" i="7"/>
  <c r="P29" i="7"/>
  <c r="K7" i="7"/>
  <c r="K16" i="7"/>
  <c r="F61" i="7"/>
  <c r="F27" i="7"/>
  <c r="P34" i="7"/>
  <c r="F33" i="7"/>
  <c r="K6" i="7"/>
  <c r="P13" i="7"/>
  <c r="P22" i="7"/>
  <c r="P16" i="7"/>
  <c r="F59" i="7"/>
  <c r="K10" i="7"/>
  <c r="F18" i="7"/>
  <c r="P31" i="7"/>
  <c r="P44" i="7"/>
  <c r="F44" i="7"/>
  <c r="F55" i="7"/>
  <c r="K32" i="7"/>
  <c r="K35" i="7"/>
  <c r="K44" i="7"/>
  <c r="F52" i="7"/>
  <c r="F13" i="7"/>
  <c r="K46" i="7"/>
  <c r="K2" i="7"/>
  <c r="F6" i="7"/>
  <c r="F17" i="7"/>
  <c r="P52" i="7"/>
  <c r="K31" i="7"/>
  <c r="K21" i="7"/>
  <c r="P26" i="7"/>
  <c r="K40" i="7"/>
  <c r="K12" i="7"/>
  <c r="K19" i="7"/>
  <c r="P10" i="7"/>
  <c r="K36" i="7"/>
  <c r="K57" i="7"/>
  <c r="F12" i="7"/>
  <c r="P8" i="7"/>
  <c r="F28" i="7"/>
  <c r="F34" i="7"/>
  <c r="K20" i="7"/>
  <c r="F37" i="7"/>
  <c r="F48" i="7"/>
  <c r="P58" i="7"/>
  <c r="P33" i="7"/>
  <c r="P4" i="7"/>
  <c r="F3" i="7"/>
  <c r="K37" i="7"/>
  <c r="K25" i="7"/>
  <c r="P2" i="7"/>
  <c r="F32" i="7"/>
  <c r="P5" i="7"/>
  <c r="P39" i="7"/>
  <c r="K51" i="7"/>
  <c r="P40" i="7"/>
  <c r="F54" i="7"/>
  <c r="F30" i="7"/>
  <c r="K53" i="7"/>
  <c r="P18" i="7"/>
  <c r="K41" i="7"/>
  <c r="F60" i="7"/>
  <c r="P46" i="7"/>
  <c r="P36" i="7"/>
  <c r="F29" i="7"/>
  <c r="P14" i="7"/>
  <c r="P55" i="7"/>
  <c r="K23" i="7"/>
  <c r="F47" i="7"/>
  <c r="P54" i="7"/>
  <c r="K34" i="7"/>
  <c r="F58" i="7"/>
  <c r="K48" i="7"/>
  <c r="F46" i="7"/>
  <c r="K26" i="7"/>
  <c r="F56" i="7"/>
  <c r="K13" i="7"/>
  <c r="F24" i="7"/>
  <c r="F15" i="7"/>
  <c r="K15" i="7"/>
  <c r="F39" i="7"/>
  <c r="F50" i="7"/>
  <c r="P37" i="7"/>
  <c r="K50" i="7"/>
  <c r="P47" i="7"/>
  <c r="P53" i="7"/>
  <c r="P42" i="7"/>
  <c r="K52" i="7"/>
  <c r="K39" i="7"/>
  <c r="F9" i="7"/>
  <c r="P7" i="7"/>
  <c r="K55" i="7"/>
  <c r="P56" i="7"/>
  <c r="P41" i="7"/>
  <c r="F45" i="7"/>
  <c r="P12" i="7"/>
  <c r="F36" i="7"/>
  <c r="F11" i="7"/>
  <c r="P28" i="7"/>
  <c r="P9" i="7"/>
  <c r="F35" i="7"/>
  <c r="F38" i="7"/>
  <c r="K43" i="7"/>
  <c r="K33" i="7"/>
  <c r="K28" i="7"/>
  <c r="P32" i="7"/>
  <c r="F31" i="7"/>
  <c r="F2" i="7"/>
  <c r="P51" i="7"/>
  <c r="K56" i="7"/>
  <c r="K45" i="7"/>
  <c r="K42" i="7"/>
  <c r="F26" i="7"/>
  <c r="K17" i="7"/>
  <c r="K54" i="7"/>
  <c r="P27" i="7"/>
  <c r="P25" i="7"/>
  <c r="P24" i="7"/>
  <c r="P15" i="7"/>
  <c r="F4" i="7"/>
  <c r="P35" i="7"/>
  <c r="K38" i="7"/>
  <c r="F20" i="7"/>
  <c r="F41" i="7"/>
  <c r="P30" i="7"/>
  <c r="P19" i="7"/>
  <c r="P49" i="7"/>
  <c r="U2" i="7"/>
  <c r="P45" i="7"/>
  <c r="K49" i="7"/>
  <c r="F40" i="7"/>
  <c r="F8" i="7"/>
  <c r="F5" i="7"/>
  <c r="F22" i="7"/>
  <c r="K11" i="7"/>
  <c r="F25" i="7"/>
  <c r="C93" i="2" l="1"/>
  <c r="C95" i="2" s="1"/>
  <c r="L2" i="2"/>
  <c r="C2" i="2"/>
  <c r="R2" i="2" s="1"/>
  <c r="G95" i="2" l="1" a="1"/>
  <c r="G95" i="2" s="1"/>
  <c r="F2" i="2"/>
  <c r="S2" i="2" s="1"/>
  <c r="M2" i="2"/>
  <c r="G91" i="2" s="1" a="1"/>
  <c r="G91" i="2" s="1"/>
  <c r="J2" i="2"/>
  <c r="G89" i="2" s="1" a="1"/>
  <c r="G89" i="2" s="1"/>
  <c r="G85" i="2" l="1" a="1"/>
  <c r="G85" i="2" s="1"/>
  <c r="G97" i="2" s="1"/>
  <c r="P2" i="2"/>
  <c r="Q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33CBC1-04B6-4817-9975-547F15D5A9E6}" keepAlive="1" name="Query - Desember" description="Connection to the 'Desember' query in the workbook." type="5" refreshedVersion="8" background="1" saveData="1">
    <dbPr connection="Provider=Microsoft.Mashup.OleDb.1;Data Source=$Workbook$;Location=Desember;Extended Properties=&quot;&quot;" command="SELECT * FROM [Desember]"/>
  </connection>
  <connection id="2" xr16:uid="{D8E3CF46-A62A-4AAA-B1CF-322BDD804ED4}" keepAlive="1" name="Query - GammelVipps" description="Connection to the 'GammelVipps' query in the workbook." type="5" refreshedVersion="8" background="1" saveData="1">
    <dbPr connection="Provider=Microsoft.Mashup.OleDb.1;Data Source=$Workbook$;Location=GammelVipps;Extended Properties=&quot;&quot;" command="SELECT * FROM [GammelVipps]"/>
  </connection>
  <connection id="3" xr16:uid="{FEA42029-A3F7-4B8E-B54C-7056FEC422EE}" keepAlive="1" name="Query - Inkjøp" description="Connection to the 'Inkjøp' query in the workbook." type="5" refreshedVersion="8" background="1" saveData="1">
    <dbPr connection="Provider=Microsoft.Mashup.OleDb.1;Data Source=$Workbook$;Location=Inkjøp;Extended Properties=&quot;&quot;" command="SELECT * FROM [Inkjøp]"/>
  </connection>
  <connection id="4" xr16:uid="{D9CECF98-F339-4CB9-94DE-17BB616FA71C}" keepAlive="1" name="Query - November" description="Connection to the 'November' query in the workbook." type="5" refreshedVersion="8" background="1" saveData="1">
    <dbPr connection="Provider=Microsoft.Mashup.OleDb.1;Data Source=$Workbook$;Location=November;Extended Properties=&quot;&quot;" command="SELECT * FROM [November]"/>
  </connection>
  <connection id="5" xr16:uid="{E337BE2E-1FA1-4E23-B216-2607DE911683}" keepAlive="1" name="Query - Oktober" description="Connection to the 'Oktober' query in the workbook." type="5" refreshedVersion="8" background="1" saveData="1">
    <dbPr connection="Provider=Microsoft.Mashup.OleDb.1;Data Source=$Workbook$;Location=Oktober;Extended Properties=&quot;&quot;" command="SELECT * FROM [Oktober]"/>
  </connection>
  <connection id="6" xr16:uid="{EDED759F-6D5A-482F-92BE-0503FFEF8D83}" keepAlive="1" name="Query - Salg_Total" description="Connection to the 'Salg_Total' query in the workbook." type="5" refreshedVersion="8" background="1" saveData="1">
    <dbPr connection="Provider=Microsoft.Mashup.OleDb.1;Data Source=$Workbook$;Location=Salg_Total;Extended Properties=&quot;&quot;" command="SELECT * FROM [Salg_Total]"/>
  </connection>
  <connection id="7" xr16:uid="{0E7546AD-5E6C-429D-A586-A13039CF67D5}" keepAlive="1" name="Query - Sept" description="Connection to the 'Sept' query in the workbook." type="5" refreshedVersion="8" background="1" saveData="1">
    <dbPr connection="Provider=Microsoft.Mashup.OleDb.1;Data Source=$Workbook$;Location=Sept;Extended Properties=&quot;&quot;" command="SELECT * FROM [Sept]"/>
  </connection>
  <connection id="8" xr16:uid="{98AD8C08-4E2B-49E8-8080-8F59871E16F5}" keepAlive="1" name="Query - Terminal_Totalraport" description="Connection to the 'Terminal_Totalraport' query in the workbook." type="5" refreshedVersion="8" background="1" saveData="1">
    <dbPr connection="Provider=Microsoft.Mashup.OleDb.1;Data Source=$Workbook$;Location=Terminal_Totalraport;Extended Properties=&quot;&quot;" command="SELECT * FROM [Terminal_Totalraport]"/>
  </connection>
  <connection id="9" xr16:uid="{BA868C7F-520A-4C12-A59B-4FE45D1CCC23}" keepAlive="1" name="Query - TerminalV1" description="Connection to the 'TerminalV1' query in the workbook." type="5" refreshedVersion="8" background="1" saveData="1">
    <dbPr connection="Provider=Microsoft.Mashup.OleDb.1;Data Source=$Workbook$;Location=TerminalV1;Extended Properties=&quot;&quot;" command="SELECT * FROM [TerminalV1]"/>
  </connection>
  <connection id="10" xr16:uid="{63BABA16-0367-401C-BB3D-7D4446705EAC}" keepAlive="1" name="Query - TerminalV2" description="Connection to the 'TerminalV2' query in the workbook." type="5" refreshedVersion="8" background="1" saveData="1">
    <dbPr connection="Provider=Microsoft.Mashup.OleDb.1;Data Source=$Workbook$;Location=TerminalV2;Extended Properties=&quot;&quot;" command="SELECT * FROM [TerminalV2]"/>
  </connection>
  <connection id="11" xr16:uid="{5367BFE0-006B-4B03-8493-87943AA365CA}" keepAlive="1" name="Query - Vipps_Totalraport" description="Connection to the 'Vipps_Totalraport' query in the workbook." type="5" refreshedVersion="8" background="1" saveData="1">
    <dbPr connection="Provider=Microsoft.Mashup.OleDb.1;Data Source=$Workbook$;Location=Vipps_Totalraport;Extended Properties=&quot;&quot;" command="SELECT * FROM [Vipps_Totalraport]"/>
  </connection>
  <connection id="12" xr16:uid="{A02531F4-64BE-40B7-986B-0B479B4CA1CE}" keepAlive="1" name="Spørring - April" description="Tilkobling til spørringen April i arbeidsboken." type="5" refreshedVersion="8" background="1" saveData="1">
    <dbPr connection="Provider=Microsoft.Mashup.OleDb.1;Data Source=$Workbook$;Location=April;Extended Properties=&quot;&quot;" command="SELECT * FROM [April]"/>
  </connection>
  <connection id="13" xr16:uid="{7F954055-2256-4028-B84A-087E8AE6EEE6}" keepAlive="1" name="Spørring - Februar" description="Tilkobling til spørringen Februar i arbeidsboken." type="5" refreshedVersion="8" background="1" saveData="1">
    <dbPr connection="Provider=Microsoft.Mashup.OleDb.1;Data Source=$Workbook$;Location=Februar;Extended Properties=&quot;&quot;" command="SELECT * FROM [Februar]"/>
  </connection>
  <connection id="14" xr16:uid="{49848997-DF53-4CB3-9046-4CF4F4234DB8}" keepAlive="1" name="Spørring - Januar" description="Tilkobling til spørringen Januar i arbeidsboken." type="5" refreshedVersion="8" background="1" saveData="1">
    <dbPr connection="Provider=Microsoft.Mashup.OleDb.1;Data Source=$Workbook$;Location=Januar;Extended Properties=&quot;&quot;" command="SELECT * FROM [Januar]"/>
  </connection>
  <connection id="15" xr16:uid="{286B10C3-CEDB-45DB-BC78-5AC43A21F7E5}" keepAlive="1" name="Spørring - Mai" description="Tilkobling til spørringen Mai i arbeidsboken." type="5" refreshedVersion="8" background="1" saveData="1">
    <dbPr connection="Provider=Microsoft.Mashup.OleDb.1;Data Source=$Workbook$;Location=Mai;Extended Properties=&quot;&quot;" command="SELECT * FROM [Mai]"/>
  </connection>
  <connection id="16" xr16:uid="{5B309D30-C6A8-4AF8-8B75-717B7E8B097B}" keepAlive="1" name="Spørring - Mars" description="Tilkobling til spørringen Mars i arbeidsboken." type="5" refreshedVersion="8" background="1" saveData="1">
    <dbPr connection="Provider=Microsoft.Mashup.OleDb.1;Data Source=$Workbook$;Location=Mars;Extended Properties=&quot;&quot;" command="SELECT * FROM [Mar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<sst xmlns="http://schemas.openxmlformats.org/spreadsheetml/2006/main" count="7090" uniqueCount="1378">
  <si>
    <t>Sted</t>
  </si>
  <si>
    <t>Overskudd</t>
  </si>
  <si>
    <t>ut</t>
  </si>
  <si>
    <t>inn</t>
  </si>
  <si>
    <t>Feilsøking</t>
  </si>
  <si>
    <t>Drottningborgrussen</t>
  </si>
  <si>
    <t>Ikke kategoriserte utgifter</t>
  </si>
  <si>
    <t>Startkapital 01.08.25</t>
  </si>
  <si>
    <t>kategori</t>
  </si>
  <si>
    <t>Diff</t>
  </si>
  <si>
    <t>Gammelt skyldig (sommertreff)</t>
  </si>
  <si>
    <t>Inn kiosk</t>
  </si>
  <si>
    <t>Intekter</t>
  </si>
  <si>
    <t>Brukt</t>
  </si>
  <si>
    <t>Utgifter</t>
  </si>
  <si>
    <t>Misjonsprojekt</t>
  </si>
  <si>
    <t>Vipps</t>
  </si>
  <si>
    <t>Intektsforklaringer</t>
  </si>
  <si>
    <t>Lån drottningborg</t>
  </si>
  <si>
    <t>Terminal</t>
  </si>
  <si>
    <t>Volley</t>
  </si>
  <si>
    <t>Utført dato</t>
  </si>
  <si>
    <t>Beløp inn</t>
  </si>
  <si>
    <t>Mottakernavn</t>
  </si>
  <si>
    <t>Numref</t>
  </si>
  <si>
    <t>Melding/KID/Fakt.nr</t>
  </si>
  <si>
    <t>Beløp ut</t>
  </si>
  <si>
    <t>Kjøre</t>
  </si>
  <si>
    <t>nattcup</t>
  </si>
  <si>
    <t>10.11.2025</t>
  </si>
  <si>
    <t>kiosk</t>
  </si>
  <si>
    <t>Isruss</t>
  </si>
  <si>
    <t>Total forklart</t>
  </si>
  <si>
    <t>Milkshake</t>
  </si>
  <si>
    <t>Total bank</t>
  </si>
  <si>
    <t>Pant</t>
  </si>
  <si>
    <t>Ukjent</t>
  </si>
  <si>
    <t>15.09.2025</t>
  </si>
  <si>
    <t>Basar</t>
  </si>
  <si>
    <t>05.11.2025</t>
  </si>
  <si>
    <t>Misjonsløp</t>
  </si>
  <si>
    <t>Kjøring</t>
  </si>
  <si>
    <t>Barista</t>
  </si>
  <si>
    <t>Nattcup</t>
  </si>
  <si>
    <t>bokbind</t>
  </si>
  <si>
    <t>Måneskinstur</t>
  </si>
  <si>
    <t>Premiere Leaugue</t>
  </si>
  <si>
    <t>Krympefest</t>
  </si>
  <si>
    <t>Redaksjonen</t>
  </si>
  <si>
    <t>SUM</t>
  </si>
  <si>
    <t>Estimert konto</t>
  </si>
  <si>
    <t>på konto</t>
  </si>
  <si>
    <t>Differanse</t>
  </si>
  <si>
    <t>Antall Solgt</t>
  </si>
  <si>
    <t>Svinn</t>
  </si>
  <si>
    <t>svinsum</t>
  </si>
  <si>
    <t>På lager</t>
  </si>
  <si>
    <t>Nåværende overskudd</t>
  </si>
  <si>
    <t>Lagerverdi</t>
  </si>
  <si>
    <t>korreksjon</t>
  </si>
  <si>
    <t>Profitt</t>
  </si>
  <si>
    <t>vipps total</t>
  </si>
  <si>
    <t>Energidrikk</t>
  </si>
  <si>
    <t>Gevinster</t>
  </si>
  <si>
    <t>Monster monarch</t>
  </si>
  <si>
    <t>peach -&gt;</t>
  </si>
  <si>
    <t>fresh</t>
  </si>
  <si>
    <t>Sjokolademelk x2</t>
  </si>
  <si>
    <t>Brus</t>
  </si>
  <si>
    <t>Godteri</t>
  </si>
  <si>
    <t>Oppsumering</t>
  </si>
  <si>
    <t>sum ut</t>
  </si>
  <si>
    <t>per</t>
  </si>
  <si>
    <t>antal</t>
  </si>
  <si>
    <t>lokale</t>
  </si>
  <si>
    <t>mat</t>
  </si>
  <si>
    <t>pynt</t>
  </si>
  <si>
    <t>Grisehodet</t>
  </si>
  <si>
    <t>total</t>
  </si>
  <si>
    <t>inn vipps</t>
  </si>
  <si>
    <t>sum</t>
  </si>
  <si>
    <t>Produkt</t>
  </si>
  <si>
    <t>Antall</t>
  </si>
  <si>
    <t>Pris SC</t>
  </si>
  <si>
    <t>pris SC (m. mva)</t>
  </si>
  <si>
    <t>Totalt (u mva)</t>
  </si>
  <si>
    <t>Totalt (m mva)</t>
  </si>
  <si>
    <t>pant</t>
  </si>
  <si>
    <t>Monster White</t>
  </si>
  <si>
    <t>Monster Mango Loco</t>
  </si>
  <si>
    <t>Monster Monarch</t>
  </si>
  <si>
    <t>Monster Lewis Hamilton</t>
  </si>
  <si>
    <t>Monster Punch</t>
  </si>
  <si>
    <t>Redbull Original</t>
  </si>
  <si>
    <t>Redbull 473ml</t>
  </si>
  <si>
    <t>Redbull Sukkerfri</t>
  </si>
  <si>
    <t>Redbull ZERO Cal</t>
  </si>
  <si>
    <t>Redbull Yellow</t>
  </si>
  <si>
    <t>Redbull Peach</t>
  </si>
  <si>
    <t>Redbull Blue</t>
  </si>
  <si>
    <t>Redbull Purple</t>
  </si>
  <si>
    <t>Powerking Svart</t>
  </si>
  <si>
    <t>Powerking Hvit</t>
  </si>
  <si>
    <t>Battery Fresh</t>
  </si>
  <si>
    <t>snitt(moms)</t>
  </si>
  <si>
    <t>Battery Original</t>
  </si>
  <si>
    <t>se moms</t>
  </si>
  <si>
    <t>Battery Peachberry</t>
  </si>
  <si>
    <t>Battery Yellow</t>
  </si>
  <si>
    <t>Battery Remix 2.0</t>
  </si>
  <si>
    <t>Battery Blueberry</t>
  </si>
  <si>
    <t>Burn</t>
  </si>
  <si>
    <t>Iskaffe Cappuccino</t>
  </si>
  <si>
    <t>Iskaffe Cappuccino U/sukker</t>
  </si>
  <si>
    <t>Iskaffe Latte U/sugar</t>
  </si>
  <si>
    <t>Iskaffe Salty Caramel</t>
  </si>
  <si>
    <t>Iskaffe Mocha</t>
  </si>
  <si>
    <t>Iskaffe Pumpkin Spice</t>
  </si>
  <si>
    <t>Sjokomelk</t>
  </si>
  <si>
    <t>Fanta Exotic</t>
  </si>
  <si>
    <t>Fanta Orange</t>
  </si>
  <si>
    <t>Urge</t>
  </si>
  <si>
    <t>Pepsi Max</t>
  </si>
  <si>
    <t>Coca Cola</t>
  </si>
  <si>
    <t>Coca Cola Zero</t>
  </si>
  <si>
    <t>Cola zero 0.5</t>
  </si>
  <si>
    <t>Iste</t>
  </si>
  <si>
    <t>Iste U/sukker</t>
  </si>
  <si>
    <t>Smil</t>
  </si>
  <si>
    <t>Melkesjokolade 100g</t>
  </si>
  <si>
    <t>Melkerull</t>
  </si>
  <si>
    <t>Kinder Bueno</t>
  </si>
  <si>
    <t>Kinder Maxi</t>
  </si>
  <si>
    <t>Snickers</t>
  </si>
  <si>
    <t>sjokoladeplate 200g</t>
  </si>
  <si>
    <t>Snickers 50g</t>
  </si>
  <si>
    <t>Mars</t>
  </si>
  <si>
    <t>Twix</t>
  </si>
  <si>
    <t>Japp</t>
  </si>
  <si>
    <t>Lion</t>
  </si>
  <si>
    <t>Smarties</t>
  </si>
  <si>
    <t>Snap n´crackle</t>
  </si>
  <si>
    <t>Drumstick</t>
  </si>
  <si>
    <t>Squashies</t>
  </si>
  <si>
    <t>Vepsebol</t>
  </si>
  <si>
    <t>Pringles Original</t>
  </si>
  <si>
    <t>Pringles Sour Cream</t>
  </si>
  <si>
    <t>Pringles Paprika</t>
  </si>
  <si>
    <t>Skittles</t>
  </si>
  <si>
    <t>Mentos</t>
  </si>
  <si>
    <t>Bilar</t>
  </si>
  <si>
    <t>Hockey Pulver</t>
  </si>
  <si>
    <t>Extra Tyggis</t>
  </si>
  <si>
    <t>Double Dip</t>
  </si>
  <si>
    <t>Mellombar Orange</t>
  </si>
  <si>
    <t>Mellombar Blå</t>
  </si>
  <si>
    <t>Chili nøtter</t>
  </si>
  <si>
    <t>Antall kjøpt</t>
  </si>
  <si>
    <t>sum pant</t>
  </si>
  <si>
    <t>kvitering</t>
  </si>
  <si>
    <t>Sum innkjøp</t>
  </si>
  <si>
    <t>sum inkjøp</t>
  </si>
  <si>
    <t>feilmargin</t>
  </si>
  <si>
    <t>godkjent</t>
  </si>
  <si>
    <t>Kviteringer</t>
  </si>
  <si>
    <t>pris</t>
  </si>
  <si>
    <t>varer</t>
  </si>
  <si>
    <t>Godkjent</t>
  </si>
  <si>
    <t>betaltstatus</t>
  </si>
  <si>
    <t>Rema</t>
  </si>
  <si>
    <t>kvitering 1</t>
  </si>
  <si>
    <t>halt</t>
  </si>
  <si>
    <t>Kontrolpaner</t>
  </si>
  <si>
    <t>til andre</t>
  </si>
  <si>
    <t>Ut kvitering</t>
  </si>
  <si>
    <t>Storcash</t>
  </si>
  <si>
    <t>kvitering 2</t>
  </si>
  <si>
    <t>betalt</t>
  </si>
  <si>
    <t>Ut bank</t>
  </si>
  <si>
    <t>ukjent med feil</t>
  </si>
  <si>
    <t>kvitering 3</t>
  </si>
  <si>
    <t>kvit 4</t>
  </si>
  <si>
    <t>Totalt</t>
  </si>
  <si>
    <t>Vare</t>
  </si>
  <si>
    <t>Beløp inkl.MVA</t>
  </si>
  <si>
    <t>Column1</t>
  </si>
  <si>
    <t>Varegruppe</t>
  </si>
  <si>
    <t>Beløp inkl. MVA</t>
  </si>
  <si>
    <t>Sjokolade</t>
  </si>
  <si>
    <t>Energidrikke</t>
  </si>
  <si>
    <t>Meieri</t>
  </si>
  <si>
    <t>Iskaffe Cappuccino U/sugar</t>
  </si>
  <si>
    <t>Mat</t>
  </si>
  <si>
    <t>Redbull sukkerfri</t>
  </si>
  <si>
    <t>Ekstra Tyggis</t>
  </si>
  <si>
    <t>Estimert</t>
  </si>
  <si>
    <t>Reelt</t>
  </si>
  <si>
    <t>svinn</t>
  </si>
  <si>
    <t>Kontrolpanel</t>
  </si>
  <si>
    <t>Inn vipps</t>
  </si>
  <si>
    <t>Inn bank vipps</t>
  </si>
  <si>
    <t>03.09.2025</t>
  </si>
  <si>
    <t>Beløp</t>
  </si>
  <si>
    <t>Inn logført</t>
  </si>
  <si>
    <t>Oppsumert</t>
  </si>
  <si>
    <t>Privat</t>
  </si>
  <si>
    <t>Borgen Bilen</t>
  </si>
  <si>
    <t>Type</t>
  </si>
  <si>
    <t>Etternavn</t>
  </si>
  <si>
    <t>grunn</t>
  </si>
  <si>
    <t>kontonummer</t>
  </si>
  <si>
    <t>Fornavn</t>
  </si>
  <si>
    <t>Ole Aasen</t>
  </si>
  <si>
    <t>Til: Ole Aasen
Kjøring</t>
  </si>
  <si>
    <t>sum privat</t>
  </si>
  <si>
    <t>Ruben</t>
  </si>
  <si>
    <t>Pettersen</t>
  </si>
  <si>
    <t>Kiosken</t>
  </si>
  <si>
    <t>Ja</t>
  </si>
  <si>
    <t>Lars</t>
  </si>
  <si>
    <t>oyy</t>
  </si>
  <si>
    <t>Nei</t>
  </si>
  <si>
    <t>Alice Løvdal</t>
  </si>
  <si>
    <t>Til: Alice Løvdal
Kjøring mtur</t>
  </si>
  <si>
    <t>sum borgen bil</t>
  </si>
  <si>
    <t>Benjamin</t>
  </si>
  <si>
    <t>Gjøtterud</t>
  </si>
  <si>
    <t>Thea</t>
  </si>
  <si>
    <t>Wiig</t>
  </si>
  <si>
    <t>Hanna Langballe</t>
  </si>
  <si>
    <t>Til: Hanna Langballe
Kjøregodtgjørelse mtur</t>
  </si>
  <si>
    <t>Sum kjøregodtgjørelse</t>
  </si>
  <si>
    <t>Ole</t>
  </si>
  <si>
    <t>Aasen</t>
  </si>
  <si>
    <t>Is/milkshake</t>
  </si>
  <si>
    <t>Marie Konstad</t>
  </si>
  <si>
    <t>Til: Marie Konstad
kjøregodtgjørelse</t>
  </si>
  <si>
    <t>Marie</t>
  </si>
  <si>
    <t>Konstad</t>
  </si>
  <si>
    <t>Benjamin Gjøterud</t>
  </si>
  <si>
    <t>Til: Benjamin Gjøterud
Kjøregodtgjørelse</t>
  </si>
  <si>
    <t>Ruben Pettersen</t>
  </si>
  <si>
    <t>Til: Ruben Pettersen
Kjøregodtgjørelse</t>
  </si>
  <si>
    <t>Sum utgifter</t>
  </si>
  <si>
    <t>Sum intekter</t>
  </si>
  <si>
    <t>overskud</t>
  </si>
  <si>
    <t>Beskrivelse</t>
  </si>
  <si>
    <t>Til konto</t>
  </si>
  <si>
    <t>kontroll</t>
  </si>
  <si>
    <t>sjokolade/snacks</t>
  </si>
  <si>
    <t>kaker/bake</t>
  </si>
  <si>
    <t>Premier</t>
  </si>
  <si>
    <t>Totalt ut</t>
  </si>
  <si>
    <t>Inn</t>
  </si>
  <si>
    <t>Bil</t>
  </si>
  <si>
    <t>maya</t>
  </si>
  <si>
    <t>mari</t>
  </si>
  <si>
    <t>tilde</t>
  </si>
  <si>
    <t>Julie K</t>
  </si>
  <si>
    <t>mange</t>
  </si>
  <si>
    <t>Tilde</t>
  </si>
  <si>
    <t>Ikke betalt</t>
  </si>
  <si>
    <r>
      <rPr>
        <b/>
        <sz val="12"/>
        <rFont val="Calibri"/>
        <family val="2"/>
      </rPr>
      <t>Vare</t>
    </r>
  </si>
  <si>
    <r>
      <rPr>
        <b/>
        <sz val="12"/>
        <rFont val="Calibri"/>
        <family val="2"/>
      </rPr>
      <t>Varegruppe</t>
    </r>
  </si>
  <si>
    <r>
      <rPr>
        <b/>
        <sz val="12"/>
        <rFont val="Calibri"/>
        <family val="2"/>
      </rPr>
      <t>Antall</t>
    </r>
  </si>
  <si>
    <r>
      <rPr>
        <b/>
        <sz val="12"/>
        <rFont val="Calibri"/>
        <family val="2"/>
      </rPr>
      <t>Beløp inkl. MVA</t>
    </r>
  </si>
  <si>
    <t>Sjokoladeplate 200g</t>
  </si>
  <si>
    <r>
      <rPr>
        <b/>
        <sz val="12"/>
        <rFont val="Calibri"/>
        <family val="2"/>
      </rPr>
      <t>Totalt</t>
    </r>
  </si>
  <si>
    <t/>
  </si>
  <si>
    <t>kvit 5</t>
  </si>
  <si>
    <t>Totalt estimert inntekt</t>
  </si>
  <si>
    <t>Total reell intekt</t>
  </si>
  <si>
    <t>Ut</t>
  </si>
  <si>
    <t>Monster Landon Norris</t>
  </si>
  <si>
    <t>Column2</t>
  </si>
  <si>
    <t>Total Kjøpsum</t>
  </si>
  <si>
    <t>Produkter</t>
  </si>
  <si>
    <t>Estimert lager</t>
  </si>
  <si>
    <t>Pris</t>
  </si>
  <si>
    <t>B</t>
  </si>
  <si>
    <t>Antall(sum)</t>
  </si>
  <si>
    <t>Beløp(sum)</t>
  </si>
  <si>
    <t>Gjennomsnitspris</t>
  </si>
  <si>
    <t>Veldig irriterende produkt</t>
  </si>
  <si>
    <t>Antall(solgt)</t>
  </si>
  <si>
    <t>DG</t>
  </si>
  <si>
    <t>Total kjøpssum</t>
  </si>
  <si>
    <t>Antal Kjøpt</t>
  </si>
  <si>
    <t>01.12.2025</t>
  </si>
  <si>
    <t>Julebrus boks</t>
  </si>
  <si>
    <t>Drottningborg vgs.</t>
  </si>
  <si>
    <t>Til: Drottningborg vgs.
Kjøring drottniborgrussen</t>
  </si>
  <si>
    <t>Inn Terminal</t>
  </si>
  <si>
    <t>Inn Vipps</t>
  </si>
  <si>
    <t>Totalt inn</t>
  </si>
  <si>
    <t>Grovregnskap Direkte fra bank</t>
  </si>
  <si>
    <t>Sluttsum</t>
  </si>
  <si>
    <t>Kontrollpanel</t>
  </si>
  <si>
    <t>Inn estimert</t>
  </si>
  <si>
    <t>Inn faktisk</t>
  </si>
  <si>
    <t>Ut estimert</t>
  </si>
  <si>
    <t>Ut faktisk</t>
  </si>
  <si>
    <t>Totalt Inkjøpte varer</t>
  </si>
  <si>
    <t>Totalt inkjøpte varer</t>
  </si>
  <si>
    <t>Totalt kjøpsum</t>
  </si>
  <si>
    <t>Inkjøp</t>
  </si>
  <si>
    <t>Total estimert intekt</t>
  </si>
  <si>
    <t>Salg</t>
  </si>
  <si>
    <t>Totalt antall solgte varer</t>
  </si>
  <si>
    <t>Totalt svinnede varer</t>
  </si>
  <si>
    <t>Status</t>
  </si>
  <si>
    <t>Varer på lager</t>
  </si>
  <si>
    <t>Totalt intjent dokumentert+udok</t>
  </si>
  <si>
    <t>Totalt svinnsum (Dok-udok)</t>
  </si>
  <si>
    <t>Kvit 6</t>
  </si>
  <si>
    <t>Produkt 4</t>
  </si>
  <si>
    <t>Godkjent hvis +-20</t>
  </si>
  <si>
    <t>Dette er hvor du sjekker at du har gjort ting riktig</t>
  </si>
  <si>
    <t>Kvitering 1</t>
  </si>
  <si>
    <t>Betalt</t>
  </si>
  <si>
    <t>Varer mangler</t>
  </si>
  <si>
    <t>Kvitering 2</t>
  </si>
  <si>
    <t>medlem</t>
  </si>
  <si>
    <t>Alice</t>
  </si>
  <si>
    <t>løvdal</t>
  </si>
  <si>
    <t>Usikker</t>
  </si>
  <si>
    <t>Hannah</t>
  </si>
  <si>
    <t>Langballe</t>
  </si>
  <si>
    <t>Mari</t>
  </si>
  <si>
    <t>Bø</t>
  </si>
  <si>
    <t>Kiorsken</t>
  </si>
  <si>
    <t>23.03.2026</t>
  </si>
  <si>
    <t>02.02.2026</t>
  </si>
  <si>
    <t>Til: Drottningborg vgs.
Kjøring borgenbilen</t>
  </si>
  <si>
    <t>Finner ikke feilen</t>
  </si>
  <si>
    <t>ukjent(Gi en dag+++)</t>
  </si>
  <si>
    <t>n</t>
  </si>
  <si>
    <t>j</t>
  </si>
  <si>
    <t>Kvitering 3</t>
  </si>
  <si>
    <t>p</t>
  </si>
  <si>
    <t>Urge Boks</t>
  </si>
  <si>
    <t>Column 1</t>
  </si>
  <si>
    <t>Brus (utgått på dato)</t>
  </si>
  <si>
    <t>brus</t>
  </si>
  <si>
    <t>Mozell light</t>
  </si>
  <si>
    <t>Monster Ultra Fiesta</t>
  </si>
  <si>
    <t>Skolegensere</t>
  </si>
  <si>
    <t>Rolle Bryllup</t>
  </si>
  <si>
    <t>Ferdigstille dette…</t>
  </si>
  <si>
    <t>03.12.2025</t>
  </si>
  <si>
    <t>Utb. 2000068 Vippsnr 126635</t>
  </si>
  <si>
    <t>03.11.2025</t>
  </si>
  <si>
    <t>Utb. 2000044 Vippsnr 126635</t>
  </si>
  <si>
    <t>Utb. 2001582 Vippsnr 126635</t>
  </si>
  <si>
    <t>03.03.2026</t>
  </si>
  <si>
    <t>Utb. 2000135 Vippsnr 126635</t>
  </si>
  <si>
    <t>Utb. 2000136 Vippsnr 126635</t>
  </si>
  <si>
    <t>Utb. 2000134 Vippsnr 126635</t>
  </si>
  <si>
    <t>03.02.2026</t>
  </si>
  <si>
    <t>Utb. 2000113 Vippsnr 126635</t>
  </si>
  <si>
    <t>Utb. 2000115 Vippsnr 126635</t>
  </si>
  <si>
    <t>Utb. 2000114 Vippsnr 126635</t>
  </si>
  <si>
    <t>02.09.2025</t>
  </si>
  <si>
    <t>Utb. 2001581 Vippsnr 126635</t>
  </si>
  <si>
    <t>Utb. 2001580 Vippsnr 126635</t>
  </si>
  <si>
    <t>Utb. 2001579 Vippsnr 126635</t>
  </si>
  <si>
    <t>02.03.2026</t>
  </si>
  <si>
    <t>Utb. 2000133 Vippsnr 126635</t>
  </si>
  <si>
    <t>Utb. 2000112 Vippsnr 126635</t>
  </si>
  <si>
    <t>Utb. 2000065 Vippsnr 126635</t>
  </si>
  <si>
    <t>01.09.2025</t>
  </si>
  <si>
    <t>Utb. 2001578 Vippsnr 126635</t>
  </si>
  <si>
    <t>01.04.2026</t>
  </si>
  <si>
    <t>Utb. 2000164 Vippsnr 126635</t>
  </si>
  <si>
    <t>avg</t>
  </si>
  <si>
    <t>Totalt energidrikk i liter</t>
  </si>
  <si>
    <t>03.06.2026</t>
  </si>
  <si>
    <t>Utb. 2000221 Vippsnr 126635</t>
  </si>
  <si>
    <t>02.06.2026</t>
  </si>
  <si>
    <t>Utb. 2000218 Vippsnr 126635</t>
  </si>
  <si>
    <t>Utb. 2000219 Vippsnr 126635</t>
  </si>
  <si>
    <t>Utb. 2000220 Vippsnr 126635</t>
  </si>
  <si>
    <t>01.06.2026</t>
  </si>
  <si>
    <t>Utb. 2000217 Vippsnr 126635</t>
  </si>
  <si>
    <t>31.10.2025</t>
  </si>
  <si>
    <t>Utb. 2000043 Vippsnr 126635</t>
  </si>
  <si>
    <t>31.08.2025</t>
  </si>
  <si>
    <t>Utb. 2001577 Vippsnr 126635</t>
  </si>
  <si>
    <t>31.03.2026</t>
  </si>
  <si>
    <t>Utb. 2000163 Vippsnr 126635</t>
  </si>
  <si>
    <t>Utb. 2000162 Vippsnr 126635</t>
  </si>
  <si>
    <t>31.01.2026</t>
  </si>
  <si>
    <t>Utb. 2000111 Vippsnr 126635</t>
  </si>
  <si>
    <t>30.11.2025</t>
  </si>
  <si>
    <t>Utb. 2000064 Vippsnr 126635</t>
  </si>
  <si>
    <t>30.10.2025</t>
  </si>
  <si>
    <t>Utb. 2000042 Vippsnr 126635</t>
  </si>
  <si>
    <t>30.09.2025</t>
  </si>
  <si>
    <t>Utb. 2000018 Vippsnr 126635</t>
  </si>
  <si>
    <t>30.04.2026</t>
  </si>
  <si>
    <t>Utb. 2000187 Vippsnr 126635</t>
  </si>
  <si>
    <t>30.03.2026</t>
  </si>
  <si>
    <t>Utb. 2000161 Vippsnr 126635</t>
  </si>
  <si>
    <t>29.10.2025</t>
  </si>
  <si>
    <t>Utb. 2000041 Vippsnr 126635</t>
  </si>
  <si>
    <t>29.09.2025</t>
  </si>
  <si>
    <t>Utb. 2000017 Vippsnr 126635</t>
  </si>
  <si>
    <t>29.05.2026</t>
  </si>
  <si>
    <t>Utb. 2000216 Vippsnr 126635</t>
  </si>
  <si>
    <t>29.04.2026</t>
  </si>
  <si>
    <t>Utb. 2000186 Vippsnr 126635</t>
  </si>
  <si>
    <t>29.01.2026</t>
  </si>
  <si>
    <t>Utb. 2000110 Vippsnr 126635</t>
  </si>
  <si>
    <t>28.10.2025</t>
  </si>
  <si>
    <t>Utb. 2000039 Vippsnr 126635</t>
  </si>
  <si>
    <t>Utb. 2000038 Vippsnr 126635</t>
  </si>
  <si>
    <t>Utb. 2000040 Vippsnr 126635</t>
  </si>
  <si>
    <t>28.08.2025</t>
  </si>
  <si>
    <t>Utb. 2001576 Vippsnr 126635</t>
  </si>
  <si>
    <t>28.05.2026</t>
  </si>
  <si>
    <t>Utb. 2000215 Vippsnr 126635</t>
  </si>
  <si>
    <t>28.04.2026</t>
  </si>
  <si>
    <t>Utb. 2000183 Vippsnr 126635</t>
  </si>
  <si>
    <t>Utb. 2000184 Vippsnr 126635</t>
  </si>
  <si>
    <t>Utb. 2000185 Vippsnr 126635</t>
  </si>
  <si>
    <t>28.02.2026</t>
  </si>
  <si>
    <t>Utb. 2000132 Vippsnr 126635</t>
  </si>
  <si>
    <t>Utb. 2000130 Vippsnr 126635</t>
  </si>
  <si>
    <t>28.01.2026</t>
  </si>
  <si>
    <t>Utb. 2000109 Vippsnr 126635</t>
  </si>
  <si>
    <t>27.11.2025</t>
  </si>
  <si>
    <t>Utb. 2000063 Vippsnr 126635</t>
  </si>
  <si>
    <t>27.10.2025</t>
  </si>
  <si>
    <t>Utb. 2000037 Vippsnr 126635</t>
  </si>
  <si>
    <t>27.08.2025</t>
  </si>
  <si>
    <t>Utb. 2001575 Vippsnr 126635</t>
  </si>
  <si>
    <t>27.05.2026</t>
  </si>
  <si>
    <t>Utb. 2000213 Vippsnr 126635</t>
  </si>
  <si>
    <t>Utb. 2000214 Vippsnr 126635</t>
  </si>
  <si>
    <t>Utb. 2000211 Vippsnr 126635</t>
  </si>
  <si>
    <t>Utb. 2000212 Vippsnr 126635</t>
  </si>
  <si>
    <t>27.04.2026</t>
  </si>
  <si>
    <t>Utb. 2000182 Vippsnr 126635</t>
  </si>
  <si>
    <t>27.03.2026</t>
  </si>
  <si>
    <t>Utb. 2000160 Vippsnr 126635</t>
  </si>
  <si>
    <t>27.01.2026</t>
  </si>
  <si>
    <t>Utb. 2000107 Vippsnr 126635</t>
  </si>
  <si>
    <t>Utb. 2000108 Vippsnr 126635</t>
  </si>
  <si>
    <t>Utb. 2000106 Vippsnr 126635</t>
  </si>
  <si>
    <t>26.11.2025</t>
  </si>
  <si>
    <t>Utb. 2000062 Vippsnr 126635</t>
  </si>
  <si>
    <t>26.09.2025</t>
  </si>
  <si>
    <t>Utb. 2000016 Vippsnr 126635</t>
  </si>
  <si>
    <t>26.08.2025</t>
  </si>
  <si>
    <t>Utb. 2001574 Vippsnr 126635</t>
  </si>
  <si>
    <t>Utb. 2001573 Vippsnr 126635</t>
  </si>
  <si>
    <t>Utb. 2001572 Vippsnr 126635</t>
  </si>
  <si>
    <t>26.05.2026</t>
  </si>
  <si>
    <t>Utb. 2000210 Vippsnr 126635</t>
  </si>
  <si>
    <t>26.03.2026</t>
  </si>
  <si>
    <t>Utb. 2000159 Vippsnr 126635</t>
  </si>
  <si>
    <t>26.02.2026</t>
  </si>
  <si>
    <t>Utb. 2000131 Vippsnr 126635</t>
  </si>
  <si>
    <t>26.01.2026</t>
  </si>
  <si>
    <t>Utb. 2000105 Vippsnr 126635</t>
  </si>
  <si>
    <t>25.11.2025</t>
  </si>
  <si>
    <t>Utb. 2000061 Vippsnr 126635</t>
  </si>
  <si>
    <t>Utb. 2000060 Vippsnr 126635</t>
  </si>
  <si>
    <t>Utb. 2000059 Vippsnr 126635</t>
  </si>
  <si>
    <t>25.09.2025</t>
  </si>
  <si>
    <t>Utb. 2000015 Vippsnr 126635</t>
  </si>
  <si>
    <t>25.08.2025</t>
  </si>
  <si>
    <t>Utb. 2001571 Vippsnr 126635</t>
  </si>
  <si>
    <t>25.03.2026</t>
  </si>
  <si>
    <t>Utb. 2000158 Vippsnr 126635</t>
  </si>
  <si>
    <t>Utb. 2000156 Vippsnr 126635</t>
  </si>
  <si>
    <t>Utb. 2000155 Vippsnr 126635</t>
  </si>
  <si>
    <t>24.11.2025</t>
  </si>
  <si>
    <t>Utb. 2000058 Vippsnr 126635</t>
  </si>
  <si>
    <t>24.10.2025</t>
  </si>
  <si>
    <t>Utb. 2000036 Vippsnr 126635</t>
  </si>
  <si>
    <t>24.09.2025</t>
  </si>
  <si>
    <t>Utb. 2000014 Vippsnr 126635</t>
  </si>
  <si>
    <t>24.04.2026</t>
  </si>
  <si>
    <t>Utb. 2000181 Vippsnr 126635</t>
  </si>
  <si>
    <t>24.03.2026</t>
  </si>
  <si>
    <t>Utb. 2000157 Vippsnr 126635</t>
  </si>
  <si>
    <t>24.02.2026</t>
  </si>
  <si>
    <t>Utb. 2000129 Vippsnr 126635</t>
  </si>
  <si>
    <t>Utb. 2000128 Vippsnr 126635</t>
  </si>
  <si>
    <t>23.12.2025</t>
  </si>
  <si>
    <t>Utb. 2000087 Vippsnr 126635</t>
  </si>
  <si>
    <t>23.10.2025</t>
  </si>
  <si>
    <t>Utb. 2000035 Vippsnr 126635</t>
  </si>
  <si>
    <t>23.09.2025</t>
  </si>
  <si>
    <t>Utb. 2000013 Vippsnr 126635</t>
  </si>
  <si>
    <t>Utb. 2000011 Vippsnr 126635</t>
  </si>
  <si>
    <t>Utb. 2000012 Vippsnr 126635</t>
  </si>
  <si>
    <t>23.04.2026</t>
  </si>
  <si>
    <t>Utb. 2000180 Vippsnr 126635</t>
  </si>
  <si>
    <t>Utb. 2000154 Vippsnr 126635</t>
  </si>
  <si>
    <t>23.01.2026</t>
  </si>
  <si>
    <t>Utb. 2000104 Vippsnr 126635</t>
  </si>
  <si>
    <t>22.12.2025</t>
  </si>
  <si>
    <t>Utb. 2000086 Vippsnr 126635</t>
  </si>
  <si>
    <t>22.10.2025</t>
  </si>
  <si>
    <t>Utb. 2000034 Vippsnr 126635</t>
  </si>
  <si>
    <t>22.09.2025</t>
  </si>
  <si>
    <t>Utb. 2000010 Vippsnr 126635</t>
  </si>
  <si>
    <t>22.08.2025</t>
  </si>
  <si>
    <t>Utb. 2001570 Vippsnr 126635</t>
  </si>
  <si>
    <t>22.05.2026</t>
  </si>
  <si>
    <t>Utb. 2000209 Vippsnr 126635</t>
  </si>
  <si>
    <t>22.04.2026</t>
  </si>
  <si>
    <t>Utb. 2000179 Vippsnr 126635</t>
  </si>
  <si>
    <t>Utb. 2000177 Vippsnr 126635</t>
  </si>
  <si>
    <t>Utb. 2000176 Vippsnr 126635</t>
  </si>
  <si>
    <t>22.01.2026</t>
  </si>
  <si>
    <t>Utb. 2000103 Vippsnr 126635</t>
  </si>
  <si>
    <t>21.11.2025</t>
  </si>
  <si>
    <t>Utb. 2000057 Vippsnr 126635</t>
  </si>
  <si>
    <t>21.10.2025</t>
  </si>
  <si>
    <t>Utb. 2000033 Vippsnr 126635</t>
  </si>
  <si>
    <t>Utb. 2000031 Vippsnr 126635</t>
  </si>
  <si>
    <t>Utb. 2000032 Vippsnr 126635</t>
  </si>
  <si>
    <t>21.08.2025</t>
  </si>
  <si>
    <t>Utb. 2001569 Vippsnr 126635</t>
  </si>
  <si>
    <t>21.05.2026</t>
  </si>
  <si>
    <t>Utb. 2000208 Vippsnr 126635</t>
  </si>
  <si>
    <t>21.04.2026</t>
  </si>
  <si>
    <t>Utb. 2000178 Vippsnr 126635</t>
  </si>
  <si>
    <t>21.01.2026</t>
  </si>
  <si>
    <t>Utb. 2000102 Vippsnr 126635</t>
  </si>
  <si>
    <t>20.11.2025</t>
  </si>
  <si>
    <t>Utb. 2000056 Vippsnr 126635</t>
  </si>
  <si>
    <t>20.10.2025</t>
  </si>
  <si>
    <t>Utb. 2000030 Vippsnr 126635</t>
  </si>
  <si>
    <t>20.08.2025</t>
  </si>
  <si>
    <t>Utb. 2001568 Vippsnr 126635</t>
  </si>
  <si>
    <t>20.05.2026</t>
  </si>
  <si>
    <t>Utb. 2000207 Vippsnr 126635</t>
  </si>
  <si>
    <t>20.04.2026</t>
  </si>
  <si>
    <t>Utb. 2000175 Vippsnr 126635</t>
  </si>
  <si>
    <t>20.03.2026</t>
  </si>
  <si>
    <t>Utb. 2000153 Vippsnr 126635</t>
  </si>
  <si>
    <t>20.01.2026</t>
  </si>
  <si>
    <t>Utb. 2000099 Vippsnr 126635</t>
  </si>
  <si>
    <t>Utb. 2000101 Vippsnr 126635</t>
  </si>
  <si>
    <t>Utb. 2000100 Vippsnr 126635</t>
  </si>
  <si>
    <t>19.12.2025</t>
  </si>
  <si>
    <t>Utb. 2000085 Vippsnr 126635</t>
  </si>
  <si>
    <t>19.11.2025</t>
  </si>
  <si>
    <t>Utb. 2000055 Vippsnr 126635</t>
  </si>
  <si>
    <t>19.09.2025</t>
  </si>
  <si>
    <t>Utb. 2000009 Vippsnr 126635</t>
  </si>
  <si>
    <t>19.08.2025</t>
  </si>
  <si>
    <t>Utb. 2001566 Vippsnr 126635</t>
  </si>
  <si>
    <t>Utb. 2001567 Vippsnr 126635</t>
  </si>
  <si>
    <t>Utb. 2001565 Vippsnr 126635</t>
  </si>
  <si>
    <t>19.05.2026</t>
  </si>
  <si>
    <t>Utb. 2000205 Vippsnr 126635</t>
  </si>
  <si>
    <t>Utb. 2000204 Vippsnr 126635</t>
  </si>
  <si>
    <t>Utb. 2000206 Vippsnr 126635</t>
  </si>
  <si>
    <t>19.03.2026</t>
  </si>
  <si>
    <t>Utb. 2000152 Vippsnr 126635</t>
  </si>
  <si>
    <t>19.01.2026</t>
  </si>
  <si>
    <t>Utb. 2000098 Vippsnr 126635</t>
  </si>
  <si>
    <t>18.12.2025</t>
  </si>
  <si>
    <t>Utb. 2000084 Vippsnr 126635</t>
  </si>
  <si>
    <t>18.11.2025</t>
  </si>
  <si>
    <t>Utb. 2000054 Vippsnr 126635</t>
  </si>
  <si>
    <t>Utb. 2001594 Vippsnr 970538</t>
  </si>
  <si>
    <t>18.09.2025</t>
  </si>
  <si>
    <t>Utb. 2000008 Vippsnr 126635</t>
  </si>
  <si>
    <t>18.08.2025</t>
  </si>
  <si>
    <t>Utb. 2001564 Vippsnr 126635</t>
  </si>
  <si>
    <t>18.05.2026</t>
  </si>
  <si>
    <t>Utb. 2000202 Vippsnr 126635</t>
  </si>
  <si>
    <t>Utb. 2000203 Vippsnr 126635</t>
  </si>
  <si>
    <t>18.03.2026</t>
  </si>
  <si>
    <t>Utb. 2000151 Vippsnr 126635</t>
  </si>
  <si>
    <t>17.12.2025</t>
  </si>
  <si>
    <t>Utb. 2000083 Vippsnr 126635</t>
  </si>
  <si>
    <t>17.10.2025</t>
  </si>
  <si>
    <t>Utb. 2000029 Vippsnr 126635</t>
  </si>
  <si>
    <t>17.09.2025</t>
  </si>
  <si>
    <t>Utb. 2000007 Vippsnr 126635</t>
  </si>
  <si>
    <t>17.04.2026</t>
  </si>
  <si>
    <t>Utb. 2000174 Vippsnr 126635</t>
  </si>
  <si>
    <t>17.03.2026</t>
  </si>
  <si>
    <t>Utb. 2000148 Vippsnr 126635</t>
  </si>
  <si>
    <t>Utb. 2000150 Vippsnr 126635</t>
  </si>
  <si>
    <t>Utb. 2000149 Vippsnr 126635</t>
  </si>
  <si>
    <t>17.02.2026</t>
  </si>
  <si>
    <t>Utb. 2000127 Vippsnr 126635</t>
  </si>
  <si>
    <t>16.12.2025</t>
  </si>
  <si>
    <t>Utb. 2000081 Vippsnr 126635</t>
  </si>
  <si>
    <t>Utb. 2000080 Vippsnr 126635</t>
  </si>
  <si>
    <t>Utb. 2000082 Vippsnr 126635</t>
  </si>
  <si>
    <t>16.10.2025</t>
  </si>
  <si>
    <t>Utb. 2000028 Vippsnr 126635</t>
  </si>
  <si>
    <t>16.09.2025</t>
  </si>
  <si>
    <t>Utb. 2000005 Vippsnr 126635</t>
  </si>
  <si>
    <t>Utb. 2000006 Vippsnr 126635</t>
  </si>
  <si>
    <t>Utb. 2000004 Vippsnr 126635</t>
  </si>
  <si>
    <t>16.04.2026</t>
  </si>
  <si>
    <t>Utb. 2000173 Vippsnr 126635</t>
  </si>
  <si>
    <t>16.03.2026</t>
  </si>
  <si>
    <t>Utb. 2000147 Vippsnr 126635</t>
  </si>
  <si>
    <t>16.02.2026</t>
  </si>
  <si>
    <t>Utb. 2000126 Vippsnr 126635</t>
  </si>
  <si>
    <t>16.01.2026</t>
  </si>
  <si>
    <t>Utb. 2000097 Vippsnr 126635</t>
  </si>
  <si>
    <t>15.12.2025</t>
  </si>
  <si>
    <t>Utb. 2000079 Vippsnr 126635</t>
  </si>
  <si>
    <t>15.10.2025</t>
  </si>
  <si>
    <t>Utb. 2000027 Vippsnr 126635</t>
  </si>
  <si>
    <t>Utb. 2000003 Vippsnr 126635</t>
  </si>
  <si>
    <t>15.08.2025</t>
  </si>
  <si>
    <t>Utb. 2001563 Vippsnr 126635</t>
  </si>
  <si>
    <t>15.05.2026</t>
  </si>
  <si>
    <t>Utb. 2000201 Vippsnr 126635</t>
  </si>
  <si>
    <t>15.04.2026</t>
  </si>
  <si>
    <t>Utb. 2000172 Vippsnr 126635</t>
  </si>
  <si>
    <t>15.01.2026</t>
  </si>
  <si>
    <t>Utb. 2000096 Vippsnr 126635</t>
  </si>
  <si>
    <t>14.10.2025</t>
  </si>
  <si>
    <t>Utb. 2000024 Vippsnr 126635</t>
  </si>
  <si>
    <t>Utb. 2000025 Vippsnr 126635</t>
  </si>
  <si>
    <t>Utb. 2000026 Vippsnr 126635</t>
  </si>
  <si>
    <t>14.08.2025</t>
  </si>
  <si>
    <t>Utb. 2001562 Vippsnr 126635</t>
  </si>
  <si>
    <t>14.04.2026</t>
  </si>
  <si>
    <t>Utb. 2000171 Vippsnr 126635</t>
  </si>
  <si>
    <t>Utb. 2000170 Vippsnr 126635</t>
  </si>
  <si>
    <t>Utb. 2000169 Vippsnr 126635</t>
  </si>
  <si>
    <t>14.01.2026</t>
  </si>
  <si>
    <t>Utb. 2000095 Vippsnr 126635</t>
  </si>
  <si>
    <t>13.10.2025</t>
  </si>
  <si>
    <t>Utb. 2000023 Vippsnr 126635</t>
  </si>
  <si>
    <t>13.05.2026</t>
  </si>
  <si>
    <t>Utb. 2000197 Vippsnr 126635</t>
  </si>
  <si>
    <t>Utb. 2000200 Vippsnr 126635</t>
  </si>
  <si>
    <t>Utb. 2000198 Vippsnr 126635</t>
  </si>
  <si>
    <t>13.04.2026</t>
  </si>
  <si>
    <t>Utb. 2000168 Vippsnr 126635</t>
  </si>
  <si>
    <t>13.03.2026</t>
  </si>
  <si>
    <t>Utb. 2000146 Vippsnr 126635</t>
  </si>
  <si>
    <t>13.02.2026</t>
  </si>
  <si>
    <t>Utb. 2000125 Vippsnr 126635</t>
  </si>
  <si>
    <t>13.01.2026</t>
  </si>
  <si>
    <t>Utb. 2000093 Vippsnr 126635</t>
  </si>
  <si>
    <t>Utb. 2000094 Vippsnr 126635</t>
  </si>
  <si>
    <t>Utb. 2000092 Vippsnr 126635</t>
  </si>
  <si>
    <t>12.12.2025</t>
  </si>
  <si>
    <t>Utb. 2000078 Vippsnr 126635</t>
  </si>
  <si>
    <t>12.09.2025</t>
  </si>
  <si>
    <t>Utb. 2000002 Vippsnr 126635</t>
  </si>
  <si>
    <t>12.05.2026</t>
  </si>
  <si>
    <t>Utb. 2000199 Vippsnr 126635</t>
  </si>
  <si>
    <t>12.03.2026</t>
  </si>
  <si>
    <t>Utb. 2000145 Vippsnr 126635</t>
  </si>
  <si>
    <t>12.02.2026</t>
  </si>
  <si>
    <t>Utb. 2000124 Vippsnr 126635</t>
  </si>
  <si>
    <t>12.01.2026</t>
  </si>
  <si>
    <t>Utb. 2000091 Vippsnr 126635</t>
  </si>
  <si>
    <t>11.12.2025</t>
  </si>
  <si>
    <t>Utb. 2000077 Vippsnr 126635</t>
  </si>
  <si>
    <t>11.11.2025</t>
  </si>
  <si>
    <t>Utb. 2000053 Vippsnr 126635</t>
  </si>
  <si>
    <t>Utb. 2000052 Vippsnr 126635</t>
  </si>
  <si>
    <t>11.09.2025</t>
  </si>
  <si>
    <t>Utb. 2001590 Vippsnr 970538</t>
  </si>
  <si>
    <t>Utb. 2000001 Vippsnr 126635</t>
  </si>
  <si>
    <t>11.05.2026</t>
  </si>
  <si>
    <t>Utb. 2000196 Vippsnr 126635</t>
  </si>
  <si>
    <t>11.03.2026</t>
  </si>
  <si>
    <t>Utb. 2000144 Vippsnr 126635</t>
  </si>
  <si>
    <t>11.02.2026</t>
  </si>
  <si>
    <t>Utb. 2000123 Vippsnr 126635</t>
  </si>
  <si>
    <t>10.12.2025</t>
  </si>
  <si>
    <t>Utb. 2000076 Vippsnr 126635</t>
  </si>
  <si>
    <t>Utb. 2000051 Vippsnr 126635</t>
  </si>
  <si>
    <t>10.10.2025</t>
  </si>
  <si>
    <t>Utb. 2000022 Vippsnr 126635</t>
  </si>
  <si>
    <t>10.09.2025</t>
  </si>
  <si>
    <t>Utb. 2001586 Vippsnr 126635</t>
  </si>
  <si>
    <t>Utb. 2001589 Vippsnr 126635</t>
  </si>
  <si>
    <t>Utb. 2001587 Vippsnr 126635</t>
  </si>
  <si>
    <t>Utb. 2001588 Vippsnr 126635</t>
  </si>
  <si>
    <t>10.04.2026</t>
  </si>
  <si>
    <t>Utb. 2000167 Vippsnr 126635</t>
  </si>
  <si>
    <t>10.03.2026</t>
  </si>
  <si>
    <t>Utb. 2000142 Vippsnr 126635</t>
  </si>
  <si>
    <t>Utb. 2000143 Vippsnr 126635</t>
  </si>
  <si>
    <t>Utb. 2000141 Vippsnr 126635</t>
  </si>
  <si>
    <t>10.02.2026</t>
  </si>
  <si>
    <t>Utb. 2000120 Vippsnr 126635</t>
  </si>
  <si>
    <t>Utb. 2000122 Vippsnr 126635</t>
  </si>
  <si>
    <t>Utb. 2000121 Vippsnr 126635</t>
  </si>
  <si>
    <t>09.12.2025</t>
  </si>
  <si>
    <t>Utb. 2000073 Vippsnr 126635</t>
  </si>
  <si>
    <t>Utb. 2000074 Vippsnr 126635</t>
  </si>
  <si>
    <t>Utb. 2000075 Vippsnr 126635</t>
  </si>
  <si>
    <t>09.10.2025</t>
  </si>
  <si>
    <t>Utb. 2000021 Vippsnr 126635</t>
  </si>
  <si>
    <t>09.04.2026</t>
  </si>
  <si>
    <t>Utb. 2000166 Vippsnr 126635</t>
  </si>
  <si>
    <t>09.03.2026</t>
  </si>
  <si>
    <t>Utb. 2000140 Vippsnr 126635</t>
  </si>
  <si>
    <t>09.02.2026</t>
  </si>
  <si>
    <t>Utb. 2000119 Vippsnr 126635</t>
  </si>
  <si>
    <t>09.01.2026</t>
  </si>
  <si>
    <t>Utb. 2000090 Vippsnr 126635</t>
  </si>
  <si>
    <t>08.12.2025</t>
  </si>
  <si>
    <t>Utb. 2000072 Vippsnr 126635</t>
  </si>
  <si>
    <t>08.10.2025</t>
  </si>
  <si>
    <t>Utb. 2000020 Vippsnr 126635</t>
  </si>
  <si>
    <t>08.09.2025</t>
  </si>
  <si>
    <t>Utb. 2001585 Vippsnr 126635</t>
  </si>
  <si>
    <t>08.05.2026</t>
  </si>
  <si>
    <t>Utb. 2000195 Vippsnr 126635</t>
  </si>
  <si>
    <t>08.01.2026</t>
  </si>
  <si>
    <t>Utb. 2000089 Vippsnr 126635</t>
  </si>
  <si>
    <t>07.11.2025</t>
  </si>
  <si>
    <t>Utb. 2000050 Vippsnr 126635</t>
  </si>
  <si>
    <t>07.10.2025</t>
  </si>
  <si>
    <t>Utb. 2000019 Vippsnr 126635</t>
  </si>
  <si>
    <t>07.05.2026</t>
  </si>
  <si>
    <t>Utb. 2000194 Vippsnr 126635</t>
  </si>
  <si>
    <t>07.04.2026</t>
  </si>
  <si>
    <t>Utb. 2000165 Vippsnr 126635</t>
  </si>
  <si>
    <t>07.01.2026</t>
  </si>
  <si>
    <t>Utb. 2000088 Vippsnr 126635</t>
  </si>
  <si>
    <t>06.11.2025</t>
  </si>
  <si>
    <t>Utb. 2001593 Vippsnr 970538</t>
  </si>
  <si>
    <t>Utb. 2000049 Vippsnr 126635</t>
  </si>
  <si>
    <t>06.05.2026</t>
  </si>
  <si>
    <t>Utb. 2000193 Vippsnr 126635</t>
  </si>
  <si>
    <t>06.03.2026</t>
  </si>
  <si>
    <t>Utb. 2000139 Vippsnr 126635</t>
  </si>
  <si>
    <t>06.02.2026</t>
  </si>
  <si>
    <t>Utb. 2000118 Vippsnr 126635</t>
  </si>
  <si>
    <t>05.12.2025</t>
  </si>
  <si>
    <t>Utb. 2000071 Vippsnr 126635</t>
  </si>
  <si>
    <t>Utb. 2000048 Vippsnr 126635</t>
  </si>
  <si>
    <t>Utb. 2001592 Vippsnr 970538</t>
  </si>
  <si>
    <t>05.09.2025</t>
  </si>
  <si>
    <t>Utb. 2001584 Vippsnr 126635</t>
  </si>
  <si>
    <t>05.06.2026</t>
  </si>
  <si>
    <t>Utb. 2000223 Vippsnr 126635</t>
  </si>
  <si>
    <t>05.05.2026</t>
  </si>
  <si>
    <t>Utb. 2000192 Vippsnr 126635</t>
  </si>
  <si>
    <t>Utb. 2000189 Vippsnr 126635</t>
  </si>
  <si>
    <t>Utb. 2000191 Vippsnr 126635</t>
  </si>
  <si>
    <t>Utb. 2000190 Vippsnr 126635</t>
  </si>
  <si>
    <t>05.03.2026</t>
  </si>
  <si>
    <t>Utb. 2000138 Vippsnr 126635</t>
  </si>
  <si>
    <t>05.02.2026</t>
  </si>
  <si>
    <t>Utb. 2000117 Vippsnr 126635</t>
  </si>
  <si>
    <t>04.12.2025</t>
  </si>
  <si>
    <t>Utb. 2000070 Vippsnr 126635</t>
  </si>
  <si>
    <t>Utb. 2000069 Vippsnr 126635</t>
  </si>
  <si>
    <t>04.11.2025</t>
  </si>
  <si>
    <t>Utb. 2000046 Vippsnr 126635</t>
  </si>
  <si>
    <t>Utb. 2000045 Vippsnr 126635</t>
  </si>
  <si>
    <t>Utb. 2000047 Vippsnr 126635</t>
  </si>
  <si>
    <t>Utb. 2001591 Vippsnr 970538</t>
  </si>
  <si>
    <t>04.09.2025</t>
  </si>
  <si>
    <t>Utb. 2001583 Vippsnr 126635</t>
  </si>
  <si>
    <t>04.06.2026</t>
  </si>
  <si>
    <t>Utb. 2000222 Vippsnr 126635</t>
  </si>
  <si>
    <t>04.05.2026</t>
  </si>
  <si>
    <t>Utb. 2000188 Vippsnr 126635</t>
  </si>
  <si>
    <t>04.03.2026</t>
  </si>
  <si>
    <t>Utb. 2000137 Vippsnr 126635</t>
  </si>
  <si>
    <t>04.02.2026</t>
  </si>
  <si>
    <t>Utb. 2000116 Vippsnr 126635</t>
  </si>
  <si>
    <t>Utb. 2000067 Vippsnr 126635</t>
  </si>
  <si>
    <t>Utb. 2000066 Vippsnr 126635</t>
  </si>
  <si>
    <t>Viktor Aandstad</t>
  </si>
  <si>
    <t>Til: Viktor Aandstad
Kioskruss sjokolande</t>
  </si>
  <si>
    <t>Til: Viktor Aandstad
Kioskruss sjokolade</t>
  </si>
  <si>
    <t>21.03 STORCASH BARSTØLVEIEN KRISTIANSAND</t>
  </si>
  <si>
    <t>Til: Viktor Aandstad
Kioskruss. Tilleg til 230kr 07.04.2026</t>
  </si>
  <si>
    <t>Johannes Sødal</t>
  </si>
  <si>
    <t>Til: Johannes Sødal
Kioskens andel</t>
  </si>
  <si>
    <t>Til: Viktor Aandstad
Inkjøp kioskrussen</t>
  </si>
  <si>
    <t>Til: Viktor Aandstad
Kioskrussen inkjøp</t>
  </si>
  <si>
    <t>Carl Martin Linnebo</t>
  </si>
  <si>
    <t>Til: Carl Martin Linnebo
Kioskrussen inkjøp</t>
  </si>
  <si>
    <t>17.11.2025</t>
  </si>
  <si>
    <t>Til: Viktor Aandstad
Kiosken, sjokolade fra sverige</t>
  </si>
  <si>
    <t>Til: Viktor Aandstad
Kioskinkjøp, kvit 2</t>
  </si>
  <si>
    <t>Til: Viktor Aandstad
Kioskruss, sjokolade</t>
  </si>
  <si>
    <t>Til: Viktor Aandstad
Battery kiosk. Innkjøp 2 kvit 3</t>
  </si>
  <si>
    <t>10.10 STORCASH BARSTØLVEIEN KRISTIANSAND</t>
  </si>
  <si>
    <t>12.08.2025</t>
  </si>
  <si>
    <t>Til: Viktor Aandstad
Utlegg storcach russen</t>
  </si>
  <si>
    <t>Til: Viktor Aandstad
Rema 1000 kioskinkjøp nr 2</t>
  </si>
  <si>
    <t>Ruth Linnea Erøy</t>
  </si>
  <si>
    <t>Til: Ruth Linnea Erøy
Joker kiosk innkjøp nr 2</t>
  </si>
  <si>
    <t>Til: Viktor Aandstad
Rema 100 kioskinkjøp nr 2</t>
  </si>
  <si>
    <t>Til: Viktor Aandstad
SC Kioskinnkjøp nr 2</t>
  </si>
  <si>
    <t>08.12 STORCASH BARSTØLVEIEN KRISTIANSAND</t>
  </si>
  <si>
    <t>Til: Viktor Aandstad
kioskrussen sjokolade. kvit 5</t>
  </si>
  <si>
    <t>Til: Viktor Aandstad
Kioskruss</t>
  </si>
  <si>
    <t>Til: Viktor Aandstad
Kioskrussen</t>
  </si>
  <si>
    <t>05.02 STORCASH BARSTØLVEIEN KRISTIANSAND</t>
  </si>
  <si>
    <t>Nets 0032 5351127</t>
  </si>
  <si>
    <t>Nets 0041 5351127</t>
  </si>
  <si>
    <t>30.12.2025</t>
  </si>
  <si>
    <t>Nets 0038 5351127</t>
  </si>
  <si>
    <t>Nets 0034 5351127</t>
  </si>
  <si>
    <t>Nets 0045 5351127</t>
  </si>
  <si>
    <t>DROTTNINGBORGRU DROTTNINGBO  769821</t>
  </si>
  <si>
    <t>Nets 0049 5351127</t>
  </si>
  <si>
    <t>Nets 0030 5351127</t>
  </si>
  <si>
    <t>Nets 0031 5351127</t>
  </si>
  <si>
    <t>Nets 0052 5351127</t>
  </si>
  <si>
    <t>23.02.2026</t>
  </si>
  <si>
    <t>Nets 0040 5351127</t>
  </si>
  <si>
    <t>Nets 0048 5351127</t>
  </si>
  <si>
    <t>20.02.2026</t>
  </si>
  <si>
    <t>Nets 0044 5351127</t>
  </si>
  <si>
    <t>Nets 0037 5351127</t>
  </si>
  <si>
    <t>Nets 0029 5351127</t>
  </si>
  <si>
    <t>Nets 0051 5351127</t>
  </si>
  <si>
    <t>Nets 0039 5351127</t>
  </si>
  <si>
    <t>Nets 0047 5351127</t>
  </si>
  <si>
    <t>Nets 0043 5351127</t>
  </si>
  <si>
    <t>Nets 0036 5351127</t>
  </si>
  <si>
    <t>Nets 0028 5351127</t>
  </si>
  <si>
    <t>09.09.2025</t>
  </si>
  <si>
    <t>Nets 0033 5351127</t>
  </si>
  <si>
    <t>Nets 0050 5351127</t>
  </si>
  <si>
    <t>Nets 0046 5351127</t>
  </si>
  <si>
    <t>Nets 0042 5351127</t>
  </si>
  <si>
    <t>06.01.2026</t>
  </si>
  <si>
    <t>Nets 0035 5351127</t>
  </si>
  <si>
    <t>Nets 0027 5351127</t>
  </si>
  <si>
    <t>Nets 0053 5351127</t>
  </si>
  <si>
    <t>Til: Carl Martin Linnebo
Isrussen, penger vippset av Carl</t>
  </si>
  <si>
    <t>Maia Bergan Knutsen</t>
  </si>
  <si>
    <t>Til: Maia Bergan Knutsen
Isrussen</t>
  </si>
  <si>
    <t>Til: Carl Martin Linnebo
Isruss innkjøp. Carl vippset</t>
  </si>
  <si>
    <t>Til: Ole Aasen
Isruss innkjøp nr 1</t>
  </si>
  <si>
    <t>Til: Carl Martin Linnebo
Isruss. Penger ble vippset</t>
  </si>
  <si>
    <t>Utb. 2000136 Vippsnr 625973</t>
  </si>
  <si>
    <t>Utb. 2000137 Vippsnr 625973</t>
  </si>
  <si>
    <t>Utb. 2000143 Vippsnr 625973</t>
  </si>
  <si>
    <t>Utb. 2000138 Vippsnr 625973</t>
  </si>
  <si>
    <t>Utb. 2000135 Vippsnr 625973</t>
  </si>
  <si>
    <t>Utb. 2000131 Vippsnr 625973</t>
  </si>
  <si>
    <t>Utb. 2000130 Vippsnr 625973</t>
  </si>
  <si>
    <t>Utb. 2000134 Vippsnr 625973</t>
  </si>
  <si>
    <t>Utb. 2000141 Vippsnr 625973</t>
  </si>
  <si>
    <t>Utb. 2000140 Vippsnr 625973</t>
  </si>
  <si>
    <t>Utb. 2000133 Vippsnr 625973</t>
  </si>
  <si>
    <t>Utb. 2000132 Vippsnr 625973</t>
  </si>
  <si>
    <t>Utb. 2000144 Vippsnr 625973</t>
  </si>
  <si>
    <t>Utb. 2000142 Vippsnr 625973</t>
  </si>
  <si>
    <t>Utb. 2000139 Vippsnr 625973</t>
  </si>
  <si>
    <t>Utb. 2000146 Vippsnr 625973</t>
  </si>
  <si>
    <t>Utb. 2000145 Vippsnr 625973</t>
  </si>
  <si>
    <t>Maya Aarsland</t>
  </si>
  <si>
    <t>Til: Maya Aarsland
Måneskinstur retur</t>
  </si>
  <si>
    <t>14.11.2025</t>
  </si>
  <si>
    <t>Sofie Enger Ny-konto</t>
  </si>
  <si>
    <t>Til: Sofie Enger Ny-konto
Måneskinstur ark, teip og lim</t>
  </si>
  <si>
    <t>Ånund Tveit</t>
  </si>
  <si>
    <t>Til: Ånund Tveit
Måneskinstur bålutstyr</t>
  </si>
  <si>
    <t>Sofie Enger</t>
  </si>
  <si>
    <t>Til: Sofie Enger
måneskinstur ark, teip og lim</t>
  </si>
  <si>
    <t>Tilde Gunleifsen</t>
  </si>
  <si>
    <t>Til: Tilde Gunleifsen
Måneskinstur blomster</t>
  </si>
  <si>
    <t>Marianne Evja</t>
  </si>
  <si>
    <t>Til: Marianne Evja
Måneskinstur fakkler</t>
  </si>
  <si>
    <t>Utb. 2000064 Vippsnr 625976</t>
  </si>
  <si>
    <t>Utb. 2000063 Vippsnr 625976</t>
  </si>
  <si>
    <t>Utb. 2000062 Vippsnr 625976</t>
  </si>
  <si>
    <t>Utb. 2000060 Vippsnr 625976</t>
  </si>
  <si>
    <t>Utb. 2000061 Vippsnr 625976</t>
  </si>
  <si>
    <t>Utb. 2000059 Vippsnr 625976</t>
  </si>
  <si>
    <t>Utb. 2000058 Vippsnr 625976</t>
  </si>
  <si>
    <t>Utb. 2000067 Vippsnr 625976</t>
  </si>
  <si>
    <t>Utb. 2000066 Vippsnr 625976</t>
  </si>
  <si>
    <t>Utb. 2000065 Vippsnr 625976</t>
  </si>
  <si>
    <t>Fra: Hanna Langballe Betalt: 29.03.26
Pantepenger</t>
  </si>
  <si>
    <t>Pantepenger til misjonsprosjektet</t>
  </si>
  <si>
    <t>Panting</t>
  </si>
  <si>
    <t>Fra: Elisabet Fivelstad Raen Betalt: 19.12.25
Pant</t>
  </si>
  <si>
    <t>Fra: Elisabet Fivelstad Raen Betalt: 18.12.25
Pant</t>
  </si>
  <si>
    <t>18.02.2026</t>
  </si>
  <si>
    <t>Fra: Mari Ann Fivelstad Raen Betalt: 18.02.26
Pant</t>
  </si>
  <si>
    <t>Fra: Hanna Langballe Betalt: 16.02.26
pantepenger</t>
  </si>
  <si>
    <t>Pantepenger</t>
  </si>
  <si>
    <t>Fra: Hanna Langballe Betalt: 12.01.26
Pantepenger:)</t>
  </si>
  <si>
    <t>Fra: Mari Holm Bø Betalt: 08.01.26
pant</t>
  </si>
  <si>
    <t>08.04.2026</t>
  </si>
  <si>
    <t>Fra: Hanna Langballe Betalt: 05.04.26
pantepenger- igjen</t>
  </si>
  <si>
    <t>Fra: Elisabet Fivelstad Raen Betalt: 08.01.26
Pant</t>
  </si>
  <si>
    <t>Fra: Elisabet Fivelstad Raen Betalt: 04.04.26
Pant</t>
  </si>
  <si>
    <t>Fra: Elisabet Fivelstad Raen Betalt: 01.04.26
Pant</t>
  </si>
  <si>
    <t>Til: Ånund Tveit
milkshakerussen ingredienser inkjøp v4</t>
  </si>
  <si>
    <t>Til: Ånund Tveit
Milkshakerussen blender</t>
  </si>
  <si>
    <t>Til: Viktor Aandstad
milkshakeruss ingredienser</t>
  </si>
  <si>
    <t>Samuel Stoveland</t>
  </si>
  <si>
    <t>Til: Samuel Stoveland
Milkshakeruss</t>
  </si>
  <si>
    <t>Maya Brooks</t>
  </si>
  <si>
    <t>Til: Maya Brooks
Milkshakeruss</t>
  </si>
  <si>
    <t>Til: Ånund Tveit
milkshakerussen, manglende til blender</t>
  </si>
  <si>
    <t>Til: Ånund Tveit
Milkshakerussen</t>
  </si>
  <si>
    <t>Til: Maya Brooks
Milkshakerussen</t>
  </si>
  <si>
    <t>Til: Ole Aasen
Retur</t>
  </si>
  <si>
    <t>Til: Ånund Tveit
Milkshakerussen ingredienser</t>
  </si>
  <si>
    <t>Til: Ånund Tveit
Milkshakeruss blender</t>
  </si>
  <si>
    <t>Til: Johannes Sødal
Milkshakerussens andel</t>
  </si>
  <si>
    <t>Til: Viktor Aandstad
Milkshakerussen</t>
  </si>
  <si>
    <t>Til: Ole Aasen
Milkshake inkjøp</t>
  </si>
  <si>
    <t>Til: Ole Aasen
Milkshakerussen, oreo</t>
  </si>
  <si>
    <t>Til: Ole Aasen
Milkshake innkjøp nr 1</t>
  </si>
  <si>
    <t>Til: Ole Aasen
Milkshake kvit 5</t>
  </si>
  <si>
    <t>Til: Ole Aasen
Milkshake kvit 6</t>
  </si>
  <si>
    <t>Til: Ole Aasen
Milkshake kvit 4</t>
  </si>
  <si>
    <t>Til: Ole Aasen
Milkshakeruss ingredienser</t>
  </si>
  <si>
    <t>Til: Ole Aasen
milkshakeruss ingredienser</t>
  </si>
  <si>
    <t>Til: Viktor Aandstad
Milkshake</t>
  </si>
  <si>
    <t>Til: Ole Aasen
Milkshakeruss inkjøp, Ole</t>
  </si>
  <si>
    <t>Til: Ånund Tveit
Milkshakeruss inkjøp, Ånun</t>
  </si>
  <si>
    <t>Utb. 2000041 Vippsnr 625974</t>
  </si>
  <si>
    <t>Utb. 2000031 Vippsnr 625974</t>
  </si>
  <si>
    <t>Utb. 2000050 Vippsnr 625974</t>
  </si>
  <si>
    <t>Utb. 2000029 Vippsnr 625974</t>
  </si>
  <si>
    <t>Utb. 2000030 Vippsnr 625974</t>
  </si>
  <si>
    <t>Utb. 2000044 Vippsnr 625974</t>
  </si>
  <si>
    <t>Utb. 2000039 Vippsnr 625974</t>
  </si>
  <si>
    <t>Utb. 2000038 Vippsnr 625974</t>
  </si>
  <si>
    <t>Utb. 2000040 Vippsnr 625974</t>
  </si>
  <si>
    <t>Utb. 2000048 Vippsnr 625974</t>
  </si>
  <si>
    <t>Utb. 2000043 Vippsnr 625974</t>
  </si>
  <si>
    <t>Utb. 2000047 Vippsnr 625974</t>
  </si>
  <si>
    <t>Utb. 2000037 Vippsnr 625974</t>
  </si>
  <si>
    <t>Utb. 2000035 Vippsnr 625974</t>
  </si>
  <si>
    <t>Utb. 2000034 Vippsnr 625974</t>
  </si>
  <si>
    <t>Utb. 2000055 Vippsnr 625974</t>
  </si>
  <si>
    <t>Utb. 2000028 Vippsnr 625974</t>
  </si>
  <si>
    <t>Utb. 2000026 Vippsnr 625974</t>
  </si>
  <si>
    <t>Utb. 2000049 Vippsnr 625974</t>
  </si>
  <si>
    <t>Utb. 2000024 Vippsnr 625974</t>
  </si>
  <si>
    <t>Utb. 2000025 Vippsnr 625974</t>
  </si>
  <si>
    <t>Utb. 2000054 Vippsnr 625974</t>
  </si>
  <si>
    <t>Utb. 2000053 Vippsnr 625974</t>
  </si>
  <si>
    <t>Utb. 2000046 Vippsnr 625974</t>
  </si>
  <si>
    <t>Utb. 2000042 Vippsnr 625974</t>
  </si>
  <si>
    <t>Utb. 2000033 Vippsnr 625974</t>
  </si>
  <si>
    <t>Utb. 2000027 Vippsnr 625974</t>
  </si>
  <si>
    <t>Utb. 2000036 Vippsnr 625974</t>
  </si>
  <si>
    <t>Utb. 2000052 Vippsnr 625974</t>
  </si>
  <si>
    <t>Utb. 2000032 Vippsnr 625974</t>
  </si>
  <si>
    <t>Utb. 2000045 Vippsnr 625974</t>
  </si>
  <si>
    <t>Utb. 2000051 Vippsnr 625974</t>
  </si>
  <si>
    <t>Elise Schalla Haugsjå</t>
  </si>
  <si>
    <t>Til: Elise Schalla Haugsjå
Barristarussen</t>
  </si>
  <si>
    <t>Mari Tangen Tolo</t>
  </si>
  <si>
    <t>Til: Mari Tangen Tolo
Barristarussen ingredienser</t>
  </si>
  <si>
    <t>Emma Sofie Løwe</t>
  </si>
  <si>
    <t>Til: Emma Sofie Løwe
Barristarussen ingredienser</t>
  </si>
  <si>
    <t>Ida Skaregrøm Eskedal</t>
  </si>
  <si>
    <t>Til: Ida Skaregrøm Eskedal
Kvit 1 innkjøp 1</t>
  </si>
  <si>
    <t>Til: Ida Skaregrøm Eskedal
Kvit 2 innkjøp 1</t>
  </si>
  <si>
    <t>Til: Johannes Sødal
Barristarusens andel</t>
  </si>
  <si>
    <t>Andreas Tveit</t>
  </si>
  <si>
    <t>Til: Andreas Tveit
Barista, innkjøp 1. mangler kvit</t>
  </si>
  <si>
    <t>Utb. 2000122 Vippsnr 834150</t>
  </si>
  <si>
    <t>Utb. 2000120 Vippsnr 834150</t>
  </si>
  <si>
    <t>Utb. 2000121 Vippsnr 834150</t>
  </si>
  <si>
    <t>Utb. 2000119 Vippsnr 834150</t>
  </si>
  <si>
    <t>Utb. 2000118 Vippsnr 834150</t>
  </si>
  <si>
    <t>Utb. 2000125 Vippsnr 834150</t>
  </si>
  <si>
    <t>Utb. 2000126 Vippsnr 834150</t>
  </si>
  <si>
    <t>Utb. 2000115 Vippsnr 834150</t>
  </si>
  <si>
    <t>Utb. 2000117 Vippsnr 834150</t>
  </si>
  <si>
    <t>Utb. 2000124 Vippsnr 834150</t>
  </si>
  <si>
    <t>Utb. 2000116 Vippsnr 834150</t>
  </si>
  <si>
    <t>Utb. 2000123 Vippsnr 834150</t>
  </si>
  <si>
    <t>Til: Andreas Tveit
Basarrussen</t>
  </si>
  <si>
    <t>Tomine Sandal</t>
  </si>
  <si>
    <t>Til: Tomine Sandal
Basarrussen</t>
  </si>
  <si>
    <t>Vegard Straume Kleven</t>
  </si>
  <si>
    <t>Til: Vegard Straume Kleven
Basarrussen</t>
  </si>
  <si>
    <t>Til: Ruben Pettersen
Basarrussen</t>
  </si>
  <si>
    <t>Til: Ruben Pettersen
Russebasar</t>
  </si>
  <si>
    <t>Til: Ruben Pettersen
Basar russen</t>
  </si>
  <si>
    <t>Utb. 2000058 Vippsnr 625975</t>
  </si>
  <si>
    <t>Utb. 2000057 Vippsnr 625975</t>
  </si>
  <si>
    <t>Utb. 2000056 Vippsnr 625975</t>
  </si>
  <si>
    <t>Til: Vegard Straume Kleven
natcupp gaffa teip</t>
  </si>
  <si>
    <t>Til: Elise Schalla Haugsjå
Nattcup kull, tennveske og fyrstikker</t>
  </si>
  <si>
    <t>Ulrik Flåt</t>
  </si>
  <si>
    <t>Til: Ulrik Flåt
nattcup fløyter</t>
  </si>
  <si>
    <t>Norah Lende</t>
  </si>
  <si>
    <t>Til: Norah Lende
Drakter til nattcup</t>
  </si>
  <si>
    <t>Til: Marianne Evja
nattcuputgift fakkeler</t>
  </si>
  <si>
    <t>Eivind Galdal</t>
  </si>
  <si>
    <t>Til: Eivind Galdal
10073 - nattcup tale</t>
  </si>
  <si>
    <t>Til: Hanna Langballe
nattcuputgift syltetøy</t>
  </si>
  <si>
    <t>Utb. 2000027 Vippsnr 26180</t>
  </si>
  <si>
    <t>Utb. 2000026 Vippsnr 26180</t>
  </si>
  <si>
    <t>Utb. 2000002 Vippsnr 26180</t>
  </si>
  <si>
    <t>Utb. 2000001 Vippsnr 26180</t>
  </si>
  <si>
    <t>Utb. 2000025 Vippsnr 26180</t>
  </si>
  <si>
    <t>Utb. 2000022 Vippsnr 26180</t>
  </si>
  <si>
    <t>Utb. 2000023 Vippsnr 26180</t>
  </si>
  <si>
    <t>Utb. 2000024 Vippsnr 26180</t>
  </si>
  <si>
    <t>Utb. 2000021 Vippsnr 26180</t>
  </si>
  <si>
    <t>Utb. 2000020 Vippsnr 26180</t>
  </si>
  <si>
    <t>Utb. 2000019 Vippsnr 26180</t>
  </si>
  <si>
    <t>Utb. 2000018 Vippsnr 26180</t>
  </si>
  <si>
    <t>Utb. 2000015 Vippsnr 26180</t>
  </si>
  <si>
    <t>Utb. 2000016 Vippsnr 26180</t>
  </si>
  <si>
    <t>Utb. 2000017 Vippsnr 26180</t>
  </si>
  <si>
    <t>Utb. 2000014 Vippsnr 26180</t>
  </si>
  <si>
    <t>Utb. 2000013 Vippsnr 26180</t>
  </si>
  <si>
    <t>Utb. 2000012 Vippsnr 26180</t>
  </si>
  <si>
    <t>Utb. 2000011 Vippsnr 26180</t>
  </si>
  <si>
    <t>Utb. 2000008 Vippsnr 26180</t>
  </si>
  <si>
    <t>Utb. 2000009 Vippsnr 26180</t>
  </si>
  <si>
    <t>Utb. 2000010 Vippsnr 26180</t>
  </si>
  <si>
    <t>Utb. 2000007 Vippsnr 26180</t>
  </si>
  <si>
    <t>Utb. 2000006 Vippsnr 26180</t>
  </si>
  <si>
    <t>Utb. 2000005 Vippsnr 26180</t>
  </si>
  <si>
    <t>Utb. 2000004 Vippsnr 26180</t>
  </si>
  <si>
    <t>03.10.2025</t>
  </si>
  <si>
    <t>Utb. 2000003 Vippsnr 26180</t>
  </si>
  <si>
    <t>Martin Berg Hovden</t>
  </si>
  <si>
    <t>Til: Martin Berg Hovden
krympefest  bilrebus</t>
  </si>
  <si>
    <t>Til: Tilde Gunleifsen
krympefest brus</t>
  </si>
  <si>
    <t>Mari Holm Bø</t>
  </si>
  <si>
    <t>Til: Mari Holm Bø
krympefest brus</t>
  </si>
  <si>
    <t>Eline Solås</t>
  </si>
  <si>
    <t>Til: Eline Solås
krympefest  bilrebus</t>
  </si>
  <si>
    <t>Til: Hanna Langballe
krympefest  bilrebus</t>
  </si>
  <si>
    <t>Ida Marie Omland Grimstad</t>
  </si>
  <si>
    <t>Til: Ida Marie Omland Grimstad
krympefest  bilrebus</t>
  </si>
  <si>
    <t>Julie Koppen</t>
  </si>
  <si>
    <t>Til: Julie Koppen
krympefest kaker</t>
  </si>
  <si>
    <t>Leah Viste Urstad</t>
  </si>
  <si>
    <t>Til: Leah Viste Urstad
krympefest  bilrebus</t>
  </si>
  <si>
    <t>Til: Andreas Tveit
krympefest  bilrebus</t>
  </si>
  <si>
    <t>Til: Ånund Tveit
krympefest  bilrebus</t>
  </si>
  <si>
    <t>Til: Tilde Gunleifsen
Krympefest kinamat</t>
  </si>
  <si>
    <t>Til: Ruben Pettersen
krympefest  bilrebus</t>
  </si>
  <si>
    <t>Til: Maya Brooks
Krympefest pynt</t>
  </si>
  <si>
    <t>Til: Vegard Straume Kleven
krympefest  bilrebus</t>
  </si>
  <si>
    <t>Nathalie Øksendal</t>
  </si>
  <si>
    <t>Til: Nathalie Øksendal
krympefest  bilrebus</t>
  </si>
  <si>
    <t>Lars Øy</t>
  </si>
  <si>
    <t>Til: Lars Øy
krympefest  bilrebus</t>
  </si>
  <si>
    <t>Til: Maya Brooks
Krympefest grisehode</t>
  </si>
  <si>
    <t>Johannes lomeland</t>
  </si>
  <si>
    <t>Til: Johannes lomeland
krympefest  bilrebus</t>
  </si>
  <si>
    <t>Til: Tilde Gunleifsen
krympefest sjokolade/snacks</t>
  </si>
  <si>
    <t>Til: Benjamin Gjøterud
krympefest  bilrebus</t>
  </si>
  <si>
    <t>Til: Maya Brooks
krympefest premier</t>
  </si>
  <si>
    <t>Sondre Sande</t>
  </si>
  <si>
    <t>Til: Sondre Sande
krympefest  bilrebus</t>
  </si>
  <si>
    <t>Lucas Stoveland</t>
  </si>
  <si>
    <t>Til: Lucas Stoveland
krympefest  bilrebus</t>
  </si>
  <si>
    <t>Til: Marie Konstad
krympefest  bilrebus</t>
  </si>
  <si>
    <t>Maja Ettestøl</t>
  </si>
  <si>
    <t>Til: Maja Ettestøl
krympefest  bilrebus</t>
  </si>
  <si>
    <t>Pernille Aagesen</t>
  </si>
  <si>
    <t>Til: Pernille Aagesen
krympefest  bilrebus</t>
  </si>
  <si>
    <t>Til: 0530.05.69996
2604, leie til krympefest 27. November</t>
  </si>
  <si>
    <t>Utb. 2000008 Vippsnr 33392</t>
  </si>
  <si>
    <t>Utb. 2000007 Vippsnr 33392</t>
  </si>
  <si>
    <t>Utb. 2000004 Vippsnr 33392</t>
  </si>
  <si>
    <t>Utb. 2000006 Vippsnr 33392</t>
  </si>
  <si>
    <t>Utb. 2000005 Vippsnr 33392</t>
  </si>
  <si>
    <t>Utb. 2000003 Vippsnr 33392</t>
  </si>
  <si>
    <t>Utb. 2000002 Vippsnr 33392</t>
  </si>
  <si>
    <t>Utb. 2000001 Vippsnr 33392</t>
  </si>
  <si>
    <t>Utb. 2000010 Vippsnr 33392</t>
  </si>
  <si>
    <t>Utb. 2000009 Vippsnr 33392</t>
  </si>
  <si>
    <t>Til: Vegard Straume Kleven
Premier league, borgenpl, banner</t>
  </si>
  <si>
    <t>Utb. 2000127 Vippsnr 723903</t>
  </si>
  <si>
    <t>Utb. 2000140 Vippsnr 723903</t>
  </si>
  <si>
    <t>Utb. 2000126 Vippsnr 723903</t>
  </si>
  <si>
    <t>723903 Magne Haugsjå 50/50 Sunderland og Crystal Palace</t>
  </si>
  <si>
    <t>Utb. 2000125 Vippsnr 723903</t>
  </si>
  <si>
    <t>Utb. 2000124 Vippsnr 723903</t>
  </si>
  <si>
    <t>Utb. 2000123 Vippsnr 723903</t>
  </si>
  <si>
    <t>Utb. 2000122 Vippsnr 723903</t>
  </si>
  <si>
    <t>Utb. 2000121 Vippsnr 723903</t>
  </si>
  <si>
    <t>Utb. 2000120 Vippsnr 723903</t>
  </si>
  <si>
    <t>Utb. 2000139 Vippsnr 723903</t>
  </si>
  <si>
    <t>Utb. 2000118 Vippsnr 723903</t>
  </si>
  <si>
    <t>Utb. 2000119 Vippsnr 723903</t>
  </si>
  <si>
    <t>Utb. 2000136 Vippsnr 723903</t>
  </si>
  <si>
    <t>Utb. 2000138 Vippsnr 723903</t>
  </si>
  <si>
    <t>Utb. 2000137 Vippsnr 723903</t>
  </si>
  <si>
    <t>Utb. 2000144 Vippsnr 723903</t>
  </si>
  <si>
    <t>Utb. 2000117 Vippsnr 723903</t>
  </si>
  <si>
    <t>Utb. 2000143 Vippsnr 723903</t>
  </si>
  <si>
    <t>Utb. 2000135 Vippsnr 723903</t>
  </si>
  <si>
    <t>Utb. 2000142 Vippsnr 723903</t>
  </si>
  <si>
    <t>Utb. 2000134 Vippsnr 723903</t>
  </si>
  <si>
    <t>Utb. 2000141 Vippsnr 723903</t>
  </si>
  <si>
    <t>Utb. 2000133 Vippsnr 723903</t>
  </si>
  <si>
    <t>Utb. 2000145 Vippsnr 723903</t>
  </si>
  <si>
    <t>Utb. 2000132 Vippsnr 723903</t>
  </si>
  <si>
    <t>Utb. 2000131 Vippsnr 723903</t>
  </si>
  <si>
    <t>Utb. 2000130 Vippsnr 723903</t>
  </si>
  <si>
    <t>Utb. 2000129 Vippsnr 723903</t>
  </si>
  <si>
    <t>Utb. 2000128 Vippsnr 723903</t>
  </si>
  <si>
    <t>Utb. 2000108 Vippsnr 740939</t>
  </si>
  <si>
    <t>Utb. 2000109 Vippsnr 740939</t>
  </si>
  <si>
    <t>Utb. 2000107 Vippsnr 740939</t>
  </si>
  <si>
    <t>Utb. 2000106 Vippsnr 740939</t>
  </si>
  <si>
    <t>Utb. 2000105 Vippsnr 740939</t>
  </si>
  <si>
    <t>Utb. 2000104 Vippsnr 740939</t>
  </si>
  <si>
    <t>Utb. 2000103 Vippsnr 740939</t>
  </si>
  <si>
    <t>Utb. 2000100 Vippsnr 740939</t>
  </si>
  <si>
    <t>Utb. 2000102 Vippsnr 740939</t>
  </si>
  <si>
    <t>Utb. 2000101 Vippsnr 740939</t>
  </si>
  <si>
    <t>Utb. 2000099 Vippsnr 740939</t>
  </si>
  <si>
    <t>Utb. 2000098 Vippsnr 740939</t>
  </si>
  <si>
    <t>Utb. 2000114 Vippsnr 740939</t>
  </si>
  <si>
    <t>Utb. 2000113 Vippsnr 740939</t>
  </si>
  <si>
    <t>Utb. 2000112 Vippsnr 740939</t>
  </si>
  <si>
    <t>Utb. 2000111 Vippsnr 740939</t>
  </si>
  <si>
    <t>Utb. 2000110 Vippsnr 740939</t>
  </si>
  <si>
    <t>Til: Tilde Gunleifsen
Rollebryllup</t>
  </si>
  <si>
    <t>Arild Thomsen</t>
  </si>
  <si>
    <t>Til: Arild Thomsen
Rollebryllup</t>
  </si>
  <si>
    <t>Til: Tilde Gunleifsen
Rollebryllup, refusjon</t>
  </si>
  <si>
    <t>Utb. 2000008 Vippsnr 38180</t>
  </si>
  <si>
    <t>Utb. 2000007 Vippsnr 38180</t>
  </si>
  <si>
    <t>Utb. 2000006 Vippsnr 38180</t>
  </si>
  <si>
    <t>Utb. 2000004 Vippsnr 38180</t>
  </si>
  <si>
    <t>Utb. 2000005 Vippsnr 38180</t>
  </si>
  <si>
    <t>Utb. 2000003 Vippsnr 38180</t>
  </si>
  <si>
    <t>Utb. 2000002 Vippsnr 38180</t>
  </si>
  <si>
    <t>Utb. 2000001 Vippsnr 38180</t>
  </si>
  <si>
    <t>Utb. 2000009 Vippsnr 38180</t>
  </si>
  <si>
    <t>Rejoice Always AS</t>
  </si>
  <si>
    <t>Til: Rejoice Always AS
KID:1002, skolegensere</t>
  </si>
  <si>
    <t>Utb. 2000003 Vippsnr 49348</t>
  </si>
  <si>
    <t>Utb. 2000002 Vippsnr 49348</t>
  </si>
  <si>
    <t>Utb. 2000001 Vippsnr 49348</t>
  </si>
  <si>
    <t>Utb. 2000006 Vippsnr 49348</t>
  </si>
  <si>
    <t>Utb. 2000005 Vippsnr 49348</t>
  </si>
  <si>
    <t>Utb. 2000004 Vippsnr 49348</t>
  </si>
  <si>
    <t>*6460 02.06 NOK 6261.13 FEDEX EXPRESS CORP Kurs: 1.0000</t>
  </si>
  <si>
    <t>Til: Leah Viste Urstad
Misjonstur Leah</t>
  </si>
  <si>
    <t>Til: Maia Bergan Knutsen
Misjonstur Maia</t>
  </si>
  <si>
    <t>JULIE KOPPEN</t>
  </si>
  <si>
    <t>BS2603090037501A
Bakerussen</t>
  </si>
  <si>
    <t>.</t>
  </si>
  <si>
    <t>Til: .
Bakerussrn</t>
  </si>
  <si>
    <t>Kredinor AS</t>
  </si>
  <si>
    <t>STØ AS</t>
  </si>
  <si>
    <t>NettBedrift betalingsformidling</t>
  </si>
  <si>
    <t>Til: Ruben Pettersen</t>
  </si>
  <si>
    <t>Grafisk Partner</t>
  </si>
  <si>
    <t>Til: Grafisk Partner
Faktura: 7422, Kunde: 10413</t>
  </si>
  <si>
    <t>Harrald Husby</t>
  </si>
  <si>
    <t>Til: Harrald Husby
mosjonsløp krbabpizza premie</t>
  </si>
  <si>
    <t>Til: .
Bakerussen ingrediensinkjøp 1 v3</t>
  </si>
  <si>
    <t>Elise Nasralla</t>
  </si>
  <si>
    <t>Til: Elise Nasralla</t>
  </si>
  <si>
    <t>Til: Maia Bergan Knutsen
Valentinsdag</t>
  </si>
  <si>
    <t>Årspris  Visa</t>
  </si>
  <si>
    <t>ÅRSPRIS VISA</t>
  </si>
  <si>
    <t>OCR-GIRO MÅNEDSAVGIFT               1 TRANS(ER) TYPE 438 763</t>
  </si>
  <si>
    <t>VAREKJØP                            2 TRANS(ER) TYPE 709</t>
  </si>
  <si>
    <t>FILFORSENDELSE FRA NETS             1 TRANS(ER) TYPE 438 711</t>
  </si>
  <si>
    <t>OCR-GIRO                            1 TRANS(ER) TYPE 438 105</t>
  </si>
  <si>
    <t>TRANSAVG INNLØSNING BANKAXEPT       4 TRANS(ER) TYPE 438 751</t>
  </si>
  <si>
    <t>TRANSAVG INNLØSNING BANKAXEPT      92 TRANS(ER) TYPE 438 751</t>
  </si>
  <si>
    <t>OCR-GIRO                           99 TRANS(ER) TYPE 438 105</t>
  </si>
  <si>
    <t>FILFORSENDELSE FRA NETS            18 TRANS(ER) TYPE 438 711</t>
  </si>
  <si>
    <t>TRANSAVG INNLØSNING BANKAXEPT      10 TRANS(ER) TYPE 438 751</t>
  </si>
  <si>
    <t>TRANSAVG INNLØSNING BANKAXEPT       9 TRANS(ER) TYPE 438 751</t>
  </si>
  <si>
    <t>TRANSAVG INNLØSNING BANKAXEPT       6 TRANS(ER) TYPE 438 751</t>
  </si>
  <si>
    <t>31.05.2026</t>
  </si>
  <si>
    <t>OCR-GIRO                         1290 TRANS(ER) TYPE 438 105</t>
  </si>
  <si>
    <t>FILFORSENDELSE FRA NETS             9 TRANS(ER) TYPE 438 711</t>
  </si>
  <si>
    <t>VAREKJØP                            1 TRANS(ER) TYPE 709</t>
  </si>
  <si>
    <t>TRANSAVG INNLØSNING BANKAXEPT      15 TRANS(ER) TYPE 438 751</t>
  </si>
  <si>
    <t>31.12.2025</t>
  </si>
  <si>
    <t>FILFORSENDELSE FRA NETS             6 TRANS(ER) TYPE 438 711</t>
  </si>
  <si>
    <t>OCR-GIRO                            9 TRANS(ER) TYPE 438 105</t>
  </si>
  <si>
    <t>TRANSAVG INNLØSNING BANKAXEPT       7 TRANS(ER) TYPE 438 751</t>
  </si>
  <si>
    <t>Fra: Eirik Haga Arntsen Betalt: 30.11.25
Gi en dag. Julie Eline Arntsen</t>
  </si>
  <si>
    <t>Fra: Elise Lande Betalt: 30.11.25
Innbetaling</t>
  </si>
  <si>
    <t>Fra: Elise Staalesen Betalt: 29.11.25
.</t>
  </si>
  <si>
    <t>MOBILBANK DATO 01.12.2025 KL. 00.05.28
.</t>
  </si>
  <si>
    <t>Fra: Ingrid Oline Solsvik Betalt: 30.11.25
Gi en dag aksjonen</t>
  </si>
  <si>
    <t>NETTBANK DATO 30.11.2025 KL. 16.06.33
Fra Jonathan F. D. - Russeprosjekt</t>
  </si>
  <si>
    <t>Fra: Julie Kornbrekke Tvinnereim Betalt: 29.11.25
Gi en Dag, Julie Tvinnereim</t>
  </si>
  <si>
    <t>Fra: Linda Iren Skarpholt Heskestad Betalt: 30.11.25
Gi en dag for Ida Mathilde T. Johansen</t>
  </si>
  <si>
    <t>Fra: Magne Haugsjå Betalt: 01.12.25
4814UJ Magne Haugsjå Everton</t>
  </si>
  <si>
    <t>Fra: Miriam Høyland Betalt: 29.11.25
Innbetaling</t>
  </si>
  <si>
    <t>Fra: Odin Olsvik Betalt: 28.11.25
Gi en dag-aksjonen, Odin Olsvik</t>
  </si>
  <si>
    <t>Fra: Sølvi Erlandsen Stea Betalt: 01.12.25
Gi en dag aksjon Emanuel Stea</t>
  </si>
  <si>
    <t>Fra: Torbjørn Reve Brandsæter Betalt: 29.11.25
Gi en dag aksjon Torbjørn Brandsæter</t>
  </si>
  <si>
    <t>Fra: Åke Erlend Uleberg Hunshamar Betalt: 01.12.25
OD sunniva Aasen</t>
  </si>
  <si>
    <t>Fra: Isabel Udjus Foss Betalt: 30.11.25
Gi en dag-aksjon</t>
  </si>
  <si>
    <t>02.12.2025</t>
  </si>
  <si>
    <t>Fra: Terje Bakken Betalt: 01.12.25
Gi-en-dag fra Ariane Elisabeth Bakken</t>
  </si>
  <si>
    <t>Fra: Christian Lysaker Betalt: 01.12.25
Gi en dag Melissa Lysaker</t>
  </si>
  <si>
    <t>Innbetaling</t>
  </si>
  <si>
    <t>Fra: Jakob Erikstein Betalt: 03.12.25
Jakob Erikstein gi en dag aksjon</t>
  </si>
  <si>
    <t>05.01.2026</t>
  </si>
  <si>
    <t>Fra: Denis Devyatkin Betalt: 05.01.26
Daniel Korneev arbeidsdag</t>
  </si>
  <si>
    <t>Fra: Noah Martin Bø Betalt: 02.01.26</t>
  </si>
  <si>
    <t>Fra: Johanne Haabesland Lied Betalt: 04.02.26
Gi en dag, Johanne Haabesland Lied</t>
  </si>
  <si>
    <t>KONTANTINNSKUDD I BUTIKK SPAR ODDEN GRIMSTAD</t>
  </si>
  <si>
    <t>Fra: Morta Makaviciute Betalt: 05.12.25
.</t>
  </si>
  <si>
    <t>Fra: Lars Magnus Kvan Haugen Betalt: 06.01.26
Gi en dag</t>
  </si>
  <si>
    <t>Fra: Arild Thomsen Betalt: 06.02.26
Innbetaling</t>
  </si>
  <si>
    <t>Misjonsløp     (Johannes Sødal)</t>
  </si>
  <si>
    <t>Fra: Ruben Pettersen Betalt: 06.01.26
Innbetaling</t>
  </si>
  <si>
    <t>Fra: Marit Østvold Øksendal Betalt: 07.01.26
Nathalie Øksendal Gi en dag aksjonen</t>
  </si>
  <si>
    <t>Fra: Erlend Hovland Betalt: 07.12.25
Anna Martine Hovland gi en dag</t>
  </si>
  <si>
    <t>Fra: Øyvind Askedal Betalt: 06.12.25
Operasjon dagsverk Julie Askedal</t>
  </si>
  <si>
    <t>Fra: SYVERTSENS GARTNERI AS Betalt: 06.02.26
Gi en dag. Emma Hodnebrog</t>
  </si>
  <si>
    <t>Fra: Drottningborg VGS AS
Innbetaling</t>
  </si>
  <si>
    <t>Fra: Jon Egil Kleveland Andersen Betalt: 10.02.26
Fra Leo B Andersen</t>
  </si>
  <si>
    <t>Fra: Stjørdal kirkelige fellesråd Betalt: 10.03.26
Gi en dag auksjon 12.11.25</t>
  </si>
  <si>
    <t>Fra: Hesnes Bedehus
Kollekt på Hesnes bedehus</t>
  </si>
  <si>
    <t>KONTO FINNES IKKE : 81110707037</t>
  </si>
  <si>
    <t>Fra: Jenny Dabeiva Nedland Betalt: 11.12.25
Solveig M Nedland , gi det viderer aksjon</t>
  </si>
  <si>
    <t>Fra: Martha Sæther Reinboth Betalt: 12.02.26
Gi en dag-aksjon</t>
  </si>
  <si>
    <t>Fra: Nissedal Sokneråd
Frå Treungen Kyrkje</t>
  </si>
  <si>
    <t>Fra: Noah Leander Ågedal Betalt: 11.02.26
Ifbm Gi en dag</t>
  </si>
  <si>
    <t>Fra: Anita Rossevatn Langballe Betalt: 12.02.26
Gi en dag- Hanna Langballe 3b</t>
  </si>
  <si>
    <t>13.11.2025</t>
  </si>
  <si>
    <t>Kundeutbytte Sparebanken Norge 2025</t>
  </si>
  <si>
    <t>Utb. 2000024 Vippsnr 126054</t>
  </si>
  <si>
    <t>Gi en dag - aksjon</t>
  </si>
  <si>
    <t>Gi en dag aksjon Eline Ståhl</t>
  </si>
  <si>
    <t>Rannveig Tveit</t>
  </si>
  <si>
    <t>For Hannah Nordby Bergland</t>
  </si>
  <si>
    <t>Gi en dag Hannah Vågen</t>
  </si>
  <si>
    <t>Gi en dag aksjonen</t>
  </si>
  <si>
    <t>Gi en dag-aksjon</t>
  </si>
  <si>
    <t>Fra: Oddny Jendal Betalt: 19.03.26
Rest fra tidligere prosjekt</t>
  </si>
  <si>
    <t>Anker GiEnDag-aksjon 2025</t>
  </si>
  <si>
    <t>OD- dagen</t>
  </si>
  <si>
    <t>OD- dag</t>
  </si>
  <si>
    <t>Gi en dag-aksjon, Marianne og Vilde Evja</t>
  </si>
  <si>
    <t>Gi en dag aksjon</t>
  </si>
  <si>
    <t>Kristian Kolnes- gi en dag</t>
  </si>
  <si>
    <t>Gi En Dag, Martin Heldal</t>
  </si>
  <si>
    <t>Od dag</t>
  </si>
  <si>
    <t>Anna- Linnea Kynningsrud Gi en dag aksjo</t>
  </si>
  <si>
    <t>Gi en dag</t>
  </si>
  <si>
    <t>Filip N Bøe</t>
  </si>
  <si>
    <t>Gi en dag aksjon Trygve M. Kaatorp</t>
  </si>
  <si>
    <t>Gi en dag Lukas Austefjord</t>
  </si>
  <si>
    <t>Gi en dag aksjonen. Einar 1b og astrid 2b</t>
  </si>
  <si>
    <t>Knut Skjerdal, gi en dag</t>
  </si>
  <si>
    <t>Ruth Linnea</t>
  </si>
  <si>
    <t>Maria Larsen OD dag</t>
  </si>
  <si>
    <t>Karoline Nepstad</t>
  </si>
  <si>
    <t>167969132437, misjonsløp, johannes</t>
  </si>
  <si>
    <t>Mosjonsløp, Jakob Erikstein</t>
  </si>
  <si>
    <t>Misjonsløp Emma Sofie</t>
  </si>
  <si>
    <t>Gi en dag aksjonen Aurora Krogstad</t>
  </si>
  <si>
    <t>Elise Linnea Lande. Gi en dag</t>
  </si>
  <si>
    <t>Misjonsorosjekt</t>
  </si>
  <si>
    <t>Operasjon dagsverk Silje Aabel</t>
  </si>
  <si>
    <t>Gi en dag, Tone og Anna Haugsjå</t>
  </si>
  <si>
    <t>1679 11 850417</t>
  </si>
  <si>
    <t>Fra: Benjamin Andreas Teistedal Gjøtteru Betalt: 23.12.25
Gi en dag</t>
  </si>
  <si>
    <t>Henrik H{stad. Jobbet p} eueropris</t>
  </si>
  <si>
    <t>Bare glem det jeg skrev på den forrige betalinga, 500kr skal tilsammen
 til oddag</t>
  </si>
  <si>
    <t>Borgen pl everton 1b</t>
  </si>
  <si>
    <t>Malin Eikeland - gi en dag</t>
  </si>
  <si>
    <t>Fra Elo Grammeltvedt</t>
  </si>
  <si>
    <t>Gi en dag til aksjon: Sigrid Kvam</t>
  </si>
  <si>
    <t>Fra tomine eide</t>
  </si>
  <si>
    <t>Gi en dag aksjon. Julie Justad Pettersen, 3B</t>
  </si>
  <si>
    <t>Gi en dag Rose</t>
  </si>
  <si>
    <t>Gi en dag. Julie T Gammelsæter</t>
  </si>
  <si>
    <t>Gi en dag. Rebekka øie pedersen</t>
  </si>
  <si>
    <t>OD Ronja Jeppesen klasse 1B</t>
  </si>
  <si>
    <t>Olav Midtbø Edvardsen</t>
  </si>
  <si>
    <t>Operasjon Dagsverk for Jonatan Glimen 1A</t>
  </si>
  <si>
    <t>Samuel 1b</t>
  </si>
  <si>
    <t>Gi en dag-aksjon Irene Elisabeth Nordgaard</t>
  </si>
  <si>
    <t>Gi en dag - fra Leonie Wiltsch</t>
  </si>
  <si>
    <t>TBF ÅRSPRIS VISA</t>
  </si>
  <si>
    <t>Bidrag fra Malin Malingam Andersen</t>
  </si>
  <si>
    <t>Rebecca Håland, "gi en dag"</t>
  </si>
  <si>
    <t>Misjonsløpet</t>
  </si>
  <si>
    <t>Betaling også for Margit Sordal Kjebekk</t>
  </si>
  <si>
    <t>Fra Tor Egil Karinen</t>
  </si>
  <si>
    <t>-Ella Linnea Ohma-</t>
  </si>
  <si>
    <t>Utb. 2000043 Vippsnr 625971</t>
  </si>
  <si>
    <t>Utb. 2000044 Vippsnr 625971</t>
  </si>
  <si>
    <t>Carl Linnebo gi en dag</t>
  </si>
  <si>
    <t>Henriette Malerød</t>
  </si>
  <si>
    <t>KREDITRENTER</t>
  </si>
  <si>
    <t>Utb. 2000689 Vippsnr 115851</t>
  </si>
  <si>
    <t>Utb. 2000720 Vippsnr 115851</t>
  </si>
  <si>
    <t>Utb. 2000688 Vippsnr 115851</t>
  </si>
  <si>
    <t>Utb. 2000723 Vippsnr 115851</t>
  </si>
  <si>
    <t>Utb. 2000697 Vippsnr 115851</t>
  </si>
  <si>
    <t>Utb. 2000733 Vippsnr 115851</t>
  </si>
  <si>
    <t>Utb. 2000716 Vippsnr 115851</t>
  </si>
  <si>
    <t>Utb. 2000729 Vippsnr 115851</t>
  </si>
  <si>
    <t>Utb. 2000732 Vippsnr 115851</t>
  </si>
  <si>
    <t>Utb. 2000731 Vippsnr 115851</t>
  </si>
  <si>
    <t>Utb. 2000730 Vippsnr 115851</t>
  </si>
  <si>
    <t>Utb. 2000702 Vippsnr 115851</t>
  </si>
  <si>
    <t>Utb. 2000687 Vippsnr 115851</t>
  </si>
  <si>
    <t>Utb. 2000728 Vippsnr 115851</t>
  </si>
  <si>
    <t>Utb. 2000717 Vippsnr 115851</t>
  </si>
  <si>
    <t>Utb. 2000715 Vippsnr 115851</t>
  </si>
  <si>
    <t>Utb. 2000686 Vippsnr 115851</t>
  </si>
  <si>
    <t>Utb. 2000727 Vippsnr 115851</t>
  </si>
  <si>
    <t>Utb. 2000722 Vippsnr 115851</t>
  </si>
  <si>
    <t>Utb. 2000696 Vippsnr 115851</t>
  </si>
  <si>
    <t>Utb. 2000726 Vippsnr 115851</t>
  </si>
  <si>
    <t>Utb. 2000721 Vippsnr 115851</t>
  </si>
  <si>
    <t>Utb. 2000685 Vippsnr 115851</t>
  </si>
  <si>
    <t>Utb. 2000725 Vippsnr 115851</t>
  </si>
  <si>
    <t>Utb. 2000704 Vippsnr 115851</t>
  </si>
  <si>
    <t>Utb. 2000684 Vippsnr 115851</t>
  </si>
  <si>
    <t>Utb. 2000714 Vippsnr 115851</t>
  </si>
  <si>
    <t>Utb. 2000695 Vippsnr 115851</t>
  </si>
  <si>
    <t>Utb. 2000683 Vippsnr 115851</t>
  </si>
  <si>
    <t>Utb. 2000713 Vippsnr 115851</t>
  </si>
  <si>
    <t>Utb. 2000705 Vippsnr 115851</t>
  </si>
  <si>
    <t>Utb. 2000694 Vippsnr 115851</t>
  </si>
  <si>
    <t>Utb. 2000693 Vippsnr 115851</t>
  </si>
  <si>
    <t>Utb. 2000692 Vippsnr 115851</t>
  </si>
  <si>
    <t>Utb. 2000712 Vippsnr 115851</t>
  </si>
  <si>
    <t>Utb. 2000719 Vippsnr 115851</t>
  </si>
  <si>
    <t>Utb. 2000711 Vippsnr 115851</t>
  </si>
  <si>
    <t>Utb. 2000701 Vippsnr 115851</t>
  </si>
  <si>
    <t>Utb. 2000710 Vippsnr 115851</t>
  </si>
  <si>
    <t>Utb. 2000691 Vippsnr 115851</t>
  </si>
  <si>
    <t>Utb. 2000681 Vippsnr 115851</t>
  </si>
  <si>
    <t>Utb. 2000682 Vippsnr 115851</t>
  </si>
  <si>
    <t>Utb. 2000708 Vippsnr 115851</t>
  </si>
  <si>
    <t>Utb. 2000709 Vippsnr 115851</t>
  </si>
  <si>
    <t>Utb. 2000707 Vippsnr 115851</t>
  </si>
  <si>
    <t>Utb. 2000690 Vippsnr 115851</t>
  </si>
  <si>
    <t>Utb. 2000700 Vippsnr 115851</t>
  </si>
  <si>
    <t>Utb. 2000699 Vippsnr 115851</t>
  </si>
  <si>
    <t>Utb. 2000706 Vippsnr 115851</t>
  </si>
  <si>
    <t>Utb. 2000736 Vippsnr 115851</t>
  </si>
  <si>
    <t>Utb. 2000724 Vippsnr 115851</t>
  </si>
  <si>
    <t>Utb. 2000718 Vippsnr 115851</t>
  </si>
  <si>
    <t>Utb. 2000703 Vippsnr 115851</t>
  </si>
  <si>
    <t>Utb. 2000698 Vippsnr 115851</t>
  </si>
  <si>
    <t>Utb. 2000680 Vippsnr 115851</t>
  </si>
  <si>
    <t>Utb. 2000735 Vippsnr 115851</t>
  </si>
  <si>
    <t>Utb. 2000734 Vippsnr 115851</t>
  </si>
  <si>
    <t>Våge Multimedia AS</t>
  </si>
  <si>
    <t>3330 25 39826</t>
  </si>
  <si>
    <t>Til: Våge Multimedia AS</t>
  </si>
  <si>
    <t>3132 50 09120</t>
  </si>
  <si>
    <t>06.10.2025</t>
  </si>
  <si>
    <t>Til: Lucas Stoveland
Iphone</t>
  </si>
  <si>
    <t>Til: Lucas Stoveland
Airpods</t>
  </si>
  <si>
    <t>3207 32 24194</t>
  </si>
  <si>
    <t>Til: Samuel Stoveland
Soundbox</t>
  </si>
  <si>
    <t>Til: Våge Multimedia AS
0010239812 Våge Mulltimedia</t>
  </si>
  <si>
    <t>01.10.2025</t>
  </si>
  <si>
    <t>3000 31 24475</t>
  </si>
  <si>
    <t>29.12.2025</t>
  </si>
  <si>
    <t>12.11.2025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</si>
</sst>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[$kr-409]\ #\ ##0;\-[$kr-409]\ #\ ##0"/>
    <numFmt numFmtId="166" formatCode="yyyy\-mm\-dd\ h:mm:ss"/>
    <numFmt numFmtId="167" formatCode="_ [$kr-414]\ * #,##0.00_ ;_ [$kr-414]\ * \-#,##0.00_ ;_ [$kr-414]\ * &quot;-&quot;??_ ;_ @_ "/>
    <numFmt numFmtId="168" formatCode="_ [$kr-414]\ * #,##0_ ;_ [$kr-414]\ * \-#,##0_ ;_ [$kr-414]\ * &quot;-&quot;??_ ;_ @_ "/>
    <numFmt numFmtId="169" formatCode="0.0000000000"/>
    <numFmt numFmtId="170" formatCode="#0.00"/>
    <numFmt numFmtId="171" formatCode="[$kr-414]\ #\ ##0;\-[$kr-414]\ #\ ##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color rgb="FF4A4A4A"/>
      <name val="Arial"/>
      <family val="2"/>
    </font>
    <font>
      <b/>
      <sz val="3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8"/>
      <name val="Aptos Narrow"/>
      <family val="2"/>
      <scheme val="minor"/>
    </font>
    <font>
      <b/>
      <sz val="12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rgb="FFFFF4EC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/>
      <bottom style="thin">
        <color rgb="FF161225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thin">
        <color rgb="FF161225"/>
      </top>
      <bottom/>
      <diagonal/>
    </border>
    <border>
      <left/>
      <right/>
      <top style="thin">
        <color rgb="FF161225"/>
      </top>
      <bottom style="thin">
        <color rgb="FF161225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2"/>
      </right>
      <top style="thin">
        <color theme="2"/>
      </top>
      <bottom/>
      <diagonal/>
    </border>
    <border>
      <left/>
      <right style="thin">
        <color theme="2"/>
      </right>
      <top/>
      <bottom/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rgb="FF161225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6" fillId="0" borderId="0"/>
    <xf numFmtId="9" fontId="1" fillId="0" borderId="0"/>
  </cellStyleXfs>
  <cellXfs count="226">
    <xf numFmtId="0" fontId="0" fillId="0" borderId="0" xfId="0"/>
    <xf numFmtId="0" fontId="4" fillId="2" borderId="2" xfId="0" applyFont="1" applyFill="1" applyBorder="1"/>
    <xf numFmtId="0" fontId="0" fillId="2" borderId="0" xfId="0" applyFill="1"/>
    <xf numFmtId="0" fontId="4" fillId="2" borderId="1" xfId="0" applyFont="1" applyFill="1" applyBorder="1"/>
    <xf numFmtId="0" fontId="4" fillId="2" borderId="4" xfId="0" applyFont="1" applyFill="1" applyBorder="1"/>
    <xf numFmtId="0" fontId="4" fillId="2" borderId="5" xfId="0" applyFont="1" applyFill="1" applyBorder="1"/>
    <xf numFmtId="0" fontId="4" fillId="0" borderId="0" xfId="0" applyFont="1"/>
    <xf numFmtId="164" fontId="0" fillId="0" borderId="0" xfId="0" applyNumberFormat="1"/>
    <xf numFmtId="0" fontId="0" fillId="5" borderId="0" xfId="0" applyFill="1"/>
    <xf numFmtId="165" fontId="6" fillId="0" borderId="0" xfId="2" applyNumberFormat="1"/>
    <xf numFmtId="0" fontId="6" fillId="0" borderId="16" xfId="2" applyBorder="1"/>
    <xf numFmtId="0" fontId="6" fillId="0" borderId="16" xfId="2" applyBorder="1" applyAlignment="1">
      <alignment horizontal="right" wrapText="1"/>
    </xf>
    <xf numFmtId="0" fontId="4" fillId="9" borderId="0" xfId="0" applyFont="1" applyFill="1"/>
    <xf numFmtId="0" fontId="4" fillId="10" borderId="2" xfId="0" applyFont="1" applyFill="1" applyBorder="1"/>
    <xf numFmtId="0" fontId="5" fillId="0" borderId="17" xfId="0" applyFont="1" applyBorder="1"/>
    <xf numFmtId="0" fontId="0" fillId="0" borderId="7" xfId="0" applyBorder="1"/>
    <xf numFmtId="0" fontId="0" fillId="10" borderId="2" xfId="0" applyFill="1" applyBorder="1"/>
    <xf numFmtId="0" fontId="0" fillId="7" borderId="0" xfId="0" applyFill="1"/>
    <xf numFmtId="0" fontId="4" fillId="5" borderId="0" xfId="0" applyFont="1" applyFill="1"/>
    <xf numFmtId="0" fontId="0" fillId="4" borderId="0" xfId="0" applyFill="1"/>
    <xf numFmtId="0" fontId="4" fillId="12" borderId="0" xfId="0" applyFont="1" applyFill="1"/>
    <xf numFmtId="0" fontId="7" fillId="10" borderId="2" xfId="0" applyFont="1" applyFill="1" applyBorder="1"/>
    <xf numFmtId="0" fontId="0" fillId="13" borderId="2" xfId="0" applyFill="1" applyBorder="1"/>
    <xf numFmtId="164" fontId="0" fillId="13" borderId="1" xfId="0" applyNumberFormat="1" applyFill="1" applyBorder="1"/>
    <xf numFmtId="0" fontId="0" fillId="13" borderId="1" xfId="1" applyFont="1" applyFill="1" applyBorder="1"/>
    <xf numFmtId="0" fontId="0" fillId="13" borderId="1" xfId="0" applyFill="1" applyBorder="1"/>
    <xf numFmtId="0" fontId="0" fillId="13" borderId="4" xfId="0" applyFill="1" applyBorder="1"/>
    <xf numFmtId="0" fontId="0" fillId="13" borderId="0" xfId="0" applyFill="1"/>
    <xf numFmtId="164" fontId="0" fillId="13" borderId="6" xfId="0" applyNumberFormat="1" applyFill="1" applyBorder="1"/>
    <xf numFmtId="0" fontId="0" fillId="13" borderId="6" xfId="1" applyFont="1" applyFill="1" applyBorder="1"/>
    <xf numFmtId="0" fontId="0" fillId="13" borderId="6" xfId="0" applyFill="1" applyBorder="1"/>
    <xf numFmtId="0" fontId="0" fillId="13" borderId="5" xfId="0" applyFill="1" applyBorder="1"/>
    <xf numFmtId="0" fontId="1" fillId="13" borderId="1" xfId="1" applyFill="1" applyBorder="1"/>
    <xf numFmtId="0" fontId="5" fillId="0" borderId="0" xfId="0" applyFont="1"/>
    <xf numFmtId="0" fontId="0" fillId="0" borderId="3" xfId="0" applyBorder="1"/>
    <xf numFmtId="0" fontId="0" fillId="10" borderId="4" xfId="0" applyFill="1" applyBorder="1"/>
    <xf numFmtId="0" fontId="0" fillId="10" borderId="0" xfId="0" applyFill="1"/>
    <xf numFmtId="0" fontId="4" fillId="10" borderId="0" xfId="0" applyFont="1" applyFill="1"/>
    <xf numFmtId="164" fontId="0" fillId="10" borderId="12" xfId="0" applyNumberFormat="1" applyFill="1" applyBorder="1"/>
    <xf numFmtId="164" fontId="0" fillId="10" borderId="1" xfId="0" applyNumberFormat="1" applyFill="1" applyBorder="1"/>
    <xf numFmtId="164" fontId="0" fillId="7" borderId="13" xfId="0" applyNumberFormat="1" applyFill="1" applyBorder="1"/>
    <xf numFmtId="0" fontId="0" fillId="14" borderId="8" xfId="0" applyFill="1" applyBorder="1"/>
    <xf numFmtId="0" fontId="4" fillId="11" borderId="12" xfId="0" applyFont="1" applyFill="1" applyBorder="1"/>
    <xf numFmtId="0" fontId="4" fillId="11" borderId="1" xfId="0" applyFont="1" applyFill="1" applyBorder="1"/>
    <xf numFmtId="0" fontId="3" fillId="11" borderId="1" xfId="0" applyFont="1" applyFill="1" applyBorder="1"/>
    <xf numFmtId="0" fontId="3" fillId="11" borderId="4" xfId="0" applyFont="1" applyFill="1" applyBorder="1"/>
    <xf numFmtId="0" fontId="2" fillId="11" borderId="0" xfId="0" applyFont="1" applyFill="1"/>
    <xf numFmtId="0" fontId="4" fillId="11" borderId="4" xfId="0" applyFont="1" applyFill="1" applyBorder="1"/>
    <xf numFmtId="0" fontId="4" fillId="11" borderId="5" xfId="0" applyFont="1" applyFill="1" applyBorder="1"/>
    <xf numFmtId="164" fontId="0" fillId="7" borderId="0" xfId="0" applyNumberFormat="1" applyFill="1"/>
    <xf numFmtId="0" fontId="4" fillId="11" borderId="7" xfId="0" applyFont="1" applyFill="1" applyBorder="1"/>
    <xf numFmtId="164" fontId="0" fillId="10" borderId="7" xfId="0" applyNumberFormat="1" applyFill="1" applyBorder="1"/>
    <xf numFmtId="0" fontId="5" fillId="2" borderId="5" xfId="0" applyFont="1" applyFill="1" applyBorder="1"/>
    <xf numFmtId="0" fontId="5" fillId="2" borderId="0" xfId="0" applyFont="1" applyFill="1"/>
    <xf numFmtId="0" fontId="0" fillId="9" borderId="0" xfId="0" applyFill="1"/>
    <xf numFmtId="0" fontId="0" fillId="16" borderId="0" xfId="0" applyFill="1"/>
    <xf numFmtId="2" fontId="0" fillId="17" borderId="0" xfId="0" applyNumberFormat="1" applyFill="1"/>
    <xf numFmtId="9" fontId="0" fillId="17" borderId="0" xfId="3" applyFont="1" applyFill="1"/>
    <xf numFmtId="0" fontId="4" fillId="18" borderId="0" xfId="0" applyFont="1" applyFill="1"/>
    <xf numFmtId="0" fontId="8" fillId="19" borderId="19" xfId="0" applyFont="1" applyFill="1" applyBorder="1" applyAlignment="1">
      <alignment wrapText="1"/>
    </xf>
    <xf numFmtId="0" fontId="8" fillId="20" borderId="19" xfId="0" applyFont="1" applyFill="1" applyBorder="1" applyAlignment="1">
      <alignment wrapText="1"/>
    </xf>
    <xf numFmtId="0" fontId="8" fillId="21" borderId="19" xfId="0" applyFont="1" applyFill="1" applyBorder="1" applyAlignment="1">
      <alignment wrapText="1"/>
    </xf>
    <xf numFmtId="0" fontId="8" fillId="22" borderId="19" xfId="0" applyFont="1" applyFill="1" applyBorder="1" applyAlignment="1">
      <alignment wrapText="1"/>
    </xf>
    <xf numFmtId="0" fontId="8" fillId="23" borderId="19" xfId="0" applyFont="1" applyFill="1" applyBorder="1" applyAlignment="1">
      <alignment wrapText="1"/>
    </xf>
    <xf numFmtId="0" fontId="8" fillId="23" borderId="19" xfId="0" applyFont="1" applyFill="1" applyBorder="1" applyAlignment="1">
      <alignment horizontal="right" wrapText="1"/>
    </xf>
    <xf numFmtId="0" fontId="8" fillId="24" borderId="19" xfId="0" applyFont="1" applyFill="1" applyBorder="1" applyAlignment="1">
      <alignment wrapText="1"/>
    </xf>
    <xf numFmtId="0" fontId="0" fillId="25" borderId="0" xfId="0" applyFill="1"/>
    <xf numFmtId="0" fontId="0" fillId="12" borderId="0" xfId="0" applyFill="1"/>
    <xf numFmtId="0" fontId="6" fillId="15" borderId="20" xfId="2" applyFill="1" applyBorder="1"/>
    <xf numFmtId="0" fontId="6" fillId="0" borderId="0" xfId="2"/>
    <xf numFmtId="0" fontId="0" fillId="18" borderId="0" xfId="0" applyFill="1"/>
    <xf numFmtId="164" fontId="0" fillId="7" borderId="7" xfId="0" applyNumberFormat="1" applyFill="1" applyBorder="1"/>
    <xf numFmtId="166" fontId="0" fillId="0" borderId="0" xfId="0" applyNumberFormat="1"/>
    <xf numFmtId="0" fontId="0" fillId="6" borderId="0" xfId="0" applyFill="1"/>
    <xf numFmtId="0" fontId="0" fillId="27" borderId="0" xfId="0" applyFill="1"/>
    <xf numFmtId="0" fontId="2" fillId="12" borderId="0" xfId="0" applyFont="1" applyFill="1"/>
    <xf numFmtId="0" fontId="8" fillId="5" borderId="0" xfId="0" applyFont="1" applyFill="1" applyAlignment="1">
      <alignment wrapText="1"/>
    </xf>
    <xf numFmtId="0" fontId="10" fillId="0" borderId="0" xfId="0" applyFont="1"/>
    <xf numFmtId="10" fontId="0" fillId="6" borderId="0" xfId="3" applyNumberFormat="1" applyFont="1" applyFill="1"/>
    <xf numFmtId="167" fontId="0" fillId="6" borderId="0" xfId="0" applyNumberFormat="1" applyFill="1"/>
    <xf numFmtId="0" fontId="11" fillId="26" borderId="0" xfId="0" applyFont="1" applyFill="1"/>
    <xf numFmtId="0" fontId="9" fillId="6" borderId="0" xfId="0" applyFont="1" applyFill="1"/>
    <xf numFmtId="165" fontId="0" fillId="0" borderId="0" xfId="0" applyNumberFormat="1"/>
    <xf numFmtId="0" fontId="2" fillId="0" borderId="0" xfId="0" applyFont="1"/>
    <xf numFmtId="0" fontId="12" fillId="0" borderId="0" xfId="0" applyFont="1"/>
    <xf numFmtId="0" fontId="13" fillId="0" borderId="0" xfId="0" applyFont="1"/>
    <xf numFmtId="167" fontId="0" fillId="4" borderId="0" xfId="0" applyNumberFormat="1" applyFill="1" applyAlignment="1" applyProtection="1">
      <alignment wrapText="1"/>
      <protection locked="0"/>
    </xf>
    <xf numFmtId="167" fontId="0" fillId="4" borderId="0" xfId="0" applyNumberFormat="1" applyFill="1"/>
    <xf numFmtId="0" fontId="2" fillId="26" borderId="0" xfId="0" applyFont="1" applyFill="1"/>
    <xf numFmtId="0" fontId="0" fillId="26" borderId="0" xfId="0" applyFill="1"/>
    <xf numFmtId="0" fontId="12" fillId="26" borderId="0" xfId="0" applyFont="1" applyFill="1"/>
    <xf numFmtId="0" fontId="2" fillId="28" borderId="0" xfId="0" applyFont="1" applyFill="1"/>
    <xf numFmtId="0" fontId="0" fillId="28" borderId="0" xfId="0" applyFill="1"/>
    <xf numFmtId="0" fontId="2" fillId="13" borderId="0" xfId="0" applyFont="1" applyFill="1"/>
    <xf numFmtId="0" fontId="14" fillId="7" borderId="0" xfId="0" applyFont="1" applyFill="1"/>
    <xf numFmtId="0" fontId="14" fillId="6" borderId="0" xfId="0" applyFont="1" applyFill="1"/>
    <xf numFmtId="167" fontId="0" fillId="26" borderId="0" xfId="0" applyNumberFormat="1" applyFill="1"/>
    <xf numFmtId="168" fontId="0" fillId="28" borderId="0" xfId="0" applyNumberFormat="1" applyFill="1"/>
    <xf numFmtId="167" fontId="0" fillId="0" borderId="0" xfId="0" applyNumberFormat="1"/>
    <xf numFmtId="0" fontId="8" fillId="0" borderId="19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19" xfId="0" applyFont="1" applyBorder="1" applyAlignment="1">
      <alignment vertical="center"/>
    </xf>
    <xf numFmtId="2" fontId="8" fillId="22" borderId="19" xfId="0" applyNumberFormat="1" applyFont="1" applyFill="1" applyBorder="1" applyAlignment="1">
      <alignment horizontal="right" wrapText="1"/>
    </xf>
    <xf numFmtId="167" fontId="8" fillId="0" borderId="19" xfId="0" applyNumberFormat="1" applyFont="1" applyBorder="1" applyAlignment="1">
      <alignment wrapText="1"/>
    </xf>
    <xf numFmtId="2" fontId="8" fillId="23" borderId="19" xfId="0" applyNumberFormat="1" applyFont="1" applyFill="1" applyBorder="1" applyAlignment="1">
      <alignment horizontal="right" wrapText="1"/>
    </xf>
    <xf numFmtId="2" fontId="8" fillId="23" borderId="19" xfId="0" applyNumberFormat="1" applyFont="1" applyFill="1" applyBorder="1" applyAlignment="1">
      <alignment wrapText="1"/>
    </xf>
    <xf numFmtId="2" fontId="8" fillId="24" borderId="19" xfId="0" applyNumberFormat="1" applyFont="1" applyFill="1" applyBorder="1" applyAlignment="1">
      <alignment horizontal="right" wrapText="1"/>
    </xf>
    <xf numFmtId="2" fontId="8" fillId="24" borderId="19" xfId="0" applyNumberFormat="1" applyFont="1" applyFill="1" applyBorder="1" applyAlignment="1">
      <alignment wrapText="1"/>
    </xf>
    <xf numFmtId="2" fontId="0" fillId="0" borderId="0" xfId="0" applyNumberFormat="1"/>
    <xf numFmtId="2" fontId="2" fillId="0" borderId="0" xfId="0" applyNumberFormat="1" applyFont="1"/>
    <xf numFmtId="2" fontId="0" fillId="28" borderId="0" xfId="0" applyNumberFormat="1" applyFill="1"/>
    <xf numFmtId="0" fontId="6" fillId="15" borderId="21" xfId="2" applyFill="1" applyBorder="1"/>
    <xf numFmtId="165" fontId="6" fillId="15" borderId="21" xfId="2" applyNumberFormat="1" applyFill="1" applyBorder="1"/>
    <xf numFmtId="0" fontId="0" fillId="0" borderId="1" xfId="0" applyBorder="1"/>
    <xf numFmtId="0" fontId="3" fillId="2" borderId="2" xfId="0" applyFont="1" applyFill="1" applyBorder="1"/>
    <xf numFmtId="0" fontId="3" fillId="9" borderId="0" xfId="0" applyFont="1" applyFill="1"/>
    <xf numFmtId="1" fontId="0" fillId="0" borderId="1" xfId="0" applyNumberFormat="1" applyBorder="1"/>
    <xf numFmtId="0" fontId="0" fillId="3" borderId="7" xfId="0" applyFill="1" applyBorder="1"/>
    <xf numFmtId="0" fontId="0" fillId="3" borderId="13" xfId="0" applyFill="1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9" xfId="0" applyBorder="1"/>
    <xf numFmtId="0" fontId="0" fillId="0" borderId="16" xfId="0" applyBorder="1"/>
    <xf numFmtId="0" fontId="0" fillId="3" borderId="18" xfId="0" applyFill="1" applyBorder="1"/>
    <xf numFmtId="0" fontId="0" fillId="3" borderId="10" xfId="0" applyFill="1" applyBorder="1"/>
    <xf numFmtId="0" fontId="0" fillId="3" borderId="0" xfId="0" applyFill="1"/>
    <xf numFmtId="0" fontId="18" fillId="0" borderId="0" xfId="2" applyFont="1" applyAlignment="1">
      <alignment horizontal="right" wrapText="1"/>
    </xf>
    <xf numFmtId="0" fontId="19" fillId="29" borderId="15" xfId="0" applyFont="1" applyFill="1" applyBorder="1"/>
    <xf numFmtId="0" fontId="19" fillId="29" borderId="13" xfId="0" applyFont="1" applyFill="1" applyBorder="1"/>
    <xf numFmtId="0" fontId="19" fillId="29" borderId="14" xfId="0" applyFont="1" applyFill="1" applyBorder="1"/>
    <xf numFmtId="0" fontId="0" fillId="8" borderId="13" xfId="0" applyFill="1" applyBorder="1"/>
    <xf numFmtId="0" fontId="0" fillId="8" borderId="14" xfId="0" applyFill="1" applyBorder="1"/>
    <xf numFmtId="0" fontId="0" fillId="0" borderId="13" xfId="0" applyBorder="1"/>
    <xf numFmtId="0" fontId="0" fillId="0" borderId="14" xfId="0" applyBorder="1"/>
    <xf numFmtId="0" fontId="19" fillId="29" borderId="0" xfId="0" applyFont="1" applyFill="1"/>
    <xf numFmtId="0" fontId="19" fillId="0" borderId="0" xfId="0" applyFont="1"/>
    <xf numFmtId="0" fontId="19" fillId="29" borderId="28" xfId="0" applyFont="1" applyFill="1" applyBorder="1"/>
    <xf numFmtId="0" fontId="3" fillId="11" borderId="2" xfId="0" applyFont="1" applyFill="1" applyBorder="1"/>
    <xf numFmtId="0" fontId="0" fillId="5" borderId="7" xfId="0" applyFill="1" applyBorder="1"/>
    <xf numFmtId="0" fontId="0" fillId="13" borderId="24" xfId="0" applyFill="1" applyBorder="1"/>
    <xf numFmtId="164" fontId="0" fillId="8" borderId="1" xfId="0" applyNumberFormat="1" applyFill="1" applyBorder="1"/>
    <xf numFmtId="164" fontId="0" fillId="0" borderId="26" xfId="0" applyNumberFormat="1" applyBorder="1"/>
    <xf numFmtId="0" fontId="0" fillId="13" borderId="23" xfId="0" applyFill="1" applyBorder="1"/>
    <xf numFmtId="0" fontId="3" fillId="2" borderId="0" xfId="0" applyFont="1" applyFill="1"/>
    <xf numFmtId="0" fontId="3" fillId="2" borderId="5" xfId="0" applyFont="1" applyFill="1" applyBorder="1"/>
    <xf numFmtId="0" fontId="0" fillId="3" borderId="11" xfId="0" applyFill="1" applyBorder="1"/>
    <xf numFmtId="0" fontId="0" fillId="3" borderId="15" xfId="0" applyFill="1" applyBorder="1"/>
    <xf numFmtId="0" fontId="0" fillId="8" borderId="20" xfId="0" applyFill="1" applyBorder="1"/>
    <xf numFmtId="0" fontId="18" fillId="29" borderId="0" xfId="2" applyFont="1" applyFill="1" applyAlignment="1">
      <alignment horizontal="right" wrapText="1"/>
    </xf>
    <xf numFmtId="0" fontId="3" fillId="18" borderId="0" xfId="0" applyFont="1" applyFill="1"/>
    <xf numFmtId="1" fontId="4" fillId="10" borderId="2" xfId="0" applyNumberFormat="1" applyFont="1" applyFill="1" applyBorder="1"/>
    <xf numFmtId="0" fontId="0" fillId="28" borderId="1" xfId="0" applyFill="1" applyBorder="1"/>
    <xf numFmtId="0" fontId="0" fillId="28" borderId="13" xfId="0" applyFill="1" applyBorder="1"/>
    <xf numFmtId="0" fontId="0" fillId="28" borderId="24" xfId="0" applyFill="1" applyBorder="1"/>
    <xf numFmtId="0" fontId="7" fillId="28" borderId="0" xfId="0" applyFont="1" applyFill="1"/>
    <xf numFmtId="0" fontId="3" fillId="28" borderId="17" xfId="0" applyFont="1" applyFill="1" applyBorder="1"/>
    <xf numFmtId="0" fontId="6" fillId="8" borderId="20" xfId="2" applyFill="1" applyBorder="1"/>
    <xf numFmtId="165" fontId="6" fillId="8" borderId="20" xfId="2" applyNumberFormat="1" applyFill="1" applyBorder="1"/>
    <xf numFmtId="0" fontId="6" fillId="8" borderId="29" xfId="2" applyFill="1" applyBorder="1"/>
    <xf numFmtId="0" fontId="6" fillId="0" borderId="13" xfId="2" applyBorder="1"/>
    <xf numFmtId="165" fontId="6" fillId="0" borderId="13" xfId="2" applyNumberFormat="1" applyBorder="1"/>
    <xf numFmtId="0" fontId="6" fillId="0" borderId="14" xfId="2" applyBorder="1"/>
    <xf numFmtId="0" fontId="6" fillId="8" borderId="13" xfId="2" applyFill="1" applyBorder="1"/>
    <xf numFmtId="165" fontId="6" fillId="8" borderId="13" xfId="2" applyNumberFormat="1" applyFill="1" applyBorder="1"/>
    <xf numFmtId="0" fontId="6" fillId="8" borderId="14" xfId="2" applyFill="1" applyBorder="1"/>
    <xf numFmtId="0" fontId="18" fillId="29" borderId="0" xfId="2" applyFont="1" applyFill="1"/>
    <xf numFmtId="165" fontId="0" fillId="15" borderId="20" xfId="2" applyNumberFormat="1" applyFont="1" applyFill="1" applyBorder="1"/>
    <xf numFmtId="0" fontId="18" fillId="29" borderId="14" xfId="2" applyFont="1" applyFill="1" applyBorder="1" applyAlignment="1">
      <alignment horizontal="right" wrapText="1"/>
    </xf>
    <xf numFmtId="0" fontId="0" fillId="8" borderId="29" xfId="0" applyFill="1" applyBorder="1"/>
    <xf numFmtId="1" fontId="3" fillId="3" borderId="2" xfId="0" applyNumberFormat="1" applyFont="1" applyFill="1" applyBorder="1"/>
    <xf numFmtId="1" fontId="4" fillId="3" borderId="2" xfId="0" applyNumberFormat="1" applyFont="1" applyFill="1" applyBorder="1"/>
    <xf numFmtId="1" fontId="3" fillId="6" borderId="1" xfId="0" applyNumberFormat="1" applyFont="1" applyFill="1" applyBorder="1"/>
    <xf numFmtId="1" fontId="4" fillId="6" borderId="1" xfId="0" applyNumberFormat="1" applyFont="1" applyFill="1" applyBorder="1"/>
    <xf numFmtId="1" fontId="4" fillId="4" borderId="4" xfId="0" applyNumberFormat="1" applyFont="1" applyFill="1" applyBorder="1"/>
    <xf numFmtId="1" fontId="4" fillId="7" borderId="2" xfId="0" applyNumberFormat="1" applyFont="1" applyFill="1" applyBorder="1"/>
    <xf numFmtId="1" fontId="4" fillId="7" borderId="1" xfId="0" applyNumberFormat="1" applyFont="1" applyFill="1" applyBorder="1"/>
    <xf numFmtId="0" fontId="4" fillId="10" borderId="17" xfId="0" applyFont="1" applyFill="1" applyBorder="1"/>
    <xf numFmtId="0" fontId="0" fillId="10" borderId="30" xfId="0" applyFill="1" applyBorder="1"/>
    <xf numFmtId="0" fontId="0" fillId="10" borderId="31" xfId="0" applyFill="1" applyBorder="1"/>
    <xf numFmtId="1" fontId="3" fillId="3" borderId="22" xfId="0" applyNumberFormat="1" applyFont="1" applyFill="1" applyBorder="1"/>
    <xf numFmtId="1" fontId="3" fillId="3" borderId="32" xfId="0" applyNumberFormat="1" applyFont="1" applyFill="1" applyBorder="1"/>
    <xf numFmtId="0" fontId="0" fillId="6" borderId="0" xfId="0" applyFill="1" applyAlignment="1">
      <alignment wrapText="1"/>
    </xf>
    <xf numFmtId="0" fontId="0" fillId="0" borderId="0" xfId="0" applyAlignment="1">
      <alignment wrapText="1"/>
    </xf>
    <xf numFmtId="0" fontId="0" fillId="8" borderId="8" xfId="0" applyFill="1" applyBorder="1"/>
    <xf numFmtId="0" fontId="0" fillId="8" borderId="15" xfId="0" applyFill="1" applyBorder="1"/>
    <xf numFmtId="0" fontId="0" fillId="15" borderId="21" xfId="0" applyFill="1" applyBorder="1"/>
    <xf numFmtId="165" fontId="0" fillId="15" borderId="21" xfId="0" applyNumberFormat="1" applyFill="1" applyBorder="1"/>
    <xf numFmtId="0" fontId="0" fillId="28" borderId="33" xfId="0" applyFill="1" applyBorder="1"/>
    <xf numFmtId="0" fontId="0" fillId="30" borderId="0" xfId="0" applyFill="1"/>
    <xf numFmtId="167" fontId="0" fillId="28" borderId="0" xfId="0" applyNumberFormat="1" applyFill="1"/>
    <xf numFmtId="0" fontId="0" fillId="31" borderId="0" xfId="0" applyFill="1"/>
    <xf numFmtId="4" fontId="0" fillId="31" borderId="0" xfId="0" applyNumberFormat="1" applyFill="1"/>
    <xf numFmtId="1" fontId="0" fillId="31" borderId="0" xfId="0" applyNumberFormat="1" applyFill="1"/>
    <xf numFmtId="0" fontId="4" fillId="12" borderId="34" xfId="0" applyFont="1" applyFill="1" applyBorder="1"/>
    <xf numFmtId="0" fontId="4" fillId="0" borderId="1" xfId="0" applyFont="1" applyBorder="1"/>
    <xf numFmtId="169" fontId="4" fillId="0" borderId="1" xfId="0" applyNumberFormat="1" applyFont="1" applyBorder="1"/>
    <xf numFmtId="0" fontId="3" fillId="0" borderId="0" xfId="0" applyFont="1"/>
    <xf numFmtId="9" fontId="0" fillId="0" borderId="0" xfId="3" applyFont="1"/>
    <xf numFmtId="9" fontId="1" fillId="0" borderId="0" xfId="3"/>
    <xf numFmtId="0" fontId="3" fillId="2" borderId="1" xfId="0" applyFont="1" applyFill="1" applyBorder="1"/>
    <xf numFmtId="0" fontId="3" fillId="2" borderId="4" xfId="0" applyFont="1" applyFill="1" applyBorder="1"/>
    <xf numFmtId="0" fontId="0" fillId="13" borderId="17" xfId="0" applyFill="1" applyBorder="1"/>
    <xf numFmtId="0" fontId="0" fillId="10" borderId="1" xfId="0" applyFill="1" applyBorder="1"/>
    <xf numFmtId="0" fontId="3" fillId="11" borderId="5" xfId="0" applyFont="1" applyFill="1" applyBorder="1"/>
    <xf numFmtId="2" fontId="0" fillId="13" borderId="4" xfId="0" applyNumberFormat="1" applyFill="1" applyBorder="1"/>
    <xf numFmtId="2" fontId="0" fillId="0" borderId="13" xfId="0" applyNumberFormat="1" applyBorder="1"/>
    <xf numFmtId="0" fontId="0" fillId="7" borderId="0" xfId="0" applyFill="1" applyAlignment="1">
      <alignment wrapText="1"/>
    </xf>
    <xf numFmtId="170" fontId="0" fillId="0" borderId="0" xfId="0" applyNumberFormat="1"/>
    <xf numFmtId="167" fontId="0" fillId="9" borderId="0" xfId="0" applyNumberFormat="1" applyFill="1"/>
    <xf numFmtId="2" fontId="0" fillId="13" borderId="1" xfId="0" applyNumberFormat="1" applyFill="1" applyBorder="1"/>
    <xf numFmtId="2" fontId="0" fillId="13" borderId="1" xfId="1" applyNumberFormat="1" applyFont="1" applyFill="1" applyBorder="1"/>
    <xf numFmtId="2" fontId="0" fillId="13" borderId="0" xfId="0" applyNumberFormat="1" applyFill="1"/>
    <xf numFmtId="2" fontId="0" fillId="13" borderId="6" xfId="0" applyNumberFormat="1" applyFill="1" applyBorder="1"/>
    <xf numFmtId="2" fontId="0" fillId="13" borderId="6" xfId="1" applyNumberFormat="1" applyFont="1" applyFill="1" applyBorder="1"/>
    <xf numFmtId="2" fontId="0" fillId="13" borderId="2" xfId="0" applyNumberFormat="1" applyFill="1" applyBorder="1"/>
    <xf numFmtId="0" fontId="0" fillId="32" borderId="0" xfId="0" applyFill="1"/>
    <xf numFmtId="0" fontId="0" fillId="0" borderId="16" xfId="0" applyBorder="1" applyAlignment="1">
      <alignment horizontal="right" wrapText="1"/>
    </xf>
    <xf numFmtId="171" fontId="0" fillId="0" borderId="0" xfId="0" applyNumberFormat="1"/>
    <xf numFmtId="171" fontId="0" fillId="15" borderId="21" xfId="0" applyNumberFormat="1" applyFill="1" applyBorder="1"/>
    <xf numFmtId="0" fontId="0" fillId="15" borderId="1" xfId="0" applyFill="1" applyBorder="1"/>
    <xf numFmtId="171" fontId="0" fillId="15" borderId="1" xfId="0" applyNumberFormat="1" applyFill="1" applyBorder="1"/>
    <xf numFmtId="165" fontId="2" fillId="0" borderId="0" xfId="0" applyNumberFormat="1" applyFont="1"/>
    <xf numFmtId="0" fontId="20" fillId="0" borderId="0" xfId="2" applyFont="1"/>
    <xf numFmtId="0" fontId="0" fillId="33" borderId="0" xfId="0" applyFill="1"/>
    <xf numFmtId="1" fontId="0" fillId="0" borderId="0" xfId="0" applyNumberFormat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Prosent" xfId="3" builtinId="5"/>
  </cellStyles>
  <dxfs count="16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71" formatCode="[$kr-414]\ #\ ##0;\-[$kr-414]\ #\ ##0"/>
    </dxf>
    <dxf>
      <border outline="0">
        <left style="thin">
          <color theme="4" tint="0.39997558519241921"/>
        </left>
      </border>
    </dxf>
    <dxf>
      <border outline="0">
        <bottom style="thin">
          <color rgb="FF161225"/>
        </bottom>
      </border>
    </dxf>
    <dxf>
      <numFmt numFmtId="171" formatCode="[$kr-414]\ #\ ##0;\-[$kr-414]\ #\ ##0"/>
    </dxf>
    <dxf>
      <border outline="0">
        <left style="thin">
          <color theme="4" tint="0.39997558519241921"/>
        </left>
      </border>
    </dxf>
    <dxf>
      <border outline="0">
        <bottom style="thin">
          <color rgb="FF161225"/>
        </bottom>
      </border>
    </dxf>
    <dxf>
      <numFmt numFmtId="171" formatCode="[$kr-414]\ #\ ##0;\-[$kr-414]\ #\ ##0"/>
    </dxf>
    <dxf>
      <border outline="0">
        <left style="thin">
          <color theme="4" tint="0.39997558519241921"/>
        </left>
      </border>
    </dxf>
    <dxf>
      <border outline="0">
        <bottom style="thin">
          <color rgb="FF161225"/>
        </bottom>
      </border>
    </dxf>
    <dxf>
      <numFmt numFmtId="171" formatCode="[$kr-414]\ #\ ##0;\-[$kr-414]\ #\ ##0"/>
    </dxf>
    <dxf>
      <border outline="0">
        <left style="thin">
          <color theme="4" tint="0.39997558519241921"/>
        </left>
      </border>
    </dxf>
    <dxf>
      <border outline="0">
        <bottom style="thin">
          <color rgb="FF161225"/>
        </bottom>
      </border>
    </dxf>
    <dxf>
      <numFmt numFmtId="171" formatCode="[$kr-414]\ #\ ##0;\-[$kr-414]\ #\ ##0"/>
    </dxf>
    <dxf>
      <border outline="0">
        <left style="thin">
          <color theme="4" tint="0.39997558519241921"/>
        </left>
      </border>
    </dxf>
    <dxf>
      <border outline="0">
        <bottom style="thin">
          <color rgb="FF16122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[$kr-409]\ #\ ##0;\-[$kr-409]\ #\ ##0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[$kr-409]\ #\ ##0;\-[$kr-409]\ #\ ##0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[$kr-409]\ #\ ##0;\-[$kr-409]\ #\ ##0"/>
    </dxf>
    <dxf>
      <border outline="0">
        <bottom style="thin">
          <color rgb="FF161225"/>
        </bottom>
      </border>
    </dxf>
    <dxf>
      <numFmt numFmtId="165" formatCode="[$kr-409]\ #\ ##0;\-[$kr-409]\ #\ ##0"/>
    </dxf>
    <dxf>
      <border outline="0">
        <bottom style="thin">
          <color rgb="FF161225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7" tint="0.79998168889431442"/>
        </patternFill>
      </fill>
    </dxf>
    <dxf>
      <numFmt numFmtId="2" formatCode="0.0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0" formatCode="General"/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border diagonalUp="0" diagonalDown="0" outline="0">
        <left/>
        <right style="thin">
          <color indexed="64"/>
        </right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</border>
    </dxf>
    <dxf>
      <numFmt numFmtId="0" formatCode="General"/>
    </dxf>
  </dxfs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1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Russens%20Regnskap%20Helautomatisert%20(4).xlsx" TargetMode="External"/><Relationship Id="rId2" Type="http://schemas.openxmlformats.org/officeDocument/2006/relationships/externalLinkPath" Target="file:///C:\Users\clinnebo07\Downloads\Russens%20Regnskap%20Helautomatisert%20(4).xlsx" TargetMode="External"/><Relationship Id="rId1" Type="http://schemas.openxmlformats.org/officeDocument/2006/relationships/externalLinkPath" Target="/Users/clinnebo07/Downloads/Russens%20Regnskap%20Helautomatisert%20(4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"/>
      <sheetName val="Master kiosk"/>
      <sheetName val="Inn Kiosk"/>
      <sheetName val="Vippsutskrifter"/>
      <sheetName val="Terminalutskrifter"/>
      <sheetName val="Salg_Total"/>
      <sheetName val="Inkjøp"/>
      <sheetName val="Vipps_salg_Klar_til_sammensveis"/>
      <sheetName val="Krympefest"/>
      <sheetName val="Premiere Leaugue"/>
      <sheetName val="Oktober"/>
      <sheetName val="GammelVipps"/>
      <sheetName val="November"/>
      <sheetName val="Desember"/>
      <sheetName val="GammelVipps (2)"/>
      <sheetName val="Vipps_Totalraport"/>
      <sheetName val="TerminalV1"/>
      <sheetName val="TerminalV2"/>
      <sheetName val="Terminal_Totalraport"/>
      <sheetName val="Terminal_Salg_klar_til_sammensv"/>
      <sheetName val="Salg_Totalraport_Ferdigprodukt"/>
      <sheetName val="Redaksjonen"/>
      <sheetName val="Kjøregodtgjørelse"/>
      <sheetName val="Misjonsløp"/>
      <sheetName val="Nattcup"/>
      <sheetName val="Basar"/>
      <sheetName val="Barrista"/>
      <sheetName val="Milkshake"/>
      <sheetName val="Panteruss"/>
      <sheetName val="Isruss"/>
      <sheetName val="Vippsutskrifter Python"/>
      <sheetName val="Inn Kiosk Python"/>
      <sheetName val="Terminalutskrifter Python"/>
      <sheetName val="Måneskinstur"/>
      <sheetName val="Sept"/>
    </sheetNames>
    <sheetDataSet>
      <sheetData sheetId="0"/>
      <sheetData sheetId="1">
        <row r="69">
          <cell r="AD69">
            <v>37</v>
          </cell>
          <cell r="AE69">
            <v>24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14" xr16:uid="{B580F67A-07A6-4E73-A6A4-E6AB4A63F9F3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13" xr16:uid="{43DE3403-1E2D-4BA1-9695-F63AB9921A01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16" xr16:uid="{3984E299-68AD-4B90-8B5A-FB67EC6504B7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12" xr16:uid="{A6225201-86C7-4ABB-BDE1-973EC7B1CB92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15" xr16:uid="{98D8EE83-B860-4B4D-871B-B02E3E4FC6FC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1749216A-9541-466C-95CF-C60E59808E7D}" autoFormatId="16" applyNumberFormats="0" applyBorderFormats="0" applyFontFormats="0" applyPatternFormats="0" applyAlignmentFormats="0" applyWidthHeightFormats="0">
  <queryTableRefresh nextId="4">
    <queryTableFields count="3">
      <queryTableField id="1" name="Vare" tableColumnId="1"/>
      <queryTableField id="2" name="Antall(sum)" tableColumnId="2"/>
      <queryTableField id="3" name="Beløp(sum)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C5E9B4C-774B-4C96-8AFE-53BE84896F30}" autoFormatId="16" applyNumberFormats="0" applyBorderFormats="0" applyFontFormats="0" applyPatternFormats="0" applyAlignmentFormats="0" applyWidthHeightFormats="0">
  <queryTableRefresh nextId="12">
    <queryTableFields count="3">
      <queryTableField id="1" name="Vare" tableColumnId="1"/>
      <queryTableField id="10" name="Antall" tableColumnId="8"/>
      <queryTableField id="3" name="Beløp inkl. MVA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68CC5FA-C742-4B89-AC16-F01AEBFB9283}" autoFormatId="16" applyNumberFormats="0" applyBorderFormats="0" applyFontFormats="0" applyPatternFormats="0" applyAlignmentFormats="0" applyWidthHeightFormats="0">
  <queryTableRefresh nextId="4">
    <queryTableFields count="3">
      <queryTableField id="1" name="Produkt" tableColumnId="1"/>
      <queryTableField id="2" name="Antall(solgt)" tableColumnId="2"/>
      <queryTableField id="3" name="Total Kjøpsum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C685D79F-1705-40D7-9214-AC712ED8A10A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6D809D9-79EB-4441-A782-06E00786C397}" autoFormatId="16" applyNumberFormats="0" applyBorderFormats="0" applyFontFormats="0" applyPatternFormats="0" applyAlignmentFormats="0" applyWidthHeightFormats="0">
  <queryTableRefresh nextId="6">
    <queryTableFields count="5">
      <queryTableField id="1" name="Vare" tableColumnId="1"/>
      <queryTableField id="2" name="Varegruppe" tableColumnId="2"/>
      <queryTableField id="3" name="Antall" tableColumnId="3"/>
      <queryTableField id="4" name="Beløp inkl. MVA" tableColumnId="4"/>
      <queryTableField id="5" name="Column1" tableColumnId="5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FA304C7-FED0-42CA-A97C-8D0928A56BF1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4DBE2B8-FE4F-4A56-AD74-3B9C90BE74FE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Antall" tableColumnId="2"/>
      <queryTableField id="3" name="Beløp inkl. MVA" tableColumnId="3"/>
      <queryTableField id="4" name="Column1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DE6283F0-33A2-4454-B15D-A799819729A5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Antall" tableColumnId="2"/>
      <queryTableField id="3" name="Beløp" tableColumnId="3"/>
      <queryTableField id="4" name="pris" tableColumnId="4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5BDDA21-BD18-4E93-8635-A2A865014138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Antall" tableColumnId="2"/>
      <queryTableField id="3" name="Beløp" tableColumnId="3"/>
      <queryTableField id="4" name="pris" tableColumnId="4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ED3F189-3083-4903-A750-33A23B5ACD59}" autoFormatId="16" applyNumberFormats="0" applyBorderFormats="0" applyFontFormats="0" applyPatternFormats="0" applyAlignmentFormats="0" applyWidthHeightFormats="0">
  <queryTableRefresh nextId="6">
    <queryTableFields count="3">
      <queryTableField id="1" name="Vare" tableColumnId="1"/>
      <queryTableField id="2" name="Antall" tableColumnId="2"/>
      <queryTableField id="5" name="Beløp inkl. MVA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2A506AC-7A53-45F4-ABB4-6CEFA5A160AE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3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3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3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3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3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3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3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4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00D430-21E5-4206-ACD1-A03E0534EE4E}" name="Inkjøp" displayName="Inkjøp" ref="A1:C74" totalsRowShown="0" tableBorderDxfId="166">
  <autoFilter ref="A1:C74" xr:uid="{E000D430-21E5-4206-ACD1-A03E0534EE4E}"/>
  <tableColumns count="3">
    <tableColumn id="1" xr3:uid="{FBEE7985-93B6-4253-8DC8-33035EDC671B}" name="Produkt" dataDxfId="165"/>
    <tableColumn id="2" xr3:uid="{68D73E7D-9AEC-4BF8-A656-3D3600ACAC17}" name="Antall(solgt)" dataDxfId="164">
      <calculatedColumnFormula>IFERROR(VLOOKUP(Inkjøp[[#This Row],[Produkt]],KviteringV3[],2,FALSE),0)</calculatedColumnFormula>
    </tableColumn>
    <tableColumn id="3" xr3:uid="{F1D07DF3-2883-46F3-AF7A-DA81C8C44DD3}" name="Total Kjøpsum" dataDxfId="163">
      <calculatedColumnFormula array="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B1F573-1F1F-4F6B-A9F8-01E256444AD0}" name="KviteringV1" displayName="KviteringV1" ref="F1:M68" totalsRowShown="0" headerRowDxfId="162" dataDxfId="161">
  <autoFilter ref="F1:M68" xr:uid="{0CB1F573-1F1F-4F6B-A9F8-01E256444AD0}"/>
  <tableColumns count="8">
    <tableColumn id="1" xr3:uid="{1599D5FF-0C19-4890-BA4F-0AA5840C618C}" name="Produkt" dataDxfId="160"/>
    <tableColumn id="2" xr3:uid="{470898CA-034A-4776-BE63-E382F05BAC15}" name="Antall" dataDxfId="159"/>
    <tableColumn id="3" xr3:uid="{148CA7C8-A98D-457B-83BB-EE2B1C4C37C4}" name="Pris SC" dataDxfId="158"/>
    <tableColumn id="4" xr3:uid="{A4FE6AED-2BC8-4C96-9A35-759009766B65}" name="pris SC (m. mva)" dataDxfId="157"/>
    <tableColumn id="5" xr3:uid="{38B3F55B-11D2-4D15-8811-66DB9D74E340}" name="Totalt (u mva)" dataDxfId="156"/>
    <tableColumn id="6" xr3:uid="{FB55CD04-BCBA-43B4-81B5-782A139E1A19}" name="Totalt (m mva)" dataDxfId="155"/>
    <tableColumn id="7" xr3:uid="{31E94CDD-D0D3-4EED-BA9B-8F558627131C}" name="pant" dataDxfId="154"/>
    <tableColumn id="8" xr3:uid="{E917037F-1A78-4FAC-84A8-83A2E4F3089F}" name="Column1" dataDxfId="153">
      <calculatedColumnFormula>COUNTIF($A:$A,N2)&gt;0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689675D-925D-4F33-B973-1310A75B0860}" name="KviteringV2" displayName="KviteringV2" ref="N1:U68" totalsRowShown="0" headerRowDxfId="152">
  <autoFilter ref="N1:U68" xr:uid="{D689675D-925D-4F33-B973-1310A75B0860}"/>
  <tableColumns count="8">
    <tableColumn id="1" xr3:uid="{570C1480-E45E-4734-9E4E-45D5759A88A6}" name="Produkt" dataDxfId="151"/>
    <tableColumn id="2" xr3:uid="{FFFBC534-B7A7-40CE-9ED7-86D3C2238B05}" name="Antall" dataDxfId="150"/>
    <tableColumn id="3" xr3:uid="{92AA7D0F-31DC-4B67-B22F-15E39E4D7917}" name="Pris SC" dataDxfId="149" dataCellStyle="Normal 2"/>
    <tableColumn id="4" xr3:uid="{E7A22B00-FE36-4ECD-84FB-5C8ACEDBE0DE}" name="pris SC (m. mva)" dataDxfId="148">
      <calculatedColumnFormula>P2*1.15</calculatedColumnFormula>
    </tableColumn>
    <tableColumn id="5" xr3:uid="{B46C8F22-A388-4446-B3B9-33C5672D81CE}" name="Totalt (u mva)" dataDxfId="147">
      <calculatedColumnFormula>P2*O2</calculatedColumnFormula>
    </tableColumn>
    <tableColumn id="6" xr3:uid="{E2D40874-8886-4B83-87CE-E04E479D1B72}" name="Totalt (m mva)" dataDxfId="146">
      <calculatedColumnFormula>Q2*O2</calculatedColumnFormula>
    </tableColumn>
    <tableColumn id="7" xr3:uid="{0622041F-3944-4E77-B8C3-18504A385D7E}" name="pant" dataDxfId="145"/>
    <tableColumn id="8" xr3:uid="{C9CEA403-201F-4321-96A0-72A0DE3BE003}" name="Column1" dataDxfId="144">
      <calculatedColumnFormula>COUNTIF($A:$A,V2)&gt;0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FD75222-C02C-4AE3-BB70-DC7CF3E2866E}" name="KviteringV3" displayName="KviteringV3" ref="V1:AB68" totalsRowShown="0" headerRowDxfId="143">
  <autoFilter ref="V1:AB68" xr:uid="{8FD75222-C02C-4AE3-BB70-DC7CF3E2866E}"/>
  <tableColumns count="7">
    <tableColumn id="1" xr3:uid="{61161BF8-6C4A-43CD-9996-B2D9C40F45F4}" name="Produkt" dataDxfId="142"/>
    <tableColumn id="2" xr3:uid="{65ACB106-54E3-4F90-9DFE-6D0A1D21A1AD}" name="Antall" dataDxfId="141"/>
    <tableColumn id="3" xr3:uid="{D957A862-1816-4039-A9AA-D4152C295DA5}" name="Pris SC" dataDxfId="140" dataCellStyle="Normal 2"/>
    <tableColumn id="4" xr3:uid="{91C1BDD1-8054-445A-8976-C40728979CFE}" name="pris SC (m. mva)" dataDxfId="139">
      <calculatedColumnFormula>X2*1.15</calculatedColumnFormula>
    </tableColumn>
    <tableColumn id="5" xr3:uid="{B2C2C958-9BC5-4AB6-A6B9-10EABA911F86}" name="Totalt (u mva)" dataDxfId="138">
      <calculatedColumnFormula>X2*W2</calculatedColumnFormula>
    </tableColumn>
    <tableColumn id="6" xr3:uid="{63D71641-FBA3-4EB8-956B-547525FB5EA3}" name="Totalt (m mva)" dataDxfId="137">
      <calculatedColumnFormula>Y2*W2</calculatedColumnFormula>
    </tableColumn>
    <tableColumn id="7" xr3:uid="{801EEF2C-FEA8-4957-8236-1E11469D9BAE}" name="pant" dataDxfId="136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7F836-BF56-4FFF-8D4E-1051E5FAA619}" name="KviteringV4" displayName="KviteringV4" ref="AE1:AK72" totalsRowShown="0" headerRowDxfId="135">
  <autoFilter ref="AE1:AK72" xr:uid="{C797F836-BF56-4FFF-8D4E-1051E5FAA619}"/>
  <tableColumns count="7">
    <tableColumn id="1" xr3:uid="{8B7A2B43-CEB9-49E9-8534-D2DEF30343FF}" name="Produkt" dataDxfId="134"/>
    <tableColumn id="2" xr3:uid="{59E1DA03-CBB7-494E-9679-AADF26E325E1}" name="Antall" dataDxfId="133"/>
    <tableColumn id="3" xr3:uid="{5CFC0A50-B498-49C9-96C3-416F18FC4B08}" name="Pris SC" dataDxfId="132" dataCellStyle="Normal 2"/>
    <tableColumn id="4" xr3:uid="{B6F13962-6F8E-428C-A719-B29D4B837FD3}" name="pris SC (m. mva)" dataDxfId="131"/>
    <tableColumn id="5" xr3:uid="{5D9ACD15-DAA7-4C7B-B888-38DFDE0B8F7B}" name="Totalt (u mva)" dataDxfId="130">
      <calculatedColumnFormula>AG2*AF2</calculatedColumnFormula>
    </tableColumn>
    <tableColumn id="6" xr3:uid="{4123EDC0-02CF-4A2F-82C7-95A8809D25FF}" name="Totalt (m mva)" dataDxfId="129">
      <calculatedColumnFormula>KviteringV4[[#This Row],[pris SC (m. mva)]]*KviteringV4[[#This Row],[Antall]]</calculatedColumnFormula>
    </tableColumn>
    <tableColumn id="7" xr3:uid="{9204E26D-E8F1-4C43-9A2C-D2FFE484BF16}" name="pant" dataDxfId="1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C349CD-EBF1-42F9-9200-E04F0029C3EC}" name="KviteringV5" displayName="KviteringV5" ref="AN1:AT72" totalsRowShown="0" headerRowDxfId="127">
  <autoFilter ref="AN1:AT72" xr:uid="{5BC349CD-EBF1-42F9-9200-E04F0029C3EC}"/>
  <tableColumns count="7">
    <tableColumn id="1" xr3:uid="{51D79BB8-B8F5-4241-A8A4-12EE324EA9C7}" name="Produkt" dataDxfId="126"/>
    <tableColumn id="2" xr3:uid="{7AD19CEE-CF6F-43D4-9142-46EDF9870B19}" name="Antall" dataDxfId="125"/>
    <tableColumn id="3" xr3:uid="{E5682EA7-024C-4E0E-B677-67895538DE22}" name="Pris SC" dataDxfId="124" dataCellStyle="Normal 2"/>
    <tableColumn id="4" xr3:uid="{87126B78-F220-4D25-A239-4CDC4DF942E0}" name="pris SC (m. mva)" dataDxfId="123"/>
    <tableColumn id="5" xr3:uid="{A26E2316-13D1-4946-9D0B-F6F236AD21C8}" name="Totalt (u mva)" dataDxfId="122">
      <calculatedColumnFormula>AP2*AO2</calculatedColumnFormula>
    </tableColumn>
    <tableColumn id="6" xr3:uid="{CBF3325C-7677-4211-8883-2926D06FB90D}" name="Totalt (m mva)" dataDxfId="121">
      <calculatedColumnFormula>KviteringV5[[#This Row],[pris SC (m. mva)]]*KviteringV5[[#This Row],[Antall]]</calculatedColumnFormula>
    </tableColumn>
    <tableColumn id="7" xr3:uid="{AD73F625-093A-4292-9839-C71A0BECE8C0}" name="pant" dataDxfId="12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D0406E-EA13-42A3-8AF0-7AB6C2C725DD}" name="KviteringV6" displayName="KviteringV6" ref="AW1:BC72" totalsRowShown="0" headerRowDxfId="119" dataDxfId="118">
  <autoFilter ref="AW1:BC72" xr:uid="{1AD0406E-EA13-42A3-8AF0-7AB6C2C725DD}"/>
  <tableColumns count="7">
    <tableColumn id="1" xr3:uid="{246D5343-5547-437D-9C99-B970DB7AD210}" name="Produkt" dataDxfId="117"/>
    <tableColumn id="2" xr3:uid="{E7EBE704-A760-4787-85F0-7C7F5547371C}" name="Antall" dataDxfId="116"/>
    <tableColumn id="3" xr3:uid="{FB01ADE6-5C9B-4EE0-8D3D-A71458121666}" name="Pris SC" dataDxfId="115" dataCellStyle="Normal 2"/>
    <tableColumn id="4" xr3:uid="{18A4E25F-C874-4119-8600-A00C2CA7BFEB}" name="pris SC (m. mva)" dataDxfId="114"/>
    <tableColumn id="5" xr3:uid="{EF778D2C-AFB8-4B56-AEFB-2D40F54FD8CA}" name="Totalt (u mva)" dataDxfId="113">
      <calculatedColumnFormula>AY2*AX2</calculatedColumnFormula>
    </tableColumn>
    <tableColumn id="6" xr3:uid="{C85AE671-49CB-40C5-8B10-F4FA1193577C}" name="Totalt (m mva)" dataDxfId="112">
      <calculatedColumnFormula>KviteringV6[[#This Row],[pris SC (m. mva)]]*KviteringV6[[#This Row],[Antall]]</calculatedColumnFormula>
    </tableColumn>
    <tableColumn id="7" xr3:uid="{C197EF52-24F8-458C-A47D-A308985E70A2}" name="pant" dataDxfId="11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2510E32-BA17-4319-A542-76BC04CEAC9E}" name="KviteringV7" displayName="KviteringV7" ref="BF1:BL72" totalsRowShown="0" headerRowDxfId="110" dataDxfId="109">
  <autoFilter ref="BF1:BL72" xr:uid="{B2510E32-BA17-4319-A542-76BC04CEAC9E}"/>
  <tableColumns count="7">
    <tableColumn id="1" xr3:uid="{9F7BF824-E727-4479-9300-7A555779A201}" name="Produkt" dataDxfId="108"/>
    <tableColumn id="2" xr3:uid="{E81C112B-07A2-4507-911A-B8B7E3FD6B34}" name="Antall" dataDxfId="107"/>
    <tableColumn id="3" xr3:uid="{D952AD54-77E3-4E46-80D4-4B47402F5EB2}" name="Pris SC" dataDxfId="106" dataCellStyle="Normal 2"/>
    <tableColumn id="4" xr3:uid="{EF1DBD2F-D997-4F6E-9F28-4F64BE0DF99A}" name="pris SC (m. mva)" dataDxfId="105">
      <calculatedColumnFormula>BH2*1.15</calculatedColumnFormula>
    </tableColumn>
    <tableColumn id="5" xr3:uid="{0DFE114B-5D80-4600-A350-0880C56208EF}" name="Totalt (u mva)" dataDxfId="104">
      <calculatedColumnFormula>BH2*BG2</calculatedColumnFormula>
    </tableColumn>
    <tableColumn id="6" xr3:uid="{13EE1FCC-FA9C-4E30-A8F1-3AD385302279}" name="Totalt (m mva)" dataDxfId="103">
      <calculatedColumnFormula>KviteringV7[[#This Row],[pris SC (m. mva)]]*KviteringV7[[#This Row],[Antall]]</calculatedColumnFormula>
    </tableColumn>
    <tableColumn id="7" xr3:uid="{1D0E2B6B-A66F-4065-B666-AD5016E0A73E}" name="pant" dataDxfId="10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33FC717-0B09-4554-ACFD-99447BB3AF60}" name="KviteringV8" displayName="KviteringV8" ref="BO1:BU72" totalsRowShown="0" headerRowDxfId="101" dataDxfId="100">
  <autoFilter ref="BO1:BU72" xr:uid="{F33FC717-0B09-4554-ACFD-99447BB3AF60}"/>
  <tableColumns count="7">
    <tableColumn id="1" xr3:uid="{AB39A0B1-7C2B-4B37-A147-82166E4A9C6D}" name="Produkt" dataDxfId="99"/>
    <tableColumn id="2" xr3:uid="{4C2A5211-FBBE-48EE-9930-589AC50CA923}" name="Antall" dataDxfId="98"/>
    <tableColumn id="3" xr3:uid="{725473A0-3579-4D0E-8DAB-9AEFC410B19A}" name="Pris SC" dataDxfId="97" dataCellStyle="Normal 2"/>
    <tableColumn id="4" xr3:uid="{D7F9B74C-7F4F-4FED-9235-9A40F033B5B1}" name="pris SC (m. mva)" dataDxfId="96"/>
    <tableColumn id="5" xr3:uid="{E64A17B4-CBF9-4949-AA22-5E2200CAEA56}" name="Totalt (u mva)" dataDxfId="95">
      <calculatedColumnFormula>BQ2*BP2</calculatedColumnFormula>
    </tableColumn>
    <tableColumn id="6" xr3:uid="{43431B56-6026-465B-BBEE-1789F8328FBD}" name="Totalt (m mva)" dataDxfId="94">
      <calculatedColumnFormula>KviteringV8[[#This Row],[pris SC (m. mva)]]*KviteringV8[[#This Row],[Antall]]</calculatedColumnFormula>
    </tableColumn>
    <tableColumn id="7" xr3:uid="{6690105A-5827-4E49-81AA-8F362B094250}" name="pant" dataDxfId="9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6B529FB-8DA3-432B-8759-B63E5C1935AB}" name="Januar_1" displayName="Januar_1" ref="A1:D54" tableType="queryTable" totalsRowShown="0">
  <autoFilter ref="A1:D54" xr:uid="{D6B529FB-8DA3-432B-8759-B63E5C1935AB}"/>
  <tableColumns count="4">
    <tableColumn id="1" xr3:uid="{C4F8E5E9-1115-4494-8C1F-B4B90D8C3153}" uniqueName="1" name="Vare" queryTableFieldId="1" dataDxfId="92"/>
    <tableColumn id="2" xr3:uid="{83CBE52D-53D9-4E76-A754-62EC71D9945C}" uniqueName="2" name="Varegruppe" queryTableFieldId="2" dataDxfId="91"/>
    <tableColumn id="3" xr3:uid="{3335B174-B677-4F50-B633-880ED819D8F1}" uniqueName="3" name="Antall" queryTableFieldId="3"/>
    <tableColumn id="4" xr3:uid="{58550002-C6E5-4D49-A248-C37DDC75609D}" uniqueName="4" name="Beløp inkl. MVA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B31DBA29-684A-4A6F-8BB1-59378655D74F}" name="Februar_1" displayName="Februar_1" ref="A1:D50" tableType="queryTable" totalsRowShown="0">
  <autoFilter ref="A1:D50" xr:uid="{B31DBA29-684A-4A6F-8BB1-59378655D74F}"/>
  <tableColumns count="4">
    <tableColumn id="1" xr3:uid="{7D2D0CE5-07C5-4323-BE99-A7F5877ADB3D}" uniqueName="1" name="Vare" queryTableFieldId="1" dataDxfId="90"/>
    <tableColumn id="2" xr3:uid="{5DA1F6D8-564D-407A-AD05-089E13E320F0}" uniqueName="2" name="Varegruppe" queryTableFieldId="2" dataDxfId="89"/>
    <tableColumn id="3" xr3:uid="{F5F184CD-99FA-436A-9B87-B39EC21AF629}" uniqueName="3" name="Antall" queryTableFieldId="3"/>
    <tableColumn id="4" xr3:uid="{9AD4A7AC-9E0F-4E87-B9FF-C45894972ABE}" uniqueName="4" name="Beløp inkl. MVA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719A9469-33C7-4AF2-8753-A9A1DAFB52B5}" name="Mars_1" displayName="Mars_1" ref="A1:D55" tableType="queryTable" totalsRowShown="0">
  <autoFilter ref="A1:D55" xr:uid="{719A9469-33C7-4AF2-8753-A9A1DAFB52B5}"/>
  <tableColumns count="4">
    <tableColumn id="1" xr3:uid="{66D72869-761F-4F0F-9C86-97964A3FADBF}" uniqueName="1" name="Vare" queryTableFieldId="1" dataDxfId="88"/>
    <tableColumn id="2" xr3:uid="{162E8C33-5C7F-4CEF-B9EA-C8913BD67929}" uniqueName="2" name="Varegruppe" queryTableFieldId="2" dataDxfId="87"/>
    <tableColumn id="3" xr3:uid="{D03CCE5D-6D2B-4253-A5EE-975F7DE2A79A}" uniqueName="3" name="Antall" queryTableFieldId="3"/>
    <tableColumn id="4" xr3:uid="{475B5BEB-0F5A-48DD-BF12-8F9C2A571199}" uniqueName="4" name="Beløp inkl. MVA" queryTableField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C0E8629-D9A6-49CC-AB72-F35EF9C43A87}" name="April_1" displayName="April_1" ref="A1:D51" tableType="queryTable" totalsRowShown="0">
  <autoFilter ref="A1:D51" xr:uid="{3C0E8629-D9A6-49CC-AB72-F35EF9C43A87}"/>
  <tableColumns count="4">
    <tableColumn id="1" xr3:uid="{0BA8551B-B349-4669-8D06-C4218F350F88}" uniqueName="1" name="Vare" queryTableFieldId="1" dataDxfId="86"/>
    <tableColumn id="2" xr3:uid="{6420FA45-6BE1-45E1-B6C8-94CF579A36B7}" uniqueName="2" name="Varegruppe" queryTableFieldId="2" dataDxfId="85"/>
    <tableColumn id="3" xr3:uid="{EEB56445-655D-4D09-BADC-6D0ECF97DA27}" uniqueName="3" name="Antall" queryTableFieldId="3"/>
    <tableColumn id="4" xr3:uid="{F9BCDC28-2051-4FF5-8AB4-746A29D325CA}" uniqueName="4" name="Beløp inkl. MVA" queryTableFieldId="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535505BC-5BFA-430E-BDA3-4B4C214A326F}" name="Mai_1" displayName="Mai_1" ref="A1:D34" tableType="queryTable" totalsRowShown="0">
  <autoFilter ref="A1:D34" xr:uid="{535505BC-5BFA-430E-BDA3-4B4C214A326F}"/>
  <tableColumns count="4">
    <tableColumn id="1" xr3:uid="{F835A5D6-920F-45CC-8042-3FF54E7FDE2C}" uniqueName="1" name="Vare" queryTableFieldId="1" dataDxfId="84"/>
    <tableColumn id="2" xr3:uid="{F7F51C1D-7BED-48E2-93DC-9B87F9A6929E}" uniqueName="2" name="Varegruppe" queryTableFieldId="2" dataDxfId="83"/>
    <tableColumn id="3" xr3:uid="{B3759AFE-A2F6-4FBD-BC47-E053125F84B0}" uniqueName="3" name="Antall" queryTableFieldId="3"/>
    <tableColumn id="4" xr3:uid="{D2DEF9ED-9411-436B-8DA3-7BB14E0907E0}" uniqueName="4" name="Beløp inkl. MVA" queryTableFieldId="4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65B37EF-91C4-4917-B08E-E0FC274EB614}" name="November" displayName="November" ref="V1:Z57" totalsRowShown="0" headerRowBorderDxfId="82" dataCellStyle="Normal 3">
  <autoFilter ref="V1:Z57" xr:uid="{065B37EF-91C4-4917-B08E-E0FC274EB614}"/>
  <tableColumns count="5">
    <tableColumn id="1" xr3:uid="{6C106BEE-F2DE-48E4-959C-CA82D3E896D5}" name="Vare" dataCellStyle="Normal 3"/>
    <tableColumn id="2" xr3:uid="{5AC43C74-A63D-4184-9F4F-53A80DFEE62F}" name="Varegruppe" dataCellStyle="Normal 3"/>
    <tableColumn id="3" xr3:uid="{5F7CF57D-69DA-46A8-9070-D9D8D1A35828}" name="Antall" dataCellStyle="Normal 3"/>
    <tableColumn id="4" xr3:uid="{FCD97EE5-227B-452C-B353-36B1257444F0}" name="Beløp inkl. MVA" dataDxfId="81" dataCellStyle="Normal 3"/>
    <tableColumn id="5" xr3:uid="{A8E31AFF-8E36-4C5B-8AFC-1F22DE79E8E8}" name="Column1" dataCellStyle="Normal 3">
      <calculatedColumnFormula>COUNTIF($A:$A,AA2)&gt;0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BC0D69-5030-485E-B87F-6EB3627DDF71}" name="Desember" displayName="Desember" ref="AA1:AD58" totalsRowShown="0" headerRowBorderDxfId="80" dataCellStyle="Normal 3">
  <autoFilter ref="AA1:AD58" xr:uid="{A2BC0D69-5030-485E-B87F-6EB3627DDF71}"/>
  <tableColumns count="4">
    <tableColumn id="1" xr3:uid="{642B7DB7-8083-40D0-9905-1749C8AA3194}" name="Vare" dataCellStyle="Normal 3"/>
    <tableColumn id="2" xr3:uid="{FE3382AB-83AE-4137-8557-080E1E4B9194}" name="Varegruppe" dataCellStyle="Normal 3"/>
    <tableColumn id="3" xr3:uid="{61021E49-0491-4CDA-9193-EF9802392B8C}" name="Antall" dataCellStyle="Normal 3"/>
    <tableColumn id="4" xr3:uid="{A4396812-178E-4E78-A1A1-4919F3D5A3AF}" name="Beløp inkl. MVA" dataDxfId="79" dataCellStyle="Normal 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ED29AF0-CBB9-451C-B703-B43922A4ED5E}" name="GammelVipps" displayName="GammelVipps" ref="G1:J61" totalsRowShown="0" headerRowDxfId="78" dataDxfId="77" tableBorderDxfId="76">
  <autoFilter ref="G1:J61" xr:uid="{0ED29AF0-CBB9-451C-B703-B43922A4ED5E}"/>
  <tableColumns count="4">
    <tableColumn id="1" xr3:uid="{7E48CB60-9EDE-4805-9522-11B60B460518}" name="Vare" dataDxfId="75"/>
    <tableColumn id="2" xr3:uid="{D3039F3C-0652-4CD8-931C-6A4B2669A13A}" name="Antall" dataDxfId="74"/>
    <tableColumn id="3" xr3:uid="{0FAFED11-9DDC-4F4B-9236-C4505C8A51A9}" name="Beløp inkl. MVA" dataDxfId="73"/>
    <tableColumn id="4" xr3:uid="{883AC29B-8FB4-40A2-92DD-5F15938CBDB7}" name="Column1" dataDxfId="72">
      <calculatedColumnFormula>IFERROR(Vippsutskrifter!$I2/Vippsutskrifter!$H2,0)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C2A77D7-BF88-48CB-9CB3-A3D403745877}" name="Oktober" displayName="Oktober" ref="Q1:T59" totalsRowShown="0" dataDxfId="71" tableBorderDxfId="70" dataCellStyle="Normal 3">
  <autoFilter ref="Q1:T59" xr:uid="{0C2A77D7-BF88-48CB-9CB3-A3D403745877}"/>
  <tableColumns count="4">
    <tableColumn id="1" xr3:uid="{E71B448F-6567-4D1D-9021-366D15DCBB38}" name="Vare" dataDxfId="69" dataCellStyle="Normal 3"/>
    <tableColumn id="2" xr3:uid="{20B807AE-19F8-4D17-B1CF-0A10D3880F7C}" name="Varegruppe" dataDxfId="68" dataCellStyle="Normal 3"/>
    <tableColumn id="3" xr3:uid="{60D4B80F-0B9F-4A4B-BA76-26F7978B6506}" name="Antall" dataDxfId="67" dataCellStyle="Normal 3"/>
    <tableColumn id="4" xr3:uid="{1F5D7486-8B29-44BD-AB63-33CC3C258E61}" name="Beløp inkl. MVA" dataDxfId="66" dataCellStyle="Normal 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75B9548-23D1-402A-BE8C-488AD2648C03}" name="Sept" displayName="Sept" ref="L1:O58" totalsRowShown="0" dataDxfId="65" tableBorderDxfId="64" dataCellStyle="Normal 3">
  <autoFilter ref="L1:O58" xr:uid="{C75B9548-23D1-402A-BE8C-488AD2648C03}"/>
  <tableColumns count="4">
    <tableColumn id="1" xr3:uid="{D83CD5C0-5527-4E3F-8D04-989C6448939D}" name="Vare" dataDxfId="63" dataCellStyle="Normal 3"/>
    <tableColumn id="2" xr3:uid="{B0718281-E5B3-4FC9-994C-6CBE4C955E96}" name="Varegruppe" dataDxfId="62" dataCellStyle="Normal 3"/>
    <tableColumn id="3" xr3:uid="{100BB219-D1BA-49D2-9D10-7D21C0161F5C}" name="Antall" dataDxfId="61" dataCellStyle="Normal 3"/>
    <tableColumn id="4" xr3:uid="{5F82A6A0-509E-4707-8802-D3C90EF4EBF0}" name="Beløp inkl. MVA" dataDxfId="60" dataCellStyle="Normal 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91F93D2-9A87-4819-B5C1-7C7C0624AE72}" name="Januar" displayName="Januar" ref="AF1:AI54" totalsRowShown="0" headerRowBorderDxfId="59" tableBorderDxfId="58">
  <autoFilter ref="AF1:AI54" xr:uid="{C91F93D2-9A87-4819-B5C1-7C7C0624AE72}"/>
  <tableColumns count="4">
    <tableColumn id="1" xr3:uid="{449596A2-95BC-41E8-B9C3-C01F5C225B2F}" name="Vare"/>
    <tableColumn id="2" xr3:uid="{12799F15-7254-4280-98DD-1F82180030F3}" name="Varegruppe"/>
    <tableColumn id="3" xr3:uid="{FCDAA398-B33F-495B-A192-A02E504F97C8}" name="Antall"/>
    <tableColumn id="4" xr3:uid="{91967C7B-792B-4AB7-BC6D-99867F28021F}" name="Beløp inkl. MVA" dataDxfId="5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FA46DA5B-8737-4692-B461-60DE34CCCAF7}" name="Februar" displayName="Februar" ref="AK1:AN50" totalsRowShown="0" headerRowBorderDxfId="56" tableBorderDxfId="55">
  <autoFilter ref="AK1:AN50" xr:uid="{FA46DA5B-8737-4692-B461-60DE34CCCAF7}"/>
  <tableColumns count="4">
    <tableColumn id="1" xr3:uid="{4DA09D58-40E6-4781-BBD6-3EE9B1653440}" name="Vare"/>
    <tableColumn id="2" xr3:uid="{6955C662-925E-4CB3-A4E8-4E0D6F2A7641}" name="Varegruppe"/>
    <tableColumn id="3" xr3:uid="{CA5C02AC-6AC0-420D-9BC3-F4F3754E7B38}" name="Antall"/>
    <tableColumn id="4" xr3:uid="{4D89DBBC-B614-4D88-8D2D-90D92090C129}" name="Beløp inkl. MVA" dataDxfId="5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CD7DF3D-8C17-4293-8796-3649A31D3C6F}" name="Mars" displayName="Mars" ref="AP1:AS55" totalsRowShown="0" headerRowBorderDxfId="53" tableBorderDxfId="52">
  <autoFilter ref="AP1:AS55" xr:uid="{1CD7DF3D-8C17-4293-8796-3649A31D3C6F}"/>
  <tableColumns count="4">
    <tableColumn id="1" xr3:uid="{62D4FFD8-7DD0-43EC-AE10-F6637BBD5B52}" name="Vare"/>
    <tableColumn id="2" xr3:uid="{655EBF2C-F594-4315-A2BE-C6F9F464C4C0}" name="Varegruppe"/>
    <tableColumn id="3" xr3:uid="{81157181-EA7E-4F54-96C0-D009ED36AA36}" name="Antall"/>
    <tableColumn id="4" xr3:uid="{2A996627-8275-45F2-AEC2-52AF57F403DD}" name="Beløp inkl. MVA" dataDxfId="5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4485EC4-2A07-4366-8B55-7CC5EE58566D}" name="April" displayName="April" ref="AU1:AX51" totalsRowShown="0" headerRowBorderDxfId="50" tableBorderDxfId="49">
  <autoFilter ref="AU1:AX51" xr:uid="{84485EC4-2A07-4366-8B55-7CC5EE58566D}"/>
  <tableColumns count="4">
    <tableColumn id="1" xr3:uid="{724696C4-BD67-4B2D-BE0E-B30E0ADFF562}" name="Vare"/>
    <tableColumn id="2" xr3:uid="{6E4DFBE4-5935-40C0-BACE-210E08C2C355}" name="Varegruppe"/>
    <tableColumn id="3" xr3:uid="{9D3F9C6D-1894-4A75-A7D4-B6057C0BEAAF}" name="Antall"/>
    <tableColumn id="4" xr3:uid="{E49D2C93-E1E8-4E41-A7DE-88473AB86B6F}" name="Beløp inkl. MVA" dataDxfId="4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D837544E-C5A4-4851-9201-A89F4AEBCC71}" name="Mai" displayName="Mai" ref="AZ1:BC34" totalsRowShown="0" headerRowBorderDxfId="47" tableBorderDxfId="46">
  <autoFilter ref="AZ1:BC34" xr:uid="{D837544E-C5A4-4851-9201-A89F4AEBCC71}"/>
  <tableColumns count="4">
    <tableColumn id="1" xr3:uid="{B3C1C1C4-8684-4C40-833C-70A5D20EF136}" name="Vare"/>
    <tableColumn id="2" xr3:uid="{C2974955-E074-4936-AE2C-01B85B17FAEF}" name="Varegruppe"/>
    <tableColumn id="3" xr3:uid="{BC63DDDC-891B-454B-91F5-2629B31843A4}" name="Antall"/>
    <tableColumn id="4" xr3:uid="{17301906-475A-45BD-B2C8-F28DBEDF2448}" name="Beløp inkl. MVA" dataDxfId="45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030711C-E17C-4F0E-962A-6AC95ED7A927}" name="Salg_Total" displayName="Salg_Total" ref="A1:C76" tableType="queryTable" totalsRowShown="0">
  <autoFilter ref="A1:C76" xr:uid="{F030711C-E17C-4F0E-962A-6AC95ED7A927}"/>
  <tableColumns count="3">
    <tableColumn id="1" xr3:uid="{732994E5-21BC-41DA-A4C8-4E69BBAFB80F}" uniqueName="1" name="Vare" queryTableFieldId="1" dataDxfId="44"/>
    <tableColumn id="2" xr3:uid="{2EAE920B-F0C3-476E-A3B6-6FF3B0A5A3B0}" uniqueName="2" name="Antall(sum)" queryTableFieldId="2"/>
    <tableColumn id="3" xr3:uid="{9E0C36AE-87FE-465D-8E6A-FB3137517945}" uniqueName="3" name="Beløp(sum)" queryTableFieldId="3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CEDDFE4-DB74-4D8C-841C-EDDEBA20581C}" name="Vipps_Totalraport" displayName="Vipps_Totalraport" ref="A1:C75" tableType="queryTable" totalsRowShown="0">
  <autoFilter ref="A1:C75" xr:uid="{CCEDDFE4-DB74-4D8C-841C-EDDEBA20581C}"/>
  <tableColumns count="3">
    <tableColumn id="1" xr3:uid="{CD051CA4-40AC-4787-B130-F7347E05D482}" uniqueName="1" name="Vare" queryTableFieldId="1" dataDxfId="43"/>
    <tableColumn id="8" xr3:uid="{D79DE6D7-7882-469F-BBF6-5089749AFAA5}" uniqueName="8" name="Antall" queryTableFieldId="10" dataDxfId="42"/>
    <tableColumn id="3" xr3:uid="{AF0FB4F0-A2C3-4835-AED2-BD357875D60C}" uniqueName="3" name="Beløp inkl. MVA" queryTableFieldId="3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913F832-76EB-47D5-AA85-6EEB0CF9F22C}" name="TerminalV1" displayName="TerminalV1" ref="H1:K67" totalsRowShown="0" headerRowDxfId="41" headerRowBorderDxfId="40" tableBorderDxfId="39">
  <autoFilter ref="H1:K67" xr:uid="{F913F832-76EB-47D5-AA85-6EEB0CF9F22C}"/>
  <tableColumns count="4">
    <tableColumn id="1" xr3:uid="{6689ECBD-706F-457D-949D-4F09D133D461}" name="Vare" dataDxfId="38">
      <calculatedColumnFormula>Inkjøp[[#This Row],[Produkt]]</calculatedColumnFormula>
    </tableColumn>
    <tableColumn id="2" xr3:uid="{0A5AB6DD-B98D-4EAE-8F0B-10AD9C9337B1}" name="Antall"/>
    <tableColumn id="3" xr3:uid="{C5AFDB81-5667-4662-AE91-426081BEF4E5}" name="Beløp">
      <calculatedColumnFormula>K2*I2</calculatedColumnFormula>
    </tableColumn>
    <tableColumn id="4" xr3:uid="{F1F84083-A33D-44D7-A376-3649B050E562}" name="Pris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EE3F3204-08EA-40EA-A94B-BA88B153B26D}" name="TerminalV2" displayName="TerminalV2" ref="M1:P67" totalsRowShown="0" headerRowDxfId="37" headerRowBorderDxfId="36" tableBorderDxfId="35">
  <autoFilter ref="M1:P67" xr:uid="{EE3F3204-08EA-40EA-A94B-BA88B153B26D}"/>
  <tableColumns count="4">
    <tableColumn id="1" xr3:uid="{4C2CD249-D416-4428-82B1-0FD58676738F}" name="Vare" dataDxfId="34">
      <calculatedColumnFormula>Inkjøp[[#This Row],[Produkt]]</calculatedColumnFormula>
    </tableColumn>
    <tableColumn id="2" xr3:uid="{BDD61832-98A7-4779-9A56-5E8FCD9EB00A}" name="Antall"/>
    <tableColumn id="3" xr3:uid="{C2EDA40F-2175-4B7D-8815-07938744210E}" name="Beløp">
      <calculatedColumnFormula>P2*N2</calculatedColumnFormula>
    </tableColumn>
    <tableColumn id="4" xr3:uid="{02A47DA0-5FE2-4BC9-B4AB-5DAA5AB38BF2}" name="Pris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29FB9440-EA7B-4755-B408-0B18710BB655}" name="Inkjøp" displayName="Inkjøp_1" ref="A1:C71" tableType="queryTable" totalsRowShown="0">
  <autoFilter ref="A1:C71" xr:uid="{29FB9440-EA7B-4755-B408-0B18710BB655}"/>
  <tableColumns count="3">
    <tableColumn id="1" xr3:uid="{A7DB3F56-3940-460A-8C86-9D364936FB71}" uniqueName="1" name="Produkt" queryTableFieldId="1" dataDxfId="33"/>
    <tableColumn id="2" xr3:uid="{EBEF3435-6D23-4A40-AAAE-86E0F4B846EE}" uniqueName="2" name="Antall(solgt)" queryTableFieldId="2"/>
    <tableColumn id="3" xr3:uid="{5109E2F9-D820-41D8-AEB7-4780D64C9E1F}" uniqueName="3" name="Total Kjøpsum" queryTableFieldId="3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862C35D-FD1D-4F3A-976B-F39810FEEE8B}" name="Vipps_salg_mellomled" displayName="Vipps_salg_mellomled" ref="A1:C68" totalsRowShown="0">
  <autoFilter ref="A1:C68" xr:uid="{0862C35D-FD1D-4F3A-976B-F39810FEEE8B}"/>
  <tableColumns count="3">
    <tableColumn id="1" xr3:uid="{F92CF829-792C-4162-99F3-BD0C6A980E3A}" name="Vare" dataDxfId="32"/>
    <tableColumn id="2" xr3:uid="{0CC9DCD3-F4B3-425F-96F0-402618CFE2DF}" name="Antall"/>
    <tableColumn id="3" xr3:uid="{3926E3F5-01A1-40CB-A7C7-C62E45F9F526}" name="Beløp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7E43383-B4FD-4A6E-855C-EE7F8B004977}" name="Oktober_1" displayName="Oktober_1" ref="A1:D59" tableType="queryTable" totalsRowShown="0">
  <autoFilter ref="A1:D59" xr:uid="{C7E43383-B4FD-4A6E-855C-EE7F8B004977}"/>
  <tableColumns count="4">
    <tableColumn id="1" xr3:uid="{97E06B87-EAAF-40EA-BD5F-BAD08C5D3868}" uniqueName="1" name="Vare" queryTableFieldId="1" dataDxfId="31"/>
    <tableColumn id="2" xr3:uid="{05348D68-5B5C-4F84-B722-7E1A8348EEEE}" uniqueName="2" name="Varegruppe" queryTableFieldId="2" dataDxfId="30"/>
    <tableColumn id="3" xr3:uid="{721F42AE-B345-41CD-94AC-E3BF2D80E184}" uniqueName="3" name="Antall" queryTableFieldId="3"/>
    <tableColumn id="4" xr3:uid="{2841F0FD-8748-4D50-8156-E346C9B4AD67}" uniqueName="4" name="Beløp inkl. MVA" queryTableFieldId="4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BD1A433-B791-48C0-B1E7-5BA2CB50A736}" name="GammelVipps_1" displayName="GammelVipps_1" ref="A1:D62" totalsRowShown="0">
  <autoFilter ref="A1:D62" xr:uid="{4BD1A433-B791-48C0-B1E7-5BA2CB50A736}"/>
  <tableColumns count="4">
    <tableColumn id="1" xr3:uid="{122C37F4-F669-4949-859A-46B57D554083}" name="Vare" dataDxfId="29"/>
    <tableColumn id="2" xr3:uid="{EBCCD9D6-8371-4081-ADE4-AEEF262FE4B5}" name="Antall"/>
    <tableColumn id="3" xr3:uid="{0C567A26-5A5D-4120-A2F9-58FE0C0176A5}" name="Beløp inkl.MVA"/>
    <tableColumn id="4" xr3:uid="{5B4F378A-18D9-4332-AB70-834F99C12B6A}" name="Column1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6D4B5B6-FE33-42C7-A3CA-11C0447B664C}" name="November_1" displayName="November_1" ref="A1:E57" tableType="queryTable" totalsRowShown="0">
  <autoFilter ref="A1:E57" xr:uid="{B6D4B5B6-FE33-42C7-A3CA-11C0447B664C}"/>
  <tableColumns count="5">
    <tableColumn id="1" xr3:uid="{B1A240C9-96C8-439E-B848-5D2B5B4C4CA5}" uniqueName="1" name="Vare" queryTableFieldId="1" dataDxfId="28"/>
    <tableColumn id="2" xr3:uid="{276068A4-0C5A-4CEA-A82C-BCB8E25AE98E}" uniqueName="2" name="Varegruppe" queryTableFieldId="2" dataDxfId="27"/>
    <tableColumn id="3" xr3:uid="{BEA6B6C9-970F-4067-8FC7-B9B7470E3F25}" uniqueName="3" name="Antall" queryTableFieldId="3"/>
    <tableColumn id="4" xr3:uid="{24746ADA-8CEC-4EE3-8A40-68F80947EE19}" uniqueName="4" name="Beløp inkl. MVA" queryTableFieldId="4"/>
    <tableColumn id="5" xr3:uid="{F10BDD5D-C492-4E08-8154-0B1F7309F694}" uniqueName="5" name="Column1" queryTableFieldId="5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82B08F-B902-4D97-B1BE-1CE8D16146A6}" name="Desember_1" displayName="Desember_1" ref="A1:D58" tableType="queryTable" totalsRowShown="0">
  <autoFilter ref="A1:D58" xr:uid="{A982B08F-B902-4D97-B1BE-1CE8D16146A6}"/>
  <tableColumns count="4">
    <tableColumn id="1" xr3:uid="{D2B99279-B281-4B3B-8104-24E2680CAB89}" uniqueName="1" name="Vare" queryTableFieldId="1" dataDxfId="26"/>
    <tableColumn id="2" xr3:uid="{19BB1334-F014-4460-9352-8FFF955FF013}" uniqueName="2" name="Varegruppe" queryTableFieldId="2" dataDxfId="25"/>
    <tableColumn id="3" xr3:uid="{44CFFF80-F002-4CB1-B241-2CAFE4072AB3}" uniqueName="3" name="Antall" queryTableFieldId="3"/>
    <tableColumn id="4" xr3:uid="{CE8A59BB-9189-4D3F-9A13-90E4C76EF807}" uniqueName="4" name="Beløp inkl. MVA" queryTableFieldId="4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3E258F2-74A1-47BE-8D20-0E64D5C9B565}" name="GammelVipps_2" displayName="GammelVipps_2" ref="A1:D61" tableType="queryTable" totalsRowShown="0">
  <autoFilter ref="A1:D61" xr:uid="{63E258F2-74A1-47BE-8D20-0E64D5C9B565}"/>
  <tableColumns count="4">
    <tableColumn id="1" xr3:uid="{8218EA5C-4C06-4FD7-AA10-25C5D6B5F048}" uniqueName="1" name="Vare" queryTableFieldId="1" dataDxfId="24"/>
    <tableColumn id="2" xr3:uid="{53639376-796A-49B9-9ABF-7E91DED03DB4}" uniqueName="2" name="Antall" queryTableFieldId="2"/>
    <tableColumn id="3" xr3:uid="{02E9AE9F-B543-41CB-88D7-21E572C5D3A2}" uniqueName="3" name="Beløp inkl. MVA" queryTableFieldId="3"/>
    <tableColumn id="4" xr3:uid="{FDB1918F-31CF-45A7-A664-B07DC921AA3D}" uniqueName="4" name="Column1" queryTableFieldId="4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88CE95-377E-43E5-9957-B224D69B7DD3}" name="TerminalV1_1" displayName="TerminalV1_1" ref="A1:D67" tableType="queryTable" totalsRowShown="0">
  <autoFilter ref="A1:D67" xr:uid="{3388CE95-377E-43E5-9957-B224D69B7DD3}"/>
  <tableColumns count="4">
    <tableColumn id="1" xr3:uid="{807D6A73-4AEE-41A3-B025-B69B97C7B08E}" uniqueName="1" name="Vare" queryTableFieldId="1" dataDxfId="23"/>
    <tableColumn id="2" xr3:uid="{312417F6-C157-4145-A9FA-3A0C0C05E307}" uniqueName="2" name="Antall" queryTableFieldId="2"/>
    <tableColumn id="3" xr3:uid="{7E86E047-8F7C-41B1-B241-61422FF47EFE}" uniqueName="3" name="Beløp" queryTableFieldId="3"/>
    <tableColumn id="4" xr3:uid="{9CC2B197-509D-4E1F-800C-6AEA273CA780}" uniqueName="4" name="Pris" queryTableFieldId="4"/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84596ED-C3BD-40CB-A559-028A805636A5}" name="TerminalV2_1" displayName="TerminalV2_1" ref="A1:D67" tableType="queryTable" totalsRowShown="0">
  <autoFilter ref="A1:D67" xr:uid="{E84596ED-C3BD-40CB-A559-028A805636A5}"/>
  <tableColumns count="4">
    <tableColumn id="1" xr3:uid="{35656ADC-EB8E-49AF-BB54-C83AEC81175B}" uniqueName="1" name="Vare" queryTableFieldId="1" dataDxfId="22"/>
    <tableColumn id="2" xr3:uid="{84021D88-AD85-4320-A530-1FFF5E414BAB}" uniqueName="2" name="Antall" queryTableFieldId="2"/>
    <tableColumn id="3" xr3:uid="{7FE2E71E-52E1-48B2-8E9B-05C4C611D1C4}" uniqueName="3" name="Beløp" queryTableFieldId="3"/>
    <tableColumn id="4" xr3:uid="{CAD3FB0F-82A7-4C6F-BE8F-513BC49A0208}" uniqueName="4" name="Pris" queryTableFieldId="4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6DA5E966-FE25-4634-91C5-2FE9CCDD8093}" name="Terminal_Totalraport" displayName="Terminal_Totalraport" ref="A1:C67" tableType="queryTable" totalsRowShown="0">
  <autoFilter ref="A1:C67" xr:uid="{6DA5E966-FE25-4634-91C5-2FE9CCDD8093}"/>
  <tableColumns count="3">
    <tableColumn id="1" xr3:uid="{3F83B265-31C5-4C4F-A142-E3574E6703B4}" uniqueName="1" name="Vare" queryTableFieldId="1" dataDxfId="21"/>
    <tableColumn id="2" xr3:uid="{13072835-DBF5-46B2-A4B9-59084EB5532E}" uniqueName="2" name="Antall" queryTableFieldId="2"/>
    <tableColumn id="3" xr3:uid="{6D024DFF-82C0-40FF-B9E7-0467975F6AE9}" uniqueName="3" name="Beløp inkl. MVA" queryTableFieldId="5"/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E933647-67E0-4A13-883A-5C1BF534797B}" name="Terminal_Salg_klar_til_sammensveising_1" displayName="Terminal_Salg_klar_til_sammensveising_1" ref="A1:C68" totalsRowShown="0">
  <autoFilter ref="A1:C68" xr:uid="{DE933647-67E0-4A13-883A-5C1BF534797B}"/>
  <tableColumns count="3">
    <tableColumn id="1" xr3:uid="{743D4A0B-4845-4FEF-8EF1-4785FFB5FE19}" name="Vare" dataDxfId="20"/>
    <tableColumn id="2" xr3:uid="{FED3B755-0D0E-4D21-93AF-533231D487E5}" name="Antall"/>
    <tableColumn id="3" xr3:uid="{A6D6D5D2-09D9-45B0-A5A2-29A1F2749E97}" name="Beløp"/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2DCE045-E0DC-4BAE-9EBF-8D536010BF7D}" name="Salg_Totalraport_Ferdigprodukt" displayName="Salg_Totalraport_Ferdigprodukt" ref="A1:C68" totalsRowShown="0">
  <autoFilter ref="A1:C68" xr:uid="{A2DCE045-E0DC-4BAE-9EBF-8D536010BF7D}"/>
  <tableColumns count="3">
    <tableColumn id="1" xr3:uid="{5BB9825E-3394-48A4-8534-18D0262CF1A8}" name="Vare" dataDxfId="167"/>
    <tableColumn id="2" xr3:uid="{4BB8ABE7-A19E-4BB9-A2CB-54C957F0E807}" name="Antall"/>
    <tableColumn id="3" xr3:uid="{3564766E-DB7C-41E0-9176-1C97FB6A673F}" name="Beløp"/>
  </tableColumns>
  <tableStyleInfo name="TableStyleMedium7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203D6-2488-44AB-9148-3FADDE0C1186}" name="Sept_1" displayName="Sept_1" ref="A1:D58" tableType="queryTable" totalsRowShown="0">
  <autoFilter ref="A1:D58" xr:uid="{0B8203D6-2488-44AB-9148-3FADDE0C1186}"/>
  <tableColumns count="4">
    <tableColumn id="1" xr3:uid="{24BF752B-9046-452F-AEB8-FFEBA27FD9D0}" uniqueName="1" name="Vare" queryTableFieldId="1" dataDxfId="19"/>
    <tableColumn id="2" xr3:uid="{FCE32E00-97DC-4047-B667-CD87334E5332}" uniqueName="2" name="Varegruppe" queryTableFieldId="2" dataDxfId="18"/>
    <tableColumn id="3" xr3:uid="{97C66F35-885C-422C-9971-D45A0FDF75BE}" uniqueName="3" name="Antall" queryTableFieldId="3"/>
    <tableColumn id="4" xr3:uid="{BFE8A2F8-108D-4080-80A3-EF9A8B459D07}" uniqueName="4" name="Beløp inkl. MVA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2.xml"/><Relationship Id="rId3" Type="http://schemas.openxmlformats.org/officeDocument/2006/relationships/table" Target="../tables/table17.xml"/><Relationship Id="rId7" Type="http://schemas.openxmlformats.org/officeDocument/2006/relationships/table" Target="../tables/table21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6" Type="http://schemas.openxmlformats.org/officeDocument/2006/relationships/table" Target="../tables/table20.xml"/><Relationship Id="rId5" Type="http://schemas.openxmlformats.org/officeDocument/2006/relationships/table" Target="../tables/table19.xml"/><Relationship Id="rId10" Type="http://schemas.openxmlformats.org/officeDocument/2006/relationships/table" Target="../tables/table24.xml"/><Relationship Id="rId4" Type="http://schemas.openxmlformats.org/officeDocument/2006/relationships/table" Target="../tables/table18.xml"/><Relationship Id="rId9" Type="http://schemas.openxmlformats.org/officeDocument/2006/relationships/table" Target="../tables/table2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J99"/>
  <sheetViews>
    <sheetView topLeftCell="D1" zoomScale="26" zoomScaleNormal="38" workbookViewId="0">
      <pane ySplit="1" topLeftCell="A8" activePane="bottomLeft" state="frozen"/>
      <selection activeCell="H14" sqref="H14"/>
      <selection pane="bottomLeft" activeCell="B85" sqref="B85"/>
    </sheetView>
  </sheetViews>
  <sheetFormatPr baseColWidth="10" defaultColWidth="8.81640625" defaultRowHeight="14.5" x14ac:dyDescent="0.35"/>
  <cols>
    <col min="1" max="1" width="15.453125" customWidth="1"/>
    <col min="2" max="2" width="32.453125" customWidth="1"/>
    <col min="3" max="3" width="24.453125" customWidth="1"/>
    <col min="4" max="4" width="25.54296875" customWidth="1"/>
    <col min="5" max="5" width="19.453125" customWidth="1"/>
    <col min="6" max="6" width="30.54296875" customWidth="1"/>
    <col min="7" max="7" width="21.453125" customWidth="1"/>
    <col min="8" max="8" width="22.453125" customWidth="1"/>
    <col min="9" max="9" width="26" customWidth="1"/>
    <col min="10" max="10" width="16.54296875" bestFit="1" customWidth="1"/>
    <col min="11" max="11" width="18.54296875" customWidth="1"/>
    <col min="12" max="12" width="25.26953125" customWidth="1"/>
    <col min="13" max="13" width="19.81640625" customWidth="1"/>
    <col min="14" max="14" width="11.81640625" customWidth="1"/>
    <col min="17" max="17" width="9.54296875" customWidth="1"/>
    <col min="29" max="29" width="29" customWidth="1"/>
    <col min="30" max="30" width="18.26953125" customWidth="1"/>
    <col min="31" max="31" width="12.1796875" customWidth="1"/>
    <col min="32" max="32" width="17.54296875" customWidth="1"/>
    <col min="34" max="34" width="27.54296875" customWidth="1"/>
  </cols>
  <sheetData>
    <row r="1" spans="1:36" ht="16" customHeight="1" x14ac:dyDescent="0.4">
      <c r="B1" s="138" t="s">
        <v>81</v>
      </c>
      <c r="C1" s="138" t="s">
        <v>282</v>
      </c>
      <c r="D1" s="114" t="s">
        <v>287</v>
      </c>
      <c r="E1" s="114" t="s">
        <v>286</v>
      </c>
      <c r="F1" s="114" t="s">
        <v>270</v>
      </c>
      <c r="G1" s="12" t="s">
        <v>53</v>
      </c>
      <c r="H1" s="115" t="s">
        <v>271</v>
      </c>
      <c r="I1" s="20" t="s">
        <v>54</v>
      </c>
      <c r="J1" s="113" t="s">
        <v>55</v>
      </c>
      <c r="K1" s="18" t="s">
        <v>56</v>
      </c>
      <c r="L1" s="18" t="s">
        <v>57</v>
      </c>
      <c r="M1" s="18" t="s">
        <v>58</v>
      </c>
      <c r="N1" s="18" t="s">
        <v>59</v>
      </c>
      <c r="P1" s="58" t="s">
        <v>60</v>
      </c>
      <c r="Q1" s="150" t="s">
        <v>285</v>
      </c>
      <c r="R1" s="55" t="s">
        <v>16</v>
      </c>
      <c r="S1" s="55" t="s">
        <v>61</v>
      </c>
      <c r="AC1" s="128" t="s">
        <v>276</v>
      </c>
      <c r="AD1" s="129" t="s">
        <v>277</v>
      </c>
      <c r="AE1" s="129" t="s">
        <v>56</v>
      </c>
      <c r="AF1" s="130" t="s">
        <v>54</v>
      </c>
    </row>
    <row r="2" spans="1:36" ht="16" customHeight="1" x14ac:dyDescent="0.4">
      <c r="B2" s="13" t="str" cm="1">
        <f t="array" ref="B2:B74">Inkjøp[Produkt]</f>
        <v>Monster White</v>
      </c>
      <c r="C2" s="151">
        <f>IFERROR(H2/G2,0)</f>
        <v>29.475000000000005</v>
      </c>
      <c r="D2" s="181">
        <f>VLOOKUP(B2,Inkjøp[],2,FALSE)</f>
        <v>168</v>
      </c>
      <c r="E2" s="171">
        <f>VLOOKUP(B2,Inkjøp[],3,FALSE)</f>
        <v>9097.3799999999974</v>
      </c>
      <c r="F2" s="171">
        <f>D2*C2</f>
        <v>4951.8000000000011</v>
      </c>
      <c r="G2" s="172">
        <f>IFERROR(VLOOKUP(B2,Salg_Total[],2,FALSE),0)</f>
        <v>576</v>
      </c>
      <c r="H2" s="173">
        <f>IFERROR(VLOOKUP(B2,Salg_Total[],3,FALSE),0)*0.9825</f>
        <v>16977.600000000002</v>
      </c>
      <c r="I2" s="174"/>
      <c r="J2" s="116">
        <f t="shared" ref="J2:J33" si="0">I2*C2</f>
        <v>0</v>
      </c>
      <c r="K2" s="175">
        <f t="shared" ref="K2:K33" si="1">D2-G2-I2</f>
        <v>-408</v>
      </c>
      <c r="L2" s="176">
        <f>H2-E2</f>
        <v>7880.2200000000048</v>
      </c>
      <c r="M2" s="176">
        <f>K2*C2</f>
        <v>-12025.800000000003</v>
      </c>
      <c r="P2" s="56">
        <f t="shared" ref="P2:P33" si="2">(F2-E2-R2)/D2</f>
        <v>-24.679141741071405</v>
      </c>
      <c r="Q2" s="57">
        <f t="shared" ref="Q2:Q33" si="3">(F2-E2-F2*0.0225)/F2</f>
        <v>-0.85968647764449202</v>
      </c>
      <c r="R2" s="54">
        <f t="shared" ref="R2:R33" si="4">C2*0.0175</f>
        <v>0.51581250000000012</v>
      </c>
      <c r="S2" s="54">
        <f t="shared" ref="S2:S33" si="5">F2*0.0175</f>
        <v>86.656500000000023</v>
      </c>
      <c r="V2" cm="1">
        <f t="array" ref="V2">SUM(D2:D7*0.5)</f>
        <v>336</v>
      </c>
      <c r="AC2" s="185" t="s">
        <v>88</v>
      </c>
      <c r="AD2" s="131">
        <f>VLOOKUP(AC2,Inkjøp[],2,FALSE)-VLOOKUP(AC2,Salg_Total[],2,FALSE)</f>
        <v>-408</v>
      </c>
      <c r="AE2" s="131">
        <f>SUM(AD2
)</f>
        <v>-408</v>
      </c>
      <c r="AF2" s="132">
        <v>13</v>
      </c>
      <c r="AG2">
        <f>SUM(AF2)</f>
        <v>13</v>
      </c>
    </row>
    <row r="3" spans="1:36" ht="16" customHeight="1" x14ac:dyDescent="0.4">
      <c r="A3" t="s">
        <v>62</v>
      </c>
      <c r="B3" s="13" t="str">
        <v>Monster Mango Loco</v>
      </c>
      <c r="C3" s="151">
        <f t="shared" ref="C3:C66" si="6">IFERROR(H3/G3,0)</f>
        <v>29.475000000000001</v>
      </c>
      <c r="D3" s="180">
        <f>VLOOKUP(B3,Inkjøp[],2,FALSE)</f>
        <v>144</v>
      </c>
      <c r="E3" s="171">
        <f>VLOOKUP(B3,Inkjøp[],3,FALSE)</f>
        <v>8027.0999999999985</v>
      </c>
      <c r="F3" s="171">
        <f t="shared" ref="F3:F65" si="7">D3*C3</f>
        <v>4244.4000000000005</v>
      </c>
      <c r="G3" s="172">
        <f>IFERROR(VLOOKUP(B3,Salg_Total[],2,FALSE),0)</f>
        <v>500</v>
      </c>
      <c r="H3" s="173">
        <f>IFERROR(VLOOKUP(B3,Salg_Total[],3,FALSE),0)*0.9825</f>
        <v>14737.5</v>
      </c>
      <c r="I3" s="174"/>
      <c r="J3" s="116">
        <f t="shared" si="0"/>
        <v>0</v>
      </c>
      <c r="K3" s="175">
        <f t="shared" si="1"/>
        <v>-356</v>
      </c>
      <c r="L3" s="176">
        <f t="shared" ref="L3:L65" si="8">H3-E3</f>
        <v>6710.4000000000015</v>
      </c>
      <c r="M3" s="176">
        <f t="shared" ref="M3:M33" si="9">K3*C3</f>
        <v>-10493.1</v>
      </c>
      <c r="P3" s="56">
        <f t="shared" si="2"/>
        <v>-26.272332031249984</v>
      </c>
      <c r="Q3" s="57">
        <f t="shared" si="3"/>
        <v>-0.91372137404580089</v>
      </c>
      <c r="R3" s="54">
        <f t="shared" si="4"/>
        <v>0.51581250000000012</v>
      </c>
      <c r="S3" s="54">
        <f t="shared" si="5"/>
        <v>74.277000000000015</v>
      </c>
      <c r="V3">
        <f>(D8+SUM(D10:D17))*0.5</f>
        <v>204</v>
      </c>
      <c r="Y3" t="s">
        <v>63</v>
      </c>
      <c r="AC3" s="185" t="s">
        <v>89</v>
      </c>
      <c r="AD3" s="131">
        <f>VLOOKUP(AC3,Inkjøp[],2,FALSE)-VLOOKUP(AC3,Salg_Total[],2,FALSE)</f>
        <v>-356</v>
      </c>
      <c r="AE3" s="133">
        <f>AD3+AF3</f>
        <v>-349</v>
      </c>
      <c r="AF3" s="132">
        <v>7</v>
      </c>
    </row>
    <row r="4" spans="1:36" ht="16" customHeight="1" x14ac:dyDescent="0.4">
      <c r="B4" s="13" t="str">
        <v>Monster Monarch</v>
      </c>
      <c r="C4" s="151">
        <f t="shared" si="6"/>
        <v>29.474999999999998</v>
      </c>
      <c r="D4" s="170">
        <f>VLOOKUP(B4,Inkjøp[],2,FALSE)</f>
        <v>168</v>
      </c>
      <c r="E4" s="171">
        <f>VLOOKUP(B4,Inkjøp[],3,FALSE)</f>
        <v>9632.5199999999968</v>
      </c>
      <c r="F4" s="171">
        <f t="shared" si="7"/>
        <v>4951.7999999999993</v>
      </c>
      <c r="G4" s="172">
        <f>IFERROR(VLOOKUP(B4,Salg_Total[],2,FALSE),0)</f>
        <v>628</v>
      </c>
      <c r="H4" s="173">
        <f>IFERROR(VLOOKUP(B4,Salg_Total[],3,FALSE),0)*0.9825</f>
        <v>18510.3</v>
      </c>
      <c r="I4" s="174"/>
      <c r="J4" s="116">
        <f t="shared" si="0"/>
        <v>0</v>
      </c>
      <c r="K4" s="175">
        <f t="shared" si="1"/>
        <v>-460</v>
      </c>
      <c r="L4" s="176">
        <f t="shared" si="8"/>
        <v>8877.7800000000025</v>
      </c>
      <c r="M4" s="176">
        <f>K4*C4</f>
        <v>-13558.499999999998</v>
      </c>
      <c r="P4" s="56">
        <f t="shared" si="2"/>
        <v>-27.864498883928555</v>
      </c>
      <c r="Q4" s="57">
        <f t="shared" si="3"/>
        <v>-0.96775627044710977</v>
      </c>
      <c r="R4" s="54">
        <f t="shared" si="4"/>
        <v>0.51581250000000001</v>
      </c>
      <c r="S4" s="54">
        <f t="shared" si="5"/>
        <v>86.656499999999994</v>
      </c>
      <c r="V4">
        <f>24*0.473</f>
        <v>11.352</v>
      </c>
      <c r="Y4" t="s">
        <v>64</v>
      </c>
      <c r="AC4" s="185" t="s">
        <v>90</v>
      </c>
      <c r="AD4" s="131">
        <f>VLOOKUP(AC4,Inkjøp[],2,FALSE)-VLOOKUP(AC4,Salg_Total[],2,FALSE)</f>
        <v>-460</v>
      </c>
      <c r="AE4" s="131">
        <v>0</v>
      </c>
      <c r="AF4" s="132">
        <v>5</v>
      </c>
    </row>
    <row r="5" spans="1:36" ht="16" customHeight="1" x14ac:dyDescent="0.4">
      <c r="B5" s="13" t="str">
        <v>Monster Lewis Hamilton</v>
      </c>
      <c r="C5" s="151">
        <f t="shared" si="6"/>
        <v>29.475000000000001</v>
      </c>
      <c r="D5" s="170">
        <f>VLOOKUP(B5,Inkjøp[],2,FALSE)</f>
        <v>96</v>
      </c>
      <c r="E5" s="171">
        <f>VLOOKUP(B5,Inkjøp[],3,FALSE)</f>
        <v>4281.119999999999</v>
      </c>
      <c r="F5" s="171">
        <f t="shared" si="7"/>
        <v>2829.6000000000004</v>
      </c>
      <c r="G5" s="172">
        <f>IFERROR(VLOOKUP(B5,Salg_Total[],2,FALSE),0)</f>
        <v>229</v>
      </c>
      <c r="H5" s="173">
        <f>IFERROR(VLOOKUP(B5,Salg_Total[],3,FALSE),0)*0.9825</f>
        <v>6749.7750000000005</v>
      </c>
      <c r="I5" s="174"/>
      <c r="J5" s="116">
        <f t="shared" si="0"/>
        <v>0</v>
      </c>
      <c r="K5" s="175">
        <f t="shared" si="1"/>
        <v>-133</v>
      </c>
      <c r="L5" s="176">
        <f t="shared" si="8"/>
        <v>2468.6550000000016</v>
      </c>
      <c r="M5" s="176">
        <f t="shared" si="9"/>
        <v>-3920.1750000000002</v>
      </c>
      <c r="P5" s="56">
        <f t="shared" si="2"/>
        <v>-15.125373046874985</v>
      </c>
      <c r="Q5" s="57">
        <f t="shared" si="3"/>
        <v>-0.53547709923664066</v>
      </c>
      <c r="R5" s="54">
        <f t="shared" si="4"/>
        <v>0.51581250000000012</v>
      </c>
      <c r="S5" s="54">
        <f t="shared" si="5"/>
        <v>49.518000000000008</v>
      </c>
      <c r="V5">
        <f>SUM(D18:D24)*0.5</f>
        <v>228</v>
      </c>
      <c r="Y5" t="s">
        <v>65</v>
      </c>
      <c r="Z5" t="s">
        <v>66</v>
      </c>
      <c r="AC5" s="185" t="s">
        <v>91</v>
      </c>
      <c r="AD5" s="131">
        <f>VLOOKUP(AC5,Inkjøp[],2,FALSE)-VLOOKUP(AC5,Salg_Total[],2,FALSE)</f>
        <v>-133</v>
      </c>
      <c r="AE5" s="206">
        <f>SUM(P5
)</f>
        <v>-15.125373046874985</v>
      </c>
      <c r="AF5" s="132">
        <v>9</v>
      </c>
    </row>
    <row r="6" spans="1:36" ht="16" customHeight="1" x14ac:dyDescent="0.4">
      <c r="B6" s="13" t="str">
        <v>Monster Punch</v>
      </c>
      <c r="C6" s="151">
        <f t="shared" si="6"/>
        <v>29.475000000000001</v>
      </c>
      <c r="D6" s="170">
        <f>VLOOKUP(B6,Inkjøp[],2,FALSE)</f>
        <v>96</v>
      </c>
      <c r="E6" s="171">
        <f>VLOOKUP(B6,Inkjøp[],3,FALSE)</f>
        <v>6421.6799999999985</v>
      </c>
      <c r="F6" s="171">
        <f t="shared" si="7"/>
        <v>2829.6000000000004</v>
      </c>
      <c r="G6" s="172">
        <f>IFERROR(VLOOKUP(B6,Salg_Total[],2,FALSE),0)</f>
        <v>438</v>
      </c>
      <c r="H6" s="173">
        <f>IFERROR(VLOOKUP(B6,Salg_Total[],3,FALSE),0)*0.9825</f>
        <v>12910.050000000001</v>
      </c>
      <c r="I6" s="174"/>
      <c r="J6" s="116">
        <f t="shared" si="0"/>
        <v>0</v>
      </c>
      <c r="K6" s="175">
        <f t="shared" si="1"/>
        <v>-342</v>
      </c>
      <c r="L6" s="176">
        <f t="shared" si="8"/>
        <v>6488.3700000000026</v>
      </c>
      <c r="M6" s="176">
        <f t="shared" si="9"/>
        <v>-10080.450000000001</v>
      </c>
      <c r="P6" s="56">
        <f t="shared" si="2"/>
        <v>-37.422873046874976</v>
      </c>
      <c r="Q6" s="57">
        <f t="shared" si="3"/>
        <v>-1.2919656488549611</v>
      </c>
      <c r="R6" s="54">
        <f t="shared" si="4"/>
        <v>0.51581250000000012</v>
      </c>
      <c r="S6" s="54">
        <f t="shared" si="5"/>
        <v>49.518000000000008</v>
      </c>
      <c r="Y6" t="s">
        <v>67</v>
      </c>
      <c r="AC6" s="185" t="s">
        <v>92</v>
      </c>
      <c r="AD6" s="131">
        <f>VLOOKUP(AC6,Inkjøp[],2,FALSE)-VLOOKUP(AC6,Salg_Total[],2,FALSE)</f>
        <v>-342</v>
      </c>
      <c r="AE6" s="131">
        <v>0</v>
      </c>
      <c r="AF6" s="132">
        <v>-3</v>
      </c>
    </row>
    <row r="7" spans="1:36" ht="16" customHeight="1" x14ac:dyDescent="0.4">
      <c r="B7" s="13" t="str">
        <v>Monster Landon Norris</v>
      </c>
      <c r="C7" s="151">
        <f t="shared" si="6"/>
        <v>29.475000000000001</v>
      </c>
      <c r="D7" s="170">
        <f>VLOOKUP(B7,Inkjøp[],2,FALSE)</f>
        <v>0</v>
      </c>
      <c r="E7" s="171">
        <f>VLOOKUP(B7,Inkjøp[],3,FALSE)</f>
        <v>0</v>
      </c>
      <c r="F7" s="171">
        <f>D7*C7</f>
        <v>0</v>
      </c>
      <c r="G7" s="172">
        <f>IFERROR(VLOOKUP(B7,Salg_Total[],2,FALSE),0)</f>
        <v>22</v>
      </c>
      <c r="H7" s="173">
        <f>IFERROR(VLOOKUP(B7,Salg_Total[],3,FALSE),0)*0.9825</f>
        <v>648.45000000000005</v>
      </c>
      <c r="I7" s="174"/>
      <c r="J7" s="116">
        <f t="shared" si="0"/>
        <v>0</v>
      </c>
      <c r="K7" s="175">
        <f>D7-G7-I7</f>
        <v>-22</v>
      </c>
      <c r="L7" s="176">
        <f t="shared" si="8"/>
        <v>648.45000000000005</v>
      </c>
      <c r="M7" s="176">
        <f t="shared" si="9"/>
        <v>-648.45000000000005</v>
      </c>
      <c r="P7" s="56" t="e">
        <f t="shared" si="2"/>
        <v>#DIV/0!</v>
      </c>
      <c r="Q7" s="57" t="e">
        <f t="shared" si="3"/>
        <v>#DIV/0!</v>
      </c>
      <c r="R7" s="54">
        <f t="shared" si="4"/>
        <v>0.51581250000000012</v>
      </c>
      <c r="S7" s="54">
        <f t="shared" si="5"/>
        <v>0</v>
      </c>
      <c r="AC7" s="185" t="s">
        <v>273</v>
      </c>
      <c r="AD7" s="131">
        <f>IFERROR(VLOOKUP(AC7,Inkjøp[],2,FALSE)-VLOOKUP(AC7,Salg_Total[],2,FALSE),0)</f>
        <v>-22</v>
      </c>
      <c r="AE7">
        <v>0</v>
      </c>
      <c r="AF7" s="132">
        <v>39</v>
      </c>
      <c r="AJ7">
        <f>SUM(AD7:AI7)</f>
        <v>17</v>
      </c>
    </row>
    <row r="8" spans="1:36" ht="16" customHeight="1" x14ac:dyDescent="0.4">
      <c r="B8" s="13" t="str">
        <v>Redbull Original</v>
      </c>
      <c r="C8" s="151">
        <f t="shared" si="6"/>
        <v>27.055289256198346</v>
      </c>
      <c r="D8" s="170">
        <f>VLOOKUP(B8,Inkjøp[],2,FALSE)</f>
        <v>48</v>
      </c>
      <c r="E8" s="171">
        <f>VLOOKUP(B8,Inkjøp[],3,FALSE)</f>
        <v>2858.1120000000001</v>
      </c>
      <c r="F8" s="171">
        <f t="shared" si="7"/>
        <v>1298.6538842975206</v>
      </c>
      <c r="G8" s="172">
        <f>IFERROR(VLOOKUP(B8,Salg_Total[],2,FALSE),0)</f>
        <v>121</v>
      </c>
      <c r="H8" s="173">
        <f>IFERROR(VLOOKUP(B8,Salg_Total[],3,FALSE),0)*0.9825</f>
        <v>3273.69</v>
      </c>
      <c r="I8" s="174"/>
      <c r="J8" s="116">
        <f t="shared" si="0"/>
        <v>0</v>
      </c>
      <c r="K8" s="175">
        <f t="shared" si="1"/>
        <v>-73</v>
      </c>
      <c r="L8" s="176">
        <f t="shared" si="8"/>
        <v>415.57799999999997</v>
      </c>
      <c r="M8" s="176">
        <f t="shared" si="9"/>
        <v>-1975.0361157024793</v>
      </c>
      <c r="P8" s="56">
        <f t="shared" si="2"/>
        <v>-32.498574651342977</v>
      </c>
      <c r="Q8" s="57">
        <f t="shared" si="3"/>
        <v>-1.2233265901780561</v>
      </c>
      <c r="R8" s="54">
        <f t="shared" si="4"/>
        <v>0.47346756198347112</v>
      </c>
      <c r="S8" s="54">
        <f t="shared" si="5"/>
        <v>22.726442975206613</v>
      </c>
      <c r="AC8" s="185" t="s">
        <v>93</v>
      </c>
      <c r="AD8" s="131">
        <f>VLOOKUP(AC8,Inkjøp[],2,FALSE)-VLOOKUP(AC8,Salg_Total[],2,FALSE)</f>
        <v>-73</v>
      </c>
      <c r="AE8" s="133">
        <v>42</v>
      </c>
      <c r="AF8" s="132">
        <v>-2</v>
      </c>
    </row>
    <row r="9" spans="1:36" ht="16" customHeight="1" x14ac:dyDescent="0.4">
      <c r="B9" s="13" t="str">
        <v>Redbull 473ml</v>
      </c>
      <c r="C9" s="151">
        <f t="shared" si="6"/>
        <v>39.300000000000004</v>
      </c>
      <c r="D9" s="170">
        <f>VLOOKUP(B9,Inkjøp[],2,FALSE)</f>
        <v>0</v>
      </c>
      <c r="E9" s="171">
        <f>VLOOKUP(B9,Inkjøp[],3,FALSE)</f>
        <v>782.98799999999994</v>
      </c>
      <c r="F9" s="171">
        <f t="shared" si="7"/>
        <v>0</v>
      </c>
      <c r="G9" s="172">
        <f>IFERROR(VLOOKUP(B9,Salg_Total[],2,FALSE),0)</f>
        <v>21</v>
      </c>
      <c r="H9" s="173">
        <f>IFERROR(VLOOKUP(B9,Salg_Total[],3,FALSE),0)*0.9825</f>
        <v>825.30000000000007</v>
      </c>
      <c r="I9" s="174"/>
      <c r="J9" s="116">
        <f t="shared" si="0"/>
        <v>0</v>
      </c>
      <c r="K9" s="175">
        <f t="shared" si="1"/>
        <v>-21</v>
      </c>
      <c r="L9" s="176">
        <f t="shared" si="8"/>
        <v>42.312000000000126</v>
      </c>
      <c r="M9" s="176">
        <f t="shared" si="9"/>
        <v>-825.30000000000007</v>
      </c>
      <c r="P9" s="56" t="e">
        <f t="shared" si="2"/>
        <v>#DIV/0!</v>
      </c>
      <c r="Q9" s="57" t="e">
        <f t="shared" si="3"/>
        <v>#DIV/0!</v>
      </c>
      <c r="R9" s="54">
        <f t="shared" si="4"/>
        <v>0.68775000000000019</v>
      </c>
      <c r="S9" s="54">
        <f t="shared" si="5"/>
        <v>0</v>
      </c>
      <c r="U9" t="s">
        <v>375</v>
      </c>
      <c r="V9">
        <f>SUM(V2:V6)</f>
        <v>779.35199999999998</v>
      </c>
      <c r="AC9" s="185" t="s">
        <v>94</v>
      </c>
      <c r="AD9" s="131">
        <f>VLOOKUP(AC9,Inkjøp[],2,FALSE)-VLOOKUP(AC9,Salg_Total[],2,FALSE)</f>
        <v>-21</v>
      </c>
      <c r="AE9" s="131">
        <v>0</v>
      </c>
      <c r="AF9" s="132">
        <v>34</v>
      </c>
    </row>
    <row r="10" spans="1:36" ht="16" customHeight="1" x14ac:dyDescent="0.4">
      <c r="B10" s="13" t="str">
        <v>Redbull Sukkerfri</v>
      </c>
      <c r="C10" s="151">
        <f t="shared" si="6"/>
        <v>24.5625</v>
      </c>
      <c r="D10" s="170">
        <f>VLOOKUP(B10,Inkjøp[],2,FALSE)</f>
        <v>0</v>
      </c>
      <c r="E10" s="171">
        <f>VLOOKUP(B10,Inkjøp[],3,FALSE)</f>
        <v>1899.8879999999999</v>
      </c>
      <c r="F10" s="171">
        <f t="shared" si="7"/>
        <v>0</v>
      </c>
      <c r="G10" s="172">
        <f>IFERROR(VLOOKUP(B10,Salg_Total[],2,FALSE),0)</f>
        <v>17</v>
      </c>
      <c r="H10" s="173">
        <f>IFERROR(VLOOKUP(B10,Salg_Total[],3,FALSE),0)*0.9825</f>
        <v>417.5625</v>
      </c>
      <c r="I10" s="174"/>
      <c r="J10" s="116">
        <f t="shared" si="0"/>
        <v>0</v>
      </c>
      <c r="K10" s="175">
        <f t="shared" si="1"/>
        <v>-17</v>
      </c>
      <c r="L10" s="176">
        <f t="shared" si="8"/>
        <v>-1482.3254999999999</v>
      </c>
      <c r="M10" s="176">
        <f t="shared" si="9"/>
        <v>-417.5625</v>
      </c>
      <c r="P10" s="56" t="e">
        <f t="shared" si="2"/>
        <v>#DIV/0!</v>
      </c>
      <c r="Q10" s="57" t="e">
        <f t="shared" si="3"/>
        <v>#DIV/0!</v>
      </c>
      <c r="R10" s="54">
        <f t="shared" si="4"/>
        <v>0.42984375000000002</v>
      </c>
      <c r="S10" s="54">
        <f t="shared" si="5"/>
        <v>0</v>
      </c>
      <c r="U10" t="s">
        <v>182</v>
      </c>
      <c r="V10">
        <f>V9/222</f>
        <v>3.5105945945945947</v>
      </c>
      <c r="AC10" s="185" t="s">
        <v>95</v>
      </c>
      <c r="AD10" s="131">
        <f>VLOOKUP(AC10,Inkjøp[],2,FALSE)-VLOOKUP(AC10,Salg_Total[],2,FALSE)</f>
        <v>-17</v>
      </c>
      <c r="AE10" s="133">
        <v>45</v>
      </c>
      <c r="AF10" s="132">
        <v>-6</v>
      </c>
    </row>
    <row r="11" spans="1:36" ht="16" customHeight="1" x14ac:dyDescent="0.4">
      <c r="B11" s="13" t="str">
        <v>Redbull ZERO Cal</v>
      </c>
      <c r="C11" s="151">
        <f t="shared" si="6"/>
        <v>25.120738636363637</v>
      </c>
      <c r="D11" s="170">
        <f>VLOOKUP(B11,Inkjøp[],2,FALSE)</f>
        <v>24</v>
      </c>
      <c r="E11" s="171">
        <f>VLOOKUP(B11,Inkjøp[],3,FALSE)</f>
        <v>1090.704</v>
      </c>
      <c r="F11" s="171">
        <f t="shared" si="7"/>
        <v>602.89772727272725</v>
      </c>
      <c r="G11" s="172">
        <f>IFERROR(VLOOKUP(B11,Salg_Total[],2,FALSE),0)</f>
        <v>44</v>
      </c>
      <c r="H11" s="173">
        <f>IFERROR(VLOOKUP(B11,Salg_Total[],3,FALSE),0)*0.9825</f>
        <v>1105.3125</v>
      </c>
      <c r="I11" s="174"/>
      <c r="J11" s="116">
        <f t="shared" si="0"/>
        <v>0</v>
      </c>
      <c r="K11" s="175">
        <f t="shared" si="1"/>
        <v>-20</v>
      </c>
      <c r="L11" s="176">
        <f t="shared" si="8"/>
        <v>14.608500000000049</v>
      </c>
      <c r="M11" s="176">
        <f t="shared" si="9"/>
        <v>-502.41477272727275</v>
      </c>
      <c r="P11" s="56">
        <f t="shared" si="2"/>
        <v>-20.343578568892045</v>
      </c>
      <c r="Q11" s="57">
        <f t="shared" si="3"/>
        <v>-0.83160285552728297</v>
      </c>
      <c r="R11" s="54">
        <f t="shared" si="4"/>
        <v>0.43961292613636366</v>
      </c>
      <c r="S11" s="54">
        <f t="shared" si="5"/>
        <v>10.550710227272727</v>
      </c>
      <c r="AC11" s="185" t="s">
        <v>96</v>
      </c>
      <c r="AD11" s="131">
        <f>VLOOKUP(AC11,Inkjøp[],2,FALSE)-VLOOKUP(AC11,Salg_Total[],2,FALSE)</f>
        <v>-20</v>
      </c>
      <c r="AE11" s="131">
        <v>38</v>
      </c>
      <c r="AF11" s="132">
        <v>6</v>
      </c>
    </row>
    <row r="12" spans="1:36" ht="16" customHeight="1" x14ac:dyDescent="0.4">
      <c r="B12" s="13" t="str">
        <v>Redbull Yellow</v>
      </c>
      <c r="C12" s="151">
        <f t="shared" si="6"/>
        <v>26.5275</v>
      </c>
      <c r="D12" s="170">
        <f>VLOOKUP(B12,Inkjøp[],2,FALSE)</f>
        <v>48</v>
      </c>
      <c r="E12" s="171">
        <f>VLOOKUP(B12,Inkjøp[],3,FALSE)</f>
        <v>2660.5199999999995</v>
      </c>
      <c r="F12" s="171">
        <f t="shared" si="7"/>
        <v>1273.32</v>
      </c>
      <c r="G12" s="172">
        <f>IFERROR(VLOOKUP(B12,Salg_Total[],2,FALSE),0)</f>
        <v>107</v>
      </c>
      <c r="H12" s="173">
        <f>IFERROR(VLOOKUP(B12,Salg_Total[],3,FALSE),0)*0.9825</f>
        <v>2838.4425000000001</v>
      </c>
      <c r="I12" s="174"/>
      <c r="J12" s="116">
        <f t="shared" si="0"/>
        <v>0</v>
      </c>
      <c r="K12" s="175">
        <f t="shared" si="1"/>
        <v>-59</v>
      </c>
      <c r="L12" s="176">
        <f t="shared" si="8"/>
        <v>177.92250000000058</v>
      </c>
      <c r="M12" s="176">
        <f t="shared" si="9"/>
        <v>-1565.1224999999999</v>
      </c>
      <c r="P12" s="56">
        <f t="shared" si="2"/>
        <v>-28.909671484374993</v>
      </c>
      <c r="Q12" s="57">
        <f t="shared" si="3"/>
        <v>-1.1119354914711146</v>
      </c>
      <c r="R12" s="54">
        <f t="shared" si="4"/>
        <v>0.46423125000000004</v>
      </c>
      <c r="S12" s="54">
        <f t="shared" si="5"/>
        <v>22.283100000000001</v>
      </c>
      <c r="AC12" s="185" t="s">
        <v>97</v>
      </c>
      <c r="AD12" s="131">
        <f>VLOOKUP(AC12,Inkjøp[],2,FALSE)-VLOOKUP(AC12,Salg_Total[],2,FALSE)</f>
        <v>-59</v>
      </c>
      <c r="AE12" s="133">
        <v>42</v>
      </c>
      <c r="AF12" s="132">
        <v>12</v>
      </c>
    </row>
    <row r="13" spans="1:36" ht="16" customHeight="1" x14ac:dyDescent="0.4">
      <c r="B13" s="13" t="str">
        <v>Redbull Peach</v>
      </c>
      <c r="C13" s="151">
        <f t="shared" si="6"/>
        <v>26.5275</v>
      </c>
      <c r="D13" s="170">
        <f>VLOOKUP(B13,Inkjøp[],2,FALSE)</f>
        <v>120</v>
      </c>
      <c r="E13" s="171">
        <f>VLOOKUP(B13,Inkjøp[],3,FALSE)</f>
        <v>5853.1439999999993</v>
      </c>
      <c r="F13" s="171">
        <f t="shared" si="7"/>
        <v>3183.3</v>
      </c>
      <c r="G13" s="172">
        <f>IFERROR(VLOOKUP(B13,Salg_Total[],2,FALSE),0)</f>
        <v>262</v>
      </c>
      <c r="H13" s="173">
        <f>IFERROR(VLOOKUP(B13,Salg_Total[],3,FALSE),0)*0.9825</f>
        <v>6950.2049999999999</v>
      </c>
      <c r="I13" s="174"/>
      <c r="J13" s="116">
        <f t="shared" si="0"/>
        <v>0</v>
      </c>
      <c r="K13" s="175">
        <f t="shared" si="1"/>
        <v>-142</v>
      </c>
      <c r="L13" s="176">
        <f t="shared" si="8"/>
        <v>1097.0610000000006</v>
      </c>
      <c r="M13" s="176">
        <f t="shared" si="9"/>
        <v>-3766.9050000000002</v>
      </c>
      <c r="P13" s="56">
        <f t="shared" si="2"/>
        <v>-22.252568593749992</v>
      </c>
      <c r="Q13" s="57">
        <f t="shared" si="3"/>
        <v>-0.86120323249458075</v>
      </c>
      <c r="R13" s="54">
        <f t="shared" si="4"/>
        <v>0.46423125000000004</v>
      </c>
      <c r="S13" s="54">
        <f t="shared" si="5"/>
        <v>55.707750000000011</v>
      </c>
      <c r="AC13" s="185" t="s">
        <v>98</v>
      </c>
      <c r="AD13" s="131">
        <f>VLOOKUP(AC13,Inkjøp[],2,FALSE)-VLOOKUP(AC13,Salg_Total[],2,FALSE)</f>
        <v>-142</v>
      </c>
      <c r="AE13" s="131">
        <v>7</v>
      </c>
      <c r="AF13" s="132">
        <v>-16</v>
      </c>
    </row>
    <row r="14" spans="1:36" ht="16" customHeight="1" x14ac:dyDescent="0.4">
      <c r="B14" s="13" t="str">
        <v>Redbull Blue</v>
      </c>
      <c r="C14" s="151">
        <f t="shared" si="6"/>
        <v>26.527500000000003</v>
      </c>
      <c r="D14" s="170">
        <f>VLOOKUP(B14,Inkjøp[],2,FALSE)</f>
        <v>0</v>
      </c>
      <c r="E14" s="171">
        <f>VLOOKUP(B14,Inkjøp[],3,FALSE)</f>
        <v>2127.3119999999999</v>
      </c>
      <c r="F14" s="171">
        <f t="shared" si="7"/>
        <v>0</v>
      </c>
      <c r="G14" s="172">
        <f>IFERROR(VLOOKUP(B14,Salg_Total[],2,FALSE),0)</f>
        <v>124</v>
      </c>
      <c r="H14" s="173">
        <f>IFERROR(VLOOKUP(B14,Salg_Total[],3,FALSE),0)*0.9825</f>
        <v>3289.4100000000003</v>
      </c>
      <c r="I14" s="174"/>
      <c r="J14" s="116">
        <f t="shared" si="0"/>
        <v>0</v>
      </c>
      <c r="K14" s="175">
        <f t="shared" si="1"/>
        <v>-124</v>
      </c>
      <c r="L14" s="176">
        <f t="shared" si="8"/>
        <v>1162.0980000000004</v>
      </c>
      <c r="M14" s="176">
        <f t="shared" si="9"/>
        <v>-3289.4100000000003</v>
      </c>
      <c r="P14" s="56" t="e">
        <f t="shared" si="2"/>
        <v>#DIV/0!</v>
      </c>
      <c r="Q14" s="57" t="e">
        <f t="shared" si="3"/>
        <v>#DIV/0!</v>
      </c>
      <c r="R14" s="54">
        <f t="shared" si="4"/>
        <v>0.4642312500000001</v>
      </c>
      <c r="S14" s="54">
        <f t="shared" si="5"/>
        <v>0</v>
      </c>
      <c r="AC14" s="185" t="s">
        <v>99</v>
      </c>
      <c r="AD14" s="131">
        <f>VLOOKUP(AC14,Inkjøp[],2,FALSE)-VLOOKUP(AC14,Salg_Total[],2,FALSE)</f>
        <v>-124</v>
      </c>
      <c r="AE14" s="133">
        <v>0</v>
      </c>
      <c r="AF14" s="132">
        <v>3</v>
      </c>
    </row>
    <row r="15" spans="1:36" ht="16" customHeight="1" x14ac:dyDescent="0.4">
      <c r="B15" s="13" t="str">
        <v>Redbull Purple</v>
      </c>
      <c r="C15" s="151">
        <f t="shared" si="6"/>
        <v>24.228450000000002</v>
      </c>
      <c r="D15" s="170">
        <f>VLOOKUP(B15,Inkjøp[],2,FALSE)</f>
        <v>24</v>
      </c>
      <c r="E15" s="171">
        <f>VLOOKUP(B15,Inkjøp[],3,FALSE)</f>
        <v>1063.6559999999999</v>
      </c>
      <c r="F15" s="171">
        <f t="shared" si="7"/>
        <v>581.4828</v>
      </c>
      <c r="G15" s="172">
        <f>IFERROR(VLOOKUP(B15,Salg_Total[],2,FALSE),0)</f>
        <v>50</v>
      </c>
      <c r="H15" s="173">
        <f>IFERROR(VLOOKUP(B15,Salg_Total[],3,FALSE),0)*0.9825</f>
        <v>1211.4225000000001</v>
      </c>
      <c r="I15" s="174"/>
      <c r="J15" s="116">
        <f t="shared" si="0"/>
        <v>0</v>
      </c>
      <c r="K15" s="175">
        <f t="shared" si="1"/>
        <v>-26</v>
      </c>
      <c r="L15" s="176">
        <f t="shared" si="8"/>
        <v>147.76650000000018</v>
      </c>
      <c r="M15" s="176">
        <f t="shared" si="9"/>
        <v>-629.93970000000002</v>
      </c>
      <c r="P15" s="56">
        <f t="shared" si="2"/>
        <v>-20.108216578124999</v>
      </c>
      <c r="Q15" s="57">
        <f t="shared" si="3"/>
        <v>-0.85171317707075767</v>
      </c>
      <c r="R15" s="54">
        <f t="shared" si="4"/>
        <v>0.42399787500000008</v>
      </c>
      <c r="S15" s="54">
        <f t="shared" si="5"/>
        <v>10.175949000000001</v>
      </c>
      <c r="AC15" s="185" t="s">
        <v>100</v>
      </c>
      <c r="AD15" s="131">
        <f>VLOOKUP(AC15,Inkjøp[],2,FALSE)-VLOOKUP(AC15,Salg_Total[],2,FALSE)</f>
        <v>-26</v>
      </c>
      <c r="AE15" s="131">
        <v>23</v>
      </c>
      <c r="AF15" s="132">
        <v>9</v>
      </c>
    </row>
    <row r="16" spans="1:36" ht="16" customHeight="1" x14ac:dyDescent="0.4">
      <c r="B16" s="13" t="str">
        <v>Powerking Svart</v>
      </c>
      <c r="C16" s="151">
        <f t="shared" si="6"/>
        <v>14.737500000000001</v>
      </c>
      <c r="D16" s="170">
        <f>VLOOKUP(B16,Inkjøp[],2,FALSE)</f>
        <v>72</v>
      </c>
      <c r="E16" s="171">
        <f>VLOOKUP(B16,Inkjøp[],3,FALSE)</f>
        <v>2093.7960000000003</v>
      </c>
      <c r="F16" s="171">
        <f t="shared" si="7"/>
        <v>1061.1000000000001</v>
      </c>
      <c r="G16" s="172">
        <f>IFERROR(VLOOKUP(B16,Salg_Total[],2,FALSE),0)</f>
        <v>291</v>
      </c>
      <c r="H16" s="173">
        <f>IFERROR(VLOOKUP(B16,Salg_Total[],3,FALSE),0)*0.9825</f>
        <v>4288.6125000000002</v>
      </c>
      <c r="I16" s="174"/>
      <c r="J16" s="116">
        <f t="shared" si="0"/>
        <v>0</v>
      </c>
      <c r="K16" s="175">
        <f t="shared" si="1"/>
        <v>-219</v>
      </c>
      <c r="L16" s="176">
        <f t="shared" si="8"/>
        <v>2194.8164999999999</v>
      </c>
      <c r="M16" s="176">
        <f t="shared" si="9"/>
        <v>-3227.5125000000003</v>
      </c>
      <c r="P16" s="56">
        <f t="shared" si="2"/>
        <v>-14.346582031250001</v>
      </c>
      <c r="Q16" s="57">
        <f t="shared" si="3"/>
        <v>-0.99573155216284981</v>
      </c>
      <c r="R16" s="54">
        <f t="shared" si="4"/>
        <v>0.25790625000000006</v>
      </c>
      <c r="S16" s="54">
        <f t="shared" si="5"/>
        <v>18.569250000000004</v>
      </c>
      <c r="AC16" s="185" t="s">
        <v>101</v>
      </c>
      <c r="AD16" s="131">
        <f>VLOOKUP(AC16,Inkjøp[],2,FALSE)-VLOOKUP(AC16,Salg_Total[],2,FALSE)</f>
        <v>-219</v>
      </c>
      <c r="AE16" s="133">
        <v>0</v>
      </c>
      <c r="AF16" s="132">
        <v>-18</v>
      </c>
    </row>
    <row r="17" spans="1:32" ht="16" customHeight="1" x14ac:dyDescent="0.4">
      <c r="B17" s="13" t="str">
        <v>Powerking Hvit</v>
      </c>
      <c r="C17" s="151">
        <f t="shared" si="6"/>
        <v>15.203911516853934</v>
      </c>
      <c r="D17" s="170">
        <f>VLOOKUP(B17,Inkjøp[],2,FALSE)</f>
        <v>72</v>
      </c>
      <c r="E17" s="171">
        <f>VLOOKUP(B17,Inkjøp[],3,FALSE)</f>
        <v>1957.1759999999999</v>
      </c>
      <c r="F17" s="171">
        <f t="shared" si="7"/>
        <v>1094.6816292134831</v>
      </c>
      <c r="G17" s="172">
        <f>IFERROR(VLOOKUP(B17,Salg_Total[],2,FALSE),0)</f>
        <v>356</v>
      </c>
      <c r="H17" s="173">
        <f>IFERROR(VLOOKUP(B17,Salg_Total[],3,FALSE),0)*0.9825</f>
        <v>5412.5925000000007</v>
      </c>
      <c r="I17" s="174"/>
      <c r="J17" s="116">
        <f t="shared" si="0"/>
        <v>0</v>
      </c>
      <c r="K17" s="175">
        <f t="shared" si="1"/>
        <v>-284</v>
      </c>
      <c r="L17" s="176">
        <f t="shared" si="8"/>
        <v>3455.4165000000007</v>
      </c>
      <c r="M17" s="176">
        <f t="shared" si="9"/>
        <v>-4317.9108707865171</v>
      </c>
      <c r="P17" s="56">
        <f t="shared" si="2"/>
        <v>-11.982783878306414</v>
      </c>
      <c r="Q17" s="57">
        <f t="shared" si="3"/>
        <v>-0.81039517223031288</v>
      </c>
      <c r="R17" s="54">
        <f t="shared" si="4"/>
        <v>0.26606845154494385</v>
      </c>
      <c r="S17" s="54">
        <f t="shared" si="5"/>
        <v>19.156928511235957</v>
      </c>
      <c r="AC17" s="185" t="s">
        <v>102</v>
      </c>
      <c r="AD17" s="131">
        <f>VLOOKUP(AC17,Inkjøp[],2,FALSE)-VLOOKUP(AC17,Salg_Total[],2,FALSE)</f>
        <v>-284</v>
      </c>
      <c r="AE17" s="131">
        <v>0</v>
      </c>
      <c r="AF17" s="132">
        <v>4</v>
      </c>
    </row>
    <row r="18" spans="1:32" ht="16" customHeight="1" x14ac:dyDescent="0.4">
      <c r="B18" s="13" t="str">
        <v>Battery Fresh</v>
      </c>
      <c r="C18" s="151">
        <f t="shared" si="6"/>
        <v>27.51</v>
      </c>
      <c r="D18" s="170">
        <f>VLOOKUP(B18,Inkjøp[],2,FALSE)</f>
        <v>144</v>
      </c>
      <c r="E18" s="171">
        <f>VLOOKUP(B18,Inkjøp[],3,FALSE)</f>
        <v>3557.6999999999994</v>
      </c>
      <c r="F18" s="171">
        <f t="shared" si="7"/>
        <v>3961.44</v>
      </c>
      <c r="G18" s="172">
        <f>IFERROR(VLOOKUP(B18,Salg_Total[],2,FALSE),0)</f>
        <v>280</v>
      </c>
      <c r="H18" s="173">
        <f>IFERROR(VLOOKUP(B18,Salg_Total[],3,FALSE),0)*0.9825</f>
        <v>7702.8</v>
      </c>
      <c r="I18" s="174"/>
      <c r="J18" s="116">
        <f t="shared" si="0"/>
        <v>0</v>
      </c>
      <c r="K18" s="175">
        <f t="shared" si="1"/>
        <v>-136</v>
      </c>
      <c r="L18" s="176">
        <f t="shared" si="8"/>
        <v>4145.1000000000004</v>
      </c>
      <c r="M18" s="176">
        <f t="shared" si="9"/>
        <v>-3741.36</v>
      </c>
      <c r="P18" s="56">
        <f t="shared" si="2"/>
        <v>2.8004067708333382</v>
      </c>
      <c r="Q18" s="57">
        <f t="shared" si="3"/>
        <v>7.9417484551072504E-2</v>
      </c>
      <c r="R18" s="54">
        <f t="shared" si="4"/>
        <v>0.48142500000000005</v>
      </c>
      <c r="S18" s="54">
        <f t="shared" si="5"/>
        <v>69.325200000000009</v>
      </c>
      <c r="AC18" s="185" t="s">
        <v>103</v>
      </c>
      <c r="AD18" s="131">
        <f>VLOOKUP(AC18,Inkjøp[],2,FALSE)-VLOOKUP(AC18,Salg_Total[],2,FALSE)</f>
        <v>-136</v>
      </c>
      <c r="AE18" s="133">
        <v>42</v>
      </c>
      <c r="AF18" s="132">
        <v>-1</v>
      </c>
    </row>
    <row r="19" spans="1:32" ht="16" customHeight="1" x14ac:dyDescent="0.4">
      <c r="B19" s="13" t="str">
        <v>Battery Original</v>
      </c>
      <c r="C19" s="151">
        <f t="shared" si="6"/>
        <v>27.509999999999998</v>
      </c>
      <c r="D19" s="170">
        <f>VLOOKUP(B19,Inkjøp[],2,FALSE)</f>
        <v>48</v>
      </c>
      <c r="E19" s="171">
        <f>VLOOKUP(B19,Inkjøp[],3,FALSE)</f>
        <v>3118.9079999999994</v>
      </c>
      <c r="F19" s="171">
        <f t="shared" si="7"/>
        <v>1320.48</v>
      </c>
      <c r="G19" s="172">
        <f>IFERROR(VLOOKUP(B19,Salg_Total[],2,FALSE),0)</f>
        <v>191</v>
      </c>
      <c r="H19" s="173">
        <f>IFERROR(VLOOKUP(B19,Salg_Total[],3,FALSE),0)*0.9825</f>
        <v>5254.41</v>
      </c>
      <c r="I19" s="174"/>
      <c r="J19" s="116">
        <f t="shared" si="0"/>
        <v>0</v>
      </c>
      <c r="K19" s="175">
        <f t="shared" si="1"/>
        <v>-143</v>
      </c>
      <c r="L19" s="176">
        <f t="shared" si="8"/>
        <v>2135.5020000000004</v>
      </c>
      <c r="M19" s="176">
        <f t="shared" si="9"/>
        <v>-3933.93</v>
      </c>
      <c r="P19" s="56">
        <f t="shared" si="2"/>
        <v>-37.477279687499987</v>
      </c>
      <c r="Q19" s="57">
        <f t="shared" si="3"/>
        <v>-1.3844501999272987</v>
      </c>
      <c r="R19" s="54">
        <f t="shared" si="4"/>
        <v>0.48142499999999999</v>
      </c>
      <c r="S19" s="54">
        <f t="shared" si="5"/>
        <v>23.108400000000003</v>
      </c>
      <c r="AC19" s="185" t="s">
        <v>105</v>
      </c>
      <c r="AD19" s="131">
        <f>VLOOKUP(AC19,Inkjøp[],2,FALSE)-VLOOKUP(AC19,Salg_Total[],2,FALSE)</f>
        <v>-143</v>
      </c>
      <c r="AE19" s="131">
        <v>31</v>
      </c>
      <c r="AF19" s="132">
        <v>-23</v>
      </c>
    </row>
    <row r="20" spans="1:32" ht="16" customHeight="1" x14ac:dyDescent="0.4">
      <c r="B20" s="13" t="str">
        <v>Battery Peachberry</v>
      </c>
      <c r="C20" s="151">
        <f t="shared" si="6"/>
        <v>27.51</v>
      </c>
      <c r="D20" s="170">
        <f>VLOOKUP(B20,Inkjøp[],2,FALSE)</f>
        <v>144</v>
      </c>
      <c r="E20" s="171">
        <f>VLOOKUP(B20,Inkjøp[],3,FALSE)</f>
        <v>7377.119999999999</v>
      </c>
      <c r="F20" s="171">
        <f>D20*C20</f>
        <v>3961.44</v>
      </c>
      <c r="G20" s="172">
        <f>IFERROR(VLOOKUP(B20,Salg_Total[],2,FALSE),0)</f>
        <v>476</v>
      </c>
      <c r="H20" s="173">
        <f>IFERROR(VLOOKUP(B20,Salg_Total[],3,FALSE),0)*0.9825</f>
        <v>13094.76</v>
      </c>
      <c r="I20" s="174"/>
      <c r="J20" s="116">
        <f t="shared" si="0"/>
        <v>0</v>
      </c>
      <c r="K20" s="175">
        <f t="shared" si="1"/>
        <v>-332</v>
      </c>
      <c r="L20" s="176">
        <f t="shared" si="8"/>
        <v>5717.6400000000012</v>
      </c>
      <c r="M20" s="176">
        <f t="shared" si="9"/>
        <v>-9133.32</v>
      </c>
      <c r="P20" s="56">
        <f t="shared" si="2"/>
        <v>-23.723343229166659</v>
      </c>
      <c r="Q20" s="57">
        <f t="shared" si="3"/>
        <v>-0.88473191566702991</v>
      </c>
      <c r="R20" s="54">
        <f t="shared" si="4"/>
        <v>0.48142500000000005</v>
      </c>
      <c r="S20" s="54">
        <f t="shared" si="5"/>
        <v>69.325200000000009</v>
      </c>
      <c r="AC20" s="185" t="s">
        <v>107</v>
      </c>
      <c r="AD20" s="131">
        <f>VLOOKUP(AC20,Inkjøp[],2,FALSE)-VLOOKUP(AC20,Salg_Total[],2,FALSE)</f>
        <v>-332</v>
      </c>
      <c r="AE20" s="133">
        <v>0</v>
      </c>
      <c r="AF20" s="132">
        <v>3</v>
      </c>
    </row>
    <row r="21" spans="1:32" ht="16" customHeight="1" x14ac:dyDescent="0.4">
      <c r="B21" s="13" t="str">
        <v>Battery Yellow</v>
      </c>
      <c r="C21" s="151">
        <f t="shared" si="6"/>
        <v>27.51</v>
      </c>
      <c r="D21" s="170">
        <f>VLOOKUP(B21,Inkjøp[],2,FALSE)</f>
        <v>24</v>
      </c>
      <c r="E21" s="171">
        <f>VLOOKUP(B21,Inkjøp[],3,FALSE)</f>
        <v>338.35199999999998</v>
      </c>
      <c r="F21" s="171">
        <f>D21*C21</f>
        <v>660.24</v>
      </c>
      <c r="G21" s="172">
        <f>IFERROR(VLOOKUP(B21,Salg_Total[],2,FALSE),0)</f>
        <v>22</v>
      </c>
      <c r="H21" s="173">
        <f>IFERROR(VLOOKUP(B21,Salg_Total[],3,FALSE),0)*0.9825</f>
        <v>605.22</v>
      </c>
      <c r="I21" s="174"/>
      <c r="J21" s="116">
        <f t="shared" si="0"/>
        <v>0</v>
      </c>
      <c r="K21" s="175">
        <f t="shared" si="1"/>
        <v>2</v>
      </c>
      <c r="L21" s="176">
        <f t="shared" si="8"/>
        <v>266.86800000000005</v>
      </c>
      <c r="M21" s="176">
        <f t="shared" si="9"/>
        <v>55.02</v>
      </c>
      <c r="P21" s="56">
        <f t="shared" si="2"/>
        <v>13.391940625000002</v>
      </c>
      <c r="Q21" s="57">
        <f t="shared" si="3"/>
        <v>0.46503180661577614</v>
      </c>
      <c r="R21" s="54">
        <f t="shared" si="4"/>
        <v>0.48142500000000005</v>
      </c>
      <c r="S21" s="54">
        <f t="shared" si="5"/>
        <v>11.554200000000002</v>
      </c>
      <c r="AC21" s="185" t="s">
        <v>108</v>
      </c>
      <c r="AD21" s="131">
        <f>VLOOKUP(AC21,Inkjøp[],2,FALSE)-VLOOKUP(AC21,Salg_Total[],2,FALSE)</f>
        <v>2</v>
      </c>
      <c r="AE21" s="131">
        <v>0</v>
      </c>
      <c r="AF21" s="132">
        <v>18</v>
      </c>
    </row>
    <row r="22" spans="1:32" ht="16" customHeight="1" x14ac:dyDescent="0.4">
      <c r="B22" s="13" t="str">
        <v>Battery Remix 2.0</v>
      </c>
      <c r="C22" s="151">
        <f t="shared" si="6"/>
        <v>27.51</v>
      </c>
      <c r="D22" s="170">
        <f>VLOOKUP(B22,Inkjøp[],2,FALSE)</f>
        <v>24</v>
      </c>
      <c r="E22" s="171">
        <f>VLOOKUP(B22,Inkjøp[],3,FALSE)</f>
        <v>349.94399999999996</v>
      </c>
      <c r="F22" s="171">
        <f t="shared" si="7"/>
        <v>660.24</v>
      </c>
      <c r="G22" s="172">
        <f>IFERROR(VLOOKUP(B22,Salg_Total[],2,FALSE),0)</f>
        <v>6</v>
      </c>
      <c r="H22" s="173">
        <f>IFERROR(VLOOKUP(B22,Salg_Total[],3,FALSE),0)*0.9825</f>
        <v>165.06</v>
      </c>
      <c r="I22" s="174"/>
      <c r="J22" s="116">
        <f t="shared" si="0"/>
        <v>0</v>
      </c>
      <c r="K22" s="175">
        <f t="shared" si="1"/>
        <v>18</v>
      </c>
      <c r="L22" s="176">
        <f t="shared" si="8"/>
        <v>-184.88399999999996</v>
      </c>
      <c r="M22" s="176">
        <f t="shared" si="9"/>
        <v>495.18</v>
      </c>
      <c r="P22" s="56">
        <f t="shared" si="2"/>
        <v>12.908940625000001</v>
      </c>
      <c r="Q22" s="57">
        <f t="shared" si="3"/>
        <v>0.44747455470737924</v>
      </c>
      <c r="R22" s="54">
        <f t="shared" si="4"/>
        <v>0.48142500000000005</v>
      </c>
      <c r="S22" s="54">
        <f t="shared" si="5"/>
        <v>11.554200000000002</v>
      </c>
      <c r="AC22" s="185" t="s">
        <v>109</v>
      </c>
      <c r="AD22" s="131">
        <f>VLOOKUP(AC22,Inkjøp[],2,FALSE)-VLOOKUP(AC22,Salg_Total[],2,FALSE)</f>
        <v>18</v>
      </c>
      <c r="AE22" s="133">
        <v>0</v>
      </c>
      <c r="AF22" s="132">
        <v>2</v>
      </c>
    </row>
    <row r="23" spans="1:32" ht="16" customHeight="1" x14ac:dyDescent="0.4">
      <c r="B23" s="13" t="str">
        <v>Battery Blueberry</v>
      </c>
      <c r="C23" s="151">
        <f t="shared" si="6"/>
        <v>27.531358695652177</v>
      </c>
      <c r="D23" s="170">
        <f>VLOOKUP(B23,Inkjøp[],2,FALSE)</f>
        <v>48</v>
      </c>
      <c r="E23" s="171">
        <f>VLOOKUP(B23,Inkjøp[],3,FALSE)</f>
        <v>2095.2959999999998</v>
      </c>
      <c r="F23" s="171">
        <f t="shared" si="7"/>
        <v>1321.5052173913045</v>
      </c>
      <c r="G23" s="172">
        <f>IFERROR(VLOOKUP(B23,Salg_Total[],2,FALSE),0)</f>
        <v>92</v>
      </c>
      <c r="H23" s="173">
        <f>IFERROR(VLOOKUP(B23,Salg_Total[],3,FALSE),0)*0.9825</f>
        <v>2532.8850000000002</v>
      </c>
      <c r="I23" s="174"/>
      <c r="J23" s="116">
        <f t="shared" si="0"/>
        <v>0</v>
      </c>
      <c r="K23" s="175">
        <f t="shared" si="1"/>
        <v>-44</v>
      </c>
      <c r="L23" s="176">
        <f t="shared" si="8"/>
        <v>437.5890000000004</v>
      </c>
      <c r="M23" s="176">
        <f t="shared" si="9"/>
        <v>-1211.3797826086957</v>
      </c>
      <c r="P23" s="56">
        <f t="shared" si="2"/>
        <v>-16.130678778872277</v>
      </c>
      <c r="Q23" s="57">
        <f t="shared" si="3"/>
        <v>-0.60803744050756314</v>
      </c>
      <c r="R23" s="54">
        <f t="shared" si="4"/>
        <v>0.48179877717391312</v>
      </c>
      <c r="S23" s="54">
        <f t="shared" si="5"/>
        <v>23.126341304347832</v>
      </c>
      <c r="AC23" s="185" t="s">
        <v>110</v>
      </c>
      <c r="AD23" s="131">
        <f>VLOOKUP(AC23,Inkjøp[],2,FALSE)-VLOOKUP(AC23,Salg_Total[],2,FALSE)</f>
        <v>-44</v>
      </c>
      <c r="AE23" s="131">
        <v>0</v>
      </c>
      <c r="AF23" s="132">
        <v>-2</v>
      </c>
    </row>
    <row r="24" spans="1:32" ht="16" customHeight="1" x14ac:dyDescent="0.4">
      <c r="B24" s="13" t="str">
        <v>Burn</v>
      </c>
      <c r="C24" s="151">
        <f t="shared" si="6"/>
        <v>29.222357142857145</v>
      </c>
      <c r="D24" s="170">
        <f>VLOOKUP(B24,Inkjøp[],2,FALSE)</f>
        <v>24</v>
      </c>
      <c r="E24" s="171">
        <f>VLOOKUP(B24,Inkjøp[],3,FALSE)</f>
        <v>1143.6959999999999</v>
      </c>
      <c r="F24" s="171">
        <f t="shared" si="7"/>
        <v>701.33657142857146</v>
      </c>
      <c r="G24" s="172">
        <f>IFERROR(VLOOKUP(B24,Salg_Total[],2,FALSE),0)</f>
        <v>70</v>
      </c>
      <c r="H24" s="173">
        <f>IFERROR(VLOOKUP(B24,Salg_Total[],3,FALSE),0)*0.9825</f>
        <v>2045.5650000000001</v>
      </c>
      <c r="I24" s="174"/>
      <c r="J24" s="116">
        <f t="shared" si="0"/>
        <v>0</v>
      </c>
      <c r="K24" s="175">
        <f t="shared" si="1"/>
        <v>-46</v>
      </c>
      <c r="L24" s="176">
        <f t="shared" si="8"/>
        <v>901.86900000000014</v>
      </c>
      <c r="M24" s="176">
        <f t="shared" si="9"/>
        <v>-1344.2284285714286</v>
      </c>
      <c r="P24" s="56">
        <f t="shared" si="2"/>
        <v>-18.452950825892852</v>
      </c>
      <c r="Q24" s="57">
        <f t="shared" si="3"/>
        <v>-0.65323771794100871</v>
      </c>
      <c r="R24" s="54">
        <f t="shared" si="4"/>
        <v>0.51139125000000007</v>
      </c>
      <c r="S24" s="54">
        <f t="shared" si="5"/>
        <v>12.273390000000001</v>
      </c>
      <c r="AC24" s="185" t="s">
        <v>111</v>
      </c>
      <c r="AD24" s="131">
        <f>VLOOKUP(AC24,Inkjøp[],2,FALSE)-VLOOKUP(AC24,Salg_Total[],2,FALSE)</f>
        <v>-46</v>
      </c>
      <c r="AE24" s="133">
        <v>0</v>
      </c>
      <c r="AF24" s="132">
        <v>15</v>
      </c>
    </row>
    <row r="25" spans="1:32" ht="16" customHeight="1" x14ac:dyDescent="0.4">
      <c r="B25" s="13" t="str">
        <v>Iskaffe Cappuccino</v>
      </c>
      <c r="C25" s="151">
        <f t="shared" si="6"/>
        <v>23.580000000000002</v>
      </c>
      <c r="D25" s="170">
        <f>VLOOKUP(B25,Inkjøp[],2,FALSE)</f>
        <v>36</v>
      </c>
      <c r="E25" s="171">
        <f>VLOOKUP(B25,Inkjøp[],3,FALSE)</f>
        <v>1745.424</v>
      </c>
      <c r="F25" s="171">
        <f t="shared" si="7"/>
        <v>848.88000000000011</v>
      </c>
      <c r="G25" s="172">
        <f>IFERROR(VLOOKUP(B25,Salg_Total[],2,FALSE),0)</f>
        <v>110</v>
      </c>
      <c r="H25" s="173">
        <f>IFERROR(VLOOKUP(B25,Salg_Total[],3,FALSE),0)*0.9825</f>
        <v>2593.8000000000002</v>
      </c>
      <c r="I25" s="174"/>
      <c r="J25" s="116">
        <f t="shared" si="0"/>
        <v>0</v>
      </c>
      <c r="K25" s="175">
        <f t="shared" si="1"/>
        <v>-74</v>
      </c>
      <c r="L25" s="176">
        <f t="shared" si="8"/>
        <v>848.3760000000002</v>
      </c>
      <c r="M25" s="176">
        <f t="shared" si="9"/>
        <v>-1744.92</v>
      </c>
      <c r="P25" s="56">
        <f t="shared" si="2"/>
        <v>-24.915462499999997</v>
      </c>
      <c r="Q25" s="57">
        <f t="shared" si="3"/>
        <v>-1.0786492790500422</v>
      </c>
      <c r="R25" s="54">
        <f t="shared" si="4"/>
        <v>0.41265000000000007</v>
      </c>
      <c r="S25" s="54">
        <f t="shared" si="5"/>
        <v>14.855400000000003</v>
      </c>
      <c r="AC25" s="185" t="s">
        <v>112</v>
      </c>
      <c r="AD25" s="131">
        <f>VLOOKUP(AC25,Inkjøp[],2,FALSE)-VLOOKUP(AC25,Salg_Total[],2,FALSE)</f>
        <v>-74</v>
      </c>
      <c r="AE25" s="131">
        <v>0</v>
      </c>
      <c r="AF25" s="132">
        <v>1</v>
      </c>
    </row>
    <row r="26" spans="1:32" ht="16" customHeight="1" x14ac:dyDescent="0.4">
      <c r="B26" s="13" t="str">
        <v>Iskaffe Cappuccino U/sukker</v>
      </c>
      <c r="C26" s="151">
        <f t="shared" si="6"/>
        <v>23.580000000000002</v>
      </c>
      <c r="D26" s="170">
        <f>VLOOKUP(B26,Inkjøp[],2,FALSE)</f>
        <v>12</v>
      </c>
      <c r="E26" s="171">
        <f>VLOOKUP(B26,Inkjøp[],3,FALSE)</f>
        <v>872.71199999999999</v>
      </c>
      <c r="F26" s="171">
        <f t="shared" si="7"/>
        <v>282.96000000000004</v>
      </c>
      <c r="G26" s="172">
        <f>IFERROR(VLOOKUP(B26,Salg_Total[],2,FALSE),0)</f>
        <v>73</v>
      </c>
      <c r="H26" s="173">
        <f>IFERROR(VLOOKUP(B26,Salg_Total[],3,FALSE),0)*0.9825</f>
        <v>1721.3400000000001</v>
      </c>
      <c r="I26" s="174"/>
      <c r="J26" s="116">
        <f t="shared" si="0"/>
        <v>0</v>
      </c>
      <c r="K26" s="175">
        <f t="shared" si="1"/>
        <v>-61</v>
      </c>
      <c r="L26" s="176">
        <f t="shared" si="8"/>
        <v>848.62800000000016</v>
      </c>
      <c r="M26" s="176">
        <f t="shared" si="9"/>
        <v>-1438.38</v>
      </c>
      <c r="P26" s="56">
        <f t="shared" si="2"/>
        <v>-49.180387499999995</v>
      </c>
      <c r="Q26" s="57">
        <f t="shared" si="3"/>
        <v>-2.1067239185750628</v>
      </c>
      <c r="R26" s="54">
        <f t="shared" si="4"/>
        <v>0.41265000000000007</v>
      </c>
      <c r="S26" s="54">
        <f t="shared" si="5"/>
        <v>4.9518000000000013</v>
      </c>
      <c r="AC26" s="185" t="s">
        <v>113</v>
      </c>
      <c r="AD26" s="131">
        <f>VLOOKUP(AC26,Inkjøp[],2,FALSE)-VLOOKUP(AC26,Salg_Total[],2,FALSE)</f>
        <v>-61</v>
      </c>
      <c r="AE26" s="133">
        <v>0</v>
      </c>
      <c r="AF26" s="132">
        <v>-2</v>
      </c>
    </row>
    <row r="27" spans="1:32" ht="16" customHeight="1" x14ac:dyDescent="0.4">
      <c r="B27" s="13" t="str">
        <v>Iskaffe Latte U/sugar</v>
      </c>
      <c r="C27" s="151">
        <f t="shared" si="6"/>
        <v>23.580000000000002</v>
      </c>
      <c r="D27" s="170">
        <f>VLOOKUP(B27,Inkjøp[],2,FALSE)</f>
        <v>24</v>
      </c>
      <c r="E27" s="171">
        <f>VLOOKUP(B27,Inkjøp[],3,FALSE)</f>
        <v>1529.1779999999999</v>
      </c>
      <c r="F27" s="171">
        <f t="shared" si="7"/>
        <v>565.92000000000007</v>
      </c>
      <c r="G27" s="172">
        <f>IFERROR(VLOOKUP(B27,Salg_Total[],2,FALSE),0)</f>
        <v>135</v>
      </c>
      <c r="H27" s="173">
        <f>IFERROR(VLOOKUP(B27,Salg_Total[],3,FALSE),0)*0.9825</f>
        <v>3183.3</v>
      </c>
      <c r="I27" s="174"/>
      <c r="J27" s="116">
        <f t="shared" si="0"/>
        <v>0</v>
      </c>
      <c r="K27" s="175">
        <f t="shared" si="1"/>
        <v>-111</v>
      </c>
      <c r="L27" s="176">
        <f t="shared" si="8"/>
        <v>1654.1220000000003</v>
      </c>
      <c r="M27" s="176">
        <f t="shared" si="9"/>
        <v>-2617.38</v>
      </c>
      <c r="P27" s="56">
        <f t="shared" si="2"/>
        <v>-40.152943749999991</v>
      </c>
      <c r="Q27" s="57">
        <f t="shared" si="3"/>
        <v>-1.7246098388464794</v>
      </c>
      <c r="R27" s="54">
        <f t="shared" si="4"/>
        <v>0.41265000000000007</v>
      </c>
      <c r="S27" s="54">
        <f t="shared" si="5"/>
        <v>9.9036000000000026</v>
      </c>
      <c r="AC27" s="185" t="s">
        <v>114</v>
      </c>
      <c r="AD27" s="131">
        <f>VLOOKUP(AC27,Inkjøp[],2,FALSE)-VLOOKUP(AC27,Salg_Total[],2,FALSE)</f>
        <v>-111</v>
      </c>
      <c r="AE27" s="131">
        <v>0</v>
      </c>
      <c r="AF27" s="132">
        <v>-13</v>
      </c>
    </row>
    <row r="28" spans="1:32" ht="16" customHeight="1" x14ac:dyDescent="0.4">
      <c r="B28" s="13" t="str">
        <v>Iskaffe Salty Caramel</v>
      </c>
      <c r="C28" s="151">
        <f t="shared" si="6"/>
        <v>23.580000000000002</v>
      </c>
      <c r="D28" s="170">
        <f>VLOOKUP(B28,Inkjøp[],2,FALSE)</f>
        <v>34</v>
      </c>
      <c r="E28" s="171">
        <f>VLOOKUP(B28,Inkjøp[],3,FALSE)</f>
        <v>1508.7999999999997</v>
      </c>
      <c r="F28" s="171">
        <f t="shared" si="7"/>
        <v>801.72</v>
      </c>
      <c r="G28" s="172">
        <f>IFERROR(VLOOKUP(B28,Salg_Total[],2,FALSE),0)</f>
        <v>140</v>
      </c>
      <c r="H28" s="173">
        <f>IFERROR(VLOOKUP(B28,Salg_Total[],3,FALSE),0)*0.9825</f>
        <v>3301.2000000000003</v>
      </c>
      <c r="I28" s="174"/>
      <c r="J28" s="116">
        <f t="shared" si="0"/>
        <v>0</v>
      </c>
      <c r="K28" s="175">
        <f t="shared" si="1"/>
        <v>-106</v>
      </c>
      <c r="L28" s="176">
        <f t="shared" si="8"/>
        <v>1792.4000000000005</v>
      </c>
      <c r="M28" s="176">
        <f t="shared" si="9"/>
        <v>-2499.48</v>
      </c>
      <c r="P28" s="56">
        <f t="shared" si="2"/>
        <v>-20.808607352941166</v>
      </c>
      <c r="Q28" s="57">
        <f t="shared" si="3"/>
        <v>-0.90445379933143699</v>
      </c>
      <c r="R28" s="54">
        <f t="shared" si="4"/>
        <v>0.41265000000000007</v>
      </c>
      <c r="S28" s="54">
        <f t="shared" si="5"/>
        <v>14.030100000000003</v>
      </c>
      <c r="AC28" s="185" t="s">
        <v>115</v>
      </c>
      <c r="AD28" s="131">
        <f>VLOOKUP(AC28,Inkjøp[],2,FALSE)-VLOOKUP(AC28,Salg_Total[],2,FALSE)</f>
        <v>-106</v>
      </c>
      <c r="AE28" s="133">
        <v>0</v>
      </c>
      <c r="AF28" s="132">
        <v>-2</v>
      </c>
    </row>
    <row r="29" spans="1:32" ht="16" customHeight="1" x14ac:dyDescent="0.4">
      <c r="A29" t="s">
        <v>68</v>
      </c>
      <c r="B29" s="13" t="str">
        <v>Iskaffe Mocha</v>
      </c>
      <c r="C29" s="151">
        <f t="shared" si="6"/>
        <v>23.580000000000002</v>
      </c>
      <c r="D29" s="170">
        <f>VLOOKUP(B29,Inkjøp[],2,FALSE)</f>
        <v>24</v>
      </c>
      <c r="E29" s="171">
        <f>VLOOKUP(B29,Inkjøp[],3,FALSE)</f>
        <v>1090.8899999999999</v>
      </c>
      <c r="F29" s="171">
        <f t="shared" si="7"/>
        <v>565.92000000000007</v>
      </c>
      <c r="G29" s="172">
        <f>IFERROR(VLOOKUP(B29,Salg_Total[],2,FALSE),0)</f>
        <v>82</v>
      </c>
      <c r="H29" s="173">
        <f>IFERROR(VLOOKUP(B29,Salg_Total[],3,FALSE),0)*0.9825</f>
        <v>1933.5600000000002</v>
      </c>
      <c r="I29" s="174"/>
      <c r="J29" s="116">
        <f t="shared" si="0"/>
        <v>0</v>
      </c>
      <c r="K29" s="175">
        <f t="shared" si="1"/>
        <v>-58</v>
      </c>
      <c r="L29" s="176">
        <f t="shared" si="8"/>
        <v>842.6700000000003</v>
      </c>
      <c r="M29" s="176">
        <f t="shared" si="9"/>
        <v>-1367.64</v>
      </c>
      <c r="P29" s="56">
        <f t="shared" si="2"/>
        <v>-21.890943749999991</v>
      </c>
      <c r="Q29" s="57">
        <f t="shared" si="3"/>
        <v>-0.95013994910941435</v>
      </c>
      <c r="R29" s="54">
        <f t="shared" si="4"/>
        <v>0.41265000000000007</v>
      </c>
      <c r="S29" s="54">
        <f t="shared" si="5"/>
        <v>9.9036000000000026</v>
      </c>
      <c r="AC29" s="185" t="s">
        <v>116</v>
      </c>
      <c r="AD29" s="131">
        <f>VLOOKUP(AC29,Inkjøp[],2,FALSE)-VLOOKUP(AC29,Salg_Total[],2,FALSE)</f>
        <v>-58</v>
      </c>
      <c r="AE29" s="131">
        <v>0</v>
      </c>
      <c r="AF29" s="132">
        <v>2</v>
      </c>
    </row>
    <row r="30" spans="1:32" ht="16" customHeight="1" x14ac:dyDescent="0.4">
      <c r="B30" s="13" t="str">
        <v>Iskaffe Pumpkin Spice</v>
      </c>
      <c r="C30" s="151">
        <f t="shared" si="6"/>
        <v>23.102027027027031</v>
      </c>
      <c r="D30" s="170">
        <f>VLOOKUP(B30,Inkjøp[],2,FALSE)</f>
        <v>24</v>
      </c>
      <c r="E30" s="171">
        <f>VLOOKUP(B30,Inkjøp[],3,FALSE)</f>
        <v>694.69200000000001</v>
      </c>
      <c r="F30" s="171">
        <f t="shared" si="7"/>
        <v>554.44864864864871</v>
      </c>
      <c r="G30" s="172">
        <f>IFERROR(VLOOKUP(B30,Salg_Total[],2,FALSE),0)</f>
        <v>37</v>
      </c>
      <c r="H30" s="173">
        <f>IFERROR(VLOOKUP(B30,Salg_Total[],3,FALSE),0)*0.9825</f>
        <v>854.77500000000009</v>
      </c>
      <c r="I30" s="174"/>
      <c r="J30" s="116">
        <f t="shared" si="0"/>
        <v>0</v>
      </c>
      <c r="K30" s="175">
        <f t="shared" si="1"/>
        <v>-13</v>
      </c>
      <c r="L30" s="176">
        <f t="shared" si="8"/>
        <v>160.08300000000008</v>
      </c>
      <c r="M30" s="176">
        <f t="shared" si="9"/>
        <v>-300.32635135135138</v>
      </c>
      <c r="P30" s="56">
        <f t="shared" si="2"/>
        <v>-5.860318201013512</v>
      </c>
      <c r="Q30" s="57">
        <f t="shared" si="3"/>
        <v>-0.27544200228130195</v>
      </c>
      <c r="R30" s="54">
        <f t="shared" si="4"/>
        <v>0.40428547297297307</v>
      </c>
      <c r="S30" s="54">
        <f t="shared" si="5"/>
        <v>9.7028513513513541</v>
      </c>
      <c r="AC30" s="185" t="s">
        <v>117</v>
      </c>
      <c r="AD30" s="131">
        <f>VLOOKUP(AC30,Inkjøp[],2,FALSE)-VLOOKUP(AC30,Salg_Total[],2,FALSE)</f>
        <v>-13</v>
      </c>
      <c r="AE30" s="133">
        <v>0</v>
      </c>
      <c r="AF30" s="132">
        <v>1</v>
      </c>
    </row>
    <row r="31" spans="1:32" ht="16" customHeight="1" x14ac:dyDescent="0.4">
      <c r="B31" s="13" t="str">
        <v>Sjokomelk</v>
      </c>
      <c r="C31" s="151">
        <f t="shared" si="6"/>
        <v>14.878243801652893</v>
      </c>
      <c r="D31" s="170">
        <f>VLOOKUP(B31,Inkjøp[],2,FALSE)</f>
        <v>126</v>
      </c>
      <c r="E31" s="171">
        <f>VLOOKUP(B31,Inkjøp[],3,FALSE)</f>
        <v>2871.5039999999999</v>
      </c>
      <c r="F31" s="171">
        <f t="shared" si="7"/>
        <v>1874.6587190082646</v>
      </c>
      <c r="G31" s="172">
        <f>IFERROR(VLOOKUP(B31,Salg_Total[],2,FALSE),0)</f>
        <v>363</v>
      </c>
      <c r="H31" s="173">
        <f>IFERROR(VLOOKUP(B31,Salg_Total[],3,FALSE),0)*0.9825</f>
        <v>5400.8024999999998</v>
      </c>
      <c r="I31" s="174"/>
      <c r="J31" s="116">
        <f t="shared" si="0"/>
        <v>0</v>
      </c>
      <c r="K31" s="175">
        <f t="shared" si="1"/>
        <v>-237</v>
      </c>
      <c r="L31" s="176">
        <f t="shared" si="8"/>
        <v>2529.2984999999999</v>
      </c>
      <c r="M31" s="176">
        <f t="shared" si="9"/>
        <v>-3526.1437809917356</v>
      </c>
      <c r="P31" s="56">
        <f t="shared" si="2"/>
        <v>-7.9135369068116201</v>
      </c>
      <c r="Q31" s="57">
        <f t="shared" si="3"/>
        <v>-0.55424760338195755</v>
      </c>
      <c r="R31" s="54">
        <f t="shared" si="4"/>
        <v>0.26036926652892567</v>
      </c>
      <c r="S31" s="54">
        <f t="shared" si="5"/>
        <v>32.806527582644634</v>
      </c>
      <c r="AC31" s="185" t="s">
        <v>118</v>
      </c>
      <c r="AD31" s="131">
        <f>VLOOKUP(AC31,Inkjøp[],2,FALSE)-VLOOKUP(AC31,Salg_Total[],2,FALSE)</f>
        <v>-237</v>
      </c>
      <c r="AE31" s="131">
        <v>9</v>
      </c>
      <c r="AF31" s="132">
        <v>6</v>
      </c>
    </row>
    <row r="32" spans="1:32" ht="16" customHeight="1" x14ac:dyDescent="0.4">
      <c r="B32" s="13" t="str">
        <v>Fanta Exotic</v>
      </c>
      <c r="C32" s="151">
        <f t="shared" si="6"/>
        <v>27.51</v>
      </c>
      <c r="D32" s="170">
        <f>VLOOKUP(B32,Inkjøp[],2,FALSE)</f>
        <v>96</v>
      </c>
      <c r="E32" s="171">
        <f>VLOOKUP(B32,Inkjøp[],3,FALSE)</f>
        <v>5499.0359999999991</v>
      </c>
      <c r="F32" s="171">
        <f t="shared" si="7"/>
        <v>2640.96</v>
      </c>
      <c r="G32" s="172">
        <f>IFERROR(VLOOKUP(B32,Salg_Total[],2,FALSE),0)</f>
        <v>330</v>
      </c>
      <c r="H32" s="173">
        <f>IFERROR(VLOOKUP(B32,Salg_Total[],3,FALSE),0)*0.9825</f>
        <v>9078.3000000000011</v>
      </c>
      <c r="I32" s="174"/>
      <c r="J32" s="116">
        <f t="shared" si="0"/>
        <v>0</v>
      </c>
      <c r="K32" s="175">
        <f t="shared" si="1"/>
        <v>-234</v>
      </c>
      <c r="L32" s="176">
        <f t="shared" si="8"/>
        <v>3579.2640000000019</v>
      </c>
      <c r="M32" s="176">
        <f t="shared" si="9"/>
        <v>-6437.34</v>
      </c>
      <c r="P32" s="56">
        <f t="shared" si="2"/>
        <v>-29.77663984374999</v>
      </c>
      <c r="Q32" s="57">
        <f t="shared" si="3"/>
        <v>-1.1047110141766627</v>
      </c>
      <c r="R32" s="54">
        <f t="shared" si="4"/>
        <v>0.48142500000000005</v>
      </c>
      <c r="S32" s="54">
        <f t="shared" si="5"/>
        <v>46.216800000000006</v>
      </c>
      <c r="AC32" s="185" t="s">
        <v>119</v>
      </c>
      <c r="AD32" s="131">
        <f>VLOOKUP(AC32,Inkjøp[],2,FALSE)-VLOOKUP(AC32,Salg_Total[],2,FALSE)</f>
        <v>-234</v>
      </c>
      <c r="AE32" s="133">
        <v>0</v>
      </c>
      <c r="AF32" s="132">
        <v>-4</v>
      </c>
    </row>
    <row r="33" spans="1:32" ht="16" customHeight="1" x14ac:dyDescent="0.4">
      <c r="B33" s="13" t="str">
        <v>Fanta Orange</v>
      </c>
      <c r="C33" s="151">
        <f t="shared" si="6"/>
        <v>27.51</v>
      </c>
      <c r="D33" s="170">
        <f>VLOOKUP(B33,Inkjøp[],2,FALSE)</f>
        <v>48</v>
      </c>
      <c r="E33" s="171">
        <f>VLOOKUP(B33,Inkjøp[],3,FALSE)</f>
        <v>1999.2479999999998</v>
      </c>
      <c r="F33" s="171">
        <f t="shared" si="7"/>
        <v>1320.48</v>
      </c>
      <c r="G33" s="172">
        <f>IFERROR(VLOOKUP(B33,Salg_Total[],2,FALSE),0)</f>
        <v>75</v>
      </c>
      <c r="H33" s="173">
        <f>IFERROR(VLOOKUP(B33,Salg_Total[],3,FALSE),0)*0.9825</f>
        <v>2063.25</v>
      </c>
      <c r="I33" s="174"/>
      <c r="J33" s="116">
        <f t="shared" si="0"/>
        <v>0</v>
      </c>
      <c r="K33" s="175">
        <f t="shared" si="1"/>
        <v>-27</v>
      </c>
      <c r="L33" s="176">
        <f t="shared" si="8"/>
        <v>64.00200000000018</v>
      </c>
      <c r="M33" s="176">
        <f t="shared" si="9"/>
        <v>-742.7700000000001</v>
      </c>
      <c r="P33" s="56">
        <f t="shared" si="2"/>
        <v>-14.151029687499994</v>
      </c>
      <c r="Q33" s="57">
        <f t="shared" si="3"/>
        <v>-0.53653126135950546</v>
      </c>
      <c r="R33" s="54">
        <f t="shared" si="4"/>
        <v>0.48142500000000005</v>
      </c>
      <c r="S33" s="54">
        <f t="shared" si="5"/>
        <v>23.108400000000003</v>
      </c>
      <c r="AC33" s="185" t="s">
        <v>120</v>
      </c>
      <c r="AD33" s="131">
        <f>VLOOKUP(AC33,Inkjøp[],2,FALSE)-VLOOKUP(AC33,Salg_Total[],2,FALSE)</f>
        <v>-27</v>
      </c>
      <c r="AE33" s="131">
        <v>49</v>
      </c>
      <c r="AF33" s="132">
        <v>9</v>
      </c>
    </row>
    <row r="34" spans="1:32" ht="16" customHeight="1" x14ac:dyDescent="0.4">
      <c r="B34" s="13" t="str">
        <v>Urge</v>
      </c>
      <c r="C34" s="151">
        <f t="shared" si="6"/>
        <v>27.382454361054769</v>
      </c>
      <c r="D34" s="170">
        <f>VLOOKUP(B34,Inkjøp[],2,FALSE)</f>
        <v>168</v>
      </c>
      <c r="E34" s="171">
        <f>VLOOKUP(B34,Inkjøp[],3,FALSE)</f>
        <v>8000.8559999999989</v>
      </c>
      <c r="F34" s="171">
        <f t="shared" si="7"/>
        <v>4600.2523326572009</v>
      </c>
      <c r="G34" s="172">
        <f>IFERROR(VLOOKUP(B34,Salg_Total[],2,FALSE),0)</f>
        <v>493</v>
      </c>
      <c r="H34" s="173">
        <f>IFERROR(VLOOKUP(B34,Salg_Total[],3,FALSE),0)*0.9825</f>
        <v>13499.550000000001</v>
      </c>
      <c r="I34" s="174"/>
      <c r="J34" s="116">
        <f t="shared" ref="J34:J65" si="10">I34*C34</f>
        <v>0</v>
      </c>
      <c r="K34" s="175">
        <f t="shared" ref="K34:K69" si="11">D34-G34-I34</f>
        <v>-325</v>
      </c>
      <c r="L34" s="176">
        <f t="shared" si="8"/>
        <v>5498.6940000000022</v>
      </c>
      <c r="M34" s="176">
        <f t="shared" ref="M34:M66" si="12">K34*C34</f>
        <v>-8899.2976673428002</v>
      </c>
      <c r="P34" s="56">
        <f t="shared" ref="P34:P66" si="13">(F34-E34-R34)/D34</f>
        <v>-20.244540835084027</v>
      </c>
      <c r="Q34" s="57">
        <f t="shared" ref="Q34:Q66" si="14">(F34-E34-F34*0.0225)/F34</f>
        <v>-0.76172111689437239</v>
      </c>
      <c r="R34" s="54">
        <f t="shared" ref="R34:R66" si="15">C34*0.0175</f>
        <v>0.47919295131845852</v>
      </c>
      <c r="S34" s="54">
        <f t="shared" ref="S34:S66" si="16">F34*0.0175</f>
        <v>80.504415821501027</v>
      </c>
      <c r="AC34" s="185" t="s">
        <v>121</v>
      </c>
      <c r="AD34" s="131">
        <f>VLOOKUP(AC34,Inkjøp[],2,FALSE)-VLOOKUP(AC34,Salg_Total[],2,FALSE)</f>
        <v>-325</v>
      </c>
      <c r="AE34" s="133">
        <v>0</v>
      </c>
      <c r="AF34" s="132">
        <v>4</v>
      </c>
    </row>
    <row r="35" spans="1:32" ht="16" customHeight="1" x14ac:dyDescent="0.4">
      <c r="B35" s="13" t="str">
        <v>Pepsi Max</v>
      </c>
      <c r="C35" s="151">
        <f t="shared" si="6"/>
        <v>19.650000000000002</v>
      </c>
      <c r="D35" s="170">
        <f>VLOOKUP(B35,Inkjøp[],2,FALSE)</f>
        <v>200</v>
      </c>
      <c r="E35" s="171">
        <f>VLOOKUP(B35,Inkjøp[],3,FALSE)</f>
        <v>7218.5771999999988</v>
      </c>
      <c r="F35" s="171">
        <f t="shared" si="7"/>
        <v>3930.0000000000005</v>
      </c>
      <c r="G35" s="172">
        <f>IFERROR(VLOOKUP(B35,Salg_Total[],2,FALSE),0)</f>
        <v>838</v>
      </c>
      <c r="H35" s="173">
        <f>IFERROR(VLOOKUP(B35,Salg_Total[],3,FALSE),0)*0.9825</f>
        <v>16466.7</v>
      </c>
      <c r="I35" s="174"/>
      <c r="J35" s="116">
        <f t="shared" si="10"/>
        <v>0</v>
      </c>
      <c r="K35" s="175">
        <f t="shared" si="11"/>
        <v>-638</v>
      </c>
      <c r="L35" s="176">
        <f t="shared" si="8"/>
        <v>9248.122800000001</v>
      </c>
      <c r="M35" s="176">
        <f t="shared" si="12"/>
        <v>-12536.7</v>
      </c>
      <c r="P35" s="56">
        <f t="shared" si="13"/>
        <v>-16.444605374999991</v>
      </c>
      <c r="Q35" s="57">
        <f t="shared" si="14"/>
        <v>-0.85928809160305297</v>
      </c>
      <c r="R35" s="54">
        <f t="shared" si="15"/>
        <v>0.3438750000000001</v>
      </c>
      <c r="S35" s="54">
        <f t="shared" si="16"/>
        <v>68.77500000000002</v>
      </c>
      <c r="AC35" s="185" t="s">
        <v>122</v>
      </c>
      <c r="AD35" s="131">
        <f>VLOOKUP(AC35,Inkjøp[],2,FALSE)-VLOOKUP(AC35,Salg_Total[],2,FALSE)</f>
        <v>-638</v>
      </c>
      <c r="AE35" s="131">
        <v>0</v>
      </c>
      <c r="AF35" s="132">
        <v>0</v>
      </c>
    </row>
    <row r="36" spans="1:32" ht="16" customHeight="1" x14ac:dyDescent="0.4">
      <c r="B36" s="13" t="str">
        <v>Coca Cola</v>
      </c>
      <c r="C36" s="151">
        <f t="shared" si="6"/>
        <v>19.650000000000002</v>
      </c>
      <c r="D36" s="170">
        <f>VLOOKUP(B36,Inkjøp[],2,FALSE)</f>
        <v>60</v>
      </c>
      <c r="E36" s="171">
        <f>VLOOKUP(B36,Inkjøp[],3,FALSE)</f>
        <v>3518.7599999999998</v>
      </c>
      <c r="F36" s="171">
        <f t="shared" si="7"/>
        <v>1179.0000000000002</v>
      </c>
      <c r="G36" s="172">
        <f>IFERROR(VLOOKUP(B36,Salg_Total[],2,FALSE),0)</f>
        <v>349</v>
      </c>
      <c r="H36" s="173">
        <f>IFERROR(VLOOKUP(B36,Salg_Total[],3,FALSE),0)*0.9825</f>
        <v>6857.85</v>
      </c>
      <c r="I36" s="174"/>
      <c r="J36" s="116">
        <f t="shared" si="10"/>
        <v>0</v>
      </c>
      <c r="K36" s="175">
        <f t="shared" si="11"/>
        <v>-289</v>
      </c>
      <c r="L36" s="176">
        <f t="shared" si="8"/>
        <v>3339.0900000000006</v>
      </c>
      <c r="M36" s="176">
        <f t="shared" si="12"/>
        <v>-5678.85</v>
      </c>
      <c r="P36" s="56">
        <f t="shared" si="13"/>
        <v>-39.001731249999992</v>
      </c>
      <c r="Q36" s="57">
        <f t="shared" si="14"/>
        <v>-2.0070292620865131</v>
      </c>
      <c r="R36" s="54">
        <f t="shared" si="15"/>
        <v>0.3438750000000001</v>
      </c>
      <c r="S36" s="54">
        <f t="shared" si="16"/>
        <v>20.632500000000007</v>
      </c>
      <c r="AC36" s="185" t="s">
        <v>123</v>
      </c>
      <c r="AD36" s="131">
        <f>VLOOKUP(AC36,Inkjøp[],2,FALSE)-VLOOKUP(AC36,Salg_Total[],2,FALSE)</f>
        <v>-289</v>
      </c>
      <c r="AE36" s="133">
        <v>0</v>
      </c>
      <c r="AF36" s="132">
        <v>-8</v>
      </c>
    </row>
    <row r="37" spans="1:32" ht="16" customHeight="1" x14ac:dyDescent="0.4">
      <c r="A37" t="s">
        <v>69</v>
      </c>
      <c r="B37" s="13" t="str">
        <v>Coca Cola Zero</v>
      </c>
      <c r="C37" s="151">
        <f t="shared" si="6"/>
        <v>19.650000000000002</v>
      </c>
      <c r="D37" s="170">
        <f>VLOOKUP(B37,Inkjøp[],2,FALSE)</f>
        <v>0</v>
      </c>
      <c r="E37" s="171">
        <f>VLOOKUP(B37,Inkjøp[],3,FALSE)</f>
        <v>841.05</v>
      </c>
      <c r="F37" s="171">
        <f t="shared" si="7"/>
        <v>0</v>
      </c>
      <c r="G37" s="172">
        <f>IFERROR(VLOOKUP(B37,Salg_Total[],2,FALSE),0)</f>
        <v>117</v>
      </c>
      <c r="H37" s="173">
        <f>IFERROR(VLOOKUP(B37,Salg_Total[],3,FALSE),0)*0.9825</f>
        <v>2299.0500000000002</v>
      </c>
      <c r="I37" s="174"/>
      <c r="J37" s="116">
        <f t="shared" si="10"/>
        <v>0</v>
      </c>
      <c r="K37" s="175">
        <f t="shared" si="11"/>
        <v>-117</v>
      </c>
      <c r="L37" s="176">
        <f t="shared" si="8"/>
        <v>1458.0000000000002</v>
      </c>
      <c r="M37" s="176">
        <f t="shared" si="12"/>
        <v>-2299.0500000000002</v>
      </c>
      <c r="P37" s="56" t="e">
        <f t="shared" si="13"/>
        <v>#DIV/0!</v>
      </c>
      <c r="Q37" s="57" t="e">
        <f t="shared" si="14"/>
        <v>#DIV/0!</v>
      </c>
      <c r="R37" s="54">
        <f t="shared" si="15"/>
        <v>0.3438750000000001</v>
      </c>
      <c r="S37" s="54">
        <f t="shared" si="16"/>
        <v>0</v>
      </c>
      <c r="AC37" s="185" t="s">
        <v>124</v>
      </c>
      <c r="AD37" s="131">
        <f>VLOOKUP(AC37,Inkjøp[],2,FALSE)-VLOOKUP(AC37,Salg_Total[],2,FALSE)</f>
        <v>-117</v>
      </c>
      <c r="AE37" s="131">
        <v>0</v>
      </c>
      <c r="AF37" s="132">
        <v>15</v>
      </c>
    </row>
    <row r="38" spans="1:32" ht="16" customHeight="1" x14ac:dyDescent="0.4">
      <c r="B38" s="13" t="str">
        <v>Cola zero 0.5</v>
      </c>
      <c r="C38" s="151">
        <f t="shared" si="6"/>
        <v>27.51</v>
      </c>
      <c r="D38" s="170">
        <f>VLOOKUP(B38,Inkjøp[],2,FALSE)</f>
        <v>48</v>
      </c>
      <c r="E38" s="171">
        <f>VLOOKUP(B38,Inkjøp[],3,FALSE)</f>
        <v>1836.9599999999998</v>
      </c>
      <c r="F38" s="171">
        <f t="shared" si="7"/>
        <v>1320.48</v>
      </c>
      <c r="G38" s="172">
        <f>IFERROR(VLOOKUP(B38,Salg_Total[],2,FALSE),0)</f>
        <v>72</v>
      </c>
      <c r="H38" s="173">
        <f>IFERROR(VLOOKUP(B38,Salg_Total[],3,FALSE),0)*0.9825</f>
        <v>1980.72</v>
      </c>
      <c r="I38" s="174"/>
      <c r="J38" s="116">
        <f t="shared" si="10"/>
        <v>0</v>
      </c>
      <c r="K38" s="175">
        <f t="shared" si="11"/>
        <v>-24</v>
      </c>
      <c r="L38" s="176">
        <f t="shared" si="8"/>
        <v>143.76000000000022</v>
      </c>
      <c r="M38" s="176">
        <f t="shared" si="12"/>
        <v>-660.24</v>
      </c>
      <c r="N38">
        <v>1</v>
      </c>
      <c r="P38" s="56">
        <f t="shared" si="13"/>
        <v>-10.770029687499994</v>
      </c>
      <c r="Q38" s="57">
        <f t="shared" si="14"/>
        <v>-0.41363049800072682</v>
      </c>
      <c r="R38" s="54">
        <f t="shared" si="15"/>
        <v>0.48142500000000005</v>
      </c>
      <c r="S38" s="54">
        <f t="shared" si="16"/>
        <v>23.108400000000003</v>
      </c>
      <c r="AC38" s="185" t="s">
        <v>125</v>
      </c>
      <c r="AD38" s="131">
        <f>VLOOKUP(AC38,Inkjøp[],2,FALSE)-VLOOKUP(AC38,Salg_Total[],2,FALSE)</f>
        <v>-24</v>
      </c>
      <c r="AE38" s="133">
        <v>0</v>
      </c>
      <c r="AF38" s="132">
        <v>3</v>
      </c>
    </row>
    <row r="39" spans="1:32" ht="16" customHeight="1" x14ac:dyDescent="0.4">
      <c r="B39" s="13" t="str">
        <v>Julebrus boks</v>
      </c>
      <c r="C39" s="151">
        <f t="shared" si="6"/>
        <v>29.474999999999998</v>
      </c>
      <c r="D39" s="170">
        <f>VLOOKUP(B39,Inkjøp[],2,FALSE)</f>
        <v>0</v>
      </c>
      <c r="E39" s="171">
        <f>VLOOKUP(B39,Inkjøp[],3,FALSE)</f>
        <v>0</v>
      </c>
      <c r="F39" s="171">
        <f t="shared" si="7"/>
        <v>0</v>
      </c>
      <c r="G39" s="172">
        <f>IFERROR(VLOOKUP(B39,Salg_Total[],2,FALSE),0)</f>
        <v>48</v>
      </c>
      <c r="H39" s="173">
        <f>IFERROR(VLOOKUP(B39,Salg_Total[],3,FALSE),0)*0.9825</f>
        <v>1414.8</v>
      </c>
      <c r="I39" s="174"/>
      <c r="J39" s="116">
        <f t="shared" si="10"/>
        <v>0</v>
      </c>
      <c r="K39" s="175">
        <f t="shared" si="11"/>
        <v>-48</v>
      </c>
      <c r="L39" s="176">
        <f t="shared" si="8"/>
        <v>1414.8</v>
      </c>
      <c r="M39" s="176">
        <f t="shared" si="12"/>
        <v>-1414.8</v>
      </c>
      <c r="P39" s="56" t="e">
        <f t="shared" si="13"/>
        <v>#DIV/0!</v>
      </c>
      <c r="Q39" s="57" t="e">
        <f t="shared" si="14"/>
        <v>#DIV/0!</v>
      </c>
      <c r="R39" s="54">
        <f t="shared" si="15"/>
        <v>0.51581250000000001</v>
      </c>
      <c r="S39" s="54">
        <f t="shared" si="16"/>
        <v>0</v>
      </c>
      <c r="AC39" s="185" t="s">
        <v>126</v>
      </c>
      <c r="AD39" s="131">
        <f>VLOOKUP(AC39,Inkjøp[],2,FALSE)-VLOOKUP(AC39,Salg_Total[],2,FALSE)</f>
        <v>-69</v>
      </c>
      <c r="AE39" s="131">
        <v>0</v>
      </c>
      <c r="AF39" s="132">
        <v>-4</v>
      </c>
    </row>
    <row r="40" spans="1:32" ht="16" customHeight="1" x14ac:dyDescent="0.4">
      <c r="B40" s="13" t="str">
        <v>Iste</v>
      </c>
      <c r="C40" s="151">
        <f t="shared" si="6"/>
        <v>27.731854838709676</v>
      </c>
      <c r="D40" s="170">
        <f>VLOOKUP(B40,Inkjøp[],2,FALSE)</f>
        <v>24</v>
      </c>
      <c r="E40" s="171">
        <f>VLOOKUP(B40,Inkjøp[],3,FALSE)</f>
        <v>1538.3519999999999</v>
      </c>
      <c r="F40" s="171">
        <f t="shared" si="7"/>
        <v>665.5645161290322</v>
      </c>
      <c r="G40" s="172">
        <f>IFERROR(VLOOKUP(B40,Salg_Total[],2,FALSE),0)</f>
        <v>93</v>
      </c>
      <c r="H40" s="173">
        <f>IFERROR(VLOOKUP(B40,Salg_Total[],3,FALSE),0)*0.9825</f>
        <v>2579.0625</v>
      </c>
      <c r="I40" s="174"/>
      <c r="J40" s="116">
        <f t="shared" si="10"/>
        <v>0</v>
      </c>
      <c r="K40" s="175">
        <f t="shared" si="11"/>
        <v>-69</v>
      </c>
      <c r="L40" s="176">
        <f t="shared" si="8"/>
        <v>1040.7105000000001</v>
      </c>
      <c r="M40" s="176">
        <f t="shared" si="12"/>
        <v>-1913.4979838709676</v>
      </c>
      <c r="P40" s="56">
        <f t="shared" si="13"/>
        <v>-36.386366305443545</v>
      </c>
      <c r="Q40" s="57">
        <f t="shared" si="14"/>
        <v>-1.3338491821155942</v>
      </c>
      <c r="R40" s="54">
        <f t="shared" si="15"/>
        <v>0.48530745967741939</v>
      </c>
      <c r="S40" s="54">
        <f t="shared" si="16"/>
        <v>11.647379032258065</v>
      </c>
      <c r="AC40" s="185" t="s">
        <v>127</v>
      </c>
      <c r="AD40" s="131">
        <f>VLOOKUP(AC40,Inkjøp[],2,FALSE)-VLOOKUP(AC40,Salg_Total[],2,FALSE)</f>
        <v>-50</v>
      </c>
      <c r="AE40" s="133">
        <v>0</v>
      </c>
      <c r="AF40" s="132">
        <v>0</v>
      </c>
    </row>
    <row r="41" spans="1:32" ht="16" customHeight="1" x14ac:dyDescent="0.4">
      <c r="B41" s="13" t="str">
        <v>Iste U/sukker</v>
      </c>
      <c r="C41" s="151">
        <f t="shared" si="6"/>
        <v>27.51</v>
      </c>
      <c r="D41" s="170">
        <f>VLOOKUP(B41,Inkjøp[],2,FALSE)</f>
        <v>12</v>
      </c>
      <c r="E41" s="171">
        <f>VLOOKUP(B41,Inkjøp[],3,FALSE)</f>
        <v>1016.184</v>
      </c>
      <c r="F41" s="171">
        <f t="shared" si="7"/>
        <v>330.12</v>
      </c>
      <c r="G41" s="172">
        <f>IFERROR(VLOOKUP(B41,Salg_Total[],2,FALSE),0)</f>
        <v>62</v>
      </c>
      <c r="H41" s="173">
        <f>IFERROR(VLOOKUP(B41,Salg_Total[],3,FALSE),0)*0.9825</f>
        <v>1705.6200000000001</v>
      </c>
      <c r="I41" s="174"/>
      <c r="J41" s="116">
        <f t="shared" si="10"/>
        <v>0</v>
      </c>
      <c r="K41" s="175">
        <f t="shared" si="11"/>
        <v>-50</v>
      </c>
      <c r="L41" s="176">
        <f t="shared" si="8"/>
        <v>689.43600000000015</v>
      </c>
      <c r="M41" s="176">
        <f t="shared" si="12"/>
        <v>-1375.5</v>
      </c>
      <c r="P41" s="56">
        <f t="shared" si="13"/>
        <v>-57.212118749999995</v>
      </c>
      <c r="Q41" s="57">
        <f t="shared" si="14"/>
        <v>-2.1007260996001453</v>
      </c>
      <c r="R41" s="54">
        <f t="shared" si="15"/>
        <v>0.48142500000000005</v>
      </c>
      <c r="S41" s="54">
        <f t="shared" si="16"/>
        <v>5.7771000000000008</v>
      </c>
      <c r="AC41" s="185" t="s">
        <v>128</v>
      </c>
      <c r="AD41" s="131">
        <f>VLOOKUP(AC41,Inkjøp[],2,FALSE)-VLOOKUP(AC41,Salg_Total[],2,FALSE)</f>
        <v>-55</v>
      </c>
      <c r="AE41" s="131">
        <v>0</v>
      </c>
      <c r="AF41" s="132">
        <v>3</v>
      </c>
    </row>
    <row r="42" spans="1:32" ht="16" customHeight="1" x14ac:dyDescent="0.4">
      <c r="B42" s="13" t="str">
        <v>Smil</v>
      </c>
      <c r="C42" s="151">
        <f t="shared" si="6"/>
        <v>34.387500000000003</v>
      </c>
      <c r="D42" s="170">
        <f>VLOOKUP(B42,Inkjøp[],2,FALSE)</f>
        <v>0</v>
      </c>
      <c r="E42" s="171">
        <f>VLOOKUP(B42,Inkjøp[],3,FALSE)</f>
        <v>1331.9563349999999</v>
      </c>
      <c r="F42" s="171">
        <f t="shared" si="7"/>
        <v>0</v>
      </c>
      <c r="G42" s="172">
        <f>IFERROR(VLOOKUP(B42,Salg_Total[],2,FALSE),0)</f>
        <v>55</v>
      </c>
      <c r="H42" s="173">
        <f>IFERROR(VLOOKUP(B42,Salg_Total[],3,FALSE),0)*0.9825</f>
        <v>1891.3125</v>
      </c>
      <c r="I42" s="174"/>
      <c r="J42" s="116">
        <f t="shared" si="10"/>
        <v>0</v>
      </c>
      <c r="K42" s="175">
        <f t="shared" si="11"/>
        <v>-55</v>
      </c>
      <c r="L42" s="176">
        <f t="shared" si="8"/>
        <v>559.35616500000015</v>
      </c>
      <c r="M42" s="176">
        <f t="shared" si="12"/>
        <v>-1891.3125000000002</v>
      </c>
      <c r="P42" s="56" t="e">
        <f t="shared" si="13"/>
        <v>#DIV/0!</v>
      </c>
      <c r="Q42" s="57" t="e">
        <f t="shared" si="14"/>
        <v>#DIV/0!</v>
      </c>
      <c r="R42" s="54">
        <f t="shared" si="15"/>
        <v>0.60178125000000016</v>
      </c>
      <c r="S42" s="54">
        <f t="shared" si="16"/>
        <v>0</v>
      </c>
      <c r="AC42" s="185" t="s">
        <v>129</v>
      </c>
      <c r="AD42" s="131">
        <f>VLOOKUP(AC42,Inkjøp[],2,FALSE)-VLOOKUP(AC42,Salg_Total[],2,FALSE)</f>
        <v>0</v>
      </c>
      <c r="AE42" s="133">
        <v>0</v>
      </c>
      <c r="AF42" s="132">
        <v>-3</v>
      </c>
    </row>
    <row r="43" spans="1:32" ht="16" customHeight="1" x14ac:dyDescent="0.4">
      <c r="B43" s="13" t="str">
        <v>Melkesjokolade 100g</v>
      </c>
      <c r="C43" s="151">
        <f t="shared" si="6"/>
        <v>29.082000000000001</v>
      </c>
      <c r="D43" s="170">
        <f>VLOOKUP(B43,Inkjøp[],2,FALSE)</f>
        <v>60</v>
      </c>
      <c r="E43" s="171">
        <f>VLOOKUP(B43,Inkjøp[],3,FALSE)</f>
        <v>594</v>
      </c>
      <c r="F43" s="171">
        <f t="shared" si="7"/>
        <v>1744.92</v>
      </c>
      <c r="G43" s="172">
        <f>IFERROR(VLOOKUP(B43,Salg_Total[],2,FALSE),0)</f>
        <v>60</v>
      </c>
      <c r="H43" s="173">
        <f>IFERROR(VLOOKUP(B43,Salg_Total[],3,FALSE),0)*0.9825</f>
        <v>1744.92</v>
      </c>
      <c r="I43" s="174"/>
      <c r="J43" s="116">
        <f t="shared" si="10"/>
        <v>0</v>
      </c>
      <c r="K43" s="175">
        <f t="shared" si="11"/>
        <v>0</v>
      </c>
      <c r="L43" s="176">
        <f t="shared" si="8"/>
        <v>1150.92</v>
      </c>
      <c r="M43" s="176">
        <f t="shared" si="12"/>
        <v>0</v>
      </c>
      <c r="P43" s="56">
        <f t="shared" si="13"/>
        <v>19.173517749999998</v>
      </c>
      <c r="Q43" s="57">
        <f t="shared" si="14"/>
        <v>0.63708324736950694</v>
      </c>
      <c r="R43" s="54">
        <f t="shared" si="15"/>
        <v>0.50893500000000003</v>
      </c>
      <c r="S43" s="54">
        <f t="shared" si="16"/>
        <v>30.536100000000005</v>
      </c>
      <c r="AC43" s="185" t="s">
        <v>130</v>
      </c>
      <c r="AD43" s="131">
        <f>VLOOKUP(AC43,Inkjøp[],2,FALSE)-VLOOKUP(AC43,Salg_Total[],2,FALSE)</f>
        <v>-58</v>
      </c>
      <c r="AE43" s="131">
        <v>0</v>
      </c>
      <c r="AF43" s="132">
        <v>3</v>
      </c>
    </row>
    <row r="44" spans="1:32" ht="16" customHeight="1" x14ac:dyDescent="0.4">
      <c r="B44" s="13" t="str">
        <v>Melkerull</v>
      </c>
      <c r="C44" s="151">
        <f t="shared" si="6"/>
        <v>33.117025862068971</v>
      </c>
      <c r="D44" s="170">
        <f>VLOOKUP(B44,Inkjøp[],2,FALSE)</f>
        <v>0</v>
      </c>
      <c r="E44" s="171">
        <f>VLOOKUP(B44,Inkjøp[],3,FALSE)</f>
        <v>1406.9823349999999</v>
      </c>
      <c r="F44" s="171">
        <f t="shared" si="7"/>
        <v>0</v>
      </c>
      <c r="G44" s="172">
        <f>IFERROR(VLOOKUP(B44,Salg_Total[],2,FALSE),0)</f>
        <v>58</v>
      </c>
      <c r="H44" s="173">
        <f>IFERROR(VLOOKUP(B44,Salg_Total[],3,FALSE),0)*0.9825</f>
        <v>1920.7875000000001</v>
      </c>
      <c r="I44" s="174"/>
      <c r="J44" s="116">
        <f t="shared" si="10"/>
        <v>0</v>
      </c>
      <c r="K44" s="175">
        <f t="shared" si="11"/>
        <v>-58</v>
      </c>
      <c r="L44" s="176">
        <f t="shared" si="8"/>
        <v>513.80516500000022</v>
      </c>
      <c r="M44" s="176">
        <f t="shared" si="12"/>
        <v>-1920.7875000000004</v>
      </c>
      <c r="N44">
        <v>-1</v>
      </c>
      <c r="P44" s="56" t="e">
        <f t="shared" si="13"/>
        <v>#DIV/0!</v>
      </c>
      <c r="Q44" s="57" t="e">
        <f t="shared" si="14"/>
        <v>#DIV/0!</v>
      </c>
      <c r="R44" s="54">
        <f t="shared" si="15"/>
        <v>0.57954795258620706</v>
      </c>
      <c r="S44" s="54">
        <f t="shared" si="16"/>
        <v>0</v>
      </c>
      <c r="AC44" s="185" t="s">
        <v>131</v>
      </c>
      <c r="AD44" s="131">
        <f>VLOOKUP(AC44,Inkjøp[],2,FALSE)-VLOOKUP(AC44,Salg_Total[],2,FALSE)</f>
        <v>-486</v>
      </c>
      <c r="AE44" s="133">
        <v>0</v>
      </c>
      <c r="AF44" s="132">
        <v>4</v>
      </c>
    </row>
    <row r="45" spans="1:32" ht="16" customHeight="1" x14ac:dyDescent="0.4">
      <c r="B45" s="13" t="str">
        <v>Kinder Bueno</v>
      </c>
      <c r="C45" s="151">
        <f t="shared" si="6"/>
        <v>17.705653153153154</v>
      </c>
      <c r="D45" s="170">
        <f>VLOOKUP(B45,Inkjøp[],2,FALSE)</f>
        <v>180</v>
      </c>
      <c r="E45" s="171">
        <f>VLOOKUP(B45,Inkjøp[],3,FALSE)</f>
        <v>6489.4499999999989</v>
      </c>
      <c r="F45" s="171">
        <f t="shared" si="7"/>
        <v>3187.0175675675678</v>
      </c>
      <c r="G45" s="172">
        <f>IFERROR(VLOOKUP(B45,Salg_Total[],2,FALSE),0)</f>
        <v>666</v>
      </c>
      <c r="H45" s="173">
        <f>IFERROR(VLOOKUP(B45,Salg_Total[],3,FALSE),0)*0.9825</f>
        <v>11791.965</v>
      </c>
      <c r="I45" s="174"/>
      <c r="J45" s="116">
        <f t="shared" si="10"/>
        <v>0</v>
      </c>
      <c r="K45" s="175">
        <f t="shared" si="11"/>
        <v>-486</v>
      </c>
      <c r="L45" s="176">
        <f t="shared" si="8"/>
        <v>5302.5150000000012</v>
      </c>
      <c r="M45" s="176">
        <f t="shared" si="12"/>
        <v>-8604.9474324324328</v>
      </c>
      <c r="P45" s="56">
        <f t="shared" si="13"/>
        <v>-18.348568229792285</v>
      </c>
      <c r="Q45" s="57">
        <f t="shared" si="14"/>
        <v>-1.0587140661034862</v>
      </c>
      <c r="R45" s="54">
        <f t="shared" si="15"/>
        <v>0.30984893018018023</v>
      </c>
      <c r="S45" s="54">
        <f t="shared" si="16"/>
        <v>55.772807432432444</v>
      </c>
      <c r="AC45" s="185" t="s">
        <v>132</v>
      </c>
      <c r="AD45" s="131">
        <f>VLOOKUP(AC45,Inkjøp[],2,FALSE)-VLOOKUP(AC45,Salg_Total[],2,FALSE)</f>
        <v>-989</v>
      </c>
      <c r="AE45" s="131">
        <v>0</v>
      </c>
      <c r="AF45" s="132">
        <v>-10</v>
      </c>
    </row>
    <row r="46" spans="1:32" ht="16" customHeight="1" x14ac:dyDescent="0.4">
      <c r="B46" s="13" t="str">
        <v>Kinder Maxi</v>
      </c>
      <c r="C46" s="151">
        <f t="shared" si="6"/>
        <v>9.8250000000000011</v>
      </c>
      <c r="D46" s="170">
        <f>VLOOKUP(B46,Inkjøp[],2,FALSE)</f>
        <v>252</v>
      </c>
      <c r="E46" s="171">
        <f>VLOOKUP(B46,Inkjøp[],3,FALSE)</f>
        <v>4562.2799999999988</v>
      </c>
      <c r="F46" s="171">
        <f t="shared" si="7"/>
        <v>2475.9</v>
      </c>
      <c r="G46" s="172">
        <f>IFERROR(VLOOKUP(B46,Salg_Total[],2,FALSE),0)</f>
        <v>1241</v>
      </c>
      <c r="H46" s="173">
        <f>IFERROR(VLOOKUP(B46,Salg_Total[],3,FALSE),0)*0.9825</f>
        <v>12192.825000000001</v>
      </c>
      <c r="I46" s="174"/>
      <c r="J46" s="116">
        <f t="shared" si="10"/>
        <v>0</v>
      </c>
      <c r="K46" s="175">
        <f t="shared" si="11"/>
        <v>-989</v>
      </c>
      <c r="L46" s="176">
        <f t="shared" si="8"/>
        <v>7630.5450000000019</v>
      </c>
      <c r="M46" s="176">
        <f t="shared" si="12"/>
        <v>-9716.9250000000011</v>
      </c>
      <c r="P46" s="56">
        <f t="shared" si="13"/>
        <v>-8.2799680059523748</v>
      </c>
      <c r="Q46" s="57">
        <f t="shared" si="14"/>
        <v>-0.86517539076699335</v>
      </c>
      <c r="R46" s="54">
        <f t="shared" si="15"/>
        <v>0.17193750000000005</v>
      </c>
      <c r="S46" s="54">
        <f t="shared" si="16"/>
        <v>43.328250000000004</v>
      </c>
      <c r="AC46" s="185" t="s">
        <v>133</v>
      </c>
      <c r="AD46" s="131">
        <f>VLOOKUP(AC46,Inkjøp[],2,FALSE)-VLOOKUP(AC46,Salg_Total[],2,FALSE)</f>
        <v>-104</v>
      </c>
      <c r="AE46" s="133">
        <v>0</v>
      </c>
      <c r="AF46" s="132">
        <v>3</v>
      </c>
    </row>
    <row r="47" spans="1:32" ht="16" customHeight="1" x14ac:dyDescent="0.4">
      <c r="A47" t="s">
        <v>69</v>
      </c>
      <c r="B47" s="13" t="str">
        <v>Snickers</v>
      </c>
      <c r="C47" s="151">
        <f t="shared" si="6"/>
        <v>24.5625</v>
      </c>
      <c r="D47" s="170">
        <f>VLOOKUP(B47,Inkjøp[],2,FALSE)</f>
        <v>0</v>
      </c>
      <c r="E47" s="171">
        <f>VLOOKUP(B47,Inkjøp[],3,FALSE)</f>
        <v>2215.7279999999996</v>
      </c>
      <c r="F47" s="171">
        <f t="shared" si="7"/>
        <v>0</v>
      </c>
      <c r="G47" s="172">
        <f>IFERROR(VLOOKUP(B47,Salg_Total[],2,FALSE),0)</f>
        <v>104</v>
      </c>
      <c r="H47" s="173">
        <f>IFERROR(VLOOKUP(B47,Salg_Total[],3,FALSE),0)*0.9825</f>
        <v>2554.5</v>
      </c>
      <c r="I47" s="174"/>
      <c r="J47" s="116">
        <f t="shared" si="10"/>
        <v>0</v>
      </c>
      <c r="K47" s="175">
        <f t="shared" si="11"/>
        <v>-104</v>
      </c>
      <c r="L47" s="176">
        <f t="shared" si="8"/>
        <v>338.77200000000039</v>
      </c>
      <c r="M47" s="176">
        <f t="shared" si="12"/>
        <v>-2554.5</v>
      </c>
      <c r="P47" s="56" t="e">
        <f t="shared" si="13"/>
        <v>#DIV/0!</v>
      </c>
      <c r="Q47" s="57" t="e">
        <f t="shared" si="14"/>
        <v>#DIV/0!</v>
      </c>
      <c r="R47" s="54">
        <f t="shared" si="15"/>
        <v>0.42984375000000002</v>
      </c>
      <c r="S47" s="54">
        <f t="shared" si="16"/>
        <v>0</v>
      </c>
      <c r="AC47" s="185" t="s">
        <v>134</v>
      </c>
      <c r="AD47" s="131">
        <f>VLOOKUP(AC47,Inkjøp[],2,FALSE)-VLOOKUP(AC47,Salg_Total[],2,FALSE)</f>
        <v>-82</v>
      </c>
      <c r="AE47" s="131">
        <v>28</v>
      </c>
      <c r="AF47" s="132">
        <v>37</v>
      </c>
    </row>
    <row r="48" spans="1:32" ht="16" customHeight="1" x14ac:dyDescent="0.4">
      <c r="B48" s="13" t="str">
        <v>sjokoladeplate 200g</v>
      </c>
      <c r="C48" s="151">
        <f t="shared" si="6"/>
        <v>47.16909722222222</v>
      </c>
      <c r="D48" s="170">
        <f>VLOOKUP(B48,Inkjøp[],2,FALSE)</f>
        <v>242</v>
      </c>
      <c r="E48" s="171">
        <f>VLOOKUP(B48,Inkjøp[],3,FALSE)</f>
        <v>7235.7999999999993</v>
      </c>
      <c r="F48" s="171">
        <f t="shared" si="7"/>
        <v>11414.921527777777</v>
      </c>
      <c r="G48" s="172">
        <f>IFERROR(VLOOKUP(B48,Salg_Total[],2,FALSE),0)</f>
        <v>324</v>
      </c>
      <c r="H48" s="173">
        <f>IFERROR(VLOOKUP(B48,Salg_Total[],3,FALSE),0)*0.9825</f>
        <v>15282.7875</v>
      </c>
      <c r="I48" s="174"/>
      <c r="J48" s="116">
        <f>I48*C48</f>
        <v>0</v>
      </c>
      <c r="K48" s="175">
        <f t="shared" si="11"/>
        <v>-82</v>
      </c>
      <c r="L48" s="176">
        <f t="shared" si="8"/>
        <v>8046.9875000000011</v>
      </c>
      <c r="M48" s="176">
        <f t="shared" si="12"/>
        <v>-3867.8659722222219</v>
      </c>
      <c r="P48" s="56">
        <f t="shared" si="13"/>
        <v>17.265686233786727</v>
      </c>
      <c r="Q48" s="57">
        <f t="shared" si="14"/>
        <v>0.3436104036158325</v>
      </c>
      <c r="R48" s="54">
        <f t="shared" si="15"/>
        <v>0.82545920138888895</v>
      </c>
      <c r="S48" s="54">
        <f t="shared" si="16"/>
        <v>199.76112673611112</v>
      </c>
      <c r="AC48" s="185" t="s">
        <v>135</v>
      </c>
      <c r="AD48" s="131">
        <f>VLOOKUP(AC48,Inkjøp[],2,FALSE)-VLOOKUP(AC48,Salg_Total[],2,FALSE)</f>
        <v>37</v>
      </c>
      <c r="AE48" s="133">
        <v>6</v>
      </c>
      <c r="AF48" s="132">
        <v>6</v>
      </c>
    </row>
    <row r="49" spans="2:32" ht="16" customHeight="1" x14ac:dyDescent="0.4">
      <c r="B49" s="13" t="str">
        <v>Snickers 50g</v>
      </c>
      <c r="C49" s="151">
        <f t="shared" si="6"/>
        <v>19.822747252747256</v>
      </c>
      <c r="D49" s="170">
        <f>VLOOKUP(B49,Inkjøp[],2,FALSE)</f>
        <v>128</v>
      </c>
      <c r="E49" s="171">
        <f>VLOOKUP(B49,Inkjøp[],3,FALSE)</f>
        <v>2197.6959999999999</v>
      </c>
      <c r="F49" s="171">
        <f t="shared" si="7"/>
        <v>2537.3116483516487</v>
      </c>
      <c r="G49" s="172">
        <f>IFERROR(VLOOKUP(B49,Salg_Total[],2,FALSE),0)</f>
        <v>91</v>
      </c>
      <c r="H49" s="173">
        <f>IFERROR(VLOOKUP(B49,Salg_Total[],3,FALSE),0)*0.9825</f>
        <v>1803.8700000000001</v>
      </c>
      <c r="I49" s="174"/>
      <c r="J49" s="116">
        <f t="shared" si="10"/>
        <v>0</v>
      </c>
      <c r="K49" s="175">
        <f t="shared" si="11"/>
        <v>37</v>
      </c>
      <c r="L49" s="176">
        <f t="shared" si="8"/>
        <v>-393.82599999999979</v>
      </c>
      <c r="M49" s="176">
        <f t="shared" si="12"/>
        <v>733.4416483516485</v>
      </c>
      <c r="P49" s="56">
        <f t="shared" si="13"/>
        <v>2.6505371115212948</v>
      </c>
      <c r="Q49" s="57">
        <f t="shared" si="14"/>
        <v>0.11134861436799785</v>
      </c>
      <c r="R49" s="54">
        <f t="shared" si="15"/>
        <v>0.346898076923077</v>
      </c>
      <c r="S49" s="54">
        <f t="shared" si="16"/>
        <v>44.402953846153856</v>
      </c>
      <c r="AC49" s="185" t="s">
        <v>136</v>
      </c>
      <c r="AD49" s="131">
        <f>VLOOKUP(AC49,Inkjøp[],2,FALSE)-VLOOKUP(AC49,Salg_Total[],2,FALSE)</f>
        <v>-66</v>
      </c>
      <c r="AE49" s="131">
        <v>0</v>
      </c>
      <c r="AF49" s="132">
        <v>7</v>
      </c>
    </row>
    <row r="50" spans="2:32" ht="16" customHeight="1" x14ac:dyDescent="0.4">
      <c r="B50" s="13" t="str">
        <v>Mars</v>
      </c>
      <c r="C50" s="151">
        <f t="shared" si="6"/>
        <v>24.5625</v>
      </c>
      <c r="D50" s="170">
        <f>VLOOKUP(B50,Inkjøp[],2,FALSE)</f>
        <v>48</v>
      </c>
      <c r="E50" s="171">
        <f>VLOOKUP(B50,Inkjøp[],3,FALSE)</f>
        <v>2649.5999999999995</v>
      </c>
      <c r="F50" s="171">
        <f t="shared" si="7"/>
        <v>1179</v>
      </c>
      <c r="G50" s="172">
        <f>IFERROR(VLOOKUP(B50,Salg_Total[],2,FALSE),0)</f>
        <v>114</v>
      </c>
      <c r="H50" s="173">
        <f>IFERROR(VLOOKUP(B50,Salg_Total[],3,FALSE),0)*0.9825</f>
        <v>2800.125</v>
      </c>
      <c r="I50" s="174"/>
      <c r="J50" s="116">
        <f t="shared" si="10"/>
        <v>0</v>
      </c>
      <c r="K50" s="175">
        <f t="shared" si="11"/>
        <v>-66</v>
      </c>
      <c r="L50" s="176">
        <f t="shared" si="8"/>
        <v>150.52500000000055</v>
      </c>
      <c r="M50" s="176">
        <f t="shared" si="12"/>
        <v>-1621.125</v>
      </c>
      <c r="P50" s="56">
        <f t="shared" si="13"/>
        <v>-30.646455078124987</v>
      </c>
      <c r="Q50" s="57">
        <f t="shared" si="14"/>
        <v>-1.2698282442748086</v>
      </c>
      <c r="R50" s="54">
        <f t="shared" si="15"/>
        <v>0.42984375000000002</v>
      </c>
      <c r="S50" s="54">
        <f t="shared" si="16"/>
        <v>20.6325</v>
      </c>
      <c r="AC50" s="185" t="s">
        <v>137</v>
      </c>
      <c r="AD50" s="131">
        <f>VLOOKUP(AC50,Inkjøp[],2,FALSE)-VLOOKUP(AC50,Salg_Total[],2,FALSE)</f>
        <v>-52</v>
      </c>
      <c r="AE50" s="133"/>
      <c r="AF50" s="132">
        <v>0</v>
      </c>
    </row>
    <row r="51" spans="2:32" ht="16" customHeight="1" x14ac:dyDescent="0.4">
      <c r="B51" s="13" t="str">
        <v>Twix</v>
      </c>
      <c r="C51" s="151">
        <f t="shared" si="6"/>
        <v>27.51</v>
      </c>
      <c r="D51" s="170">
        <f>VLOOKUP(B51,Inkjøp[],2,FALSE)</f>
        <v>90</v>
      </c>
      <c r="E51" s="171">
        <f>VLOOKUP(B51,Inkjøp[],3,FALSE)</f>
        <v>3624.2249999999999</v>
      </c>
      <c r="F51" s="171">
        <f t="shared" si="7"/>
        <v>2475.9</v>
      </c>
      <c r="G51" s="172">
        <f>IFERROR(VLOOKUP(B51,Salg_Total[],2,FALSE),0)</f>
        <v>142</v>
      </c>
      <c r="H51" s="173">
        <f>IFERROR(VLOOKUP(B51,Salg_Total[],3,FALSE),0)*0.9825</f>
        <v>3906.42</v>
      </c>
      <c r="I51" s="174"/>
      <c r="J51" s="116">
        <f t="shared" si="10"/>
        <v>0</v>
      </c>
      <c r="K51" s="175">
        <f t="shared" si="11"/>
        <v>-52</v>
      </c>
      <c r="L51" s="176">
        <f t="shared" si="8"/>
        <v>282.19500000000016</v>
      </c>
      <c r="M51" s="176">
        <f t="shared" si="12"/>
        <v>-1430.52</v>
      </c>
      <c r="P51" s="56">
        <f t="shared" si="13"/>
        <v>-12.764515833333331</v>
      </c>
      <c r="Q51" s="57">
        <f t="shared" si="14"/>
        <v>-0.48630104204531677</v>
      </c>
      <c r="R51" s="54">
        <f t="shared" si="15"/>
        <v>0.48142500000000005</v>
      </c>
      <c r="S51" s="54">
        <f t="shared" si="16"/>
        <v>43.328250000000004</v>
      </c>
      <c r="AC51" s="185" t="s">
        <v>138</v>
      </c>
      <c r="AD51" s="131">
        <f>VLOOKUP(AC51,Inkjøp[],2,FALSE)-VLOOKUP(AC51,Salg_Total[],2,FALSE)</f>
        <v>-37</v>
      </c>
      <c r="AE51" s="131">
        <v>0</v>
      </c>
      <c r="AF51" s="132">
        <v>3</v>
      </c>
    </row>
    <row r="52" spans="2:32" ht="16" customHeight="1" x14ac:dyDescent="0.4">
      <c r="B52" s="13" t="str">
        <v>Japp</v>
      </c>
      <c r="C52" s="151">
        <f t="shared" si="6"/>
        <v>27.085135135135136</v>
      </c>
      <c r="D52" s="170">
        <f>VLOOKUP(B52,Inkjøp[],2,FALSE)</f>
        <v>0</v>
      </c>
      <c r="E52" s="171">
        <f>VLOOKUP(B52,Inkjøp[],3,FALSE)</f>
        <v>735.52907499999992</v>
      </c>
      <c r="F52" s="171">
        <f t="shared" si="7"/>
        <v>0</v>
      </c>
      <c r="G52" s="172">
        <f>IFERROR(VLOOKUP(B52,Salg_Total[],2,FALSE),0)</f>
        <v>37</v>
      </c>
      <c r="H52" s="173">
        <f>IFERROR(VLOOKUP(B52,Salg_Total[],3,FALSE),0)*0.9825</f>
        <v>1002.1500000000001</v>
      </c>
      <c r="I52" s="174"/>
      <c r="J52" s="116">
        <f t="shared" si="10"/>
        <v>0</v>
      </c>
      <c r="K52" s="175">
        <f t="shared" si="11"/>
        <v>-37</v>
      </c>
      <c r="L52" s="176">
        <f t="shared" si="8"/>
        <v>266.62092500000017</v>
      </c>
      <c r="M52" s="176">
        <f t="shared" si="12"/>
        <v>-1002.1500000000001</v>
      </c>
      <c r="P52" s="56" t="e">
        <f t="shared" si="13"/>
        <v>#DIV/0!</v>
      </c>
      <c r="Q52" s="57" t="e">
        <f t="shared" si="14"/>
        <v>#DIV/0!</v>
      </c>
      <c r="R52" s="54">
        <f t="shared" si="15"/>
        <v>0.47398986486486494</v>
      </c>
      <c r="S52" s="54">
        <f t="shared" si="16"/>
        <v>0</v>
      </c>
      <c r="AC52" s="185" t="s">
        <v>139</v>
      </c>
      <c r="AD52" s="131">
        <f>VLOOKUP(AC52,Inkjøp[],2,FALSE)-VLOOKUP(AC52,Salg_Total[],2,FALSE)</f>
        <v>-49</v>
      </c>
      <c r="AE52" s="133">
        <v>0</v>
      </c>
      <c r="AF52" s="132">
        <v>-4</v>
      </c>
    </row>
    <row r="53" spans="2:32" ht="16" customHeight="1" x14ac:dyDescent="0.4">
      <c r="B53" s="13" t="str">
        <v>Lion</v>
      </c>
      <c r="C53" s="151">
        <f t="shared" si="6"/>
        <v>18.847959183673471</v>
      </c>
      <c r="D53" s="170">
        <f>VLOOKUP(B53,Inkjøp[],2,FALSE)</f>
        <v>0</v>
      </c>
      <c r="E53" s="171">
        <f>VLOOKUP(B53,Inkjøp[],3,FALSE)</f>
        <v>720.91200000000003</v>
      </c>
      <c r="F53" s="171">
        <f t="shared" si="7"/>
        <v>0</v>
      </c>
      <c r="G53" s="172">
        <f>IFERROR(VLOOKUP(B53,Salg_Total[],2,FALSE),0)</f>
        <v>49</v>
      </c>
      <c r="H53" s="173">
        <f>IFERROR(VLOOKUP(B53,Salg_Total[],3,FALSE),0)*0.9825</f>
        <v>923.55000000000007</v>
      </c>
      <c r="I53" s="174"/>
      <c r="J53" s="116">
        <f t="shared" si="10"/>
        <v>0</v>
      </c>
      <c r="K53" s="175">
        <f t="shared" si="11"/>
        <v>-49</v>
      </c>
      <c r="L53" s="176">
        <f t="shared" si="8"/>
        <v>202.63800000000003</v>
      </c>
      <c r="M53" s="176">
        <f t="shared" si="12"/>
        <v>-923.55000000000007</v>
      </c>
      <c r="P53" s="56" t="e">
        <f t="shared" si="13"/>
        <v>#DIV/0!</v>
      </c>
      <c r="Q53" s="57" t="e">
        <f t="shared" si="14"/>
        <v>#DIV/0!</v>
      </c>
      <c r="R53" s="54">
        <f t="shared" si="15"/>
        <v>0.32983928571428578</v>
      </c>
      <c r="S53" s="54">
        <f t="shared" si="16"/>
        <v>0</v>
      </c>
      <c r="AC53" s="185" t="s">
        <v>140</v>
      </c>
      <c r="AD53" s="131">
        <f>VLOOKUP(AC53,Inkjøp[],2,FALSE)-VLOOKUP(AC53,Salg_Total[],2,FALSE)</f>
        <v>-62</v>
      </c>
      <c r="AE53" s="131">
        <v>0</v>
      </c>
      <c r="AF53" s="132">
        <v>4</v>
      </c>
    </row>
    <row r="54" spans="2:32" ht="16" customHeight="1" x14ac:dyDescent="0.4">
      <c r="B54" s="13" t="str">
        <v>Smarties</v>
      </c>
      <c r="C54" s="151">
        <f t="shared" si="6"/>
        <v>17.748387096774195</v>
      </c>
      <c r="D54" s="170">
        <f>VLOOKUP(B54,Inkjøp[],2,FALSE)</f>
        <v>0</v>
      </c>
      <c r="E54" s="171">
        <f>VLOOKUP(B54,Inkjøp[],3,FALSE)</f>
        <v>626.52</v>
      </c>
      <c r="F54" s="171">
        <f t="shared" si="7"/>
        <v>0</v>
      </c>
      <c r="G54" s="172">
        <f>IFERROR(VLOOKUP(B54,Salg_Total[],2,FALSE),0)</f>
        <v>62</v>
      </c>
      <c r="H54" s="173">
        <f>IFERROR(VLOOKUP(B54,Salg_Total[],3,FALSE),0)*0.9825</f>
        <v>1100.4000000000001</v>
      </c>
      <c r="I54" s="174"/>
      <c r="J54" s="116">
        <f t="shared" si="10"/>
        <v>0</v>
      </c>
      <c r="K54" s="175">
        <f t="shared" si="11"/>
        <v>-62</v>
      </c>
      <c r="L54" s="176">
        <f t="shared" si="8"/>
        <v>473.88000000000011</v>
      </c>
      <c r="M54" s="176">
        <f t="shared" si="12"/>
        <v>-1100.4000000000001</v>
      </c>
      <c r="P54" s="56" t="e">
        <f t="shared" si="13"/>
        <v>#DIV/0!</v>
      </c>
      <c r="Q54" s="57" t="e">
        <f t="shared" si="14"/>
        <v>#DIV/0!</v>
      </c>
      <c r="R54" s="54">
        <f t="shared" si="15"/>
        <v>0.31059677419354842</v>
      </c>
      <c r="S54" s="54">
        <f t="shared" si="16"/>
        <v>0</v>
      </c>
      <c r="AC54" s="185" t="s">
        <v>141</v>
      </c>
      <c r="AD54" s="131">
        <f>VLOOKUP(AC54,Inkjøp[],2,FALSE)-VLOOKUP(AC54,Salg_Total[],2,FALSE)</f>
        <v>-268</v>
      </c>
      <c r="AE54" s="133">
        <v>53</v>
      </c>
      <c r="AF54" s="132">
        <v>1</v>
      </c>
    </row>
    <row r="55" spans="2:32" ht="16" customHeight="1" x14ac:dyDescent="0.4">
      <c r="B55" s="13" t="str">
        <v>Snap n´crackle</v>
      </c>
      <c r="C55" s="151">
        <f t="shared" si="6"/>
        <v>9.9716417910447763</v>
      </c>
      <c r="D55" s="170">
        <f>VLOOKUP(B55,Inkjøp[],2,FALSE)</f>
        <v>0</v>
      </c>
      <c r="E55" s="171">
        <f>VLOOKUP(B55,Inkjøp[],3,FALSE)</f>
        <v>626.51999999999987</v>
      </c>
      <c r="F55" s="171">
        <f t="shared" si="7"/>
        <v>0</v>
      </c>
      <c r="G55" s="172">
        <f>IFERROR(VLOOKUP(B55,Salg_Total[],2,FALSE),0)</f>
        <v>268</v>
      </c>
      <c r="H55" s="173">
        <f>IFERROR(VLOOKUP(B55,Salg_Total[],3,FALSE),0)*0.9825</f>
        <v>2672.4</v>
      </c>
      <c r="I55" s="174"/>
      <c r="J55" s="116">
        <f t="shared" si="10"/>
        <v>0</v>
      </c>
      <c r="K55" s="175">
        <f t="shared" si="11"/>
        <v>-268</v>
      </c>
      <c r="L55" s="176">
        <f t="shared" si="8"/>
        <v>2045.88</v>
      </c>
      <c r="M55" s="176">
        <f t="shared" si="12"/>
        <v>-2672.4</v>
      </c>
      <c r="P55" s="56" t="e">
        <f t="shared" si="13"/>
        <v>#DIV/0!</v>
      </c>
      <c r="Q55" s="57" t="e">
        <f t="shared" si="14"/>
        <v>#DIV/0!</v>
      </c>
      <c r="R55" s="54">
        <f t="shared" si="15"/>
        <v>0.17450373134328359</v>
      </c>
      <c r="S55" s="54">
        <f t="shared" si="16"/>
        <v>0</v>
      </c>
      <c r="AC55" s="185" t="s">
        <v>142</v>
      </c>
      <c r="AD55" s="131">
        <f>VLOOKUP(AC55,Inkjøp[],2,FALSE)-VLOOKUP(AC55,Salg_Total[],2,FALSE)</f>
        <v>-488</v>
      </c>
      <c r="AE55" s="131">
        <v>22</v>
      </c>
      <c r="AF55" s="132">
        <v>0</v>
      </c>
    </row>
    <row r="56" spans="2:32" ht="16" customHeight="1" x14ac:dyDescent="0.4">
      <c r="B56" s="13" t="str">
        <v>Drumstick</v>
      </c>
      <c r="C56" s="151">
        <f t="shared" si="6"/>
        <v>9.8250000000000011</v>
      </c>
      <c r="D56" s="170">
        <f>VLOOKUP(B56,Inkjøp[],2,FALSE)</f>
        <v>216</v>
      </c>
      <c r="E56" s="171">
        <f>VLOOKUP(B56,Inkjøp[],3,FALSE)</f>
        <v>2272.0319999999997</v>
      </c>
      <c r="F56" s="171">
        <f t="shared" si="7"/>
        <v>2122.2000000000003</v>
      </c>
      <c r="G56" s="172">
        <f>IFERROR(VLOOKUP(B56,Salg_Total[],2,FALSE),0)</f>
        <v>704</v>
      </c>
      <c r="H56" s="173">
        <f>IFERROR(VLOOKUP(B56,Salg_Total[],3,FALSE),0)*0.9825</f>
        <v>6916.8</v>
      </c>
      <c r="I56" s="174"/>
      <c r="J56" s="116">
        <f t="shared" si="10"/>
        <v>0</v>
      </c>
      <c r="K56" s="175">
        <f t="shared" si="11"/>
        <v>-488</v>
      </c>
      <c r="L56" s="176">
        <f t="shared" si="8"/>
        <v>4644.768</v>
      </c>
      <c r="M56" s="176">
        <f t="shared" si="12"/>
        <v>-4794.6000000000004</v>
      </c>
      <c r="P56" s="56">
        <f t="shared" si="13"/>
        <v>-0.69446267361110847</v>
      </c>
      <c r="Q56" s="57">
        <f t="shared" si="14"/>
        <v>-9.3102205258693532E-2</v>
      </c>
      <c r="R56" s="54">
        <f t="shared" si="15"/>
        <v>0.17193750000000005</v>
      </c>
      <c r="S56" s="54">
        <f t="shared" si="16"/>
        <v>37.138500000000008</v>
      </c>
      <c r="AC56" s="185" t="s">
        <v>143</v>
      </c>
      <c r="AD56" s="131">
        <f>VLOOKUP(AC56,Inkjøp[],2,FALSE)-VLOOKUP(AC56,Salg_Total[],2,FALSE)</f>
        <v>-290</v>
      </c>
      <c r="AE56" s="133">
        <v>0</v>
      </c>
      <c r="AF56" s="132">
        <v>4</v>
      </c>
    </row>
    <row r="57" spans="2:32" ht="16" customHeight="1" x14ac:dyDescent="0.4">
      <c r="B57" s="13" t="str">
        <v>Squashies</v>
      </c>
      <c r="C57" s="151">
        <f t="shared" si="6"/>
        <v>19.629672413793106</v>
      </c>
      <c r="D57" s="170">
        <f>VLOOKUP(B57,Inkjøp[],2,FALSE)</f>
        <v>0</v>
      </c>
      <c r="E57" s="171">
        <f>VLOOKUP(B57,Inkjøp[],3,FALSE)</f>
        <v>2043.0899999999997</v>
      </c>
      <c r="F57" s="171">
        <f t="shared" si="7"/>
        <v>0</v>
      </c>
      <c r="G57" s="172">
        <f>IFERROR(VLOOKUP(B57,Salg_Total[],2,FALSE),0)</f>
        <v>290</v>
      </c>
      <c r="H57" s="173">
        <f>IFERROR(VLOOKUP(B57,Salg_Total[],3,FALSE),0)*0.9825</f>
        <v>5692.6050000000005</v>
      </c>
      <c r="I57" s="174"/>
      <c r="J57" s="116">
        <f t="shared" si="10"/>
        <v>0</v>
      </c>
      <c r="K57" s="175">
        <f t="shared" si="11"/>
        <v>-290</v>
      </c>
      <c r="L57" s="176">
        <f t="shared" si="8"/>
        <v>3649.5150000000008</v>
      </c>
      <c r="M57" s="176">
        <f t="shared" si="12"/>
        <v>-5692.6050000000005</v>
      </c>
      <c r="P57" s="56" t="e">
        <f t="shared" si="13"/>
        <v>#DIV/0!</v>
      </c>
      <c r="Q57" s="57" t="e">
        <f t="shared" si="14"/>
        <v>#DIV/0!</v>
      </c>
      <c r="R57" s="54">
        <f t="shared" si="15"/>
        <v>0.34351926724137938</v>
      </c>
      <c r="S57" s="54">
        <f t="shared" si="16"/>
        <v>0</v>
      </c>
      <c r="AC57" s="185" t="s">
        <v>144</v>
      </c>
      <c r="AD57" s="131">
        <f>VLOOKUP(AC57,Inkjøp[],2,FALSE)-VLOOKUP(AC57,Salg_Total[],2,FALSE)</f>
        <v>-137</v>
      </c>
      <c r="AE57" s="131">
        <v>0</v>
      </c>
      <c r="AF57" s="132">
        <v>4</v>
      </c>
    </row>
    <row r="58" spans="2:32" ht="16" customHeight="1" x14ac:dyDescent="0.4">
      <c r="B58" s="13" t="str">
        <v>Vepsebol</v>
      </c>
      <c r="C58" s="151">
        <f t="shared" si="6"/>
        <v>14.737499999999999</v>
      </c>
      <c r="D58" s="170">
        <f>VLOOKUP(B58,Inkjøp[],2,FALSE)</f>
        <v>50</v>
      </c>
      <c r="E58" s="171">
        <f>VLOOKUP(B58,Inkjøp[],3,FALSE)</f>
        <v>1421.3999999999999</v>
      </c>
      <c r="F58" s="171">
        <f t="shared" si="7"/>
        <v>736.875</v>
      </c>
      <c r="G58" s="172">
        <f>IFERROR(VLOOKUP(B58,Salg_Total[],2,FALSE),0)</f>
        <v>187</v>
      </c>
      <c r="H58" s="173">
        <f>IFERROR(VLOOKUP(B58,Salg_Total[],3,FALSE),0)*0.9825</f>
        <v>2755.9124999999999</v>
      </c>
      <c r="I58" s="174"/>
      <c r="J58" s="116">
        <f t="shared" si="10"/>
        <v>0</v>
      </c>
      <c r="K58" s="175">
        <f t="shared" si="11"/>
        <v>-137</v>
      </c>
      <c r="L58" s="176">
        <f t="shared" si="8"/>
        <v>1334.5125</v>
      </c>
      <c r="M58" s="176">
        <f t="shared" si="12"/>
        <v>-2019.0374999999999</v>
      </c>
      <c r="P58" s="56">
        <f t="shared" si="13"/>
        <v>-13.695658124999998</v>
      </c>
      <c r="Q58" s="57">
        <f t="shared" si="14"/>
        <v>-0.95145674300254435</v>
      </c>
      <c r="R58" s="54">
        <f t="shared" si="15"/>
        <v>0.25790625</v>
      </c>
      <c r="S58" s="54">
        <f t="shared" si="16"/>
        <v>12.895312500000001</v>
      </c>
      <c r="AC58" s="185" t="s">
        <v>145</v>
      </c>
      <c r="AD58" s="131">
        <f>VLOOKUP(AC58,Inkjøp[],2,FALSE)-VLOOKUP(AC58,Salg_Total[],2,FALSE)</f>
        <v>-77</v>
      </c>
      <c r="AE58" s="133">
        <v>0</v>
      </c>
      <c r="AF58" s="132">
        <v>4</v>
      </c>
    </row>
    <row r="59" spans="2:32" ht="16" customHeight="1" x14ac:dyDescent="0.4">
      <c r="B59" s="13" t="str">
        <v>Pringles Original</v>
      </c>
      <c r="C59" s="151">
        <f t="shared" si="6"/>
        <v>17.684999999999999</v>
      </c>
      <c r="D59" s="170">
        <f>VLOOKUP(B59,Inkjøp[],2,FALSE)</f>
        <v>36</v>
      </c>
      <c r="E59" s="171">
        <f>VLOOKUP(B59,Inkjøp[],3,FALSE)</f>
        <v>1335.84</v>
      </c>
      <c r="F59" s="171">
        <f t="shared" si="7"/>
        <v>636.66</v>
      </c>
      <c r="G59" s="172">
        <f>IFERROR(VLOOKUP(B59,Salg_Total[],2,FALSE),0)</f>
        <v>113</v>
      </c>
      <c r="H59" s="173">
        <f>IFERROR(VLOOKUP(B59,Salg_Total[],3,FALSE),0)*0.9825</f>
        <v>1998.405</v>
      </c>
      <c r="I59" s="174"/>
      <c r="J59" s="116">
        <f t="shared" si="10"/>
        <v>0</v>
      </c>
      <c r="K59" s="175">
        <f t="shared" si="11"/>
        <v>-77</v>
      </c>
      <c r="L59" s="176">
        <f t="shared" si="8"/>
        <v>662.56500000000005</v>
      </c>
      <c r="M59" s="176">
        <f t="shared" si="12"/>
        <v>-1361.7449999999999</v>
      </c>
      <c r="P59" s="56">
        <f t="shared" si="13"/>
        <v>-19.430263541666665</v>
      </c>
      <c r="Q59" s="57">
        <f t="shared" si="14"/>
        <v>-1.1206999811516349</v>
      </c>
      <c r="R59" s="54">
        <f t="shared" si="15"/>
        <v>0.30948750000000003</v>
      </c>
      <c r="S59" s="54">
        <f t="shared" si="16"/>
        <v>11.141550000000001</v>
      </c>
      <c r="AC59" s="185" t="s">
        <v>146</v>
      </c>
      <c r="AD59" s="131">
        <f>VLOOKUP(AC59,Inkjøp[],2,FALSE)-VLOOKUP(AC59,Salg_Total[],2,FALSE)</f>
        <v>-109</v>
      </c>
      <c r="AE59" s="131">
        <v>0</v>
      </c>
      <c r="AF59" s="132">
        <v>-2</v>
      </c>
    </row>
    <row r="60" spans="2:32" ht="16" customHeight="1" x14ac:dyDescent="0.4">
      <c r="B60" s="13" t="str">
        <v>Pringles Sour Cream</v>
      </c>
      <c r="C60" s="151">
        <f t="shared" si="6"/>
        <v>17.685000000000002</v>
      </c>
      <c r="D60" s="170">
        <f>VLOOKUP(B60,Inkjøp[],2,FALSE)</f>
        <v>36</v>
      </c>
      <c r="E60" s="171">
        <f>VLOOKUP(B60,Inkjøp[],3,FALSE)</f>
        <v>1335.84</v>
      </c>
      <c r="F60" s="171">
        <f t="shared" si="7"/>
        <v>636.66000000000008</v>
      </c>
      <c r="G60" s="172">
        <f>IFERROR(VLOOKUP(B60,Salg_Total[],2,FALSE),0)</f>
        <v>145</v>
      </c>
      <c r="H60" s="173">
        <f>IFERROR(VLOOKUP(B60,Salg_Total[],3,FALSE),0)*0.9825</f>
        <v>2564.3250000000003</v>
      </c>
      <c r="I60" s="174"/>
      <c r="J60" s="116">
        <f t="shared" si="10"/>
        <v>0</v>
      </c>
      <c r="K60" s="175">
        <f t="shared" si="11"/>
        <v>-109</v>
      </c>
      <c r="L60" s="176">
        <f t="shared" si="8"/>
        <v>1228.4850000000004</v>
      </c>
      <c r="M60" s="176">
        <f t="shared" si="12"/>
        <v>-1927.6650000000002</v>
      </c>
      <c r="P60" s="56">
        <f t="shared" si="13"/>
        <v>-19.430263541666662</v>
      </c>
      <c r="Q60" s="57">
        <f t="shared" si="14"/>
        <v>-1.1206999811516347</v>
      </c>
      <c r="R60" s="54">
        <f t="shared" si="15"/>
        <v>0.30948750000000008</v>
      </c>
      <c r="S60" s="54">
        <f t="shared" si="16"/>
        <v>11.141550000000002</v>
      </c>
      <c r="AC60" s="185" t="s">
        <v>147</v>
      </c>
      <c r="AD60" s="131">
        <f>VLOOKUP(AC60,Inkjøp[],2,FALSE)-VLOOKUP(AC60,Salg_Total[],2,FALSE)</f>
        <v>-109</v>
      </c>
      <c r="AE60" s="133">
        <v>0</v>
      </c>
      <c r="AF60" s="132">
        <v>0</v>
      </c>
    </row>
    <row r="61" spans="2:32" ht="16" customHeight="1" x14ac:dyDescent="0.4">
      <c r="B61" s="13" t="str">
        <v>Pringles Paprika</v>
      </c>
      <c r="C61" s="151">
        <f t="shared" si="6"/>
        <v>17.685000000000002</v>
      </c>
      <c r="D61" s="170">
        <f>VLOOKUP(B61,Inkjøp[],2,FALSE)</f>
        <v>36</v>
      </c>
      <c r="E61" s="171">
        <f>VLOOKUP(B61,Inkjøp[],3,FALSE)</f>
        <v>1335.84</v>
      </c>
      <c r="F61" s="171">
        <f>D61*C61</f>
        <v>636.66000000000008</v>
      </c>
      <c r="G61" s="172">
        <f>IFERROR(VLOOKUP(B61,Salg_Total[],2,FALSE),0)</f>
        <v>145</v>
      </c>
      <c r="H61" s="173">
        <f>IFERROR(VLOOKUP(B61,Salg_Total[],3,FALSE),0)*0.9825</f>
        <v>2564.3250000000003</v>
      </c>
      <c r="I61" s="174"/>
      <c r="J61" s="116">
        <f t="shared" si="10"/>
        <v>0</v>
      </c>
      <c r="K61" s="175">
        <f t="shared" si="11"/>
        <v>-109</v>
      </c>
      <c r="L61" s="176">
        <f t="shared" si="8"/>
        <v>1228.4850000000004</v>
      </c>
      <c r="M61" s="176">
        <f t="shared" si="12"/>
        <v>-1927.6650000000002</v>
      </c>
      <c r="P61" s="56">
        <f t="shared" si="13"/>
        <v>-19.430263541666662</v>
      </c>
      <c r="Q61" s="57">
        <f t="shared" si="14"/>
        <v>-1.1206999811516347</v>
      </c>
      <c r="R61" s="54">
        <f t="shared" si="15"/>
        <v>0.30948750000000008</v>
      </c>
      <c r="S61" s="54">
        <f t="shared" si="16"/>
        <v>11.141550000000002</v>
      </c>
      <c r="AC61" s="185" t="s">
        <v>148</v>
      </c>
      <c r="AD61" s="131">
        <f>VLOOKUP(AC61,Inkjøp[],2,FALSE)-VLOOKUP(AC61,Salg_Total[],2,FALSE)</f>
        <v>-15</v>
      </c>
      <c r="AE61" s="131">
        <v>0</v>
      </c>
      <c r="AF61" s="132">
        <v>12</v>
      </c>
    </row>
    <row r="62" spans="2:32" ht="18.649999999999999" customHeight="1" x14ac:dyDescent="0.45">
      <c r="B62" s="21" t="str">
        <v>Skittles</v>
      </c>
      <c r="C62" s="151">
        <f t="shared" si="6"/>
        <v>24.5625</v>
      </c>
      <c r="D62" s="170">
        <f>VLOOKUP(B62,Inkjøp[],2,FALSE)</f>
        <v>0</v>
      </c>
      <c r="E62" s="171">
        <f>VLOOKUP(B62,Inkjøp[],3,FALSE)</f>
        <v>311.36250000000001</v>
      </c>
      <c r="F62" s="171">
        <f t="shared" si="7"/>
        <v>0</v>
      </c>
      <c r="G62" s="172">
        <f>IFERROR(VLOOKUP(B62,Salg_Total[],2,FALSE),0)</f>
        <v>15</v>
      </c>
      <c r="H62" s="173">
        <f>IFERROR(VLOOKUP(B62,Salg_Total[],3,FALSE),0)*0.9825</f>
        <v>368.4375</v>
      </c>
      <c r="I62" s="174"/>
      <c r="J62" s="116">
        <f t="shared" si="10"/>
        <v>0</v>
      </c>
      <c r="K62" s="175">
        <f t="shared" si="11"/>
        <v>-15</v>
      </c>
      <c r="L62" s="176">
        <f t="shared" si="8"/>
        <v>57.074999999999989</v>
      </c>
      <c r="M62" s="176">
        <f t="shared" si="12"/>
        <v>-368.4375</v>
      </c>
      <c r="P62" s="56" t="e">
        <f t="shared" si="13"/>
        <v>#DIV/0!</v>
      </c>
      <c r="Q62" s="57" t="e">
        <f t="shared" si="14"/>
        <v>#DIV/0!</v>
      </c>
      <c r="R62" s="54">
        <f t="shared" si="15"/>
        <v>0.42984375000000002</v>
      </c>
      <c r="S62" s="54">
        <f t="shared" si="16"/>
        <v>0</v>
      </c>
      <c r="AC62" s="185" t="s">
        <v>149</v>
      </c>
      <c r="AD62" s="131">
        <f>VLOOKUP(AC62,Inkjøp[],2,FALSE)-VLOOKUP(AC62,Salg_Total[],2,FALSE)</f>
        <v>-192</v>
      </c>
      <c r="AE62" s="133">
        <v>60</v>
      </c>
      <c r="AF62" s="132">
        <v>0</v>
      </c>
    </row>
    <row r="63" spans="2:32" ht="18.649999999999999" customHeight="1" x14ac:dyDescent="0.45">
      <c r="B63" s="21" t="str">
        <v>Mentos</v>
      </c>
      <c r="C63" s="151">
        <f t="shared" si="6"/>
        <v>18.106971153846153</v>
      </c>
      <c r="D63" s="170">
        <f>VLOOKUP(B63,Inkjøp[],2,FALSE)</f>
        <v>120</v>
      </c>
      <c r="E63" s="171">
        <f>VLOOKUP(B63,Inkjøp[],3,FALSE)</f>
        <v>2820.7200000000003</v>
      </c>
      <c r="F63" s="171">
        <f t="shared" si="7"/>
        <v>2172.8365384615386</v>
      </c>
      <c r="G63" s="172">
        <f>IFERROR(VLOOKUP(B63,Salg_Total[],2,FALSE),0)</f>
        <v>312</v>
      </c>
      <c r="H63" s="173">
        <f>IFERROR(VLOOKUP(B63,Salg_Total[],3,FALSE),0)*0.9825</f>
        <v>5649.375</v>
      </c>
      <c r="I63" s="174"/>
      <c r="J63" s="116">
        <f t="shared" si="10"/>
        <v>0</v>
      </c>
      <c r="K63" s="175">
        <f t="shared" si="11"/>
        <v>-192</v>
      </c>
      <c r="L63" s="176">
        <f t="shared" si="8"/>
        <v>2828.6549999999997</v>
      </c>
      <c r="M63" s="176">
        <f t="shared" si="12"/>
        <v>-3476.5384615384614</v>
      </c>
      <c r="P63" s="56">
        <f t="shared" si="13"/>
        <v>-5.4016694461137833</v>
      </c>
      <c r="Q63" s="57">
        <f t="shared" si="14"/>
        <v>-0.32067404580152681</v>
      </c>
      <c r="R63" s="54">
        <f t="shared" si="15"/>
        <v>0.31687199519230769</v>
      </c>
      <c r="S63" s="54">
        <f t="shared" si="16"/>
        <v>38.024639423076927</v>
      </c>
      <c r="AC63" s="185" t="s">
        <v>150</v>
      </c>
      <c r="AD63" s="131">
        <f>VLOOKUP(AC63,Inkjøp[],2,FALSE)-VLOOKUP(AC63,Salg_Total[],2,FALSE)</f>
        <v>-61</v>
      </c>
      <c r="AE63" s="131">
        <v>0</v>
      </c>
      <c r="AF63" s="132">
        <v>4</v>
      </c>
    </row>
    <row r="64" spans="2:32" ht="18.649999999999999" customHeight="1" x14ac:dyDescent="0.45">
      <c r="B64" s="21" t="str">
        <v>Bilar</v>
      </c>
      <c r="C64" s="151">
        <f t="shared" si="6"/>
        <v>34.387500000000003</v>
      </c>
      <c r="D64" s="170">
        <f>VLOOKUP(B64,Inkjøp[],2,FALSE)</f>
        <v>0</v>
      </c>
      <c r="E64" s="171">
        <f>VLOOKUP(B64,Inkjøp[],3,FALSE)</f>
        <v>747.20099999999991</v>
      </c>
      <c r="F64" s="171">
        <f t="shared" si="7"/>
        <v>0</v>
      </c>
      <c r="G64" s="172">
        <f>IFERROR(VLOOKUP(B64,Salg_Total[],2,FALSE),0)</f>
        <v>61</v>
      </c>
      <c r="H64" s="173">
        <f>IFERROR(VLOOKUP(B64,Salg_Total[],3,FALSE),0)*0.9825</f>
        <v>2097.6375000000003</v>
      </c>
      <c r="I64" s="174"/>
      <c r="J64" s="116">
        <f t="shared" si="10"/>
        <v>0</v>
      </c>
      <c r="K64" s="175">
        <f>D64-G64-I64</f>
        <v>-61</v>
      </c>
      <c r="L64" s="176">
        <f t="shared" si="8"/>
        <v>1350.4365000000003</v>
      </c>
      <c r="M64" s="176">
        <f t="shared" si="12"/>
        <v>-2097.6375000000003</v>
      </c>
      <c r="P64" s="56" t="e">
        <f t="shared" si="13"/>
        <v>#DIV/0!</v>
      </c>
      <c r="Q64" s="57" t="e">
        <f t="shared" si="14"/>
        <v>#DIV/0!</v>
      </c>
      <c r="R64" s="54">
        <f t="shared" si="15"/>
        <v>0.60178125000000016</v>
      </c>
      <c r="S64" s="54">
        <f t="shared" si="16"/>
        <v>0</v>
      </c>
      <c r="AC64" s="185" t="s">
        <v>151</v>
      </c>
      <c r="AD64" s="131">
        <f>VLOOKUP(AC64,Inkjøp[],2,FALSE)-VLOOKUP(AC64,Salg_Total[],2,FALSE)</f>
        <v>-467</v>
      </c>
      <c r="AE64" s="133">
        <v>9</v>
      </c>
      <c r="AF64" s="132">
        <v>2</v>
      </c>
    </row>
    <row r="65" spans="2:32" ht="16" customHeight="1" x14ac:dyDescent="0.4">
      <c r="B65" s="13" t="str">
        <v>Hockey Pulver</v>
      </c>
      <c r="C65" s="151">
        <f t="shared" si="6"/>
        <v>7.8599999999999994</v>
      </c>
      <c r="D65" s="170">
        <f>VLOOKUP(B65,Inkjøp[],2,FALSE)</f>
        <v>150</v>
      </c>
      <c r="E65" s="171">
        <f>VLOOKUP(B65,Inkjøp[],3,FALSE)</f>
        <v>1536.63</v>
      </c>
      <c r="F65" s="171">
        <f t="shared" si="7"/>
        <v>1179</v>
      </c>
      <c r="G65" s="172">
        <f>IFERROR(VLOOKUP(B65,Salg_Total[],2,FALSE),0)</f>
        <v>617</v>
      </c>
      <c r="H65" s="173">
        <f>IFERROR(VLOOKUP(B65,Salg_Total[],3,FALSE),0)*0.9825</f>
        <v>4849.62</v>
      </c>
      <c r="I65" s="174"/>
      <c r="J65" s="116">
        <f t="shared" si="10"/>
        <v>0</v>
      </c>
      <c r="K65" s="175">
        <f t="shared" si="11"/>
        <v>-467</v>
      </c>
      <c r="L65" s="176">
        <f t="shared" si="8"/>
        <v>3312.99</v>
      </c>
      <c r="M65" s="176">
        <f t="shared" si="12"/>
        <v>-3670.62</v>
      </c>
      <c r="P65" s="56">
        <f t="shared" si="13"/>
        <v>-2.3851170000000006</v>
      </c>
      <c r="Q65" s="57">
        <f t="shared" si="14"/>
        <v>-0.32583333333333342</v>
      </c>
      <c r="R65" s="54">
        <f t="shared" si="15"/>
        <v>0.13755000000000001</v>
      </c>
      <c r="S65" s="54">
        <f t="shared" si="16"/>
        <v>20.6325</v>
      </c>
      <c r="AC65" s="185" t="s">
        <v>152</v>
      </c>
      <c r="AD65" s="131">
        <f>VLOOKUP(AC65,Inkjøp[],2,FALSE)-VLOOKUP(AC65,Salg_Total[],2,FALSE)</f>
        <v>-123</v>
      </c>
      <c r="AE65" s="131">
        <v>7</v>
      </c>
      <c r="AF65" s="132">
        <v>-2</v>
      </c>
    </row>
    <row r="66" spans="2:32" ht="16" customHeight="1" x14ac:dyDescent="0.4">
      <c r="B66" s="177" t="str">
        <v>Extra Tyggis</v>
      </c>
      <c r="C66" s="151">
        <f t="shared" si="6"/>
        <v>14.737500000000001</v>
      </c>
      <c r="D66" s="170">
        <f>VLOOKUP(B66,Inkjøp[],2,FALSE)</f>
        <v>30</v>
      </c>
      <c r="E66" s="171">
        <f>VLOOKUP(B66,Inkjøp[],3,FALSE)</f>
        <v>1316.5199999999998</v>
      </c>
      <c r="F66" s="171">
        <f>D66*C66</f>
        <v>442.125</v>
      </c>
      <c r="G66" s="172">
        <f>IFERROR(VLOOKUP(B66,Salg_Total[],2,FALSE),0)</f>
        <v>153</v>
      </c>
      <c r="H66" s="173">
        <f>IFERROR(VLOOKUP(B66,Salg_Total[],3,FALSE),0)*0.9825</f>
        <v>2254.8375000000001</v>
      </c>
      <c r="I66" s="174"/>
      <c r="J66" s="116">
        <f>I66*C66</f>
        <v>0</v>
      </c>
      <c r="K66" s="175">
        <f t="shared" si="11"/>
        <v>-123</v>
      </c>
      <c r="L66" s="176">
        <f>H66-E66</f>
        <v>938.31750000000034</v>
      </c>
      <c r="M66" s="176">
        <f t="shared" si="12"/>
        <v>-1812.7125000000001</v>
      </c>
      <c r="P66" s="56">
        <f t="shared" si="13"/>
        <v>-29.155096874999991</v>
      </c>
      <c r="Q66" s="57">
        <f t="shared" si="14"/>
        <v>-2.0002099236641215</v>
      </c>
      <c r="R66" s="54">
        <f t="shared" si="15"/>
        <v>0.25790625000000006</v>
      </c>
      <c r="S66" s="54">
        <f t="shared" si="16"/>
        <v>7.737187500000001</v>
      </c>
      <c r="AC66" s="185" t="s">
        <v>153</v>
      </c>
      <c r="AD66" s="131">
        <f>VLOOKUP(AC66,Inkjøp[],2,FALSE)-VLOOKUP(AC66,Salg_Total[],2,FALSE)</f>
        <v>-91</v>
      </c>
      <c r="AE66" s="133">
        <v>92</v>
      </c>
      <c r="AF66" s="132">
        <v>-22</v>
      </c>
    </row>
    <row r="67" spans="2:32" ht="16" customHeight="1" x14ac:dyDescent="0.4">
      <c r="B67" s="179" t="str">
        <v>Double Dip</v>
      </c>
      <c r="C67" s="151">
        <f>IFERROR(H67/G67,0)</f>
        <v>7.86</v>
      </c>
      <c r="D67" s="170">
        <f>VLOOKUP(B67,Inkjøp[],2,FALSE)</f>
        <v>0</v>
      </c>
      <c r="E67" s="171">
        <f>VLOOKUP(B67,Inkjøp[],3,FALSE)</f>
        <v>611.06399999999996</v>
      </c>
      <c r="F67" s="171">
        <f>D67*C67</f>
        <v>0</v>
      </c>
      <c r="G67" s="172">
        <f>IFERROR(VLOOKUP(B67,Salg_Total[],2,FALSE),0)</f>
        <v>91</v>
      </c>
      <c r="H67" s="173">
        <f>IFERROR(VLOOKUP(B67,Salg_Total[],3,FALSE),0)*0.9825</f>
        <v>715.26</v>
      </c>
      <c r="I67" s="174"/>
      <c r="J67" s="116">
        <f>I67*C67</f>
        <v>0</v>
      </c>
      <c r="K67" s="175">
        <f t="shared" si="11"/>
        <v>-91</v>
      </c>
      <c r="L67" s="176">
        <f>H67-E67</f>
        <v>104.19600000000003</v>
      </c>
      <c r="M67" s="176">
        <f>K67*C67</f>
        <v>-715.26</v>
      </c>
      <c r="P67" s="56" t="e">
        <f>(F67-E67-R67)/D67</f>
        <v>#DIV/0!</v>
      </c>
      <c r="Q67" s="57" t="e">
        <f>(F67-E67-F67*0.0225)/F67</f>
        <v>#DIV/0!</v>
      </c>
      <c r="R67" s="54">
        <f>C67*0.0175</f>
        <v>0.13755000000000001</v>
      </c>
      <c r="S67" s="54">
        <f>F67*0.0175</f>
        <v>0</v>
      </c>
      <c r="AC67" s="185" t="s">
        <v>156</v>
      </c>
      <c r="AD67" s="131">
        <f>VLOOKUP(AC67,Inkjøp[],2,FALSE)-VLOOKUP(AC67,Salg_Total[],2,FALSE)</f>
        <v>-26</v>
      </c>
      <c r="AE67" s="131">
        <v>0</v>
      </c>
      <c r="AF67" s="132">
        <v>12</v>
      </c>
    </row>
    <row r="68" spans="2:32" ht="16" customHeight="1" x14ac:dyDescent="0.4">
      <c r="B68" s="178" t="str">
        <v>Chili nøtter</v>
      </c>
      <c r="C68" s="151">
        <f>IFERROR(H68/G68,0)</f>
        <v>24.5625</v>
      </c>
      <c r="D68" s="170">
        <f>VLOOKUP(B68,Inkjøp[],2,FALSE)</f>
        <v>28</v>
      </c>
      <c r="E68" s="171">
        <f>VLOOKUP(B68,Inkjøp[],3,FALSE)</f>
        <v>837.84399999999994</v>
      </c>
      <c r="F68" s="171">
        <f>D68*C68</f>
        <v>687.75</v>
      </c>
      <c r="G68" s="172">
        <f>IFERROR(VLOOKUP(B68,Salg_Total[],2,FALSE),0)</f>
        <v>54</v>
      </c>
      <c r="H68" s="173">
        <f>IFERROR(VLOOKUP(B68,Salg_Total[],3,FALSE),0)*0.9825</f>
        <v>1326.375</v>
      </c>
      <c r="I68" s="174"/>
      <c r="J68" s="116">
        <f>I68*C68</f>
        <v>0</v>
      </c>
      <c r="K68" s="175">
        <f t="shared" si="11"/>
        <v>-26</v>
      </c>
      <c r="L68" s="176">
        <f>H68-E68</f>
        <v>488.53100000000006</v>
      </c>
      <c r="M68" s="176">
        <f>K68*C68</f>
        <v>-638.625</v>
      </c>
      <c r="P68" s="56">
        <f>(F68-E68-R68)/D68</f>
        <v>-5.3758515624999976</v>
      </c>
      <c r="Q68" s="57">
        <f>(F68-E68-F68*0.0225)/F68</f>
        <v>-0.24073918575063605</v>
      </c>
      <c r="R68" s="54">
        <f>C68*0.0175</f>
        <v>0.42984375000000002</v>
      </c>
      <c r="S68" s="54">
        <f>F68*0.0175</f>
        <v>12.035625000000001</v>
      </c>
      <c r="AC68" s="185" t="s">
        <v>154</v>
      </c>
      <c r="AD68" s="131">
        <f>VLOOKUP(AC68,Inkjøp[],2,FALSE)-VLOOKUP(AC68,Salg_Total[],2,FALSE)</f>
        <v>-49</v>
      </c>
      <c r="AE68" s="133">
        <v>24</v>
      </c>
      <c r="AF68" s="132">
        <v>37</v>
      </c>
    </row>
    <row r="69" spans="2:32" ht="16" customHeight="1" x14ac:dyDescent="0.4">
      <c r="B69" s="178" t="str">
        <v>Mellombar Orange</v>
      </c>
      <c r="C69" s="151">
        <f>IFERROR(H69/G69,0)</f>
        <v>8.3813265306122453</v>
      </c>
      <c r="D69" s="170">
        <f>VLOOKUP(B69,Inkjøp[],2,FALSE)</f>
        <v>0</v>
      </c>
      <c r="E69" s="171">
        <f>VLOOKUP(B69,Inkjøp[],3,FALSE)</f>
        <v>192.51</v>
      </c>
      <c r="F69" s="171">
        <f>D69*C69</f>
        <v>0</v>
      </c>
      <c r="G69" s="172">
        <f>IFERROR(VLOOKUP(B69,Salg_Total[],2,FALSE),0)</f>
        <v>49</v>
      </c>
      <c r="H69" s="173">
        <f>IFERROR(VLOOKUP(B69,Salg_Total[],3,FALSE),0)*0.9825</f>
        <v>410.685</v>
      </c>
      <c r="I69" s="174"/>
      <c r="J69" s="116">
        <f>I69*C69</f>
        <v>0</v>
      </c>
      <c r="K69" s="175">
        <f t="shared" si="11"/>
        <v>-49</v>
      </c>
      <c r="L69" s="176">
        <f>H69-E69</f>
        <v>218.17500000000001</v>
      </c>
      <c r="M69" s="176">
        <f>K69*C69</f>
        <v>-410.685</v>
      </c>
      <c r="P69" s="56" t="e">
        <f>(F69-E69-R69)/D69</f>
        <v>#DIV/0!</v>
      </c>
      <c r="Q69" s="57" t="e">
        <f>(F69-E69-F69*0.0225)/F69</f>
        <v>#DIV/0!</v>
      </c>
      <c r="R69" s="54">
        <f>C69*0.0175</f>
        <v>0.14667321428571431</v>
      </c>
      <c r="S69" s="54">
        <f>F69*0.0175</f>
        <v>0</v>
      </c>
      <c r="AC69" s="185" t="s">
        <v>155</v>
      </c>
      <c r="AD69" s="131">
        <f>VLOOKUP(AC69,Inkjøp[],2,FALSE)-VLOOKUP(AC69,Salg_Total[],2,FALSE)</f>
        <v>-51</v>
      </c>
      <c r="AE69" s="131">
        <v>24</v>
      </c>
      <c r="AF69" s="132">
        <f>'[1]Master kiosk'!$AD69-'[1]Master kiosk'!$AE69</f>
        <v>13</v>
      </c>
    </row>
    <row r="70" spans="2:32" ht="16" customHeight="1" x14ac:dyDescent="0.4">
      <c r="B70" s="178" t="str">
        <v>Mellombar Blå</v>
      </c>
      <c r="C70" s="151">
        <f t="shared" ref="C70:C71" si="17">IFERROR(H70/G70,0)</f>
        <v>7.9755882352941176</v>
      </c>
      <c r="D70" s="170">
        <f>VLOOKUP(B70,Inkjøp[],2,FALSE)</f>
        <v>0</v>
      </c>
      <c r="E70" s="171">
        <f>VLOOKUP(B70,Inkjøp[],3,FALSE)</f>
        <v>208.79399999999995</v>
      </c>
      <c r="F70" s="171">
        <f t="shared" ref="F70:F71" si="18">D70*C70</f>
        <v>0</v>
      </c>
      <c r="G70" s="172">
        <f>IFERROR(VLOOKUP(B70,Salg_Total[],2,FALSE),0)</f>
        <v>51</v>
      </c>
      <c r="H70" s="173">
        <f>IFERROR(VLOOKUP(B70,Salg_Total[],3,FALSE),0)*0.9825</f>
        <v>406.755</v>
      </c>
      <c r="I70" s="174"/>
      <c r="J70" s="116">
        <f t="shared" ref="J70:J71" si="19">I70*C70</f>
        <v>0</v>
      </c>
      <c r="K70" s="175">
        <f t="shared" ref="K70:K71" si="20">D70-G70-I70</f>
        <v>-51</v>
      </c>
      <c r="L70" s="176">
        <f t="shared" ref="L70:L71" si="21">H70-E70</f>
        <v>197.96100000000004</v>
      </c>
      <c r="M70" s="176">
        <f t="shared" ref="M70:M71" si="22">K70*C70</f>
        <v>-406.755</v>
      </c>
      <c r="P70" s="56" t="e">
        <f t="shared" ref="P70:P71" si="23">(F70-E70-R70)/D70</f>
        <v>#DIV/0!</v>
      </c>
      <c r="Q70" s="57" t="e">
        <f t="shared" ref="Q70:Q71" si="24">(F70-E70-F70*0.0225)/F70</f>
        <v>#DIV/0!</v>
      </c>
      <c r="R70" s="54">
        <f t="shared" ref="R70:R71" si="25">C70*0.0175</f>
        <v>0.13957279411764706</v>
      </c>
      <c r="S70" s="54">
        <f t="shared" ref="S70:S71" si="26">F70*0.0175</f>
        <v>0</v>
      </c>
      <c r="AC70" s="185" t="s">
        <v>289</v>
      </c>
      <c r="AD70" s="131">
        <f>VLOOKUP(AC70,Inkjøp[],2,FALSE)-VLOOKUP(AC70,Salg_Total[],2,FALSE)</f>
        <v>-48</v>
      </c>
      <c r="AE70" s="131">
        <f>SUM(AF62
)</f>
        <v>0</v>
      </c>
      <c r="AF70" s="132"/>
    </row>
    <row r="71" spans="2:32" ht="16" customHeight="1" x14ac:dyDescent="0.4">
      <c r="B71" s="178" t="str">
        <v>Brus (utgått på dato)</v>
      </c>
      <c r="C71" s="151">
        <f t="shared" si="17"/>
        <v>19.650000000000002</v>
      </c>
      <c r="D71" s="170">
        <f>VLOOKUP(B71,Inkjøp[],2,FALSE)</f>
        <v>0</v>
      </c>
      <c r="E71" s="171">
        <f>VLOOKUP(B71,Inkjøp[],3,FALSE)</f>
        <v>0</v>
      </c>
      <c r="F71" s="171">
        <f t="shared" si="18"/>
        <v>0</v>
      </c>
      <c r="G71" s="172">
        <f>IFERROR(VLOOKUP(B71,Salg_Total[],2,FALSE),0)</f>
        <v>14</v>
      </c>
      <c r="H71" s="173">
        <f>IFERROR(VLOOKUP(B71,Salg_Total[],3,FALSE),0)*0.9825</f>
        <v>275.10000000000002</v>
      </c>
      <c r="I71" s="174"/>
      <c r="J71" s="116">
        <f t="shared" si="19"/>
        <v>0</v>
      </c>
      <c r="K71" s="175">
        <f t="shared" si="20"/>
        <v>-14</v>
      </c>
      <c r="L71" s="176">
        <f t="shared" si="21"/>
        <v>275.10000000000002</v>
      </c>
      <c r="M71" s="176">
        <f t="shared" si="22"/>
        <v>-275.10000000000002</v>
      </c>
      <c r="P71" s="56" t="e">
        <f t="shared" si="23"/>
        <v>#DIV/0!</v>
      </c>
      <c r="Q71" s="57" t="e">
        <f t="shared" si="24"/>
        <v>#DIV/0!</v>
      </c>
      <c r="R71" s="54">
        <f t="shared" si="25"/>
        <v>0.3438750000000001</v>
      </c>
      <c r="S71" s="54">
        <f t="shared" si="26"/>
        <v>0</v>
      </c>
      <c r="AC71" s="185"/>
      <c r="AD71" s="131" t="e">
        <f>VLOOKUP(AC71,Inkjøp[],2,FALSE)-VLOOKUP(AC71,Salg_Total[],2,FALSE)</f>
        <v>#N/A</v>
      </c>
      <c r="AE71" s="131"/>
      <c r="AF71" s="132" t="e">
        <f>'Master kiosk'!$AD71-'Master kiosk'!$AE71</f>
        <v>#N/A</v>
      </c>
    </row>
    <row r="72" spans="2:32" x14ac:dyDescent="0.35">
      <c r="B72" t="str">
        <v>Mozell light</v>
      </c>
      <c r="H72" s="225"/>
      <c r="L72" s="225"/>
      <c r="AC72" s="185"/>
      <c r="AD72" s="131" t="e">
        <f>VLOOKUP(AC72,Inkjøp[],2,FALSE)-VLOOKUP(AC72,Salg_Total[],2,FALSE)</f>
        <v>#N/A</v>
      </c>
      <c r="AE72" s="131"/>
      <c r="AF72" s="132" t="e">
        <f>'Master kiosk'!$AD72-'Master kiosk'!$AE72</f>
        <v>#N/A</v>
      </c>
    </row>
    <row r="73" spans="2:32" x14ac:dyDescent="0.35">
      <c r="B73" t="str">
        <v>Urge Boks</v>
      </c>
      <c r="L73" s="225"/>
      <c r="AC73" s="185"/>
      <c r="AD73" s="131" t="e">
        <f>VLOOKUP(AC73,Inkjøp[],2,FALSE)-VLOOKUP(AC73,Salg_Total[],2,FALSE)</f>
        <v>#N/A</v>
      </c>
      <c r="AE73" s="184"/>
      <c r="AF73" s="132" t="e">
        <f>'Master kiosk'!$AD73-'Master kiosk'!$AE73</f>
        <v>#N/A</v>
      </c>
    </row>
    <row r="74" spans="2:32" x14ac:dyDescent="0.35">
      <c r="B74" t="str">
        <v>Monster Ultra Fiesta</v>
      </c>
    </row>
    <row r="79" spans="2:32" x14ac:dyDescent="0.35">
      <c r="D79" t="s">
        <v>302</v>
      </c>
    </row>
    <row r="80" spans="2:32" ht="16" x14ac:dyDescent="0.4">
      <c r="B80" s="75" t="s">
        <v>295</v>
      </c>
      <c r="C80" s="194"/>
      <c r="G80" s="6"/>
      <c r="H80" s="6"/>
      <c r="O80" s="108"/>
      <c r="P80" s="198"/>
      <c r="Q80" s="198"/>
    </row>
    <row r="81" spans="2:26" ht="16" x14ac:dyDescent="0.4">
      <c r="B81" s="189" t="s">
        <v>293</v>
      </c>
      <c r="C81" s="189">
        <f>Vippsutskrifter!I77</f>
        <v>315520.58000000019</v>
      </c>
      <c r="D81" s="6"/>
      <c r="E81" s="6"/>
      <c r="F81" s="6"/>
      <c r="L81" s="197"/>
    </row>
    <row r="82" spans="2:26" x14ac:dyDescent="0.35">
      <c r="B82" s="189" t="s">
        <v>292</v>
      </c>
      <c r="C82" s="189">
        <f>Terminalutskrifter!J77</f>
        <v>6984.9900000000007</v>
      </c>
    </row>
    <row r="83" spans="2:26" ht="16" x14ac:dyDescent="0.4">
      <c r="B83" s="189" t="s">
        <v>294</v>
      </c>
      <c r="C83" s="189">
        <f>SUM(C81:C82)</f>
        <v>322505.57000000018</v>
      </c>
      <c r="E83" t="s">
        <v>305</v>
      </c>
      <c r="F83" s="113" t="s">
        <v>303</v>
      </c>
      <c r="G83" s="195" cm="1">
        <f t="array" ref="G83">SUM(IFERROR(D2:D68,0))</f>
        <v>4174</v>
      </c>
    </row>
    <row r="84" spans="2:26" ht="16" x14ac:dyDescent="0.4">
      <c r="B84" s="19"/>
      <c r="C84" s="19"/>
      <c r="F84" s="113" t="s">
        <v>304</v>
      </c>
      <c r="G84" s="195" cm="1">
        <f t="array" ref="G84">SUM(IFERROR(E2:E72,0))</f>
        <v>172954.22144499994</v>
      </c>
    </row>
    <row r="85" spans="2:26" ht="16" x14ac:dyDescent="0.4">
      <c r="B85" s="73" t="s">
        <v>272</v>
      </c>
      <c r="C85" s="73">
        <f>'Inn Kiosk'!B83</f>
        <v>-235300.65</v>
      </c>
      <c r="F85" s="113" t="s">
        <v>306</v>
      </c>
      <c r="G85" s="195" cm="1">
        <f t="array" ref="G85">SUM(IFERROR(F2:F68,0))</f>
        <v>97236.419328205287</v>
      </c>
    </row>
    <row r="86" spans="2:26" x14ac:dyDescent="0.35">
      <c r="B86" s="19"/>
      <c r="C86" s="19"/>
      <c r="E86" t="s">
        <v>307</v>
      </c>
      <c r="F86" s="113" t="s">
        <v>308</v>
      </c>
      <c r="G86" s="116">
        <f>SUM(G2:G71)</f>
        <v>14612</v>
      </c>
    </row>
    <row r="87" spans="2:26" x14ac:dyDescent="0.35">
      <c r="B87" s="19" t="s">
        <v>296</v>
      </c>
      <c r="C87" s="19">
        <f>SUM(C83:C86)</f>
        <v>87204.920000000187</v>
      </c>
      <c r="F87" s="113" t="s">
        <v>312</v>
      </c>
      <c r="G87" s="116">
        <f>SUM(H2:H71)+Terminalutskrifter!J78</f>
        <v>314267.06250000006</v>
      </c>
    </row>
    <row r="88" spans="2:26" ht="16" x14ac:dyDescent="0.4">
      <c r="E88" t="s">
        <v>54</v>
      </c>
      <c r="F88" s="113" t="s">
        <v>309</v>
      </c>
      <c r="G88" s="195" cm="1">
        <f t="array" ref="G88">SUM(IFERROR(I2:I68,0))</f>
        <v>0</v>
      </c>
    </row>
    <row r="89" spans="2:26" ht="16" x14ac:dyDescent="0.4">
      <c r="F89" s="113" t="s">
        <v>313</v>
      </c>
      <c r="G89" s="196" cm="1">
        <f t="array" ref="G89">SUM(IFERROR(J2:J68,0))+Terminalutskrifter!J78</f>
        <v>3351.9900000000007</v>
      </c>
    </row>
    <row r="90" spans="2:26" ht="16" x14ac:dyDescent="0.4">
      <c r="E90" t="s">
        <v>310</v>
      </c>
      <c r="F90" s="113" t="s">
        <v>311</v>
      </c>
      <c r="G90" s="195" cm="1">
        <f t="array" ref="G90">SUM(IFERROR(K2:K68,0))</f>
        <v>-10324</v>
      </c>
      <c r="Z90" t="s">
        <v>279</v>
      </c>
    </row>
    <row r="91" spans="2:26" ht="16" x14ac:dyDescent="0.4">
      <c r="F91" s="113" t="s">
        <v>58</v>
      </c>
      <c r="G91" s="195" cm="1">
        <f t="array" ref="G91">SUM(IFERROR(M2:M68,0))</f>
        <v>-212586.11317179474</v>
      </c>
    </row>
    <row r="92" spans="2:26" ht="16" x14ac:dyDescent="0.4">
      <c r="B92" s="92" t="s">
        <v>297</v>
      </c>
      <c r="C92" s="92"/>
      <c r="F92" s="113"/>
      <c r="G92" s="195"/>
    </row>
    <row r="93" spans="2:26" x14ac:dyDescent="0.35">
      <c r="B93" s="92" t="s">
        <v>298</v>
      </c>
      <c r="C93" s="92">
        <f>H81</f>
        <v>0</v>
      </c>
      <c r="F93" s="113"/>
      <c r="G93" s="113"/>
    </row>
    <row r="94" spans="2:26" x14ac:dyDescent="0.35">
      <c r="B94" s="92" t="s">
        <v>299</v>
      </c>
      <c r="C94" s="92">
        <f>C83</f>
        <v>322505.57000000018</v>
      </c>
      <c r="F94" s="113"/>
      <c r="G94" s="113"/>
    </row>
    <row r="95" spans="2:26" ht="16" x14ac:dyDescent="0.4">
      <c r="B95" s="92" t="s">
        <v>9</v>
      </c>
      <c r="C95" s="92">
        <f>C93-C94</f>
        <v>-322505.57000000018</v>
      </c>
      <c r="F95" s="113" t="s">
        <v>1</v>
      </c>
      <c r="G95" s="195" cm="1">
        <f t="array" ref="G95">SUM(IFERROR(L2:L70,0))</f>
        <v>137685.751055</v>
      </c>
    </row>
    <row r="96" spans="2:26" x14ac:dyDescent="0.35">
      <c r="B96" s="92"/>
      <c r="C96" s="92"/>
      <c r="F96" s="113"/>
      <c r="G96" s="113"/>
    </row>
    <row r="97" spans="2:7" x14ac:dyDescent="0.35">
      <c r="B97" s="92" t="s">
        <v>300</v>
      </c>
      <c r="C97" s="92">
        <f>G84</f>
        <v>172954.22144499994</v>
      </c>
      <c r="F97" s="113" t="s">
        <v>285</v>
      </c>
      <c r="G97" s="199">
        <f>(G85-G84)/G85</f>
        <v>-0.7786979676948188</v>
      </c>
    </row>
    <row r="98" spans="2:7" x14ac:dyDescent="0.35">
      <c r="B98" s="92" t="s">
        <v>301</v>
      </c>
      <c r="C98" s="92">
        <f>C85</f>
        <v>-235300.65</v>
      </c>
    </row>
    <row r="99" spans="2:7" x14ac:dyDescent="0.35">
      <c r="B99" s="92" t="s">
        <v>9</v>
      </c>
      <c r="C99" s="92">
        <f>C98+C97</f>
        <v>-62346.42855500005</v>
      </c>
    </row>
  </sheetData>
  <conditionalFormatting sqref="J2:J71">
    <cfRule type="colorScale" priority="1">
      <colorScale>
        <cfvo type="min"/>
        <cfvo type="percentile" val="50"/>
        <cfvo type="max"/>
        <color theme="9" tint="-0.249977111117893"/>
        <color theme="0"/>
        <color rgb="FFC0000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BU1012"/>
  <sheetViews>
    <sheetView topLeftCell="A90" zoomScale="53" zoomScaleNormal="30" workbookViewId="0">
      <selection activeCell="B104" sqref="B104"/>
    </sheetView>
  </sheetViews>
  <sheetFormatPr baseColWidth="10" defaultColWidth="8.81640625" defaultRowHeight="14.5" x14ac:dyDescent="0.35"/>
  <cols>
    <col min="1" max="1" width="23.81640625" customWidth="1"/>
    <col min="2" max="2" width="29.54296875" customWidth="1"/>
    <col min="3" max="3" width="29.453125" customWidth="1"/>
    <col min="4" max="4" width="17.54296875" customWidth="1"/>
    <col min="5" max="5" width="5" customWidth="1"/>
    <col min="6" max="6" width="18" customWidth="1"/>
    <col min="7" max="7" width="10.54296875" customWidth="1"/>
    <col min="8" max="8" width="12.54296875" customWidth="1"/>
    <col min="9" max="9" width="23.54296875" customWidth="1"/>
    <col min="10" max="10" width="20.54296875" customWidth="1"/>
    <col min="11" max="11" width="18.453125" customWidth="1"/>
    <col min="12" max="12" width="8.81640625" customWidth="1"/>
    <col min="13" max="13" width="4.453125" customWidth="1"/>
    <col min="14" max="14" width="13.1796875" customWidth="1"/>
    <col min="15" max="15" width="10.54296875" customWidth="1"/>
    <col min="16" max="16" width="17.54296875" customWidth="1"/>
    <col min="17" max="17" width="23.54296875" customWidth="1"/>
    <col min="18" max="18" width="20.54296875" customWidth="1"/>
    <col min="19" max="19" width="21.1796875" customWidth="1"/>
    <col min="20" max="20" width="8.81640625" customWidth="1"/>
    <col min="21" max="21" width="17.81640625" customWidth="1"/>
    <col min="22" max="22" width="20.1796875" customWidth="1"/>
    <col min="23" max="23" width="14.81640625" customWidth="1"/>
    <col min="24" max="24" width="17.453125" customWidth="1"/>
    <col min="25" max="25" width="23.54296875" customWidth="1"/>
    <col min="26" max="26" width="20.54296875" customWidth="1"/>
    <col min="27" max="27" width="21.1796875" customWidth="1"/>
    <col min="28" max="28" width="8.81640625" customWidth="1"/>
    <col min="29" max="29" width="7" customWidth="1"/>
    <col min="30" max="30" width="13.1796875" customWidth="1"/>
    <col min="31" max="31" width="21.54296875" customWidth="1"/>
    <col min="33" max="33" width="9.1796875" customWidth="1"/>
    <col min="34" max="34" width="17.26953125" customWidth="1"/>
    <col min="35" max="35" width="18" customWidth="1"/>
    <col min="36" max="36" width="15.54296875" customWidth="1"/>
    <col min="40" max="40" width="27.81640625" customWidth="1"/>
    <col min="41" max="41" width="8.81640625" customWidth="1"/>
    <col min="42" max="42" width="8.81640625" bestFit="1" customWidth="1"/>
    <col min="43" max="43" width="9" bestFit="1" customWidth="1"/>
    <col min="44" max="44" width="8.81640625" bestFit="1" customWidth="1"/>
    <col min="45" max="45" width="11.1796875" bestFit="1" customWidth="1"/>
    <col min="46" max="46" width="8.81640625" bestFit="1" customWidth="1"/>
    <col min="49" max="49" width="25.54296875" customWidth="1"/>
    <col min="53" max="53" width="16.54296875" customWidth="1"/>
    <col min="54" max="54" width="12.81640625" customWidth="1"/>
    <col min="58" max="58" width="25.7265625" customWidth="1"/>
    <col min="62" max="62" width="16.1796875" customWidth="1"/>
    <col min="67" max="67" width="26.54296875" customWidth="1"/>
  </cols>
  <sheetData>
    <row r="1" spans="1:73" ht="16" customHeight="1" x14ac:dyDescent="0.4">
      <c r="A1" s="156" t="s">
        <v>81</v>
      </c>
      <c r="B1" s="53" t="s">
        <v>284</v>
      </c>
      <c r="C1" s="52" t="s">
        <v>275</v>
      </c>
      <c r="D1" s="33"/>
      <c r="E1" s="14"/>
      <c r="F1" s="1" t="s">
        <v>81</v>
      </c>
      <c r="G1" s="3" t="s">
        <v>82</v>
      </c>
      <c r="H1" s="3" t="s">
        <v>83</v>
      </c>
      <c r="I1" s="3" t="s">
        <v>84</v>
      </c>
      <c r="J1" s="3" t="s">
        <v>85</v>
      </c>
      <c r="K1" s="4" t="s">
        <v>86</v>
      </c>
      <c r="L1" s="5" t="s">
        <v>87</v>
      </c>
      <c r="M1" s="144" t="s">
        <v>185</v>
      </c>
      <c r="N1" s="1" t="s">
        <v>81</v>
      </c>
      <c r="O1" s="3" t="s">
        <v>82</v>
      </c>
      <c r="P1" s="3" t="s">
        <v>83</v>
      </c>
      <c r="Q1" s="3" t="s">
        <v>84</v>
      </c>
      <c r="R1" s="3" t="s">
        <v>85</v>
      </c>
      <c r="S1" s="4" t="s">
        <v>86</v>
      </c>
      <c r="T1" s="145" t="s">
        <v>87</v>
      </c>
      <c r="U1" s="144" t="s">
        <v>185</v>
      </c>
      <c r="V1" s="1" t="s">
        <v>81</v>
      </c>
      <c r="W1" s="3" t="s">
        <v>82</v>
      </c>
      <c r="X1" s="3" t="s">
        <v>83</v>
      </c>
      <c r="Y1" s="3" t="s">
        <v>84</v>
      </c>
      <c r="Z1" s="3" t="s">
        <v>85</v>
      </c>
      <c r="AA1" s="4" t="s">
        <v>86</v>
      </c>
      <c r="AB1" s="5" t="s">
        <v>87</v>
      </c>
      <c r="AD1" s="144" t="s">
        <v>185</v>
      </c>
      <c r="AE1" s="114" t="s">
        <v>81</v>
      </c>
      <c r="AF1" s="200" t="s">
        <v>82</v>
      </c>
      <c r="AG1" s="200" t="s">
        <v>83</v>
      </c>
      <c r="AH1" s="200" t="s">
        <v>84</v>
      </c>
      <c r="AI1" s="200" t="s">
        <v>85</v>
      </c>
      <c r="AJ1" s="201" t="s">
        <v>86</v>
      </c>
      <c r="AK1" s="145" t="s">
        <v>87</v>
      </c>
      <c r="AM1" s="144" t="s">
        <v>185</v>
      </c>
      <c r="AN1" s="114" t="s">
        <v>81</v>
      </c>
      <c r="AO1" s="200" t="s">
        <v>82</v>
      </c>
      <c r="AP1" s="200" t="s">
        <v>83</v>
      </c>
      <c r="AQ1" s="200" t="s">
        <v>84</v>
      </c>
      <c r="AR1" s="200" t="s">
        <v>85</v>
      </c>
      <c r="AS1" s="201" t="s">
        <v>86</v>
      </c>
      <c r="AT1" s="145" t="s">
        <v>87</v>
      </c>
      <c r="AV1" s="144" t="s">
        <v>185</v>
      </c>
      <c r="AW1" s="114" t="s">
        <v>81</v>
      </c>
      <c r="AX1" s="200" t="s">
        <v>82</v>
      </c>
      <c r="AY1" s="200" t="s">
        <v>83</v>
      </c>
      <c r="AZ1" s="200" t="s">
        <v>84</v>
      </c>
      <c r="BA1" s="200" t="s">
        <v>85</v>
      </c>
      <c r="BB1" s="201" t="s">
        <v>86</v>
      </c>
      <c r="BC1" s="145" t="s">
        <v>87</v>
      </c>
      <c r="BE1" s="144" t="s">
        <v>185</v>
      </c>
      <c r="BF1" s="114" t="s">
        <v>81</v>
      </c>
      <c r="BG1" s="200" t="s">
        <v>82</v>
      </c>
      <c r="BH1" s="200" t="s">
        <v>83</v>
      </c>
      <c r="BI1" s="200" t="s">
        <v>84</v>
      </c>
      <c r="BJ1" s="200" t="s">
        <v>85</v>
      </c>
      <c r="BK1" s="201" t="s">
        <v>86</v>
      </c>
      <c r="BL1" s="145" t="s">
        <v>87</v>
      </c>
      <c r="BN1" s="144" t="s">
        <v>185</v>
      </c>
      <c r="BO1" s="114" t="s">
        <v>81</v>
      </c>
      <c r="BP1" s="200" t="s">
        <v>82</v>
      </c>
      <c r="BQ1" s="200" t="s">
        <v>83</v>
      </c>
      <c r="BR1" s="200" t="s">
        <v>84</v>
      </c>
      <c r="BS1" s="200" t="s">
        <v>85</v>
      </c>
      <c r="BT1" s="201" t="s">
        <v>86</v>
      </c>
      <c r="BU1" s="145" t="s">
        <v>87</v>
      </c>
    </row>
    <row r="2" spans="1:73" x14ac:dyDescent="0.35">
      <c r="A2" s="152" t="s">
        <v>88</v>
      </c>
      <c r="B2" s="141">
        <f>IFERROR(VLOOKUP(Inkjøp[[#This Row],[Produkt]],KviteringV3[],2,FALSE),0)</f>
        <v>168</v>
      </c>
      <c r="C2" s="141" cm="1">
        <f t="array" ref="C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9097.3799999999974</v>
      </c>
      <c r="E2" s="15" t="b">
        <f t="shared" ref="E2:E33" si="0">COUNTIF($A:$A,F2)&gt;0</f>
        <v>1</v>
      </c>
      <c r="F2" s="22" t="s">
        <v>88</v>
      </c>
      <c r="G2" s="23">
        <v>72</v>
      </c>
      <c r="H2" s="32">
        <v>17.649999999999999</v>
      </c>
      <c r="I2" s="25">
        <f t="shared" ref="I2:I9" si="1">H2*1.15</f>
        <v>20.297499999999996</v>
      </c>
      <c r="J2" s="25">
        <f t="shared" ref="J2:J9" si="2">H2*G2</f>
        <v>1270.8</v>
      </c>
      <c r="K2" s="25">
        <f t="shared" ref="K2:K9" si="3">I2*G2</f>
        <v>1461.4199999999996</v>
      </c>
      <c r="L2" s="27">
        <f t="shared" ref="L2:L9" si="4">2*G2</f>
        <v>144</v>
      </c>
      <c r="M2" s="143" t="b">
        <f t="shared" ref="M2:M33" si="5">COUNTIF($A:$A,N2)&gt;0</f>
        <v>1</v>
      </c>
      <c r="N2" s="22" t="s">
        <v>88</v>
      </c>
      <c r="O2" s="23">
        <v>72</v>
      </c>
      <c r="P2" s="24">
        <v>17.649999999999999</v>
      </c>
      <c r="Q2" s="25">
        <f t="shared" ref="Q2:Q19" si="6">P2*1.15</f>
        <v>20.297499999999996</v>
      </c>
      <c r="R2" s="25">
        <f t="shared" ref="R2:R19" si="7">P2*O2</f>
        <v>1270.8</v>
      </c>
      <c r="S2" s="26">
        <f t="shared" ref="S2:S19" si="8">Q2*O2</f>
        <v>1461.4199999999996</v>
      </c>
      <c r="T2" s="27">
        <f t="shared" ref="T2:T19" si="9">2*O2</f>
        <v>144</v>
      </c>
      <c r="U2" s="143" t="b">
        <f t="shared" ref="U2:U33" si="10">COUNTIF($A:$A,V2)&gt;0</f>
        <v>1</v>
      </c>
      <c r="V2" s="22" t="s">
        <v>88</v>
      </c>
      <c r="W2" s="23">
        <v>168</v>
      </c>
      <c r="X2" s="24">
        <v>17.649999999999999</v>
      </c>
      <c r="Y2" s="25">
        <f t="shared" ref="Y2:Y12" si="11">X2*1.15</f>
        <v>20.297499999999996</v>
      </c>
      <c r="Z2" s="25">
        <f t="shared" ref="Z2:Z12" si="12">X2*W2</f>
        <v>2965.2</v>
      </c>
      <c r="AA2" s="26">
        <f t="shared" ref="AA2:AA12" si="13">Y2*W2</f>
        <v>3409.9799999999991</v>
      </c>
      <c r="AB2" s="27">
        <f t="shared" ref="AB2:AB12" si="14">2*W2</f>
        <v>336</v>
      </c>
      <c r="AD2" s="143" t="b">
        <f t="shared" ref="AD2:AD33" si="15">COUNTIF($A:$A,AE2)&gt;0</f>
        <v>1</v>
      </c>
      <c r="AE2" s="22" t="s">
        <v>88</v>
      </c>
      <c r="AF2" s="23">
        <v>96</v>
      </c>
      <c r="AG2" s="24">
        <v>17.649999999999999</v>
      </c>
      <c r="AH2" s="25">
        <f t="shared" ref="AH2:AH40" si="16">AG2*1.15</f>
        <v>20.297499999999996</v>
      </c>
      <c r="AI2" s="25">
        <f>AG2*AF2</f>
        <v>1694.3999999999999</v>
      </c>
      <c r="AJ2" s="205">
        <f>KviteringV4[[#This Row],[pris SC (m. mva)]]*KviteringV4[[#This Row],[Antall]]</f>
        <v>1948.5599999999995</v>
      </c>
      <c r="AK2" s="27">
        <f t="shared" ref="AK2:AK23" si="17">2*AF2</f>
        <v>192</v>
      </c>
      <c r="AM2" s="143" t="b">
        <f t="shared" ref="AM2:AM33" si="18">COUNTIF($A:$A,AN2)&gt;0</f>
        <v>1</v>
      </c>
      <c r="AN2" s="22" t="s">
        <v>88</v>
      </c>
      <c r="AO2" s="210"/>
      <c r="AP2" s="211">
        <v>17.649999999999999</v>
      </c>
      <c r="AQ2" s="210">
        <f t="shared" ref="AQ2:AQ14" si="19">AP2*1.15</f>
        <v>20.297499999999996</v>
      </c>
      <c r="AR2" s="210">
        <f t="shared" ref="AR2:AR13" si="20">AP2*AO2</f>
        <v>0</v>
      </c>
      <c r="AS2" s="205">
        <f>KviteringV5[[#This Row],[pris SC (m. mva)]]*KviteringV5[[#This Row],[Antall]]</f>
        <v>0</v>
      </c>
      <c r="AT2" s="212">
        <f t="shared" ref="AT2:AT23" si="21">2*AO2</f>
        <v>0</v>
      </c>
      <c r="AV2" s="143" t="b">
        <f t="shared" ref="AV2:AV33" si="22">COUNTIF($A:$A,AW2)&gt;0</f>
        <v>1</v>
      </c>
      <c r="AW2" s="22" t="s">
        <v>88</v>
      </c>
      <c r="AX2" s="210">
        <v>24</v>
      </c>
      <c r="AY2" s="211"/>
      <c r="AZ2" s="210">
        <v>17.5</v>
      </c>
      <c r="BA2" s="210">
        <f>AY2*AX2</f>
        <v>0</v>
      </c>
      <c r="BB2" s="205">
        <f>KviteringV6[[#This Row],[pris SC (m. mva)]]*KviteringV6[[#This Row],[Antall]]</f>
        <v>420</v>
      </c>
      <c r="BC2" s="212">
        <f t="shared" ref="BC2:BC23" si="23">2*AX2</f>
        <v>48</v>
      </c>
      <c r="BE2" s="143" t="b">
        <f t="shared" ref="BE2:BE33" si="24">COUNTIF($A:$A,BF2)&gt;0</f>
        <v>1</v>
      </c>
      <c r="BF2" s="22" t="s">
        <v>88</v>
      </c>
      <c r="BG2" s="210">
        <v>72</v>
      </c>
      <c r="BH2" s="211">
        <v>17.649999999999999</v>
      </c>
      <c r="BI2" s="210">
        <f>BH2*1.15</f>
        <v>20.297499999999996</v>
      </c>
      <c r="BJ2" s="210">
        <f>BH2*BG2</f>
        <v>1270.8</v>
      </c>
      <c r="BK2" s="205">
        <f>KviteringV7[[#This Row],[pris SC (m. mva)]]*KviteringV7[[#This Row],[Antall]]</f>
        <v>1461.4199999999996</v>
      </c>
      <c r="BL2" s="212">
        <f t="shared" ref="BL2:BL23" si="25">2*BG2</f>
        <v>144</v>
      </c>
      <c r="BN2" s="143" t="b">
        <f t="shared" ref="BN2:BN33" si="26">COUNTIF($A:$A,BO2)&gt;0</f>
        <v>1</v>
      </c>
      <c r="BO2" s="22" t="s">
        <v>88</v>
      </c>
      <c r="BP2" s="210"/>
      <c r="BQ2" s="211">
        <v>17.649999999999999</v>
      </c>
      <c r="BR2" s="210">
        <f t="shared" ref="BR2:BR40" si="27">BQ2*1.15</f>
        <v>20.297499999999996</v>
      </c>
      <c r="BS2" s="210">
        <f>BQ2*BP2</f>
        <v>0</v>
      </c>
      <c r="BT2" s="205">
        <f>KviteringV8[[#This Row],[pris SC (m. mva)]]*KviteringV8[[#This Row],[Antall]]</f>
        <v>0</v>
      </c>
      <c r="BU2" s="212">
        <f t="shared" ref="BU2:BU23" si="28">2*BP2</f>
        <v>0</v>
      </c>
    </row>
    <row r="3" spans="1:73" x14ac:dyDescent="0.35">
      <c r="A3" s="152" t="s">
        <v>89</v>
      </c>
      <c r="B3" s="141">
        <f>IFERROR(VLOOKUP(Inkjøp[[#This Row],[Produkt]],KviteringV3[],2,FALSE),0)</f>
        <v>144</v>
      </c>
      <c r="C3" s="141" cm="1">
        <f t="array" ref="C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8027.0999999999985</v>
      </c>
      <c r="D3" s="119"/>
      <c r="E3" s="15" t="b">
        <f t="shared" si="0"/>
        <v>1</v>
      </c>
      <c r="F3" s="22" t="s">
        <v>89</v>
      </c>
      <c r="G3" s="23">
        <v>48</v>
      </c>
      <c r="H3" s="32">
        <v>17.649999999999999</v>
      </c>
      <c r="I3" s="25">
        <f t="shared" si="1"/>
        <v>20.297499999999996</v>
      </c>
      <c r="J3" s="25">
        <f t="shared" si="2"/>
        <v>847.19999999999993</v>
      </c>
      <c r="K3" s="25">
        <f t="shared" si="3"/>
        <v>974.27999999999975</v>
      </c>
      <c r="L3" s="27">
        <f t="shared" si="4"/>
        <v>96</v>
      </c>
      <c r="M3" s="143" t="b">
        <f t="shared" si="5"/>
        <v>1</v>
      </c>
      <c r="N3" s="22" t="s">
        <v>89</v>
      </c>
      <c r="O3" s="23">
        <v>72</v>
      </c>
      <c r="P3" s="24">
        <v>17.649999999999999</v>
      </c>
      <c r="Q3" s="25">
        <f t="shared" si="6"/>
        <v>20.297499999999996</v>
      </c>
      <c r="R3" s="25">
        <f t="shared" si="7"/>
        <v>1270.8</v>
      </c>
      <c r="S3" s="26">
        <f t="shared" si="8"/>
        <v>1461.4199999999996</v>
      </c>
      <c r="T3" s="27">
        <f t="shared" si="9"/>
        <v>144</v>
      </c>
      <c r="U3" s="143" t="b">
        <f t="shared" si="10"/>
        <v>1</v>
      </c>
      <c r="V3" s="22" t="s">
        <v>89</v>
      </c>
      <c r="W3" s="23">
        <v>144</v>
      </c>
      <c r="X3" s="24">
        <v>17.649999999999999</v>
      </c>
      <c r="Y3" s="25">
        <f t="shared" si="11"/>
        <v>20.297499999999996</v>
      </c>
      <c r="Z3" s="25">
        <f t="shared" si="12"/>
        <v>2541.6</v>
      </c>
      <c r="AA3" s="26">
        <f t="shared" si="13"/>
        <v>2922.8399999999992</v>
      </c>
      <c r="AB3" s="27">
        <f t="shared" si="14"/>
        <v>288</v>
      </c>
      <c r="AD3" s="143" t="b">
        <f t="shared" si="15"/>
        <v>1</v>
      </c>
      <c r="AE3" s="22" t="s">
        <v>89</v>
      </c>
      <c r="AF3" s="23">
        <v>96</v>
      </c>
      <c r="AG3" s="24">
        <v>17.649999999999999</v>
      </c>
      <c r="AH3" s="25">
        <f t="shared" si="16"/>
        <v>20.297499999999996</v>
      </c>
      <c r="AI3" s="25">
        <f t="shared" ref="AI3:AI66" si="29">AG3*AF3</f>
        <v>1694.3999999999999</v>
      </c>
      <c r="AJ3" s="205">
        <f>KviteringV4[[#This Row],[pris SC (m. mva)]]*KviteringV4[[#This Row],[Antall]]</f>
        <v>1948.5599999999995</v>
      </c>
      <c r="AK3" s="27">
        <f t="shared" si="17"/>
        <v>192</v>
      </c>
      <c r="AM3" s="143" t="b">
        <f t="shared" si="18"/>
        <v>1</v>
      </c>
      <c r="AN3" s="22" t="s">
        <v>89</v>
      </c>
      <c r="AO3" s="210"/>
      <c r="AP3" s="211">
        <v>17.649999999999999</v>
      </c>
      <c r="AQ3" s="210">
        <f t="shared" si="19"/>
        <v>20.297499999999996</v>
      </c>
      <c r="AR3" s="210">
        <f t="shared" si="20"/>
        <v>0</v>
      </c>
      <c r="AS3" s="205">
        <f>KviteringV5[[#This Row],[pris SC (m. mva)]]*KviteringV5[[#This Row],[Antall]]</f>
        <v>0</v>
      </c>
      <c r="AT3" s="212">
        <f t="shared" si="21"/>
        <v>0</v>
      </c>
      <c r="AV3" s="143" t="b">
        <f t="shared" si="22"/>
        <v>1</v>
      </c>
      <c r="AW3" s="22" t="s">
        <v>89</v>
      </c>
      <c r="AX3" s="210">
        <v>24</v>
      </c>
      <c r="AY3" s="211"/>
      <c r="AZ3" s="210">
        <v>17.5</v>
      </c>
      <c r="BA3" s="210">
        <f t="shared" ref="BA3:BA66" si="30">AY3*AX3</f>
        <v>0</v>
      </c>
      <c r="BB3" s="205">
        <f>KviteringV6[[#This Row],[pris SC (m. mva)]]*KviteringV6[[#This Row],[Antall]]</f>
        <v>420</v>
      </c>
      <c r="BC3" s="212">
        <f t="shared" si="23"/>
        <v>48</v>
      </c>
      <c r="BE3" s="143" t="b">
        <f t="shared" si="24"/>
        <v>1</v>
      </c>
      <c r="BF3" s="22" t="s">
        <v>89</v>
      </c>
      <c r="BG3" s="210">
        <v>72</v>
      </c>
      <c r="BH3" s="211">
        <v>17.649999999999999</v>
      </c>
      <c r="BI3" s="210">
        <f t="shared" ref="BI3:BI66" si="31">BH3*1.15</f>
        <v>20.297499999999996</v>
      </c>
      <c r="BJ3" s="210">
        <f t="shared" ref="BJ3:BJ66" si="32">BH3*BG3</f>
        <v>1270.8</v>
      </c>
      <c r="BK3" s="205">
        <f>KviteringV7[[#This Row],[pris SC (m. mva)]]*KviteringV7[[#This Row],[Antall]]</f>
        <v>1461.4199999999996</v>
      </c>
      <c r="BL3" s="212">
        <f t="shared" si="25"/>
        <v>144</v>
      </c>
      <c r="BN3" s="143" t="b">
        <f t="shared" si="26"/>
        <v>1</v>
      </c>
      <c r="BO3" s="22" t="s">
        <v>89</v>
      </c>
      <c r="BP3" s="210"/>
      <c r="BQ3" s="211">
        <v>17.649999999999999</v>
      </c>
      <c r="BR3" s="210">
        <f t="shared" si="27"/>
        <v>20.297499999999996</v>
      </c>
      <c r="BS3" s="210">
        <f t="shared" ref="BS3:BS66" si="33">BQ3*BP3</f>
        <v>0</v>
      </c>
      <c r="BT3" s="205">
        <f>KviteringV8[[#This Row],[pris SC (m. mva)]]*KviteringV8[[#This Row],[Antall]]</f>
        <v>0</v>
      </c>
      <c r="BU3" s="212">
        <f t="shared" si="28"/>
        <v>0</v>
      </c>
    </row>
    <row r="4" spans="1:73" x14ac:dyDescent="0.35">
      <c r="A4" s="152" t="s">
        <v>90</v>
      </c>
      <c r="B4" s="141">
        <f>IFERROR(VLOOKUP(Inkjøp[[#This Row],[Produkt]],KviteringV3[],2,FALSE),0)</f>
        <v>168</v>
      </c>
      <c r="C4" s="141" cm="1">
        <f t="array" ref="C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9632.5199999999968</v>
      </c>
      <c r="D4" s="120"/>
      <c r="E4" s="15" t="b">
        <f t="shared" si="0"/>
        <v>1</v>
      </c>
      <c r="F4" s="25" t="s">
        <v>90</v>
      </c>
      <c r="G4" s="23">
        <v>72</v>
      </c>
      <c r="H4" s="32">
        <v>17.649999999999999</v>
      </c>
      <c r="I4" s="25">
        <f t="shared" si="1"/>
        <v>20.297499999999996</v>
      </c>
      <c r="J4" s="25">
        <f t="shared" si="2"/>
        <v>1270.8</v>
      </c>
      <c r="K4" s="25">
        <f t="shared" si="3"/>
        <v>1461.4199999999996</v>
      </c>
      <c r="L4" s="27">
        <f t="shared" si="4"/>
        <v>144</v>
      </c>
      <c r="M4" s="143" t="b">
        <f t="shared" si="5"/>
        <v>1</v>
      </c>
      <c r="N4" s="22" t="s">
        <v>90</v>
      </c>
      <c r="O4" s="23">
        <v>48</v>
      </c>
      <c r="P4" s="24">
        <v>17.649999999999999</v>
      </c>
      <c r="Q4" s="25">
        <f t="shared" si="6"/>
        <v>20.297499999999996</v>
      </c>
      <c r="R4" s="25">
        <f t="shared" si="7"/>
        <v>847.19999999999993</v>
      </c>
      <c r="S4" s="26">
        <f t="shared" si="8"/>
        <v>974.27999999999975</v>
      </c>
      <c r="T4" s="27">
        <f t="shared" si="9"/>
        <v>96</v>
      </c>
      <c r="U4" s="143" t="b">
        <f t="shared" si="10"/>
        <v>1</v>
      </c>
      <c r="V4" s="22" t="s">
        <v>90</v>
      </c>
      <c r="W4" s="23">
        <v>168</v>
      </c>
      <c r="X4" s="24">
        <v>17.649999999999999</v>
      </c>
      <c r="Y4" s="25">
        <f t="shared" si="11"/>
        <v>20.297499999999996</v>
      </c>
      <c r="Z4" s="25">
        <f t="shared" si="12"/>
        <v>2965.2</v>
      </c>
      <c r="AA4" s="26">
        <f t="shared" si="13"/>
        <v>3409.9799999999991</v>
      </c>
      <c r="AB4" s="27">
        <f t="shared" si="14"/>
        <v>336</v>
      </c>
      <c r="AD4" s="143" t="b">
        <f t="shared" si="15"/>
        <v>1</v>
      </c>
      <c r="AE4" s="22" t="s">
        <v>90</v>
      </c>
      <c r="AF4" s="23">
        <v>144</v>
      </c>
      <c r="AG4" s="24">
        <v>17.649999999999999</v>
      </c>
      <c r="AH4" s="25">
        <f t="shared" si="16"/>
        <v>20.297499999999996</v>
      </c>
      <c r="AI4" s="25">
        <f t="shared" si="29"/>
        <v>2541.6</v>
      </c>
      <c r="AJ4" s="205">
        <f>KviteringV4[[#This Row],[pris SC (m. mva)]]*KviteringV4[[#This Row],[Antall]]</f>
        <v>2922.8399999999992</v>
      </c>
      <c r="AK4" s="27">
        <f t="shared" si="17"/>
        <v>288</v>
      </c>
      <c r="AM4" s="143" t="b">
        <f t="shared" si="18"/>
        <v>1</v>
      </c>
      <c r="AN4" s="22" t="s">
        <v>90</v>
      </c>
      <c r="AO4" s="210"/>
      <c r="AP4" s="211">
        <v>17.649999999999999</v>
      </c>
      <c r="AQ4" s="210">
        <f t="shared" si="19"/>
        <v>20.297499999999996</v>
      </c>
      <c r="AR4" s="210">
        <f t="shared" si="20"/>
        <v>0</v>
      </c>
      <c r="AS4" s="205">
        <f>KviteringV5[[#This Row],[pris SC (m. mva)]]*KviteringV5[[#This Row],[Antall]]</f>
        <v>0</v>
      </c>
      <c r="AT4" s="212">
        <f t="shared" si="21"/>
        <v>0</v>
      </c>
      <c r="AV4" s="143" t="b">
        <f t="shared" si="22"/>
        <v>1</v>
      </c>
      <c r="AW4" s="22" t="s">
        <v>90</v>
      </c>
      <c r="AX4" s="210"/>
      <c r="AY4" s="211">
        <v>17.649999999999999</v>
      </c>
      <c r="AZ4" s="210">
        <f t="shared" ref="AZ4:AZ40" si="34">AY4*1.15</f>
        <v>20.297499999999996</v>
      </c>
      <c r="BA4" s="210">
        <f t="shared" si="30"/>
        <v>0</v>
      </c>
      <c r="BB4" s="205">
        <f>KviteringV6[[#This Row],[pris SC (m. mva)]]*KviteringV6[[#This Row],[Antall]]</f>
        <v>0</v>
      </c>
      <c r="BC4" s="212">
        <f t="shared" si="23"/>
        <v>0</v>
      </c>
      <c r="BE4" s="143" t="b">
        <f t="shared" si="24"/>
        <v>1</v>
      </c>
      <c r="BF4" s="22" t="s">
        <v>90</v>
      </c>
      <c r="BG4" s="210">
        <v>96</v>
      </c>
      <c r="BH4" s="211">
        <v>17.649999999999999</v>
      </c>
      <c r="BI4" s="210">
        <f t="shared" si="31"/>
        <v>20.297499999999996</v>
      </c>
      <c r="BJ4" s="210">
        <f t="shared" si="32"/>
        <v>1694.3999999999999</v>
      </c>
      <c r="BK4" s="205">
        <f>KviteringV7[[#This Row],[pris SC (m. mva)]]*KviteringV7[[#This Row],[Antall]]</f>
        <v>1948.5599999999995</v>
      </c>
      <c r="BL4" s="212">
        <f t="shared" si="25"/>
        <v>192</v>
      </c>
      <c r="BN4" s="143" t="b">
        <f t="shared" si="26"/>
        <v>1</v>
      </c>
      <c r="BO4" s="22" t="s">
        <v>90</v>
      </c>
      <c r="BP4" s="210"/>
      <c r="BQ4" s="211">
        <v>17.649999999999999</v>
      </c>
      <c r="BR4" s="210">
        <f t="shared" si="27"/>
        <v>20.297499999999996</v>
      </c>
      <c r="BS4" s="210">
        <f t="shared" si="33"/>
        <v>0</v>
      </c>
      <c r="BT4" s="205">
        <f>KviteringV8[[#This Row],[pris SC (m. mva)]]*KviteringV8[[#This Row],[Antall]]</f>
        <v>0</v>
      </c>
      <c r="BU4" s="212">
        <f t="shared" si="28"/>
        <v>0</v>
      </c>
    </row>
    <row r="5" spans="1:73" x14ac:dyDescent="0.35">
      <c r="A5" s="152" t="s">
        <v>91</v>
      </c>
      <c r="B5" s="141">
        <f>IFERROR(VLOOKUP(Inkjøp[[#This Row],[Produkt]],KviteringV3[],2,FALSE),0)</f>
        <v>96</v>
      </c>
      <c r="C5" s="141" cm="1">
        <f t="array" ref="C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4281.119999999999</v>
      </c>
      <c r="D5" s="120"/>
      <c r="E5" s="15" t="b">
        <f t="shared" si="0"/>
        <v>1</v>
      </c>
      <c r="F5" s="25" t="s">
        <v>91</v>
      </c>
      <c r="G5" s="23">
        <v>48</v>
      </c>
      <c r="H5" s="32">
        <v>17.649999999999999</v>
      </c>
      <c r="I5" s="25">
        <f t="shared" si="1"/>
        <v>20.297499999999996</v>
      </c>
      <c r="J5" s="25">
        <f t="shared" si="2"/>
        <v>847.19999999999993</v>
      </c>
      <c r="K5" s="25">
        <f t="shared" si="3"/>
        <v>974.27999999999975</v>
      </c>
      <c r="L5" s="27">
        <f t="shared" si="4"/>
        <v>96</v>
      </c>
      <c r="M5" s="143" t="b">
        <f t="shared" si="5"/>
        <v>1</v>
      </c>
      <c r="N5" s="22" t="s">
        <v>91</v>
      </c>
      <c r="O5" s="23">
        <v>48</v>
      </c>
      <c r="P5" s="24">
        <v>17.649999999999999</v>
      </c>
      <c r="Q5" s="25">
        <f t="shared" si="6"/>
        <v>20.297499999999996</v>
      </c>
      <c r="R5" s="25">
        <f t="shared" si="7"/>
        <v>847.19999999999993</v>
      </c>
      <c r="S5" s="26">
        <f t="shared" si="8"/>
        <v>974.27999999999975</v>
      </c>
      <c r="T5" s="27">
        <f t="shared" si="9"/>
        <v>96</v>
      </c>
      <c r="U5" s="143" t="b">
        <f t="shared" si="10"/>
        <v>1</v>
      </c>
      <c r="V5" s="22" t="s">
        <v>91</v>
      </c>
      <c r="W5" s="23">
        <v>96</v>
      </c>
      <c r="X5" s="24">
        <v>17.649999999999999</v>
      </c>
      <c r="Y5" s="25">
        <f t="shared" si="11"/>
        <v>20.297499999999996</v>
      </c>
      <c r="Z5" s="25">
        <f t="shared" si="12"/>
        <v>1694.3999999999999</v>
      </c>
      <c r="AA5" s="26">
        <f t="shared" si="13"/>
        <v>1948.5599999999995</v>
      </c>
      <c r="AB5" s="27">
        <f t="shared" si="14"/>
        <v>192</v>
      </c>
      <c r="AD5" s="143" t="b">
        <f t="shared" si="15"/>
        <v>1</v>
      </c>
      <c r="AE5" s="22" t="s">
        <v>91</v>
      </c>
      <c r="AF5" s="23">
        <v>0</v>
      </c>
      <c r="AG5" s="24">
        <v>17.649999999999999</v>
      </c>
      <c r="AH5" s="25">
        <f t="shared" si="16"/>
        <v>20.297499999999996</v>
      </c>
      <c r="AI5" s="25">
        <f t="shared" si="29"/>
        <v>0</v>
      </c>
      <c r="AJ5" s="205">
        <f>KviteringV4[[#This Row],[pris SC (m. mva)]]*KviteringV4[[#This Row],[Antall]]</f>
        <v>0</v>
      </c>
      <c r="AK5" s="27">
        <f t="shared" si="17"/>
        <v>0</v>
      </c>
      <c r="AM5" s="143" t="b">
        <f t="shared" si="18"/>
        <v>1</v>
      </c>
      <c r="AN5" s="22" t="s">
        <v>91</v>
      </c>
      <c r="AO5" s="210"/>
      <c r="AP5" s="211">
        <v>17.649999999999999</v>
      </c>
      <c r="AQ5" s="210">
        <f t="shared" si="19"/>
        <v>20.297499999999996</v>
      </c>
      <c r="AR5" s="210">
        <f t="shared" si="20"/>
        <v>0</v>
      </c>
      <c r="AS5" s="205">
        <f>KviteringV5[[#This Row],[pris SC (m. mva)]]*KviteringV5[[#This Row],[Antall]]</f>
        <v>0</v>
      </c>
      <c r="AT5" s="212">
        <f t="shared" si="21"/>
        <v>0</v>
      </c>
      <c r="AV5" s="143" t="b">
        <f t="shared" si="22"/>
        <v>1</v>
      </c>
      <c r="AW5" s="22" t="s">
        <v>91</v>
      </c>
      <c r="AX5" s="210"/>
      <c r="AY5" s="211">
        <v>17.649999999999999</v>
      </c>
      <c r="AZ5" s="210">
        <f t="shared" si="34"/>
        <v>20.297499999999996</v>
      </c>
      <c r="BA5" s="210">
        <f t="shared" si="30"/>
        <v>0</v>
      </c>
      <c r="BB5" s="205">
        <f>KviteringV6[[#This Row],[pris SC (m. mva)]]*KviteringV6[[#This Row],[Antall]]</f>
        <v>0</v>
      </c>
      <c r="BC5" s="212">
        <f t="shared" si="23"/>
        <v>0</v>
      </c>
      <c r="BE5" s="143" t="b">
        <f t="shared" si="24"/>
        <v>1</v>
      </c>
      <c r="BF5" s="22" t="s">
        <v>91</v>
      </c>
      <c r="BG5" s="210">
        <v>48</v>
      </c>
      <c r="BH5" s="211">
        <v>17.649999999999999</v>
      </c>
      <c r="BI5" s="210">
        <f t="shared" si="31"/>
        <v>20.297499999999996</v>
      </c>
      <c r="BJ5" s="210">
        <f t="shared" si="32"/>
        <v>847.19999999999993</v>
      </c>
      <c r="BK5" s="205">
        <f>KviteringV7[[#This Row],[pris SC (m. mva)]]*KviteringV7[[#This Row],[Antall]]</f>
        <v>974.27999999999975</v>
      </c>
      <c r="BL5" s="212">
        <f t="shared" si="25"/>
        <v>96</v>
      </c>
      <c r="BN5" s="143" t="b">
        <f t="shared" si="26"/>
        <v>1</v>
      </c>
      <c r="BO5" s="22" t="s">
        <v>91</v>
      </c>
      <c r="BP5" s="210"/>
      <c r="BQ5" s="211">
        <v>17.649999999999999</v>
      </c>
      <c r="BR5" s="210">
        <f t="shared" si="27"/>
        <v>20.297499999999996</v>
      </c>
      <c r="BS5" s="210">
        <f t="shared" si="33"/>
        <v>0</v>
      </c>
      <c r="BT5" s="205">
        <f>KviteringV8[[#This Row],[pris SC (m. mva)]]*KviteringV8[[#This Row],[Antall]]</f>
        <v>0</v>
      </c>
      <c r="BU5" s="212">
        <f t="shared" si="28"/>
        <v>0</v>
      </c>
    </row>
    <row r="6" spans="1:73" x14ac:dyDescent="0.35">
      <c r="A6" s="152" t="s">
        <v>92</v>
      </c>
      <c r="B6" s="141">
        <f>IFERROR(VLOOKUP(Inkjøp[[#This Row],[Produkt]],KviteringV3[],2,FALSE),0)</f>
        <v>96</v>
      </c>
      <c r="C6" s="141" cm="1">
        <f t="array" ref="C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6421.6799999999985</v>
      </c>
      <c r="D6" s="120"/>
      <c r="E6" s="15" t="b">
        <f t="shared" si="0"/>
        <v>1</v>
      </c>
      <c r="F6" s="25" t="s">
        <v>92</v>
      </c>
      <c r="G6" s="23">
        <v>24</v>
      </c>
      <c r="H6" s="32">
        <v>17.649999999999999</v>
      </c>
      <c r="I6" s="25">
        <f t="shared" si="1"/>
        <v>20.297499999999996</v>
      </c>
      <c r="J6" s="25">
        <f t="shared" si="2"/>
        <v>423.59999999999997</v>
      </c>
      <c r="K6" s="25">
        <f t="shared" si="3"/>
        <v>487.13999999999987</v>
      </c>
      <c r="L6" s="27">
        <f t="shared" si="4"/>
        <v>48</v>
      </c>
      <c r="M6" s="143" t="b">
        <f t="shared" si="5"/>
        <v>1</v>
      </c>
      <c r="N6" s="22" t="s">
        <v>92</v>
      </c>
      <c r="O6" s="23">
        <v>72</v>
      </c>
      <c r="P6" s="24">
        <v>17.649999999999999</v>
      </c>
      <c r="Q6" s="25">
        <f t="shared" si="6"/>
        <v>20.297499999999996</v>
      </c>
      <c r="R6" s="25">
        <f t="shared" si="7"/>
        <v>1270.8</v>
      </c>
      <c r="S6" s="26">
        <f t="shared" si="8"/>
        <v>1461.4199999999996</v>
      </c>
      <c r="T6" s="27">
        <f t="shared" si="9"/>
        <v>144</v>
      </c>
      <c r="U6" s="143" t="b">
        <f t="shared" si="10"/>
        <v>1</v>
      </c>
      <c r="V6" s="22" t="s">
        <v>92</v>
      </c>
      <c r="W6" s="23">
        <v>96</v>
      </c>
      <c r="X6" s="24">
        <v>17.649999999999999</v>
      </c>
      <c r="Y6" s="25">
        <f t="shared" si="11"/>
        <v>20.297499999999996</v>
      </c>
      <c r="Z6" s="25">
        <f t="shared" si="12"/>
        <v>1694.3999999999999</v>
      </c>
      <c r="AA6" s="26">
        <f t="shared" si="13"/>
        <v>1948.5599999999995</v>
      </c>
      <c r="AB6" s="27">
        <f t="shared" si="14"/>
        <v>192</v>
      </c>
      <c r="AD6" s="143" t="b">
        <f t="shared" si="15"/>
        <v>1</v>
      </c>
      <c r="AE6" s="22" t="s">
        <v>92</v>
      </c>
      <c r="AF6" s="23">
        <v>96</v>
      </c>
      <c r="AG6" s="24">
        <v>17.649999999999999</v>
      </c>
      <c r="AH6" s="25">
        <f t="shared" si="16"/>
        <v>20.297499999999996</v>
      </c>
      <c r="AI6" s="25">
        <f t="shared" si="29"/>
        <v>1694.3999999999999</v>
      </c>
      <c r="AJ6" s="205">
        <f>KviteringV4[[#This Row],[pris SC (m. mva)]]*KviteringV4[[#This Row],[Antall]]</f>
        <v>1948.5599999999995</v>
      </c>
      <c r="AK6" s="27">
        <f t="shared" si="17"/>
        <v>192</v>
      </c>
      <c r="AM6" s="143" t="b">
        <f t="shared" si="18"/>
        <v>1</v>
      </c>
      <c r="AN6" s="22" t="s">
        <v>92</v>
      </c>
      <c r="AO6" s="210"/>
      <c r="AP6" s="211">
        <v>17.649999999999999</v>
      </c>
      <c r="AQ6" s="210">
        <f t="shared" si="19"/>
        <v>20.297499999999996</v>
      </c>
      <c r="AR6" s="210">
        <f t="shared" si="20"/>
        <v>0</v>
      </c>
      <c r="AS6" s="205">
        <f>KviteringV5[[#This Row],[pris SC (m. mva)]]*KviteringV5[[#This Row],[Antall]]</f>
        <v>0</v>
      </c>
      <c r="AT6" s="212">
        <f t="shared" si="21"/>
        <v>0</v>
      </c>
      <c r="AV6" s="143" t="b">
        <f t="shared" si="22"/>
        <v>1</v>
      </c>
      <c r="AW6" s="22" t="s">
        <v>92</v>
      </c>
      <c r="AX6" s="210">
        <v>16</v>
      </c>
      <c r="AY6" s="211"/>
      <c r="AZ6" s="210">
        <v>17.785</v>
      </c>
      <c r="BA6" s="210">
        <f t="shared" si="30"/>
        <v>0</v>
      </c>
      <c r="BB6" s="205">
        <f>KviteringV6[[#This Row],[pris SC (m. mva)]]*KviteringV6[[#This Row],[Antall]]</f>
        <v>284.56</v>
      </c>
      <c r="BC6" s="212">
        <f t="shared" si="23"/>
        <v>32</v>
      </c>
      <c r="BE6" s="143" t="b">
        <f t="shared" si="24"/>
        <v>1</v>
      </c>
      <c r="BF6" s="22" t="s">
        <v>92</v>
      </c>
      <c r="BG6" s="210">
        <v>72</v>
      </c>
      <c r="BH6" s="211">
        <v>17.649999999999999</v>
      </c>
      <c r="BI6" s="210">
        <f t="shared" si="31"/>
        <v>20.297499999999996</v>
      </c>
      <c r="BJ6" s="210">
        <f t="shared" si="32"/>
        <v>1270.8</v>
      </c>
      <c r="BK6" s="205">
        <f>KviteringV7[[#This Row],[pris SC (m. mva)]]*KviteringV7[[#This Row],[Antall]]</f>
        <v>1461.4199999999996</v>
      </c>
      <c r="BL6" s="212">
        <f t="shared" si="25"/>
        <v>144</v>
      </c>
      <c r="BN6" s="143" t="b">
        <f t="shared" si="26"/>
        <v>1</v>
      </c>
      <c r="BO6" s="22" t="s">
        <v>92</v>
      </c>
      <c r="BP6" s="210"/>
      <c r="BQ6" s="211">
        <v>17.649999999999999</v>
      </c>
      <c r="BR6" s="210">
        <f t="shared" si="27"/>
        <v>20.297499999999996</v>
      </c>
      <c r="BS6" s="210">
        <f t="shared" si="33"/>
        <v>0</v>
      </c>
      <c r="BT6" s="205">
        <f>KviteringV8[[#This Row],[pris SC (m. mva)]]*KviteringV8[[#This Row],[Antall]]</f>
        <v>0</v>
      </c>
      <c r="BU6" s="212">
        <f t="shared" si="28"/>
        <v>0</v>
      </c>
    </row>
    <row r="7" spans="1:73" x14ac:dyDescent="0.35">
      <c r="A7" s="188" t="s">
        <v>273</v>
      </c>
      <c r="B7" s="141">
        <f>IFERROR(VLOOKUP(Inkjøp[[#This Row],[Produkt]],KviteringV3[],2,FALSE),0)</f>
        <v>0</v>
      </c>
      <c r="C7" s="141" cm="1">
        <f t="array" ref="C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0</v>
      </c>
      <c r="D7" s="120"/>
      <c r="E7" s="15" t="b">
        <f t="shared" si="0"/>
        <v>1</v>
      </c>
      <c r="F7" s="25" t="s">
        <v>93</v>
      </c>
      <c r="G7" s="23">
        <v>96</v>
      </c>
      <c r="H7" s="32">
        <v>15.52</v>
      </c>
      <c r="I7" s="25">
        <f t="shared" si="1"/>
        <v>17.847999999999999</v>
      </c>
      <c r="J7" s="25">
        <f t="shared" si="2"/>
        <v>1489.92</v>
      </c>
      <c r="K7" s="25">
        <f t="shared" si="3"/>
        <v>1713.4079999999999</v>
      </c>
      <c r="L7" s="27">
        <f t="shared" si="4"/>
        <v>192</v>
      </c>
      <c r="M7" s="143" t="b">
        <f t="shared" si="5"/>
        <v>1</v>
      </c>
      <c r="N7" s="22" t="s">
        <v>93</v>
      </c>
      <c r="O7" s="23">
        <v>0</v>
      </c>
      <c r="P7" s="24">
        <v>15.52</v>
      </c>
      <c r="Q7" s="25">
        <f t="shared" si="6"/>
        <v>17.847999999999999</v>
      </c>
      <c r="R7" s="25">
        <f t="shared" si="7"/>
        <v>0</v>
      </c>
      <c r="S7" s="26">
        <f t="shared" si="8"/>
        <v>0</v>
      </c>
      <c r="T7" s="27">
        <f t="shared" si="9"/>
        <v>0</v>
      </c>
      <c r="U7" s="143" t="b">
        <f t="shared" si="10"/>
        <v>1</v>
      </c>
      <c r="V7" s="22" t="s">
        <v>93</v>
      </c>
      <c r="W7" s="23">
        <v>48</v>
      </c>
      <c r="X7" s="24">
        <v>15.52</v>
      </c>
      <c r="Y7" s="25">
        <f t="shared" si="11"/>
        <v>17.847999999999999</v>
      </c>
      <c r="Z7" s="25">
        <f t="shared" si="12"/>
        <v>744.96</v>
      </c>
      <c r="AA7" s="26">
        <f t="shared" si="13"/>
        <v>856.70399999999995</v>
      </c>
      <c r="AB7" s="27">
        <f t="shared" si="14"/>
        <v>96</v>
      </c>
      <c r="AD7" s="143" t="b">
        <f t="shared" si="15"/>
        <v>1</v>
      </c>
      <c r="AE7" s="22" t="s">
        <v>93</v>
      </c>
      <c r="AF7" s="23">
        <v>0</v>
      </c>
      <c r="AG7" s="24">
        <v>15.52</v>
      </c>
      <c r="AH7" s="25">
        <f t="shared" si="16"/>
        <v>17.847999999999999</v>
      </c>
      <c r="AI7" s="25">
        <f t="shared" si="29"/>
        <v>0</v>
      </c>
      <c r="AJ7" s="205">
        <f>KviteringV4[[#This Row],[pris SC (m. mva)]]*KviteringV4[[#This Row],[Antall]]</f>
        <v>0</v>
      </c>
      <c r="AK7" s="27">
        <f t="shared" si="17"/>
        <v>0</v>
      </c>
      <c r="AM7" s="143" t="b">
        <f t="shared" si="18"/>
        <v>1</v>
      </c>
      <c r="AN7" s="22" t="s">
        <v>93</v>
      </c>
      <c r="AO7" s="210"/>
      <c r="AP7" s="211">
        <v>15.52</v>
      </c>
      <c r="AQ7" s="210">
        <f t="shared" si="19"/>
        <v>17.847999999999999</v>
      </c>
      <c r="AR7" s="210">
        <f t="shared" si="20"/>
        <v>0</v>
      </c>
      <c r="AS7" s="205">
        <f>KviteringV5[[#This Row],[pris SC (m. mva)]]*KviteringV5[[#This Row],[Antall]]</f>
        <v>0</v>
      </c>
      <c r="AT7" s="212">
        <f t="shared" si="21"/>
        <v>0</v>
      </c>
      <c r="AV7" s="143" t="b">
        <f t="shared" si="22"/>
        <v>1</v>
      </c>
      <c r="AW7" s="22" t="s">
        <v>93</v>
      </c>
      <c r="AX7" s="210"/>
      <c r="AY7" s="211">
        <v>15.52</v>
      </c>
      <c r="AZ7" s="210">
        <f t="shared" si="34"/>
        <v>17.847999999999999</v>
      </c>
      <c r="BA7" s="210">
        <f t="shared" si="30"/>
        <v>0</v>
      </c>
      <c r="BB7" s="205">
        <f>KviteringV6[[#This Row],[pris SC (m. mva)]]*KviteringV6[[#This Row],[Antall]]</f>
        <v>0</v>
      </c>
      <c r="BC7" s="212">
        <f t="shared" si="23"/>
        <v>0</v>
      </c>
      <c r="BE7" s="143" t="b">
        <f t="shared" si="24"/>
        <v>1</v>
      </c>
      <c r="BF7" s="22" t="s">
        <v>93</v>
      </c>
      <c r="BG7" s="210">
        <v>24</v>
      </c>
      <c r="BH7" s="211">
        <v>15.79</v>
      </c>
      <c r="BI7" s="210">
        <f t="shared" si="31"/>
        <v>18.158499999999997</v>
      </c>
      <c r="BJ7" s="210">
        <f t="shared" si="32"/>
        <v>378.96</v>
      </c>
      <c r="BK7" s="205">
        <f>KviteringV7[[#This Row],[pris SC (m. mva)]]*KviteringV7[[#This Row],[Antall]]</f>
        <v>435.80399999999992</v>
      </c>
      <c r="BL7" s="212">
        <f t="shared" si="25"/>
        <v>48</v>
      </c>
      <c r="BN7" s="143" t="b">
        <f t="shared" si="26"/>
        <v>1</v>
      </c>
      <c r="BO7" s="22" t="s">
        <v>93</v>
      </c>
      <c r="BP7" s="210"/>
      <c r="BQ7" s="211">
        <v>15.52</v>
      </c>
      <c r="BR7" s="210">
        <f t="shared" si="27"/>
        <v>17.847999999999999</v>
      </c>
      <c r="BS7" s="210">
        <f t="shared" si="33"/>
        <v>0</v>
      </c>
      <c r="BT7" s="205">
        <f>KviteringV8[[#This Row],[pris SC (m. mva)]]*KviteringV8[[#This Row],[Antall]]</f>
        <v>0</v>
      </c>
      <c r="BU7" s="212">
        <f t="shared" si="28"/>
        <v>0</v>
      </c>
    </row>
    <row r="8" spans="1:73" x14ac:dyDescent="0.35">
      <c r="A8" s="152" t="s">
        <v>93</v>
      </c>
      <c r="B8" s="141">
        <f>IFERROR(VLOOKUP(Inkjøp[[#This Row],[Produkt]],KviteringV3[],2,FALSE),0)</f>
        <v>48</v>
      </c>
      <c r="C8" s="141" cm="1">
        <f t="array" ref="C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2858.1120000000001</v>
      </c>
      <c r="D8" s="120"/>
      <c r="E8" s="15" t="b">
        <f t="shared" si="0"/>
        <v>1</v>
      </c>
      <c r="F8" s="25" t="s">
        <v>94</v>
      </c>
      <c r="G8" s="23">
        <v>24</v>
      </c>
      <c r="H8" s="32">
        <v>26.63</v>
      </c>
      <c r="I8" s="25">
        <f t="shared" si="1"/>
        <v>30.624499999999998</v>
      </c>
      <c r="J8" s="25">
        <f t="shared" si="2"/>
        <v>639.12</v>
      </c>
      <c r="K8" s="25">
        <f t="shared" si="3"/>
        <v>734.98799999999994</v>
      </c>
      <c r="L8" s="27">
        <f t="shared" si="4"/>
        <v>48</v>
      </c>
      <c r="M8" s="143" t="b">
        <f t="shared" si="5"/>
        <v>1</v>
      </c>
      <c r="N8" s="22" t="s">
        <v>94</v>
      </c>
      <c r="O8" s="23">
        <v>0</v>
      </c>
      <c r="P8" s="24">
        <v>26.63</v>
      </c>
      <c r="Q8" s="25">
        <f t="shared" si="6"/>
        <v>30.624499999999998</v>
      </c>
      <c r="R8" s="25">
        <f t="shared" si="7"/>
        <v>0</v>
      </c>
      <c r="S8" s="26">
        <f t="shared" si="8"/>
        <v>0</v>
      </c>
      <c r="T8" s="27">
        <f t="shared" si="9"/>
        <v>0</v>
      </c>
      <c r="U8" s="143" t="b">
        <f t="shared" si="10"/>
        <v>1</v>
      </c>
      <c r="V8" s="22" t="s">
        <v>94</v>
      </c>
      <c r="W8" s="23">
        <v>0</v>
      </c>
      <c r="X8" s="24">
        <v>26.63</v>
      </c>
      <c r="Y8" s="25">
        <f t="shared" si="11"/>
        <v>30.624499999999998</v>
      </c>
      <c r="Z8" s="25">
        <f t="shared" si="12"/>
        <v>0</v>
      </c>
      <c r="AA8" s="26">
        <f t="shared" si="13"/>
        <v>0</v>
      </c>
      <c r="AB8" s="27">
        <f t="shared" si="14"/>
        <v>0</v>
      </c>
      <c r="AD8" s="143" t="b">
        <f t="shared" si="15"/>
        <v>1</v>
      </c>
      <c r="AE8" s="22" t="s">
        <v>94</v>
      </c>
      <c r="AF8" s="23">
        <v>0</v>
      </c>
      <c r="AG8" s="24">
        <v>26.63</v>
      </c>
      <c r="AH8" s="25">
        <f t="shared" si="16"/>
        <v>30.624499999999998</v>
      </c>
      <c r="AI8" s="25">
        <f t="shared" si="29"/>
        <v>0</v>
      </c>
      <c r="AJ8" s="205">
        <f>KviteringV4[[#This Row],[pris SC (m. mva)]]*KviteringV4[[#This Row],[Antall]]</f>
        <v>0</v>
      </c>
      <c r="AK8" s="27">
        <f t="shared" si="17"/>
        <v>0</v>
      </c>
      <c r="AM8" s="143" t="b">
        <f t="shared" si="18"/>
        <v>1</v>
      </c>
      <c r="AN8" s="22" t="s">
        <v>94</v>
      </c>
      <c r="AO8" s="210"/>
      <c r="AP8" s="211">
        <v>26.63</v>
      </c>
      <c r="AQ8" s="210">
        <f t="shared" si="19"/>
        <v>30.624499999999998</v>
      </c>
      <c r="AR8" s="210">
        <f t="shared" si="20"/>
        <v>0</v>
      </c>
      <c r="AS8" s="205">
        <f>KviteringV5[[#This Row],[pris SC (m. mva)]]*KviteringV5[[#This Row],[Antall]]</f>
        <v>0</v>
      </c>
      <c r="AT8" s="212">
        <f t="shared" si="21"/>
        <v>0</v>
      </c>
      <c r="AV8" s="143" t="b">
        <f t="shared" si="22"/>
        <v>1</v>
      </c>
      <c r="AW8" s="22" t="s">
        <v>344</v>
      </c>
      <c r="AX8" s="210">
        <v>20</v>
      </c>
      <c r="AY8" s="211"/>
      <c r="AZ8" s="210">
        <v>9.9</v>
      </c>
      <c r="BA8" s="210">
        <f t="shared" si="30"/>
        <v>0</v>
      </c>
      <c r="BB8" s="205">
        <f>KviteringV6[[#This Row],[pris SC (m. mva)]]*KviteringV6[[#This Row],[Antall]]</f>
        <v>198</v>
      </c>
      <c r="BC8" s="212">
        <f t="shared" si="23"/>
        <v>40</v>
      </c>
      <c r="BE8" s="143" t="b">
        <f t="shared" si="24"/>
        <v>1</v>
      </c>
      <c r="BF8" s="22" t="s">
        <v>94</v>
      </c>
      <c r="BG8" s="210"/>
      <c r="BH8" s="211">
        <v>26.63</v>
      </c>
      <c r="BI8" s="210">
        <f t="shared" si="31"/>
        <v>30.624499999999998</v>
      </c>
      <c r="BJ8" s="210">
        <f t="shared" si="32"/>
        <v>0</v>
      </c>
      <c r="BK8" s="205">
        <f>KviteringV7[[#This Row],[pris SC (m. mva)]]*KviteringV7[[#This Row],[Antall]]</f>
        <v>0</v>
      </c>
      <c r="BL8" s="212">
        <f t="shared" si="25"/>
        <v>0</v>
      </c>
      <c r="BN8" s="143" t="b">
        <f t="shared" si="26"/>
        <v>1</v>
      </c>
      <c r="BO8" s="22" t="s">
        <v>94</v>
      </c>
      <c r="BP8" s="210"/>
      <c r="BQ8" s="211">
        <v>26.63</v>
      </c>
      <c r="BR8" s="210">
        <f t="shared" si="27"/>
        <v>30.624499999999998</v>
      </c>
      <c r="BS8" s="210">
        <f t="shared" si="33"/>
        <v>0</v>
      </c>
      <c r="BT8" s="205">
        <f>KviteringV8[[#This Row],[pris SC (m. mva)]]*KviteringV8[[#This Row],[Antall]]</f>
        <v>0</v>
      </c>
      <c r="BU8" s="212">
        <f t="shared" si="28"/>
        <v>0</v>
      </c>
    </row>
    <row r="9" spans="1:73" x14ac:dyDescent="0.35">
      <c r="A9" s="152" t="s">
        <v>94</v>
      </c>
      <c r="B9" s="141">
        <f>IFERROR(VLOOKUP(Inkjøp[[#This Row],[Produkt]],KviteringV3[],2,FALSE),0)</f>
        <v>0</v>
      </c>
      <c r="C9" s="141" cm="1">
        <f t="array" ref="C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782.98799999999994</v>
      </c>
      <c r="D9" s="120"/>
      <c r="E9" s="15" t="b">
        <f t="shared" si="0"/>
        <v>1</v>
      </c>
      <c r="F9" s="25" t="s">
        <v>95</v>
      </c>
      <c r="G9" s="23">
        <v>48</v>
      </c>
      <c r="H9" s="32">
        <v>15.47</v>
      </c>
      <c r="I9" s="25">
        <f t="shared" si="1"/>
        <v>17.790499999999998</v>
      </c>
      <c r="J9" s="25">
        <f t="shared" si="2"/>
        <v>742.56000000000006</v>
      </c>
      <c r="K9" s="25">
        <f t="shared" si="3"/>
        <v>853.94399999999996</v>
      </c>
      <c r="L9" s="27">
        <f t="shared" si="4"/>
        <v>96</v>
      </c>
      <c r="M9" s="143" t="b">
        <f t="shared" si="5"/>
        <v>1</v>
      </c>
      <c r="N9" s="22" t="s">
        <v>95</v>
      </c>
      <c r="O9" s="23">
        <v>48</v>
      </c>
      <c r="P9" s="24">
        <v>15.47</v>
      </c>
      <c r="Q9" s="25">
        <f t="shared" si="6"/>
        <v>17.790499999999998</v>
      </c>
      <c r="R9" s="25">
        <f t="shared" si="7"/>
        <v>742.56000000000006</v>
      </c>
      <c r="S9" s="26">
        <f t="shared" si="8"/>
        <v>853.94399999999996</v>
      </c>
      <c r="T9" s="27">
        <f t="shared" si="9"/>
        <v>96</v>
      </c>
      <c r="U9" s="143" t="b">
        <f t="shared" si="10"/>
        <v>1</v>
      </c>
      <c r="V9" s="22" t="s">
        <v>95</v>
      </c>
      <c r="W9" s="23">
        <v>0</v>
      </c>
      <c r="X9" s="24">
        <v>15.47</v>
      </c>
      <c r="Y9" s="25">
        <f t="shared" si="11"/>
        <v>17.790499999999998</v>
      </c>
      <c r="Z9" s="25">
        <f t="shared" si="12"/>
        <v>0</v>
      </c>
      <c r="AA9" s="26">
        <f t="shared" si="13"/>
        <v>0</v>
      </c>
      <c r="AB9" s="27">
        <f t="shared" si="14"/>
        <v>0</v>
      </c>
      <c r="AD9" s="143" t="b">
        <f t="shared" si="15"/>
        <v>1</v>
      </c>
      <c r="AE9" s="22" t="s">
        <v>95</v>
      </c>
      <c r="AF9" s="23">
        <v>0</v>
      </c>
      <c r="AG9" s="24">
        <v>15.47</v>
      </c>
      <c r="AH9" s="25">
        <f t="shared" si="16"/>
        <v>17.790499999999998</v>
      </c>
      <c r="AI9" s="25">
        <f t="shared" si="29"/>
        <v>0</v>
      </c>
      <c r="AJ9" s="205">
        <f>KviteringV4[[#This Row],[pris SC (m. mva)]]*KviteringV4[[#This Row],[Antall]]</f>
        <v>0</v>
      </c>
      <c r="AK9" s="27">
        <f t="shared" si="17"/>
        <v>0</v>
      </c>
      <c r="AM9" s="143" t="b">
        <f t="shared" si="18"/>
        <v>1</v>
      </c>
      <c r="AN9" s="22" t="s">
        <v>95</v>
      </c>
      <c r="AO9" s="210"/>
      <c r="AP9" s="211">
        <v>15.47</v>
      </c>
      <c r="AQ9" s="210">
        <f t="shared" si="19"/>
        <v>17.790499999999998</v>
      </c>
      <c r="AR9" s="210">
        <f t="shared" si="20"/>
        <v>0</v>
      </c>
      <c r="AS9" s="205">
        <f>KviteringV5[[#This Row],[pris SC (m. mva)]]*KviteringV5[[#This Row],[Antall]]</f>
        <v>0</v>
      </c>
      <c r="AT9" s="212">
        <f t="shared" si="21"/>
        <v>0</v>
      </c>
      <c r="AV9" s="143" t="b">
        <f t="shared" si="22"/>
        <v>1</v>
      </c>
      <c r="AW9" s="22" t="s">
        <v>95</v>
      </c>
      <c r="AX9" s="210"/>
      <c r="AY9" s="211">
        <v>15.47</v>
      </c>
      <c r="AZ9" s="210">
        <f t="shared" si="34"/>
        <v>17.790499999999998</v>
      </c>
      <c r="BA9" s="210">
        <f t="shared" si="30"/>
        <v>0</v>
      </c>
      <c r="BB9" s="205">
        <f>KviteringV6[[#This Row],[pris SC (m. mva)]]*KviteringV6[[#This Row],[Antall]]</f>
        <v>0</v>
      </c>
      <c r="BC9" s="212">
        <f t="shared" si="23"/>
        <v>0</v>
      </c>
      <c r="BE9" s="143" t="b">
        <f t="shared" si="24"/>
        <v>1</v>
      </c>
      <c r="BF9" s="22" t="s">
        <v>95</v>
      </c>
      <c r="BG9" s="210"/>
      <c r="BH9" s="211">
        <v>15.47</v>
      </c>
      <c r="BI9" s="210">
        <f t="shared" si="31"/>
        <v>17.790499999999998</v>
      </c>
      <c r="BJ9" s="210">
        <f t="shared" si="32"/>
        <v>0</v>
      </c>
      <c r="BK9" s="205">
        <f>KviteringV7[[#This Row],[pris SC (m. mva)]]*KviteringV7[[#This Row],[Antall]]</f>
        <v>0</v>
      </c>
      <c r="BL9" s="212">
        <f t="shared" si="25"/>
        <v>0</v>
      </c>
      <c r="BN9" s="143" t="b">
        <f t="shared" si="26"/>
        <v>1</v>
      </c>
      <c r="BO9" s="22" t="s">
        <v>95</v>
      </c>
      <c r="BP9" s="210"/>
      <c r="BQ9" s="211">
        <v>15.47</v>
      </c>
      <c r="BR9" s="210">
        <f t="shared" si="27"/>
        <v>17.790499999999998</v>
      </c>
      <c r="BS9" s="210">
        <f t="shared" si="33"/>
        <v>0</v>
      </c>
      <c r="BT9" s="205">
        <f>KviteringV8[[#This Row],[pris SC (m. mva)]]*KviteringV8[[#This Row],[Antall]]</f>
        <v>0</v>
      </c>
      <c r="BU9" s="212">
        <f t="shared" si="28"/>
        <v>0</v>
      </c>
    </row>
    <row r="10" spans="1:73" x14ac:dyDescent="0.35">
      <c r="A10" s="152" t="s">
        <v>95</v>
      </c>
      <c r="B10" s="141">
        <f>IFERROR(VLOOKUP(Inkjøp[[#This Row],[Produkt]],KviteringV3[],2,FALSE),0)</f>
        <v>0</v>
      </c>
      <c r="C10" s="141" cm="1">
        <f t="array" ref="C1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1899.8879999999999</v>
      </c>
      <c r="D10" s="120"/>
      <c r="E10" s="15" t="b">
        <f t="shared" si="0"/>
        <v>1</v>
      </c>
      <c r="F10" s="25" t="s">
        <v>96</v>
      </c>
      <c r="G10" s="23"/>
      <c r="H10" s="25"/>
      <c r="I10" s="25"/>
      <c r="J10" s="25"/>
      <c r="K10" s="25"/>
      <c r="L10" s="27"/>
      <c r="M10" s="143" t="b">
        <f t="shared" si="5"/>
        <v>1</v>
      </c>
      <c r="N10" s="22" t="s">
        <v>96</v>
      </c>
      <c r="O10" s="28">
        <v>24</v>
      </c>
      <c r="P10" s="29">
        <v>18.02</v>
      </c>
      <c r="Q10" s="30">
        <f t="shared" si="6"/>
        <v>20.722999999999999</v>
      </c>
      <c r="R10" s="30">
        <f t="shared" si="7"/>
        <v>432.48</v>
      </c>
      <c r="S10" s="26">
        <f t="shared" si="8"/>
        <v>497.35199999999998</v>
      </c>
      <c r="T10" s="27">
        <f t="shared" si="9"/>
        <v>48</v>
      </c>
      <c r="U10" s="143" t="b">
        <f t="shared" si="10"/>
        <v>1</v>
      </c>
      <c r="V10" s="22" t="s">
        <v>96</v>
      </c>
      <c r="W10" s="28">
        <v>24</v>
      </c>
      <c r="X10" s="29">
        <v>18.02</v>
      </c>
      <c r="Y10" s="30">
        <f t="shared" si="11"/>
        <v>20.722999999999999</v>
      </c>
      <c r="Z10" s="30">
        <f t="shared" si="12"/>
        <v>432.48</v>
      </c>
      <c r="AA10" s="26">
        <f t="shared" si="13"/>
        <v>497.35199999999998</v>
      </c>
      <c r="AB10" s="27">
        <f t="shared" si="14"/>
        <v>48</v>
      </c>
      <c r="AD10" s="143" t="b">
        <f t="shared" si="15"/>
        <v>1</v>
      </c>
      <c r="AE10" s="22" t="s">
        <v>96</v>
      </c>
      <c r="AF10" s="28">
        <v>0</v>
      </c>
      <c r="AG10" s="29">
        <v>18.02</v>
      </c>
      <c r="AH10" s="25">
        <f t="shared" si="16"/>
        <v>20.722999999999999</v>
      </c>
      <c r="AI10" s="25">
        <f t="shared" si="29"/>
        <v>0</v>
      </c>
      <c r="AJ10" s="205">
        <f>KviteringV4[[#This Row],[pris SC (m. mva)]]*KviteringV4[[#This Row],[Antall]]</f>
        <v>0</v>
      </c>
      <c r="AK10" s="27">
        <f t="shared" si="17"/>
        <v>0</v>
      </c>
      <c r="AM10" s="143" t="b">
        <f t="shared" si="18"/>
        <v>1</v>
      </c>
      <c r="AN10" s="22" t="s">
        <v>96</v>
      </c>
      <c r="AO10" s="213"/>
      <c r="AP10" s="214">
        <v>18.02</v>
      </c>
      <c r="AQ10" s="210">
        <f t="shared" si="19"/>
        <v>20.722999999999999</v>
      </c>
      <c r="AR10" s="210">
        <f t="shared" si="20"/>
        <v>0</v>
      </c>
      <c r="AS10" s="205">
        <f>KviteringV5[[#This Row],[pris SC (m. mva)]]*KviteringV5[[#This Row],[Antall]]</f>
        <v>0</v>
      </c>
      <c r="AT10" s="212">
        <f t="shared" si="21"/>
        <v>0</v>
      </c>
      <c r="AV10" s="143" t="b">
        <f t="shared" si="22"/>
        <v>1</v>
      </c>
      <c r="AW10" s="22" t="s">
        <v>96</v>
      </c>
      <c r="AX10" s="213"/>
      <c r="AY10" s="214">
        <v>18.02</v>
      </c>
      <c r="AZ10" s="210">
        <f t="shared" si="34"/>
        <v>20.722999999999999</v>
      </c>
      <c r="BA10" s="210">
        <f t="shared" si="30"/>
        <v>0</v>
      </c>
      <c r="BB10" s="205">
        <f>KviteringV6[[#This Row],[pris SC (m. mva)]]*KviteringV6[[#This Row],[Antall]]</f>
        <v>0</v>
      </c>
      <c r="BC10" s="212">
        <f t="shared" si="23"/>
        <v>0</v>
      </c>
      <c r="BE10" s="143" t="b">
        <f t="shared" si="24"/>
        <v>1</v>
      </c>
      <c r="BF10" s="22" t="s">
        <v>96</v>
      </c>
      <c r="BG10" s="213"/>
      <c r="BH10" s="214">
        <v>18.02</v>
      </c>
      <c r="BI10" s="210">
        <f t="shared" si="31"/>
        <v>20.722999999999999</v>
      </c>
      <c r="BJ10" s="210">
        <f t="shared" si="32"/>
        <v>0</v>
      </c>
      <c r="BK10" s="205">
        <f>KviteringV7[[#This Row],[pris SC (m. mva)]]*KviteringV7[[#This Row],[Antall]]</f>
        <v>0</v>
      </c>
      <c r="BL10" s="212">
        <f t="shared" si="25"/>
        <v>0</v>
      </c>
      <c r="BN10" s="143" t="b">
        <f t="shared" si="26"/>
        <v>1</v>
      </c>
      <c r="BO10" s="22" t="s">
        <v>96</v>
      </c>
      <c r="BP10" s="213"/>
      <c r="BQ10" s="214">
        <v>18.02</v>
      </c>
      <c r="BR10" s="210">
        <f t="shared" si="27"/>
        <v>20.722999999999999</v>
      </c>
      <c r="BS10" s="210">
        <f t="shared" si="33"/>
        <v>0</v>
      </c>
      <c r="BT10" s="205">
        <f>KviteringV8[[#This Row],[pris SC (m. mva)]]*KviteringV8[[#This Row],[Antall]]</f>
        <v>0</v>
      </c>
      <c r="BU10" s="212">
        <f t="shared" si="28"/>
        <v>0</v>
      </c>
    </row>
    <row r="11" spans="1:73" x14ac:dyDescent="0.35">
      <c r="A11" s="152" t="s">
        <v>96</v>
      </c>
      <c r="B11" s="141">
        <f>IFERROR(VLOOKUP(Inkjøp[[#This Row],[Produkt]],KviteringV3[],2,FALSE),0)</f>
        <v>24</v>
      </c>
      <c r="C11" s="141" cm="1">
        <f t="array" ref="C1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1090.704</v>
      </c>
      <c r="D11" s="120"/>
      <c r="E11" s="15" t="b">
        <f t="shared" si="0"/>
        <v>1</v>
      </c>
      <c r="F11" s="25" t="s">
        <v>97</v>
      </c>
      <c r="G11" s="23">
        <v>48</v>
      </c>
      <c r="H11" s="32">
        <v>17.54</v>
      </c>
      <c r="I11" s="25">
        <f t="shared" ref="I11:I19" si="35">H11*1.15</f>
        <v>20.170999999999996</v>
      </c>
      <c r="J11" s="25">
        <f t="shared" ref="J11:J19" si="36">H11*G11</f>
        <v>841.92</v>
      </c>
      <c r="K11" s="25">
        <f t="shared" ref="K11:K19" si="37">I11*G11</f>
        <v>968.20799999999986</v>
      </c>
      <c r="L11" s="27">
        <f t="shared" ref="L11:L19" si="38">2*G11</f>
        <v>96</v>
      </c>
      <c r="M11" s="143" t="b">
        <f t="shared" si="5"/>
        <v>1</v>
      </c>
      <c r="N11" s="22" t="s">
        <v>97</v>
      </c>
      <c r="O11" s="23">
        <v>24</v>
      </c>
      <c r="P11" s="24">
        <v>17.54</v>
      </c>
      <c r="Q11" s="25">
        <f t="shared" si="6"/>
        <v>20.170999999999996</v>
      </c>
      <c r="R11" s="25">
        <f t="shared" si="7"/>
        <v>420.96</v>
      </c>
      <c r="S11" s="26">
        <f t="shared" si="8"/>
        <v>484.10399999999993</v>
      </c>
      <c r="T11" s="27">
        <f t="shared" si="9"/>
        <v>48</v>
      </c>
      <c r="U11" s="143" t="b">
        <f t="shared" si="10"/>
        <v>1</v>
      </c>
      <c r="V11" s="22" t="s">
        <v>97</v>
      </c>
      <c r="W11" s="23">
        <v>48</v>
      </c>
      <c r="X11" s="24">
        <v>17.54</v>
      </c>
      <c r="Y11" s="25">
        <f t="shared" si="11"/>
        <v>20.170999999999996</v>
      </c>
      <c r="Z11" s="25">
        <f t="shared" si="12"/>
        <v>841.92</v>
      </c>
      <c r="AA11" s="26">
        <f t="shared" si="13"/>
        <v>968.20799999999986</v>
      </c>
      <c r="AB11" s="27">
        <f t="shared" si="14"/>
        <v>96</v>
      </c>
      <c r="AD11" s="143" t="b">
        <f t="shared" si="15"/>
        <v>1</v>
      </c>
      <c r="AE11" s="22" t="s">
        <v>97</v>
      </c>
      <c r="AF11" s="23">
        <v>0</v>
      </c>
      <c r="AG11" s="24">
        <v>17.54</v>
      </c>
      <c r="AH11" s="25">
        <f t="shared" si="16"/>
        <v>20.170999999999996</v>
      </c>
      <c r="AI11" s="25">
        <f t="shared" si="29"/>
        <v>0</v>
      </c>
      <c r="AJ11" s="205">
        <f>KviteringV4[[#This Row],[pris SC (m. mva)]]*KviteringV4[[#This Row],[Antall]]</f>
        <v>0</v>
      </c>
      <c r="AK11" s="27">
        <f t="shared" si="17"/>
        <v>0</v>
      </c>
      <c r="AM11" s="143" t="b">
        <f t="shared" si="18"/>
        <v>1</v>
      </c>
      <c r="AN11" s="22" t="s">
        <v>97</v>
      </c>
      <c r="AO11" s="210"/>
      <c r="AP11" s="211">
        <v>17.54</v>
      </c>
      <c r="AQ11" s="210">
        <f t="shared" si="19"/>
        <v>20.170999999999996</v>
      </c>
      <c r="AR11" s="210">
        <f t="shared" si="20"/>
        <v>0</v>
      </c>
      <c r="AS11" s="205">
        <f>KviteringV5[[#This Row],[pris SC (m. mva)]]*KviteringV5[[#This Row],[Antall]]</f>
        <v>0</v>
      </c>
      <c r="AT11" s="212">
        <f t="shared" si="21"/>
        <v>0</v>
      </c>
      <c r="AV11" s="143" t="b">
        <f t="shared" si="22"/>
        <v>1</v>
      </c>
      <c r="AW11" s="22" t="s">
        <v>97</v>
      </c>
      <c r="AX11" s="210"/>
      <c r="AY11" s="211">
        <v>17.54</v>
      </c>
      <c r="AZ11" s="210">
        <f t="shared" si="34"/>
        <v>20.170999999999996</v>
      </c>
      <c r="BA11" s="210">
        <f t="shared" si="30"/>
        <v>0</v>
      </c>
      <c r="BB11" s="205">
        <f>KviteringV6[[#This Row],[pris SC (m. mva)]]*KviteringV6[[#This Row],[Antall]]</f>
        <v>0</v>
      </c>
      <c r="BC11" s="212">
        <f t="shared" si="23"/>
        <v>0</v>
      </c>
      <c r="BE11" s="143" t="b">
        <f t="shared" si="24"/>
        <v>1</v>
      </c>
      <c r="BF11" s="22" t="s">
        <v>97</v>
      </c>
      <c r="BG11" s="210"/>
      <c r="BH11" s="211">
        <v>17.54</v>
      </c>
      <c r="BI11" s="210">
        <f t="shared" si="31"/>
        <v>20.170999999999996</v>
      </c>
      <c r="BJ11" s="210">
        <f t="shared" si="32"/>
        <v>0</v>
      </c>
      <c r="BK11" s="205">
        <f>KviteringV7[[#This Row],[pris SC (m. mva)]]*KviteringV7[[#This Row],[Antall]]</f>
        <v>0</v>
      </c>
      <c r="BL11" s="212">
        <f t="shared" si="25"/>
        <v>0</v>
      </c>
      <c r="BN11" s="143" t="b">
        <f t="shared" si="26"/>
        <v>1</v>
      </c>
      <c r="BO11" s="22" t="s">
        <v>97</v>
      </c>
      <c r="BP11" s="210"/>
      <c r="BQ11" s="211">
        <v>17.54</v>
      </c>
      <c r="BR11" s="210">
        <f t="shared" si="27"/>
        <v>20.170999999999996</v>
      </c>
      <c r="BS11" s="210">
        <f t="shared" si="33"/>
        <v>0</v>
      </c>
      <c r="BT11" s="205">
        <f>KviteringV8[[#This Row],[pris SC (m. mva)]]*KviteringV8[[#This Row],[Antall]]</f>
        <v>0</v>
      </c>
      <c r="BU11" s="212">
        <f t="shared" si="28"/>
        <v>0</v>
      </c>
    </row>
    <row r="12" spans="1:73" x14ac:dyDescent="0.35">
      <c r="A12" s="152" t="s">
        <v>97</v>
      </c>
      <c r="B12" s="141">
        <f>IFERROR(VLOOKUP(Inkjøp[[#This Row],[Produkt]],KviteringV3[],2,FALSE),0)</f>
        <v>48</v>
      </c>
      <c r="C12" s="141" cm="1">
        <f t="array" ref="C1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2660.5199999999995</v>
      </c>
      <c r="D12" s="120"/>
      <c r="E12" s="15" t="b">
        <f t="shared" si="0"/>
        <v>1</v>
      </c>
      <c r="F12" s="25" t="s">
        <v>98</v>
      </c>
      <c r="G12" s="23">
        <v>48</v>
      </c>
      <c r="H12" s="32">
        <v>17.54</v>
      </c>
      <c r="I12" s="25">
        <f t="shared" si="35"/>
        <v>20.170999999999996</v>
      </c>
      <c r="J12" s="25">
        <f t="shared" si="36"/>
        <v>841.92</v>
      </c>
      <c r="K12" s="25">
        <f t="shared" si="37"/>
        <v>968.20799999999986</v>
      </c>
      <c r="L12" s="27">
        <f t="shared" si="38"/>
        <v>96</v>
      </c>
      <c r="M12" s="143" t="b">
        <f t="shared" si="5"/>
        <v>1</v>
      </c>
      <c r="N12" s="22" t="s">
        <v>98</v>
      </c>
      <c r="O12" s="23">
        <v>48</v>
      </c>
      <c r="P12" s="24">
        <v>17.54</v>
      </c>
      <c r="Q12" s="25">
        <f t="shared" si="6"/>
        <v>20.170999999999996</v>
      </c>
      <c r="R12" s="25">
        <f t="shared" si="7"/>
        <v>841.92</v>
      </c>
      <c r="S12" s="26">
        <f t="shared" si="8"/>
        <v>968.20799999999986</v>
      </c>
      <c r="T12" s="27">
        <f t="shared" si="9"/>
        <v>96</v>
      </c>
      <c r="U12" s="143" t="b">
        <f t="shared" si="10"/>
        <v>1</v>
      </c>
      <c r="V12" s="22" t="s">
        <v>98</v>
      </c>
      <c r="W12" s="23">
        <v>120</v>
      </c>
      <c r="X12" s="24">
        <v>17.54</v>
      </c>
      <c r="Y12" s="25">
        <f t="shared" si="11"/>
        <v>20.170999999999996</v>
      </c>
      <c r="Z12" s="25">
        <f t="shared" si="12"/>
        <v>2104.7999999999997</v>
      </c>
      <c r="AA12" s="26">
        <f t="shared" si="13"/>
        <v>2420.5199999999995</v>
      </c>
      <c r="AB12" s="27">
        <f t="shared" si="14"/>
        <v>240</v>
      </c>
      <c r="AD12" s="143" t="b">
        <f t="shared" si="15"/>
        <v>1</v>
      </c>
      <c r="AE12" s="22" t="s">
        <v>98</v>
      </c>
      <c r="AF12" s="23">
        <v>48</v>
      </c>
      <c r="AG12" s="24">
        <v>17.54</v>
      </c>
      <c r="AH12" s="25">
        <f t="shared" si="16"/>
        <v>20.170999999999996</v>
      </c>
      <c r="AI12" s="25">
        <f t="shared" si="29"/>
        <v>841.92</v>
      </c>
      <c r="AJ12" s="205">
        <f>KviteringV4[[#This Row],[pris SC (m. mva)]]*KviteringV4[[#This Row],[Antall]]</f>
        <v>968.20799999999986</v>
      </c>
      <c r="AK12" s="27">
        <f t="shared" si="17"/>
        <v>96</v>
      </c>
      <c r="AM12" s="143" t="b">
        <f t="shared" si="18"/>
        <v>1</v>
      </c>
      <c r="AN12" s="22" t="s">
        <v>98</v>
      </c>
      <c r="AO12" s="210"/>
      <c r="AP12" s="211">
        <v>17.54</v>
      </c>
      <c r="AQ12" s="210">
        <f t="shared" si="19"/>
        <v>20.170999999999996</v>
      </c>
      <c r="AR12" s="210">
        <f t="shared" si="20"/>
        <v>0</v>
      </c>
      <c r="AS12" s="205">
        <f>KviteringV5[[#This Row],[pris SC (m. mva)]]*KviteringV5[[#This Row],[Antall]]</f>
        <v>0</v>
      </c>
      <c r="AT12" s="212">
        <f t="shared" si="21"/>
        <v>0</v>
      </c>
      <c r="AV12" s="143" t="b">
        <f t="shared" si="22"/>
        <v>1</v>
      </c>
      <c r="AW12" s="22" t="s">
        <v>98</v>
      </c>
      <c r="AX12" s="210"/>
      <c r="AY12" s="211">
        <v>17.54</v>
      </c>
      <c r="AZ12" s="210">
        <f t="shared" si="34"/>
        <v>20.170999999999996</v>
      </c>
      <c r="BA12" s="210">
        <f t="shared" si="30"/>
        <v>0</v>
      </c>
      <c r="BB12" s="205">
        <f>KviteringV6[[#This Row],[pris SC (m. mva)]]*KviteringV6[[#This Row],[Antall]]</f>
        <v>0</v>
      </c>
      <c r="BC12" s="212">
        <f t="shared" si="23"/>
        <v>0</v>
      </c>
      <c r="BE12" s="143" t="b">
        <f t="shared" si="24"/>
        <v>1</v>
      </c>
      <c r="BF12" s="22" t="s">
        <v>98</v>
      </c>
      <c r="BG12" s="210">
        <v>24</v>
      </c>
      <c r="BH12" s="211">
        <v>17.54</v>
      </c>
      <c r="BI12" s="210">
        <f t="shared" si="31"/>
        <v>20.170999999999996</v>
      </c>
      <c r="BJ12" s="210">
        <f t="shared" si="32"/>
        <v>420.96</v>
      </c>
      <c r="BK12" s="205">
        <f>KviteringV7[[#This Row],[pris SC (m. mva)]]*KviteringV7[[#This Row],[Antall]]</f>
        <v>484.10399999999993</v>
      </c>
      <c r="BL12" s="212">
        <f t="shared" si="25"/>
        <v>48</v>
      </c>
      <c r="BN12" s="143" t="b">
        <f t="shared" si="26"/>
        <v>1</v>
      </c>
      <c r="BO12" s="22" t="s">
        <v>98</v>
      </c>
      <c r="BP12" s="210"/>
      <c r="BQ12" s="211">
        <v>17.54</v>
      </c>
      <c r="BR12" s="210">
        <f t="shared" si="27"/>
        <v>20.170999999999996</v>
      </c>
      <c r="BS12" s="210">
        <f t="shared" si="33"/>
        <v>0</v>
      </c>
      <c r="BT12" s="205">
        <f>KviteringV8[[#This Row],[pris SC (m. mva)]]*KviteringV8[[#This Row],[Antall]]</f>
        <v>0</v>
      </c>
      <c r="BU12" s="212">
        <f t="shared" si="28"/>
        <v>0</v>
      </c>
    </row>
    <row r="13" spans="1:73" x14ac:dyDescent="0.35">
      <c r="A13" s="152" t="s">
        <v>98</v>
      </c>
      <c r="B13" s="141">
        <f>IFERROR(VLOOKUP(Inkjøp[[#This Row],[Produkt]],KviteringV3[],2,FALSE),0)</f>
        <v>120</v>
      </c>
      <c r="C13" s="141" cm="1">
        <f t="array" ref="C1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5853.1439999999993</v>
      </c>
      <c r="D13" s="120"/>
      <c r="E13" s="15" t="b">
        <f t="shared" si="0"/>
        <v>1</v>
      </c>
      <c r="F13" s="25" t="s">
        <v>99</v>
      </c>
      <c r="G13" s="23">
        <v>48</v>
      </c>
      <c r="H13" s="32">
        <v>17.53</v>
      </c>
      <c r="I13" s="25">
        <f t="shared" si="35"/>
        <v>20.159500000000001</v>
      </c>
      <c r="J13" s="25">
        <f t="shared" si="36"/>
        <v>841.44</v>
      </c>
      <c r="K13" s="25">
        <f t="shared" si="37"/>
        <v>967.65600000000006</v>
      </c>
      <c r="L13" s="27">
        <f t="shared" si="38"/>
        <v>96</v>
      </c>
      <c r="M13" s="143" t="b">
        <f t="shared" si="5"/>
        <v>1</v>
      </c>
      <c r="N13" s="22" t="s">
        <v>99</v>
      </c>
      <c r="O13" s="23">
        <v>0</v>
      </c>
      <c r="P13" s="24">
        <v>17.53</v>
      </c>
      <c r="Q13" s="25">
        <f t="shared" si="6"/>
        <v>20.159500000000001</v>
      </c>
      <c r="R13" s="25">
        <f t="shared" si="7"/>
        <v>0</v>
      </c>
      <c r="S13" s="26">
        <f t="shared" si="8"/>
        <v>0</v>
      </c>
      <c r="T13" s="27">
        <f t="shared" si="9"/>
        <v>0</v>
      </c>
      <c r="U13" s="143" t="b">
        <f t="shared" si="10"/>
        <v>1</v>
      </c>
      <c r="V13" s="22" t="s">
        <v>99</v>
      </c>
      <c r="W13" s="22"/>
      <c r="X13" s="22"/>
      <c r="Y13" s="22"/>
      <c r="Z13" s="22"/>
      <c r="AA13" s="22"/>
      <c r="AB13" s="22"/>
      <c r="AD13" s="143" t="b">
        <f t="shared" si="15"/>
        <v>1</v>
      </c>
      <c r="AE13" s="22" t="s">
        <v>99</v>
      </c>
      <c r="AF13" s="22">
        <v>48</v>
      </c>
      <c r="AG13" s="22">
        <v>17.53</v>
      </c>
      <c r="AH13" s="25">
        <f t="shared" si="16"/>
        <v>20.159500000000001</v>
      </c>
      <c r="AI13" s="25">
        <f t="shared" si="29"/>
        <v>841.44</v>
      </c>
      <c r="AJ13" s="205">
        <f>KviteringV4[[#This Row],[pris SC (m. mva)]]*KviteringV4[[#This Row],[Antall]]</f>
        <v>967.65600000000006</v>
      </c>
      <c r="AK13" s="27">
        <f t="shared" si="17"/>
        <v>96</v>
      </c>
      <c r="AM13" s="143" t="b">
        <f t="shared" si="18"/>
        <v>1</v>
      </c>
      <c r="AN13" s="22" t="s">
        <v>99</v>
      </c>
      <c r="AO13" s="215"/>
      <c r="AP13" s="215">
        <v>17.53</v>
      </c>
      <c r="AQ13" s="210">
        <f t="shared" si="19"/>
        <v>20.159500000000001</v>
      </c>
      <c r="AR13" s="210">
        <f t="shared" si="20"/>
        <v>0</v>
      </c>
      <c r="AS13" s="205">
        <f>KviteringV5[[#This Row],[pris SC (m. mva)]]*KviteringV5[[#This Row],[Antall]]</f>
        <v>0</v>
      </c>
      <c r="AT13" s="212">
        <f t="shared" si="21"/>
        <v>0</v>
      </c>
      <c r="AV13" s="143" t="b">
        <f t="shared" si="22"/>
        <v>1</v>
      </c>
      <c r="AW13" s="22" t="s">
        <v>99</v>
      </c>
      <c r="AX13" s="215"/>
      <c r="AY13" s="215">
        <v>17.53</v>
      </c>
      <c r="AZ13" s="210">
        <f t="shared" si="34"/>
        <v>20.159500000000001</v>
      </c>
      <c r="BA13" s="210">
        <f t="shared" si="30"/>
        <v>0</v>
      </c>
      <c r="BB13" s="205">
        <f>KviteringV6[[#This Row],[pris SC (m. mva)]]*KviteringV6[[#This Row],[Antall]]</f>
        <v>0</v>
      </c>
      <c r="BC13" s="212">
        <f t="shared" si="23"/>
        <v>0</v>
      </c>
      <c r="BE13" s="143" t="b">
        <f t="shared" si="24"/>
        <v>1</v>
      </c>
      <c r="BF13" s="22" t="s">
        <v>99</v>
      </c>
      <c r="BG13" s="215"/>
      <c r="BH13" s="215">
        <v>17.53</v>
      </c>
      <c r="BI13" s="210">
        <f t="shared" si="31"/>
        <v>20.159500000000001</v>
      </c>
      <c r="BJ13" s="210">
        <f t="shared" si="32"/>
        <v>0</v>
      </c>
      <c r="BK13" s="205">
        <f>KviteringV7[[#This Row],[pris SC (m. mva)]]*KviteringV7[[#This Row],[Antall]]</f>
        <v>0</v>
      </c>
      <c r="BL13" s="212">
        <f t="shared" si="25"/>
        <v>0</v>
      </c>
      <c r="BN13" s="143" t="b">
        <f t="shared" si="26"/>
        <v>1</v>
      </c>
      <c r="BO13" s="22" t="s">
        <v>99</v>
      </c>
      <c r="BP13" s="215"/>
      <c r="BQ13" s="215">
        <v>17.53</v>
      </c>
      <c r="BR13" s="210">
        <f t="shared" si="27"/>
        <v>20.159500000000001</v>
      </c>
      <c r="BS13" s="210">
        <f t="shared" si="33"/>
        <v>0</v>
      </c>
      <c r="BT13" s="205">
        <f>KviteringV8[[#This Row],[pris SC (m. mva)]]*KviteringV8[[#This Row],[Antall]]</f>
        <v>0</v>
      </c>
      <c r="BU13" s="212">
        <f t="shared" si="28"/>
        <v>0</v>
      </c>
    </row>
    <row r="14" spans="1:73" x14ac:dyDescent="0.35">
      <c r="A14" s="152" t="s">
        <v>99</v>
      </c>
      <c r="B14" s="141">
        <f>IFERROR(VLOOKUP(Inkjøp[[#This Row],[Produkt]],KviteringV3[],2,FALSE),0)</f>
        <v>0</v>
      </c>
      <c r="C14" s="141" cm="1">
        <f t="array" ref="C1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2127.3119999999999</v>
      </c>
      <c r="D14" s="120"/>
      <c r="E14" s="15" t="b">
        <f t="shared" si="0"/>
        <v>1</v>
      </c>
      <c r="F14" s="25" t="s">
        <v>100</v>
      </c>
      <c r="G14" s="23">
        <v>24</v>
      </c>
      <c r="H14" s="32">
        <v>17.53</v>
      </c>
      <c r="I14" s="25">
        <f t="shared" si="35"/>
        <v>20.159500000000001</v>
      </c>
      <c r="J14" s="25">
        <f t="shared" si="36"/>
        <v>420.72</v>
      </c>
      <c r="K14" s="25">
        <f t="shared" si="37"/>
        <v>483.82800000000003</v>
      </c>
      <c r="L14" s="27">
        <f t="shared" si="38"/>
        <v>48</v>
      </c>
      <c r="M14" s="143" t="b">
        <f t="shared" si="5"/>
        <v>1</v>
      </c>
      <c r="N14" s="22" t="s">
        <v>100</v>
      </c>
      <c r="O14" s="23">
        <v>0</v>
      </c>
      <c r="P14" s="24">
        <v>17.53</v>
      </c>
      <c r="Q14" s="25">
        <f t="shared" si="6"/>
        <v>20.159500000000001</v>
      </c>
      <c r="R14" s="25">
        <f t="shared" si="7"/>
        <v>0</v>
      </c>
      <c r="S14" s="26">
        <f t="shared" si="8"/>
        <v>0</v>
      </c>
      <c r="T14" s="27">
        <f t="shared" si="9"/>
        <v>0</v>
      </c>
      <c r="U14" s="143" t="b">
        <f t="shared" si="10"/>
        <v>1</v>
      </c>
      <c r="V14" s="22" t="s">
        <v>100</v>
      </c>
      <c r="W14" s="23">
        <v>24</v>
      </c>
      <c r="X14" s="24">
        <v>17.53</v>
      </c>
      <c r="Y14" s="25">
        <f t="shared" ref="Y14:Y35" si="39">X14*1.15</f>
        <v>20.159500000000001</v>
      </c>
      <c r="Z14" s="25">
        <f t="shared" ref="Z14:Z35" si="40">X14*W14</f>
        <v>420.72</v>
      </c>
      <c r="AA14" s="26">
        <f t="shared" ref="AA14:AA35" si="41">Y14*W14</f>
        <v>483.82800000000003</v>
      </c>
      <c r="AB14" s="27">
        <f t="shared" ref="AB14:AB23" si="42">2*W14</f>
        <v>48</v>
      </c>
      <c r="AD14" s="143" t="b">
        <f t="shared" si="15"/>
        <v>1</v>
      </c>
      <c r="AE14" s="22" t="s">
        <v>100</v>
      </c>
      <c r="AF14" s="23">
        <v>0</v>
      </c>
      <c r="AG14" s="24">
        <v>17.53</v>
      </c>
      <c r="AH14" s="25">
        <f t="shared" si="16"/>
        <v>20.159500000000001</v>
      </c>
      <c r="AI14" s="25">
        <f t="shared" si="29"/>
        <v>0</v>
      </c>
      <c r="AJ14" s="205">
        <f>KviteringV4[[#This Row],[pris SC (m. mva)]]*KviteringV4[[#This Row],[Antall]]</f>
        <v>0</v>
      </c>
      <c r="AK14" s="27">
        <f t="shared" si="17"/>
        <v>0</v>
      </c>
      <c r="AM14" s="143" t="b">
        <f t="shared" si="18"/>
        <v>1</v>
      </c>
      <c r="AN14" s="22" t="s">
        <v>100</v>
      </c>
      <c r="AO14" s="210"/>
      <c r="AP14" s="211">
        <v>17.53</v>
      </c>
      <c r="AQ14" s="210">
        <f t="shared" si="19"/>
        <v>20.159500000000001</v>
      </c>
      <c r="AR14" s="210">
        <f t="shared" ref="AR14:AR72" si="43">AP14*AO14</f>
        <v>0</v>
      </c>
      <c r="AS14" s="205">
        <f>KviteringV5[[#This Row],[pris SC (m. mva)]]*KviteringV5[[#This Row],[Antall]]</f>
        <v>0</v>
      </c>
      <c r="AT14" s="212">
        <f t="shared" si="21"/>
        <v>0</v>
      </c>
      <c r="AV14" s="143" t="b">
        <f t="shared" si="22"/>
        <v>1</v>
      </c>
      <c r="AW14" s="22" t="s">
        <v>100</v>
      </c>
      <c r="AX14" s="210"/>
      <c r="AY14" s="211">
        <v>17.53</v>
      </c>
      <c r="AZ14" s="210">
        <f t="shared" si="34"/>
        <v>20.159500000000001</v>
      </c>
      <c r="BA14" s="210">
        <f t="shared" si="30"/>
        <v>0</v>
      </c>
      <c r="BB14" s="205">
        <f>KviteringV6[[#This Row],[pris SC (m. mva)]]*KviteringV6[[#This Row],[Antall]]</f>
        <v>0</v>
      </c>
      <c r="BC14" s="212">
        <f t="shared" si="23"/>
        <v>0</v>
      </c>
      <c r="BE14" s="143" t="b">
        <f t="shared" si="24"/>
        <v>1</v>
      </c>
      <c r="BF14" s="22" t="s">
        <v>100</v>
      </c>
      <c r="BG14" s="210"/>
      <c r="BH14" s="211">
        <v>17.53</v>
      </c>
      <c r="BI14" s="210">
        <f t="shared" si="31"/>
        <v>20.159500000000001</v>
      </c>
      <c r="BJ14" s="210">
        <f t="shared" si="32"/>
        <v>0</v>
      </c>
      <c r="BK14" s="205">
        <f>KviteringV7[[#This Row],[pris SC (m. mva)]]*KviteringV7[[#This Row],[Antall]]</f>
        <v>0</v>
      </c>
      <c r="BL14" s="212">
        <f t="shared" si="25"/>
        <v>0</v>
      </c>
      <c r="BN14" s="143" t="b">
        <f t="shared" si="26"/>
        <v>1</v>
      </c>
      <c r="BO14" s="22" t="s">
        <v>100</v>
      </c>
      <c r="BP14" s="210"/>
      <c r="BQ14" s="211">
        <v>17.53</v>
      </c>
      <c r="BR14" s="210">
        <f t="shared" si="27"/>
        <v>20.159500000000001</v>
      </c>
      <c r="BS14" s="210">
        <f t="shared" si="33"/>
        <v>0</v>
      </c>
      <c r="BT14" s="205">
        <f>KviteringV8[[#This Row],[pris SC (m. mva)]]*KviteringV8[[#This Row],[Antall]]</f>
        <v>0</v>
      </c>
      <c r="BU14" s="212">
        <f t="shared" si="28"/>
        <v>0</v>
      </c>
    </row>
    <row r="15" spans="1:73" x14ac:dyDescent="0.35">
      <c r="A15" s="152" t="s">
        <v>100</v>
      </c>
      <c r="B15" s="141">
        <f>IFERROR(VLOOKUP(Inkjøp[[#This Row],[Produkt]],KviteringV3[],2,FALSE),0)</f>
        <v>24</v>
      </c>
      <c r="C15" s="141" cm="1">
        <f t="array" ref="C1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1063.6559999999999</v>
      </c>
      <c r="D15" s="120"/>
      <c r="E15" s="15" t="b">
        <f t="shared" si="0"/>
        <v>1</v>
      </c>
      <c r="F15" s="25" t="s">
        <v>101</v>
      </c>
      <c r="G15" s="23">
        <v>48</v>
      </c>
      <c r="H15" s="32">
        <v>6.69</v>
      </c>
      <c r="I15" s="25">
        <f t="shared" si="35"/>
        <v>7.6935000000000002</v>
      </c>
      <c r="J15" s="25">
        <f t="shared" si="36"/>
        <v>321.12</v>
      </c>
      <c r="K15" s="25">
        <f t="shared" si="37"/>
        <v>369.28800000000001</v>
      </c>
      <c r="L15" s="27">
        <f t="shared" si="38"/>
        <v>96</v>
      </c>
      <c r="M15" s="143" t="b">
        <f t="shared" si="5"/>
        <v>1</v>
      </c>
      <c r="N15" s="22" t="s">
        <v>101</v>
      </c>
      <c r="O15" s="23">
        <v>48</v>
      </c>
      <c r="P15" s="24">
        <v>6.69</v>
      </c>
      <c r="Q15" s="25">
        <f t="shared" si="6"/>
        <v>7.6935000000000002</v>
      </c>
      <c r="R15" s="25">
        <f t="shared" si="7"/>
        <v>321.12</v>
      </c>
      <c r="S15" s="26">
        <f t="shared" si="8"/>
        <v>369.28800000000001</v>
      </c>
      <c r="T15" s="27">
        <f t="shared" si="9"/>
        <v>96</v>
      </c>
      <c r="U15" s="143" t="b">
        <f t="shared" si="10"/>
        <v>1</v>
      </c>
      <c r="V15" s="22" t="s">
        <v>101</v>
      </c>
      <c r="W15" s="23">
        <v>72</v>
      </c>
      <c r="X15" s="24">
        <v>6.69</v>
      </c>
      <c r="Y15" s="25">
        <f t="shared" si="39"/>
        <v>7.6935000000000002</v>
      </c>
      <c r="Z15" s="25">
        <f t="shared" si="40"/>
        <v>481.68</v>
      </c>
      <c r="AA15" s="26">
        <f t="shared" si="41"/>
        <v>553.93200000000002</v>
      </c>
      <c r="AB15" s="27">
        <f t="shared" si="42"/>
        <v>144</v>
      </c>
      <c r="AD15" s="143" t="b">
        <f t="shared" si="15"/>
        <v>1</v>
      </c>
      <c r="AE15" s="22" t="s">
        <v>101</v>
      </c>
      <c r="AF15" s="23">
        <v>48</v>
      </c>
      <c r="AG15" s="24">
        <v>6.69</v>
      </c>
      <c r="AH15" s="25">
        <f t="shared" si="16"/>
        <v>7.6935000000000002</v>
      </c>
      <c r="AI15" s="25">
        <f t="shared" si="29"/>
        <v>321.12</v>
      </c>
      <c r="AJ15" s="205">
        <f>KviteringV4[[#This Row],[pris SC (m. mva)]]*KviteringV4[[#This Row],[Antall]]</f>
        <v>369.28800000000001</v>
      </c>
      <c r="AK15" s="27">
        <f t="shared" si="17"/>
        <v>96</v>
      </c>
      <c r="AM15" s="143" t="b">
        <f t="shared" si="18"/>
        <v>1</v>
      </c>
      <c r="AN15" s="22" t="s">
        <v>101</v>
      </c>
      <c r="AO15" s="210"/>
      <c r="AP15" s="211">
        <v>6.69</v>
      </c>
      <c r="AQ15" s="210">
        <f t="shared" ref="AQ15:AQ40" si="44">AP15*1.15</f>
        <v>7.6935000000000002</v>
      </c>
      <c r="AR15" s="210">
        <f t="shared" si="43"/>
        <v>0</v>
      </c>
      <c r="AS15" s="205">
        <f>KviteringV5[[#This Row],[pris SC (m. mva)]]*KviteringV5[[#This Row],[Antall]]</f>
        <v>0</v>
      </c>
      <c r="AT15" s="212">
        <f t="shared" si="21"/>
        <v>0</v>
      </c>
      <c r="AV15" s="143" t="b">
        <f t="shared" si="22"/>
        <v>1</v>
      </c>
      <c r="AW15" s="22" t="s">
        <v>101</v>
      </c>
      <c r="AX15" s="210"/>
      <c r="AY15" s="211">
        <v>6.69</v>
      </c>
      <c r="AZ15" s="210">
        <f t="shared" si="34"/>
        <v>7.6935000000000002</v>
      </c>
      <c r="BA15" s="210">
        <f t="shared" si="30"/>
        <v>0</v>
      </c>
      <c r="BB15" s="205">
        <f>KviteringV6[[#This Row],[pris SC (m. mva)]]*KviteringV6[[#This Row],[Antall]]</f>
        <v>0</v>
      </c>
      <c r="BC15" s="212">
        <f t="shared" si="23"/>
        <v>0</v>
      </c>
      <c r="BE15" s="143" t="b">
        <f t="shared" si="24"/>
        <v>1</v>
      </c>
      <c r="BF15" s="22" t="s">
        <v>101</v>
      </c>
      <c r="BG15" s="210">
        <v>72</v>
      </c>
      <c r="BH15" s="211">
        <v>6.69</v>
      </c>
      <c r="BI15" s="210">
        <f t="shared" si="31"/>
        <v>7.6935000000000002</v>
      </c>
      <c r="BJ15" s="210">
        <f t="shared" si="32"/>
        <v>481.68</v>
      </c>
      <c r="BK15" s="205">
        <f>KviteringV7[[#This Row],[pris SC (m. mva)]]*KviteringV7[[#This Row],[Antall]]</f>
        <v>553.93200000000002</v>
      </c>
      <c r="BL15" s="212">
        <f t="shared" si="25"/>
        <v>144</v>
      </c>
      <c r="BN15" s="143" t="b">
        <f t="shared" si="26"/>
        <v>1</v>
      </c>
      <c r="BO15" s="22" t="s">
        <v>101</v>
      </c>
      <c r="BP15" s="210"/>
      <c r="BQ15" s="211">
        <v>6.69</v>
      </c>
      <c r="BR15" s="210">
        <f t="shared" si="27"/>
        <v>7.6935000000000002</v>
      </c>
      <c r="BS15" s="210">
        <f t="shared" si="33"/>
        <v>0</v>
      </c>
      <c r="BT15" s="205">
        <f>KviteringV8[[#This Row],[pris SC (m. mva)]]*KviteringV8[[#This Row],[Antall]]</f>
        <v>0</v>
      </c>
      <c r="BU15" s="212">
        <f t="shared" si="28"/>
        <v>0</v>
      </c>
    </row>
    <row r="16" spans="1:73" x14ac:dyDescent="0.35">
      <c r="A16" s="152" t="s">
        <v>101</v>
      </c>
      <c r="B16" s="141">
        <f>IFERROR(VLOOKUP(Inkjøp[[#This Row],[Produkt]],KviteringV3[],2,FALSE),0)</f>
        <v>72</v>
      </c>
      <c r="C16" s="141" cm="1">
        <f t="array" ref="C1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2093.7960000000003</v>
      </c>
      <c r="D16" s="120"/>
      <c r="E16" s="15" t="b">
        <f t="shared" si="0"/>
        <v>1</v>
      </c>
      <c r="F16" s="25" t="s">
        <v>102</v>
      </c>
      <c r="G16" s="23">
        <v>48</v>
      </c>
      <c r="H16" s="32">
        <v>6.1400000000000006</v>
      </c>
      <c r="I16" s="25">
        <f t="shared" si="35"/>
        <v>7.0609999999999999</v>
      </c>
      <c r="J16" s="25">
        <f t="shared" si="36"/>
        <v>294.72000000000003</v>
      </c>
      <c r="K16" s="25">
        <f t="shared" si="37"/>
        <v>338.928</v>
      </c>
      <c r="L16" s="27">
        <f t="shared" si="38"/>
        <v>96</v>
      </c>
      <c r="M16" s="143" t="b">
        <f t="shared" si="5"/>
        <v>1</v>
      </c>
      <c r="N16" s="22" t="s">
        <v>102</v>
      </c>
      <c r="O16" s="23">
        <v>48</v>
      </c>
      <c r="P16" s="24">
        <v>6.1400000000000006</v>
      </c>
      <c r="Q16" s="25">
        <f t="shared" si="6"/>
        <v>7.0609999999999999</v>
      </c>
      <c r="R16" s="25">
        <f t="shared" si="7"/>
        <v>294.72000000000003</v>
      </c>
      <c r="S16" s="26">
        <f t="shared" si="8"/>
        <v>338.928</v>
      </c>
      <c r="T16" s="27">
        <f t="shared" si="9"/>
        <v>96</v>
      </c>
      <c r="U16" s="143" t="b">
        <f t="shared" si="10"/>
        <v>1</v>
      </c>
      <c r="V16" s="22" t="s">
        <v>102</v>
      </c>
      <c r="W16" s="23">
        <v>72</v>
      </c>
      <c r="X16" s="24">
        <v>6.1400000000000006</v>
      </c>
      <c r="Y16" s="25">
        <f t="shared" si="39"/>
        <v>7.0609999999999999</v>
      </c>
      <c r="Z16" s="25">
        <f t="shared" si="40"/>
        <v>442.08000000000004</v>
      </c>
      <c r="AA16" s="26">
        <f t="shared" si="41"/>
        <v>508.392</v>
      </c>
      <c r="AB16" s="27">
        <f t="shared" si="42"/>
        <v>144</v>
      </c>
      <c r="AD16" s="143" t="b">
        <f t="shared" si="15"/>
        <v>1</v>
      </c>
      <c r="AE16" s="22" t="s">
        <v>102</v>
      </c>
      <c r="AF16" s="23">
        <v>48</v>
      </c>
      <c r="AG16" s="24">
        <v>6.1400000000000006</v>
      </c>
      <c r="AH16" s="25">
        <f t="shared" si="16"/>
        <v>7.0609999999999999</v>
      </c>
      <c r="AI16" s="25">
        <f t="shared" si="29"/>
        <v>294.72000000000003</v>
      </c>
      <c r="AJ16" s="205">
        <f>KviteringV4[[#This Row],[pris SC (m. mva)]]*KviteringV4[[#This Row],[Antall]]</f>
        <v>338.928</v>
      </c>
      <c r="AK16" s="27">
        <f t="shared" si="17"/>
        <v>96</v>
      </c>
      <c r="AM16" s="143" t="b">
        <f t="shared" si="18"/>
        <v>1</v>
      </c>
      <c r="AN16" s="22" t="s">
        <v>102</v>
      </c>
      <c r="AO16" s="210"/>
      <c r="AP16" s="211">
        <v>6.1400000000000006</v>
      </c>
      <c r="AQ16" s="210">
        <f t="shared" si="44"/>
        <v>7.0609999999999999</v>
      </c>
      <c r="AR16" s="210">
        <f t="shared" si="43"/>
        <v>0</v>
      </c>
      <c r="AS16" s="205">
        <f>KviteringV5[[#This Row],[pris SC (m. mva)]]*KviteringV5[[#This Row],[Antall]]</f>
        <v>0</v>
      </c>
      <c r="AT16" s="212">
        <f t="shared" si="21"/>
        <v>0</v>
      </c>
      <c r="AV16" s="143" t="b">
        <f t="shared" si="22"/>
        <v>1</v>
      </c>
      <c r="AW16" s="22" t="s">
        <v>102</v>
      </c>
      <c r="AX16" s="210"/>
      <c r="AY16" s="211">
        <v>6.1400000000000006</v>
      </c>
      <c r="AZ16" s="210">
        <f t="shared" si="34"/>
        <v>7.0609999999999999</v>
      </c>
      <c r="BA16" s="210">
        <f t="shared" si="30"/>
        <v>0</v>
      </c>
      <c r="BB16" s="205">
        <f>KviteringV6[[#This Row],[pris SC (m. mva)]]*KviteringV6[[#This Row],[Antall]]</f>
        <v>0</v>
      </c>
      <c r="BC16" s="212">
        <f t="shared" si="23"/>
        <v>0</v>
      </c>
      <c r="BE16" s="143" t="b">
        <f t="shared" si="24"/>
        <v>1</v>
      </c>
      <c r="BF16" s="22" t="s">
        <v>102</v>
      </c>
      <c r="BG16" s="210">
        <v>96</v>
      </c>
      <c r="BH16" s="211">
        <v>6.1400000000000006</v>
      </c>
      <c r="BI16" s="210">
        <f t="shared" si="31"/>
        <v>7.0609999999999999</v>
      </c>
      <c r="BJ16" s="210">
        <f t="shared" si="32"/>
        <v>589.44000000000005</v>
      </c>
      <c r="BK16" s="205">
        <f>KviteringV7[[#This Row],[pris SC (m. mva)]]*KviteringV7[[#This Row],[Antall]]</f>
        <v>677.85599999999999</v>
      </c>
      <c r="BL16" s="212">
        <f t="shared" si="25"/>
        <v>192</v>
      </c>
      <c r="BN16" s="143" t="b">
        <f t="shared" si="26"/>
        <v>1</v>
      </c>
      <c r="BO16" s="22" t="s">
        <v>102</v>
      </c>
      <c r="BP16" s="210"/>
      <c r="BQ16" s="211">
        <v>6.1400000000000006</v>
      </c>
      <c r="BR16" s="210">
        <f t="shared" si="27"/>
        <v>7.0609999999999999</v>
      </c>
      <c r="BS16" s="210">
        <f t="shared" si="33"/>
        <v>0</v>
      </c>
      <c r="BT16" s="205">
        <f>KviteringV8[[#This Row],[pris SC (m. mva)]]*KviteringV8[[#This Row],[Antall]]</f>
        <v>0</v>
      </c>
      <c r="BU16" s="212">
        <f t="shared" si="28"/>
        <v>0</v>
      </c>
    </row>
    <row r="17" spans="1:73" x14ac:dyDescent="0.35">
      <c r="A17" s="152" t="s">
        <v>102</v>
      </c>
      <c r="B17" s="141">
        <f>IFERROR(VLOOKUP(Inkjøp[[#This Row],[Produkt]],KviteringV3[],2,FALSE),0)</f>
        <v>72</v>
      </c>
      <c r="C17" s="141" cm="1">
        <f t="array" ref="C1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1957.1759999999999</v>
      </c>
      <c r="D17" s="120"/>
      <c r="E17" s="15" t="b">
        <f t="shared" si="0"/>
        <v>1</v>
      </c>
      <c r="F17" s="25" t="s">
        <v>103</v>
      </c>
      <c r="G17" s="23">
        <v>24</v>
      </c>
      <c r="H17" s="32">
        <v>15.79</v>
      </c>
      <c r="I17" s="25">
        <f t="shared" si="35"/>
        <v>18.158499999999997</v>
      </c>
      <c r="J17" s="25">
        <f t="shared" si="36"/>
        <v>378.96</v>
      </c>
      <c r="K17" s="25">
        <f t="shared" si="37"/>
        <v>435.80399999999992</v>
      </c>
      <c r="L17" s="27">
        <f t="shared" si="38"/>
        <v>48</v>
      </c>
      <c r="M17" s="143" t="b">
        <f t="shared" si="5"/>
        <v>1</v>
      </c>
      <c r="N17" s="22" t="s">
        <v>103</v>
      </c>
      <c r="O17" s="23">
        <v>48</v>
      </c>
      <c r="P17" s="24">
        <v>15.79</v>
      </c>
      <c r="Q17" s="25">
        <f t="shared" si="6"/>
        <v>18.158499999999997</v>
      </c>
      <c r="R17" s="25">
        <f t="shared" si="7"/>
        <v>757.92</v>
      </c>
      <c r="S17" s="26">
        <f t="shared" si="8"/>
        <v>871.60799999999983</v>
      </c>
      <c r="T17" s="27">
        <f t="shared" si="9"/>
        <v>96</v>
      </c>
      <c r="U17" s="143" t="b">
        <f t="shared" si="10"/>
        <v>1</v>
      </c>
      <c r="V17" s="22" t="s">
        <v>103</v>
      </c>
      <c r="W17" s="23">
        <v>144</v>
      </c>
      <c r="X17" s="24">
        <v>10.98</v>
      </c>
      <c r="Y17" s="25">
        <f t="shared" si="39"/>
        <v>12.626999999999999</v>
      </c>
      <c r="Z17" s="25">
        <f t="shared" si="40"/>
        <v>1581.1200000000001</v>
      </c>
      <c r="AA17" s="26">
        <f t="shared" si="41"/>
        <v>1818.2879999999998</v>
      </c>
      <c r="AB17" s="27">
        <f t="shared" si="42"/>
        <v>288</v>
      </c>
      <c r="AC17" t="s">
        <v>104</v>
      </c>
      <c r="AD17" s="143" t="b">
        <f t="shared" si="15"/>
        <v>1</v>
      </c>
      <c r="AE17" s="22" t="s">
        <v>103</v>
      </c>
      <c r="AF17" s="23"/>
      <c r="AG17" s="24">
        <v>10.98</v>
      </c>
      <c r="AH17" s="25">
        <f t="shared" si="16"/>
        <v>12.626999999999999</v>
      </c>
      <c r="AI17" s="25">
        <f t="shared" si="29"/>
        <v>0</v>
      </c>
      <c r="AJ17" s="205">
        <f>KviteringV4[[#This Row],[pris SC (m. mva)]]*KviteringV4[[#This Row],[Antall]]</f>
        <v>0</v>
      </c>
      <c r="AK17" s="27">
        <f t="shared" si="17"/>
        <v>0</v>
      </c>
      <c r="AM17" s="143" t="b">
        <f t="shared" si="18"/>
        <v>1</v>
      </c>
      <c r="AN17" s="22" t="s">
        <v>103</v>
      </c>
      <c r="AO17" s="210"/>
      <c r="AP17" s="211">
        <v>10.98</v>
      </c>
      <c r="AQ17" s="210">
        <f t="shared" si="44"/>
        <v>12.626999999999999</v>
      </c>
      <c r="AR17" s="210">
        <f t="shared" si="43"/>
        <v>0</v>
      </c>
      <c r="AS17" s="205">
        <f>KviteringV5[[#This Row],[pris SC (m. mva)]]*KviteringV5[[#This Row],[Antall]]</f>
        <v>0</v>
      </c>
      <c r="AT17" s="212">
        <f t="shared" si="21"/>
        <v>0</v>
      </c>
      <c r="AV17" s="143" t="b">
        <f t="shared" si="22"/>
        <v>1</v>
      </c>
      <c r="AW17" s="22" t="s">
        <v>103</v>
      </c>
      <c r="AX17" s="210"/>
      <c r="AY17" s="211">
        <v>10.98</v>
      </c>
      <c r="AZ17" s="210">
        <f t="shared" si="34"/>
        <v>12.626999999999999</v>
      </c>
      <c r="BA17" s="210">
        <f t="shared" si="30"/>
        <v>0</v>
      </c>
      <c r="BB17" s="205">
        <f>KviteringV6[[#This Row],[pris SC (m. mva)]]*KviteringV6[[#This Row],[Antall]]</f>
        <v>0</v>
      </c>
      <c r="BC17" s="212">
        <f t="shared" si="23"/>
        <v>0</v>
      </c>
      <c r="BE17" s="143" t="b">
        <f t="shared" si="24"/>
        <v>1</v>
      </c>
      <c r="BF17" s="22" t="s">
        <v>103</v>
      </c>
      <c r="BG17" s="210">
        <v>48</v>
      </c>
      <c r="BH17" s="211">
        <v>15.79</v>
      </c>
      <c r="BI17" s="210">
        <f t="shared" si="31"/>
        <v>18.158499999999997</v>
      </c>
      <c r="BJ17" s="210">
        <f t="shared" si="32"/>
        <v>757.92</v>
      </c>
      <c r="BK17" s="205">
        <f>KviteringV7[[#This Row],[pris SC (m. mva)]]*KviteringV7[[#This Row],[Antall]]</f>
        <v>871.60799999999983</v>
      </c>
      <c r="BL17" s="212">
        <f t="shared" si="25"/>
        <v>96</v>
      </c>
      <c r="BN17" s="143" t="b">
        <f t="shared" si="26"/>
        <v>1</v>
      </c>
      <c r="BO17" s="22" t="s">
        <v>103</v>
      </c>
      <c r="BP17" s="210"/>
      <c r="BQ17" s="211">
        <v>10.98</v>
      </c>
      <c r="BR17" s="210">
        <f t="shared" si="27"/>
        <v>12.626999999999999</v>
      </c>
      <c r="BS17" s="210">
        <f t="shared" si="33"/>
        <v>0</v>
      </c>
      <c r="BT17" s="205">
        <f>KviteringV8[[#This Row],[pris SC (m. mva)]]*KviteringV8[[#This Row],[Antall]]</f>
        <v>0</v>
      </c>
      <c r="BU17" s="212">
        <f t="shared" si="28"/>
        <v>0</v>
      </c>
    </row>
    <row r="18" spans="1:73" x14ac:dyDescent="0.35">
      <c r="A18" s="152" t="s">
        <v>103</v>
      </c>
      <c r="B18" s="141">
        <f>IFERROR(VLOOKUP(Inkjøp[[#This Row],[Produkt]],KviteringV3[],2,FALSE),0)</f>
        <v>144</v>
      </c>
      <c r="C18" s="141" cm="1">
        <f t="array" ref="C1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3557.6999999999994</v>
      </c>
      <c r="D18" s="120"/>
      <c r="E18" s="15" t="b">
        <f t="shared" si="0"/>
        <v>1</v>
      </c>
      <c r="F18" s="25" t="s">
        <v>105</v>
      </c>
      <c r="G18" s="23">
        <v>48</v>
      </c>
      <c r="H18" s="32">
        <v>15.79</v>
      </c>
      <c r="I18" s="25">
        <f t="shared" si="35"/>
        <v>18.158499999999997</v>
      </c>
      <c r="J18" s="25">
        <f t="shared" si="36"/>
        <v>757.92</v>
      </c>
      <c r="K18" s="25">
        <f t="shared" si="37"/>
        <v>871.60799999999983</v>
      </c>
      <c r="L18" s="27">
        <f t="shared" si="38"/>
        <v>96</v>
      </c>
      <c r="M18" s="143" t="b">
        <f t="shared" si="5"/>
        <v>1</v>
      </c>
      <c r="N18" s="22" t="s">
        <v>105</v>
      </c>
      <c r="O18" s="23">
        <v>48</v>
      </c>
      <c r="P18" s="24">
        <v>15.79</v>
      </c>
      <c r="Q18" s="25">
        <f t="shared" si="6"/>
        <v>18.158499999999997</v>
      </c>
      <c r="R18" s="25">
        <f t="shared" si="7"/>
        <v>757.92</v>
      </c>
      <c r="S18" s="26">
        <f t="shared" si="8"/>
        <v>871.60799999999983</v>
      </c>
      <c r="T18" s="27">
        <f t="shared" si="9"/>
        <v>96</v>
      </c>
      <c r="U18" s="143" t="b">
        <f t="shared" si="10"/>
        <v>1</v>
      </c>
      <c r="V18" s="22" t="s">
        <v>105</v>
      </c>
      <c r="W18" s="23">
        <v>48</v>
      </c>
      <c r="X18" s="24">
        <v>10.94</v>
      </c>
      <c r="Y18" s="25">
        <f t="shared" si="39"/>
        <v>12.580999999999998</v>
      </c>
      <c r="Z18" s="25">
        <f t="shared" si="40"/>
        <v>525.12</v>
      </c>
      <c r="AA18" s="26">
        <f t="shared" si="41"/>
        <v>603.88799999999992</v>
      </c>
      <c r="AB18" s="27">
        <f t="shared" si="42"/>
        <v>96</v>
      </c>
      <c r="AC18" t="s">
        <v>106</v>
      </c>
      <c r="AD18" s="143" t="b">
        <f t="shared" si="15"/>
        <v>1</v>
      </c>
      <c r="AE18" s="22" t="s">
        <v>105</v>
      </c>
      <c r="AF18" s="23">
        <v>24</v>
      </c>
      <c r="AG18" s="24">
        <v>15.79</v>
      </c>
      <c r="AH18" s="25">
        <f t="shared" si="16"/>
        <v>18.158499999999997</v>
      </c>
      <c r="AI18" s="25">
        <f t="shared" si="29"/>
        <v>378.96</v>
      </c>
      <c r="AJ18" s="205">
        <f>KviteringV4[[#This Row],[pris SC (m. mva)]]*KviteringV4[[#This Row],[Antall]]</f>
        <v>435.80399999999992</v>
      </c>
      <c r="AK18" s="27">
        <f t="shared" si="17"/>
        <v>48</v>
      </c>
      <c r="AM18" s="143" t="b">
        <f t="shared" si="18"/>
        <v>1</v>
      </c>
      <c r="AN18" s="22" t="s">
        <v>105</v>
      </c>
      <c r="AO18" s="210"/>
      <c r="AP18" s="211">
        <v>15.79</v>
      </c>
      <c r="AQ18" s="210">
        <f t="shared" si="44"/>
        <v>18.158499999999997</v>
      </c>
      <c r="AR18" s="210">
        <f t="shared" si="43"/>
        <v>0</v>
      </c>
      <c r="AS18" s="205">
        <f>KviteringV5[[#This Row],[pris SC (m. mva)]]*KviteringV5[[#This Row],[Antall]]</f>
        <v>0</v>
      </c>
      <c r="AT18" s="212">
        <f t="shared" si="21"/>
        <v>0</v>
      </c>
      <c r="AV18" s="143" t="b">
        <f t="shared" si="22"/>
        <v>1</v>
      </c>
      <c r="AW18" s="22" t="s">
        <v>105</v>
      </c>
      <c r="AX18" s="210"/>
      <c r="AY18" s="211">
        <v>15.79</v>
      </c>
      <c r="AZ18" s="210">
        <f t="shared" si="34"/>
        <v>18.158499999999997</v>
      </c>
      <c r="BA18" s="210">
        <f t="shared" si="30"/>
        <v>0</v>
      </c>
      <c r="BB18" s="205">
        <f>KviteringV6[[#This Row],[pris SC (m. mva)]]*KviteringV6[[#This Row],[Antall]]</f>
        <v>0</v>
      </c>
      <c r="BC18" s="212">
        <f t="shared" si="23"/>
        <v>0</v>
      </c>
      <c r="BE18" s="143" t="b">
        <f t="shared" si="24"/>
        <v>1</v>
      </c>
      <c r="BF18" s="22" t="s">
        <v>105</v>
      </c>
      <c r="BG18" s="210"/>
      <c r="BH18" s="211">
        <v>15.79</v>
      </c>
      <c r="BI18" s="210">
        <f t="shared" si="31"/>
        <v>18.158499999999997</v>
      </c>
      <c r="BJ18" s="210">
        <f t="shared" si="32"/>
        <v>0</v>
      </c>
      <c r="BK18" s="205">
        <f>KviteringV7[[#This Row],[pris SC (m. mva)]]*KviteringV7[[#This Row],[Antall]]</f>
        <v>0</v>
      </c>
      <c r="BL18" s="212">
        <f t="shared" si="25"/>
        <v>0</v>
      </c>
      <c r="BN18" s="143" t="b">
        <f t="shared" si="26"/>
        <v>1</v>
      </c>
      <c r="BO18" s="22" t="s">
        <v>105</v>
      </c>
      <c r="BP18" s="210"/>
      <c r="BQ18" s="211">
        <v>15.79</v>
      </c>
      <c r="BR18" s="210">
        <f t="shared" si="27"/>
        <v>18.158499999999997</v>
      </c>
      <c r="BS18" s="210">
        <f t="shared" si="33"/>
        <v>0</v>
      </c>
      <c r="BT18" s="205">
        <f>KviteringV8[[#This Row],[pris SC (m. mva)]]*KviteringV8[[#This Row],[Antall]]</f>
        <v>0</v>
      </c>
      <c r="BU18" s="212">
        <f t="shared" si="28"/>
        <v>0</v>
      </c>
    </row>
    <row r="19" spans="1:73" x14ac:dyDescent="0.35">
      <c r="A19" s="152" t="s">
        <v>105</v>
      </c>
      <c r="B19" s="141">
        <f>IFERROR(VLOOKUP(Inkjøp[[#This Row],[Produkt]],KviteringV3[],2,FALSE),0)</f>
        <v>48</v>
      </c>
      <c r="C19" s="141" cm="1">
        <f t="array" ref="C1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3118.9079999999994</v>
      </c>
      <c r="D19" s="120"/>
      <c r="E19" s="15" t="b">
        <f t="shared" si="0"/>
        <v>1</v>
      </c>
      <c r="F19" s="25" t="s">
        <v>107</v>
      </c>
      <c r="G19" s="23">
        <v>72</v>
      </c>
      <c r="H19" s="32">
        <v>15.79</v>
      </c>
      <c r="I19" s="25">
        <f t="shared" si="35"/>
        <v>18.158499999999997</v>
      </c>
      <c r="J19" s="25">
        <f t="shared" si="36"/>
        <v>1136.8799999999999</v>
      </c>
      <c r="K19" s="25">
        <f t="shared" si="37"/>
        <v>1307.4119999999998</v>
      </c>
      <c r="L19" s="27">
        <f t="shared" si="38"/>
        <v>144</v>
      </c>
      <c r="M19" s="143" t="b">
        <f t="shared" si="5"/>
        <v>1</v>
      </c>
      <c r="N19" s="22" t="s">
        <v>107</v>
      </c>
      <c r="O19" s="23">
        <v>24</v>
      </c>
      <c r="P19" s="24">
        <v>15.79</v>
      </c>
      <c r="Q19" s="25">
        <f t="shared" si="6"/>
        <v>18.158499999999997</v>
      </c>
      <c r="R19" s="25">
        <f t="shared" si="7"/>
        <v>378.96</v>
      </c>
      <c r="S19" s="26">
        <f t="shared" si="8"/>
        <v>435.80399999999992</v>
      </c>
      <c r="T19" s="27">
        <f t="shared" si="9"/>
        <v>48</v>
      </c>
      <c r="U19" s="143" t="b">
        <f t="shared" si="10"/>
        <v>1</v>
      </c>
      <c r="V19" s="22" t="s">
        <v>107</v>
      </c>
      <c r="W19" s="23">
        <v>144</v>
      </c>
      <c r="X19" s="24">
        <v>15.79</v>
      </c>
      <c r="Y19" s="25">
        <f t="shared" si="39"/>
        <v>18.158499999999997</v>
      </c>
      <c r="Z19" s="25">
        <f t="shared" si="40"/>
        <v>2273.7599999999998</v>
      </c>
      <c r="AA19" s="26">
        <f t="shared" si="41"/>
        <v>2614.8239999999996</v>
      </c>
      <c r="AB19" s="27">
        <f t="shared" si="42"/>
        <v>288</v>
      </c>
      <c r="AD19" s="143" t="b">
        <f t="shared" si="15"/>
        <v>1</v>
      </c>
      <c r="AE19" s="22" t="s">
        <v>107</v>
      </c>
      <c r="AF19" s="23">
        <v>120</v>
      </c>
      <c r="AG19" s="24">
        <v>16.66</v>
      </c>
      <c r="AH19" s="25">
        <f t="shared" si="16"/>
        <v>19.158999999999999</v>
      </c>
      <c r="AI19" s="25">
        <f t="shared" si="29"/>
        <v>1999.2</v>
      </c>
      <c r="AJ19" s="205">
        <f>KviteringV4[[#This Row],[pris SC (m. mva)]]*KviteringV4[[#This Row],[Antall]]</f>
        <v>2299.08</v>
      </c>
      <c r="AK19" s="27">
        <f t="shared" si="17"/>
        <v>240</v>
      </c>
      <c r="AM19" s="143" t="b">
        <f t="shared" si="18"/>
        <v>1</v>
      </c>
      <c r="AN19" s="22" t="s">
        <v>107</v>
      </c>
      <c r="AO19" s="210"/>
      <c r="AP19" s="211">
        <v>16.66</v>
      </c>
      <c r="AQ19" s="210">
        <f t="shared" si="44"/>
        <v>19.158999999999999</v>
      </c>
      <c r="AR19" s="210">
        <f t="shared" si="43"/>
        <v>0</v>
      </c>
      <c r="AS19" s="205">
        <f>KviteringV5[[#This Row],[pris SC (m. mva)]]*KviteringV5[[#This Row],[Antall]]</f>
        <v>0</v>
      </c>
      <c r="AT19" s="212">
        <f t="shared" si="21"/>
        <v>0</v>
      </c>
      <c r="AV19" s="143" t="b">
        <f t="shared" si="22"/>
        <v>1</v>
      </c>
      <c r="AW19" s="22" t="s">
        <v>111</v>
      </c>
      <c r="AX19" s="210">
        <v>8</v>
      </c>
      <c r="AY19" s="211"/>
      <c r="AZ19" s="210">
        <v>16.93</v>
      </c>
      <c r="BA19" s="210">
        <f t="shared" si="30"/>
        <v>0</v>
      </c>
      <c r="BB19" s="205">
        <f>KviteringV6[[#This Row],[pris SC (m. mva)]]*KviteringV6[[#This Row],[Antall]]</f>
        <v>135.44</v>
      </c>
      <c r="BC19" s="212">
        <f t="shared" si="23"/>
        <v>16</v>
      </c>
      <c r="BE19" s="143" t="b">
        <f t="shared" si="24"/>
        <v>1</v>
      </c>
      <c r="BF19" s="22" t="s">
        <v>111</v>
      </c>
      <c r="BG19" s="210"/>
      <c r="BH19" s="211">
        <v>16.66</v>
      </c>
      <c r="BI19" s="210">
        <f t="shared" si="31"/>
        <v>19.158999999999999</v>
      </c>
      <c r="BJ19" s="210">
        <f t="shared" si="32"/>
        <v>0</v>
      </c>
      <c r="BK19" s="205">
        <f>KviteringV7[[#This Row],[pris SC (m. mva)]]*KviteringV7[[#This Row],[Antall]]</f>
        <v>0</v>
      </c>
      <c r="BL19" s="212">
        <f t="shared" si="25"/>
        <v>0</v>
      </c>
      <c r="BN19" s="143" t="b">
        <f t="shared" si="26"/>
        <v>1</v>
      </c>
      <c r="BO19" s="22" t="s">
        <v>111</v>
      </c>
      <c r="BP19" s="210"/>
      <c r="BQ19" s="211">
        <v>16.66</v>
      </c>
      <c r="BR19" s="210">
        <f t="shared" si="27"/>
        <v>19.158999999999999</v>
      </c>
      <c r="BS19" s="210">
        <f t="shared" si="33"/>
        <v>0</v>
      </c>
      <c r="BT19" s="205">
        <f>KviteringV8[[#This Row],[pris SC (m. mva)]]*KviteringV8[[#This Row],[Antall]]</f>
        <v>0</v>
      </c>
      <c r="BU19" s="212">
        <f t="shared" si="28"/>
        <v>0</v>
      </c>
    </row>
    <row r="20" spans="1:73" x14ac:dyDescent="0.35">
      <c r="A20" s="152" t="s">
        <v>107</v>
      </c>
      <c r="B20" s="141">
        <f>IFERROR(VLOOKUP(Inkjøp[[#This Row],[Produkt]],KviteringV3[],2,FALSE),0)</f>
        <v>144</v>
      </c>
      <c r="C20" s="141" cm="1">
        <f t="array" ref="C2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7377.119999999999</v>
      </c>
      <c r="D20" s="120"/>
      <c r="E20" s="15" t="b">
        <f t="shared" si="0"/>
        <v>1</v>
      </c>
      <c r="F20" s="25" t="s">
        <v>108</v>
      </c>
      <c r="G20" s="23">
        <v>0</v>
      </c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143" t="b">
        <f t="shared" si="5"/>
        <v>1</v>
      </c>
      <c r="N20" s="22" t="s">
        <v>108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  <c r="T20" s="23">
        <v>0</v>
      </c>
      <c r="U20" s="143" t="b">
        <f t="shared" si="10"/>
        <v>1</v>
      </c>
      <c r="V20" s="22" t="s">
        <v>108</v>
      </c>
      <c r="W20" s="23">
        <v>24</v>
      </c>
      <c r="X20" s="23">
        <v>10.52</v>
      </c>
      <c r="Y20" s="25">
        <f t="shared" si="39"/>
        <v>12.097999999999999</v>
      </c>
      <c r="Z20" s="25">
        <f t="shared" si="40"/>
        <v>252.48</v>
      </c>
      <c r="AA20" s="26">
        <f t="shared" si="41"/>
        <v>290.35199999999998</v>
      </c>
      <c r="AB20" s="27">
        <f t="shared" si="42"/>
        <v>48</v>
      </c>
      <c r="AC20" t="s">
        <v>106</v>
      </c>
      <c r="AD20" s="143" t="b">
        <f t="shared" si="15"/>
        <v>1</v>
      </c>
      <c r="AE20" s="22" t="s">
        <v>108</v>
      </c>
      <c r="AF20" s="23">
        <v>0</v>
      </c>
      <c r="AG20" s="23">
        <v>10.52</v>
      </c>
      <c r="AH20" s="25">
        <f t="shared" si="16"/>
        <v>12.097999999999999</v>
      </c>
      <c r="AI20" s="25">
        <f t="shared" si="29"/>
        <v>0</v>
      </c>
      <c r="AJ20" s="205">
        <f>KviteringV4[[#This Row],[pris SC (m. mva)]]*KviteringV4[[#This Row],[Antall]]</f>
        <v>0</v>
      </c>
      <c r="AK20" s="27">
        <f t="shared" si="17"/>
        <v>0</v>
      </c>
      <c r="AM20" s="143" t="b">
        <f t="shared" si="18"/>
        <v>1</v>
      </c>
      <c r="AN20" s="22" t="s">
        <v>108</v>
      </c>
      <c r="AO20" s="210"/>
      <c r="AP20" s="210">
        <v>10.52</v>
      </c>
      <c r="AQ20" s="210">
        <f t="shared" si="44"/>
        <v>12.097999999999999</v>
      </c>
      <c r="AR20" s="210">
        <f t="shared" si="43"/>
        <v>0</v>
      </c>
      <c r="AS20" s="205">
        <f>KviteringV5[[#This Row],[pris SC (m. mva)]]*KviteringV5[[#This Row],[Antall]]</f>
        <v>0</v>
      </c>
      <c r="AT20" s="212">
        <f t="shared" si="21"/>
        <v>0</v>
      </c>
      <c r="AV20" s="143" t="b">
        <f t="shared" si="22"/>
        <v>1</v>
      </c>
      <c r="AW20" s="22" t="s">
        <v>108</v>
      </c>
      <c r="AX20" s="210"/>
      <c r="AY20" s="210">
        <v>10.52</v>
      </c>
      <c r="AZ20" s="210">
        <f t="shared" si="34"/>
        <v>12.097999999999999</v>
      </c>
      <c r="BA20" s="210">
        <f t="shared" si="30"/>
        <v>0</v>
      </c>
      <c r="BB20" s="205">
        <f>KviteringV6[[#This Row],[pris SC (m. mva)]]*KviteringV6[[#This Row],[Antall]]</f>
        <v>0</v>
      </c>
      <c r="BC20" s="212">
        <f t="shared" si="23"/>
        <v>0</v>
      </c>
      <c r="BE20" s="143" t="b">
        <f t="shared" si="24"/>
        <v>1</v>
      </c>
      <c r="BF20" s="22" t="s">
        <v>108</v>
      </c>
      <c r="BG20" s="210"/>
      <c r="BH20" s="210">
        <v>10.52</v>
      </c>
      <c r="BI20" s="210">
        <f t="shared" si="31"/>
        <v>12.097999999999999</v>
      </c>
      <c r="BJ20" s="210">
        <f t="shared" si="32"/>
        <v>0</v>
      </c>
      <c r="BK20" s="205">
        <f>KviteringV7[[#This Row],[pris SC (m. mva)]]*KviteringV7[[#This Row],[Antall]]</f>
        <v>0</v>
      </c>
      <c r="BL20" s="212">
        <f t="shared" si="25"/>
        <v>0</v>
      </c>
      <c r="BN20" s="143" t="b">
        <f t="shared" si="26"/>
        <v>1</v>
      </c>
      <c r="BO20" s="22" t="s">
        <v>108</v>
      </c>
      <c r="BP20" s="210"/>
      <c r="BQ20" s="210">
        <v>10.52</v>
      </c>
      <c r="BR20" s="210">
        <f t="shared" si="27"/>
        <v>12.097999999999999</v>
      </c>
      <c r="BS20" s="210">
        <f t="shared" si="33"/>
        <v>0</v>
      </c>
      <c r="BT20" s="205">
        <f>KviteringV8[[#This Row],[pris SC (m. mva)]]*KviteringV8[[#This Row],[Antall]]</f>
        <v>0</v>
      </c>
      <c r="BU20" s="212">
        <f t="shared" si="28"/>
        <v>0</v>
      </c>
    </row>
    <row r="21" spans="1:73" x14ac:dyDescent="0.35">
      <c r="A21" s="152" t="s">
        <v>108</v>
      </c>
      <c r="B21" s="141">
        <f>IFERROR(VLOOKUP(Inkjøp[[#This Row],[Produkt]],KviteringV3[],2,FALSE),0)</f>
        <v>24</v>
      </c>
      <c r="C21" s="141" cm="1">
        <f t="array" ref="C2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338.35199999999998</v>
      </c>
      <c r="D21" s="120"/>
      <c r="E21" s="15" t="b">
        <f t="shared" si="0"/>
        <v>1</v>
      </c>
      <c r="F21" s="25" t="s">
        <v>109</v>
      </c>
      <c r="G21" s="23">
        <v>0</v>
      </c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143" t="b">
        <f t="shared" si="5"/>
        <v>1</v>
      </c>
      <c r="N21" s="22" t="s">
        <v>109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  <c r="T21" s="23">
        <v>0</v>
      </c>
      <c r="U21" s="143" t="b">
        <f t="shared" si="10"/>
        <v>1</v>
      </c>
      <c r="V21" s="22" t="s">
        <v>109</v>
      </c>
      <c r="W21" s="23">
        <v>24</v>
      </c>
      <c r="X21" s="23">
        <v>10.94</v>
      </c>
      <c r="Y21" s="25">
        <f t="shared" si="39"/>
        <v>12.580999999999998</v>
      </c>
      <c r="Z21" s="25">
        <f t="shared" si="40"/>
        <v>262.56</v>
      </c>
      <c r="AA21" s="26">
        <f t="shared" si="41"/>
        <v>301.94399999999996</v>
      </c>
      <c r="AB21" s="27">
        <f t="shared" si="42"/>
        <v>48</v>
      </c>
      <c r="AC21" t="s">
        <v>106</v>
      </c>
      <c r="AD21" s="143" t="b">
        <f t="shared" si="15"/>
        <v>1</v>
      </c>
      <c r="AE21" s="22" t="s">
        <v>109</v>
      </c>
      <c r="AF21" s="23">
        <v>0</v>
      </c>
      <c r="AG21" s="23">
        <v>10.94</v>
      </c>
      <c r="AH21" s="25">
        <f t="shared" si="16"/>
        <v>12.580999999999998</v>
      </c>
      <c r="AI21" s="25">
        <f t="shared" si="29"/>
        <v>0</v>
      </c>
      <c r="AJ21" s="205">
        <f>KviteringV4[[#This Row],[pris SC (m. mva)]]*KviteringV4[[#This Row],[Antall]]</f>
        <v>0</v>
      </c>
      <c r="AK21" s="27">
        <f t="shared" si="17"/>
        <v>0</v>
      </c>
      <c r="AM21" s="143" t="b">
        <f t="shared" si="18"/>
        <v>1</v>
      </c>
      <c r="AN21" s="22" t="s">
        <v>109</v>
      </c>
      <c r="AO21" s="210"/>
      <c r="AP21" s="210">
        <v>10.94</v>
      </c>
      <c r="AQ21" s="210">
        <f t="shared" si="44"/>
        <v>12.580999999999998</v>
      </c>
      <c r="AR21" s="210">
        <f t="shared" si="43"/>
        <v>0</v>
      </c>
      <c r="AS21" s="205">
        <f>KviteringV5[[#This Row],[pris SC (m. mva)]]*KviteringV5[[#This Row],[Antall]]</f>
        <v>0</v>
      </c>
      <c r="AT21" s="212">
        <f t="shared" si="21"/>
        <v>0</v>
      </c>
      <c r="AV21" s="143" t="b">
        <f t="shared" si="22"/>
        <v>1</v>
      </c>
      <c r="AW21" s="22" t="s">
        <v>109</v>
      </c>
      <c r="AX21" s="210"/>
      <c r="AY21" s="210">
        <v>10.94</v>
      </c>
      <c r="AZ21" s="210">
        <f t="shared" si="34"/>
        <v>12.580999999999998</v>
      </c>
      <c r="BA21" s="210">
        <f t="shared" si="30"/>
        <v>0</v>
      </c>
      <c r="BB21" s="205">
        <f>KviteringV6[[#This Row],[pris SC (m. mva)]]*KviteringV6[[#This Row],[Antall]]</f>
        <v>0</v>
      </c>
      <c r="BC21" s="212">
        <f t="shared" si="23"/>
        <v>0</v>
      </c>
      <c r="BE21" s="143" t="b">
        <f t="shared" si="24"/>
        <v>1</v>
      </c>
      <c r="BF21" s="22" t="s">
        <v>109</v>
      </c>
      <c r="BG21" s="210"/>
      <c r="BH21" s="210">
        <v>10.94</v>
      </c>
      <c r="BI21" s="210">
        <f t="shared" si="31"/>
        <v>12.580999999999998</v>
      </c>
      <c r="BJ21" s="210">
        <f t="shared" si="32"/>
        <v>0</v>
      </c>
      <c r="BK21" s="205">
        <f>KviteringV7[[#This Row],[pris SC (m. mva)]]*KviteringV7[[#This Row],[Antall]]</f>
        <v>0</v>
      </c>
      <c r="BL21" s="212">
        <f t="shared" si="25"/>
        <v>0</v>
      </c>
      <c r="BN21" s="143" t="b">
        <f t="shared" si="26"/>
        <v>1</v>
      </c>
      <c r="BO21" s="22" t="s">
        <v>109</v>
      </c>
      <c r="BP21" s="210"/>
      <c r="BQ21" s="210">
        <v>10.94</v>
      </c>
      <c r="BR21" s="210">
        <f t="shared" si="27"/>
        <v>12.580999999999998</v>
      </c>
      <c r="BS21" s="210">
        <f t="shared" si="33"/>
        <v>0</v>
      </c>
      <c r="BT21" s="205">
        <f>KviteringV8[[#This Row],[pris SC (m. mva)]]*KviteringV8[[#This Row],[Antall]]</f>
        <v>0</v>
      </c>
      <c r="BU21" s="212">
        <f t="shared" si="28"/>
        <v>0</v>
      </c>
    </row>
    <row r="22" spans="1:73" x14ac:dyDescent="0.35">
      <c r="A22" s="152" t="s">
        <v>109</v>
      </c>
      <c r="B22" s="141">
        <f>IFERROR(VLOOKUP(Inkjøp[[#This Row],[Produkt]],KviteringV3[],2,FALSE),0)</f>
        <v>24</v>
      </c>
      <c r="C22" s="141" cm="1">
        <f t="array" ref="C2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349.94399999999996</v>
      </c>
      <c r="D22" s="120"/>
      <c r="E22" s="15" t="b">
        <f t="shared" si="0"/>
        <v>1</v>
      </c>
      <c r="F22" s="25" t="s">
        <v>110</v>
      </c>
      <c r="M22" s="143" t="b">
        <f t="shared" si="5"/>
        <v>1</v>
      </c>
      <c r="N22" t="s">
        <v>110</v>
      </c>
      <c r="U22" s="143" t="b">
        <f t="shared" si="10"/>
        <v>1</v>
      </c>
      <c r="V22" s="22" t="s">
        <v>110</v>
      </c>
      <c r="W22" s="23">
        <v>48</v>
      </c>
      <c r="X22" s="24">
        <v>17.239999999999998</v>
      </c>
      <c r="Y22" s="25">
        <f t="shared" si="39"/>
        <v>19.825999999999997</v>
      </c>
      <c r="Z22" s="25">
        <f t="shared" si="40"/>
        <v>827.52</v>
      </c>
      <c r="AA22" s="26">
        <f t="shared" si="41"/>
        <v>951.64799999999991</v>
      </c>
      <c r="AB22" s="27">
        <f t="shared" si="42"/>
        <v>96</v>
      </c>
      <c r="AD22" s="143" t="b">
        <f t="shared" si="15"/>
        <v>1</v>
      </c>
      <c r="AE22" s="22" t="s">
        <v>110</v>
      </c>
      <c r="AF22" s="23">
        <v>48</v>
      </c>
      <c r="AG22" s="24">
        <v>17.239999999999998</v>
      </c>
      <c r="AH22" s="25">
        <f t="shared" si="16"/>
        <v>19.825999999999997</v>
      </c>
      <c r="AI22" s="25">
        <f t="shared" si="29"/>
        <v>827.52</v>
      </c>
      <c r="AJ22" s="205">
        <f>KviteringV4[[#This Row],[pris SC (m. mva)]]*KviteringV4[[#This Row],[Antall]]</f>
        <v>951.64799999999991</v>
      </c>
      <c r="AK22" s="27">
        <f t="shared" si="17"/>
        <v>96</v>
      </c>
      <c r="AM22" s="143" t="b">
        <f t="shared" si="18"/>
        <v>1</v>
      </c>
      <c r="AN22" s="22" t="s">
        <v>110</v>
      </c>
      <c r="AO22" s="210"/>
      <c r="AP22" s="211">
        <v>17.239999999999998</v>
      </c>
      <c r="AQ22" s="210">
        <f t="shared" si="44"/>
        <v>19.825999999999997</v>
      </c>
      <c r="AR22" s="210">
        <f t="shared" si="43"/>
        <v>0</v>
      </c>
      <c r="AS22" s="205">
        <f>KviteringV5[[#This Row],[pris SC (m. mva)]]*KviteringV5[[#This Row],[Antall]]</f>
        <v>0</v>
      </c>
      <c r="AT22" s="212">
        <f t="shared" si="21"/>
        <v>0</v>
      </c>
      <c r="AV22" s="143" t="b">
        <f t="shared" si="22"/>
        <v>1</v>
      </c>
      <c r="AW22" s="22" t="s">
        <v>110</v>
      </c>
      <c r="AX22" s="210"/>
      <c r="AY22" s="211">
        <v>17.239999999999998</v>
      </c>
      <c r="AZ22" s="210">
        <f t="shared" si="34"/>
        <v>19.825999999999997</v>
      </c>
      <c r="BA22" s="210">
        <f t="shared" si="30"/>
        <v>0</v>
      </c>
      <c r="BB22" s="205">
        <f>KviteringV6[[#This Row],[pris SC (m. mva)]]*KviteringV6[[#This Row],[Antall]]</f>
        <v>0</v>
      </c>
      <c r="BC22" s="212">
        <f t="shared" si="23"/>
        <v>0</v>
      </c>
      <c r="BE22" s="143" t="b">
        <f t="shared" si="24"/>
        <v>1</v>
      </c>
      <c r="BF22" s="22" t="s">
        <v>110</v>
      </c>
      <c r="BG22" s="210"/>
      <c r="BH22" s="211">
        <v>17.239999999999998</v>
      </c>
      <c r="BI22" s="210">
        <f t="shared" si="31"/>
        <v>19.825999999999997</v>
      </c>
      <c r="BJ22" s="210">
        <f t="shared" si="32"/>
        <v>0</v>
      </c>
      <c r="BK22" s="205">
        <f>KviteringV7[[#This Row],[pris SC (m. mva)]]*KviteringV7[[#This Row],[Antall]]</f>
        <v>0</v>
      </c>
      <c r="BL22" s="212">
        <f t="shared" si="25"/>
        <v>0</v>
      </c>
      <c r="BN22" s="143" t="b">
        <f t="shared" si="26"/>
        <v>1</v>
      </c>
      <c r="BO22" s="22" t="s">
        <v>110</v>
      </c>
      <c r="BP22" s="210"/>
      <c r="BQ22" s="211">
        <v>17.239999999999998</v>
      </c>
      <c r="BR22" s="210">
        <f t="shared" si="27"/>
        <v>19.825999999999997</v>
      </c>
      <c r="BS22" s="210">
        <f t="shared" si="33"/>
        <v>0</v>
      </c>
      <c r="BT22" s="205">
        <f>KviteringV8[[#This Row],[pris SC (m. mva)]]*KviteringV8[[#This Row],[Antall]]</f>
        <v>0</v>
      </c>
      <c r="BU22" s="212">
        <f t="shared" si="28"/>
        <v>0</v>
      </c>
    </row>
    <row r="23" spans="1:73" x14ac:dyDescent="0.35">
      <c r="A23" s="152" t="s">
        <v>110</v>
      </c>
      <c r="B23" s="141">
        <f>IFERROR(VLOOKUP(Inkjøp[[#This Row],[Produkt]],KviteringV3[],2,FALSE),0)</f>
        <v>48</v>
      </c>
      <c r="C23" s="141" cm="1">
        <f t="array" ref="C2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2095.2959999999998</v>
      </c>
      <c r="D23" s="120"/>
      <c r="E23" s="15" t="b">
        <f t="shared" si="0"/>
        <v>1</v>
      </c>
      <c r="F23" s="25" t="s">
        <v>111</v>
      </c>
      <c r="G23" s="25"/>
      <c r="H23" s="25"/>
      <c r="I23" s="25"/>
      <c r="J23" s="25"/>
      <c r="K23" s="25"/>
      <c r="L23" s="27"/>
      <c r="M23" s="143" t="b">
        <f t="shared" si="5"/>
        <v>1</v>
      </c>
      <c r="N23" s="22" t="s">
        <v>111</v>
      </c>
      <c r="O23" s="28">
        <v>24</v>
      </c>
      <c r="P23" s="29">
        <v>18.98</v>
      </c>
      <c r="Q23" s="30">
        <f t="shared" ref="Q23:Q36" si="45">P23*1.15</f>
        <v>21.826999999999998</v>
      </c>
      <c r="R23" s="30">
        <f t="shared" ref="R23:R36" si="46">P23*O23</f>
        <v>455.52</v>
      </c>
      <c r="S23" s="26">
        <f t="shared" ref="S23:S36" si="47">Q23*O23</f>
        <v>523.84799999999996</v>
      </c>
      <c r="T23" s="27">
        <f>2*O23</f>
        <v>48</v>
      </c>
      <c r="U23" s="143" t="b">
        <f t="shared" si="10"/>
        <v>1</v>
      </c>
      <c r="V23" s="22" t="s">
        <v>111</v>
      </c>
      <c r="W23" s="28">
        <v>24</v>
      </c>
      <c r="X23" s="29">
        <v>18.98</v>
      </c>
      <c r="Y23" s="30">
        <f t="shared" si="39"/>
        <v>21.826999999999998</v>
      </c>
      <c r="Z23" s="30">
        <f t="shared" si="40"/>
        <v>455.52</v>
      </c>
      <c r="AA23" s="26">
        <f t="shared" si="41"/>
        <v>523.84799999999996</v>
      </c>
      <c r="AB23" s="27">
        <f t="shared" si="42"/>
        <v>48</v>
      </c>
      <c r="AD23" s="143" t="b">
        <f t="shared" si="15"/>
        <v>1</v>
      </c>
      <c r="AE23" s="22" t="s">
        <v>111</v>
      </c>
      <c r="AF23" s="28"/>
      <c r="AG23" s="29">
        <v>18.98</v>
      </c>
      <c r="AH23" s="25">
        <f t="shared" si="16"/>
        <v>21.826999999999998</v>
      </c>
      <c r="AI23" s="25">
        <f t="shared" si="29"/>
        <v>0</v>
      </c>
      <c r="AJ23" s="205">
        <f>KviteringV4[[#This Row],[pris SC (m. mva)]]*KviteringV4[[#This Row],[Antall]]</f>
        <v>0</v>
      </c>
      <c r="AK23" s="27">
        <f t="shared" si="17"/>
        <v>0</v>
      </c>
      <c r="AM23" s="143" t="b">
        <f t="shared" si="18"/>
        <v>1</v>
      </c>
      <c r="AN23" s="22" t="s">
        <v>111</v>
      </c>
      <c r="AO23" s="213"/>
      <c r="AP23" s="214">
        <v>18.98</v>
      </c>
      <c r="AQ23" s="210">
        <f t="shared" si="44"/>
        <v>21.826999999999998</v>
      </c>
      <c r="AR23" s="210">
        <f t="shared" si="43"/>
        <v>0</v>
      </c>
      <c r="AS23" s="205">
        <f>KviteringV5[[#This Row],[pris SC (m. mva)]]*KviteringV5[[#This Row],[Antall]]</f>
        <v>0</v>
      </c>
      <c r="AT23" s="212">
        <f t="shared" si="21"/>
        <v>0</v>
      </c>
      <c r="AV23" s="143" t="b">
        <f t="shared" si="22"/>
        <v>1</v>
      </c>
      <c r="AW23" s="22"/>
      <c r="AX23" s="213"/>
      <c r="AY23" s="214">
        <v>18.98</v>
      </c>
      <c r="AZ23" s="210">
        <f t="shared" si="34"/>
        <v>21.826999999999998</v>
      </c>
      <c r="BA23" s="210">
        <f t="shared" si="30"/>
        <v>0</v>
      </c>
      <c r="BB23" s="205">
        <f>KviteringV6[[#This Row],[pris SC (m. mva)]]*KviteringV6[[#This Row],[Antall]]</f>
        <v>0</v>
      </c>
      <c r="BC23" s="212">
        <f t="shared" si="23"/>
        <v>0</v>
      </c>
      <c r="BE23" s="143" t="b">
        <f t="shared" si="24"/>
        <v>1</v>
      </c>
      <c r="BF23" s="22"/>
      <c r="BG23" s="213"/>
      <c r="BH23" s="214">
        <v>18.98</v>
      </c>
      <c r="BI23" s="210">
        <f t="shared" si="31"/>
        <v>21.826999999999998</v>
      </c>
      <c r="BJ23" s="210">
        <f t="shared" si="32"/>
        <v>0</v>
      </c>
      <c r="BK23" s="205">
        <f>KviteringV7[[#This Row],[pris SC (m. mva)]]*KviteringV7[[#This Row],[Antall]]</f>
        <v>0</v>
      </c>
      <c r="BL23" s="212">
        <f t="shared" si="25"/>
        <v>0</v>
      </c>
      <c r="BN23" s="143" t="b">
        <f t="shared" si="26"/>
        <v>1</v>
      </c>
      <c r="BO23" s="22"/>
      <c r="BP23" s="213"/>
      <c r="BQ23" s="214">
        <v>18.98</v>
      </c>
      <c r="BR23" s="210">
        <f t="shared" si="27"/>
        <v>21.826999999999998</v>
      </c>
      <c r="BS23" s="210">
        <f t="shared" si="33"/>
        <v>0</v>
      </c>
      <c r="BT23" s="205">
        <f>KviteringV8[[#This Row],[pris SC (m. mva)]]*KviteringV8[[#This Row],[Antall]]</f>
        <v>0</v>
      </c>
      <c r="BU23" s="212">
        <f t="shared" si="28"/>
        <v>0</v>
      </c>
    </row>
    <row r="24" spans="1:73" x14ac:dyDescent="0.35">
      <c r="A24" s="152" t="s">
        <v>111</v>
      </c>
      <c r="B24" s="141">
        <f>IFERROR(VLOOKUP(Inkjøp[[#This Row],[Produkt]],KviteringV3[],2,FALSE),0)</f>
        <v>24</v>
      </c>
      <c r="C24" s="141" cm="1">
        <f t="array" ref="C2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1143.6959999999999</v>
      </c>
      <c r="D24" s="120"/>
      <c r="E24" s="15" t="b">
        <f t="shared" si="0"/>
        <v>1</v>
      </c>
      <c r="F24" s="25" t="s">
        <v>112</v>
      </c>
      <c r="G24" s="23">
        <v>12</v>
      </c>
      <c r="H24" s="32">
        <v>15.81</v>
      </c>
      <c r="I24" s="25">
        <f>H24*1.15</f>
        <v>18.1815</v>
      </c>
      <c r="J24" s="25">
        <f>H24*G24</f>
        <v>189.72</v>
      </c>
      <c r="K24" s="25">
        <f>I24*G24</f>
        <v>218.178</v>
      </c>
      <c r="L24" s="27"/>
      <c r="M24" s="143" t="b">
        <f t="shared" si="5"/>
        <v>1</v>
      </c>
      <c r="N24" s="22" t="s">
        <v>112</v>
      </c>
      <c r="O24" s="23">
        <v>24</v>
      </c>
      <c r="P24" s="24">
        <v>15.81</v>
      </c>
      <c r="Q24" s="25">
        <f t="shared" si="45"/>
        <v>18.1815</v>
      </c>
      <c r="R24" s="25">
        <f t="shared" si="46"/>
        <v>379.44</v>
      </c>
      <c r="S24" s="26">
        <f t="shared" si="47"/>
        <v>436.35599999999999</v>
      </c>
      <c r="T24" s="27"/>
      <c r="U24" s="143" t="b">
        <f t="shared" si="10"/>
        <v>1</v>
      </c>
      <c r="V24" s="22" t="s">
        <v>112</v>
      </c>
      <c r="W24" s="23">
        <v>36</v>
      </c>
      <c r="X24" s="24">
        <v>15.81</v>
      </c>
      <c r="Y24" s="25">
        <f t="shared" si="39"/>
        <v>18.1815</v>
      </c>
      <c r="Z24" s="25">
        <f t="shared" si="40"/>
        <v>569.16</v>
      </c>
      <c r="AA24" s="26">
        <f t="shared" si="41"/>
        <v>654.53399999999999</v>
      </c>
      <c r="AB24" s="27"/>
      <c r="AD24" s="143" t="b">
        <f t="shared" si="15"/>
        <v>1</v>
      </c>
      <c r="AE24" s="22" t="s">
        <v>112</v>
      </c>
      <c r="AF24" s="23">
        <v>24</v>
      </c>
      <c r="AG24" s="24">
        <v>15.81</v>
      </c>
      <c r="AH24" s="25">
        <f t="shared" si="16"/>
        <v>18.1815</v>
      </c>
      <c r="AI24" s="25">
        <f t="shared" si="29"/>
        <v>379.44</v>
      </c>
      <c r="AJ24" s="205">
        <f>KviteringV4[[#This Row],[pris SC (m. mva)]]*KviteringV4[[#This Row],[Antall]]</f>
        <v>436.35599999999999</v>
      </c>
      <c r="AK24" s="27"/>
      <c r="AM24" s="143" t="b">
        <f t="shared" si="18"/>
        <v>1</v>
      </c>
      <c r="AN24" s="22" t="s">
        <v>112</v>
      </c>
      <c r="AO24" s="210"/>
      <c r="AP24" s="211">
        <v>15.81</v>
      </c>
      <c r="AQ24" s="210">
        <f t="shared" si="44"/>
        <v>18.1815</v>
      </c>
      <c r="AR24" s="210">
        <f t="shared" si="43"/>
        <v>0</v>
      </c>
      <c r="AS24" s="205">
        <f>KviteringV5[[#This Row],[pris SC (m. mva)]]*KviteringV5[[#This Row],[Antall]]</f>
        <v>0</v>
      </c>
      <c r="AT24" s="212"/>
      <c r="AV24" s="143" t="b">
        <f t="shared" si="22"/>
        <v>1</v>
      </c>
      <c r="AW24" s="22" t="s">
        <v>112</v>
      </c>
      <c r="AX24" s="210"/>
      <c r="AY24" s="211">
        <v>15.81</v>
      </c>
      <c r="AZ24" s="210">
        <f t="shared" si="34"/>
        <v>18.1815</v>
      </c>
      <c r="BA24" s="210">
        <f t="shared" si="30"/>
        <v>0</v>
      </c>
      <c r="BB24" s="205">
        <f>KviteringV6[[#This Row],[pris SC (m. mva)]]*KviteringV6[[#This Row],[Antall]]</f>
        <v>0</v>
      </c>
      <c r="BC24" s="212"/>
      <c r="BE24" s="143" t="b">
        <f t="shared" si="24"/>
        <v>1</v>
      </c>
      <c r="BF24" s="22" t="s">
        <v>112</v>
      </c>
      <c r="BG24" s="210">
        <v>24</v>
      </c>
      <c r="BH24" s="211">
        <v>15.81</v>
      </c>
      <c r="BI24" s="210">
        <f t="shared" si="31"/>
        <v>18.1815</v>
      </c>
      <c r="BJ24" s="210">
        <f t="shared" si="32"/>
        <v>379.44</v>
      </c>
      <c r="BK24" s="205">
        <f>KviteringV7[[#This Row],[pris SC (m. mva)]]*KviteringV7[[#This Row],[Antall]]</f>
        <v>436.35599999999999</v>
      </c>
      <c r="BL24" s="212"/>
      <c r="BN24" s="143" t="b">
        <f t="shared" si="26"/>
        <v>1</v>
      </c>
      <c r="BO24" s="22" t="s">
        <v>112</v>
      </c>
      <c r="BP24" s="210"/>
      <c r="BQ24" s="211">
        <v>15.81</v>
      </c>
      <c r="BR24" s="210">
        <f t="shared" si="27"/>
        <v>18.1815</v>
      </c>
      <c r="BS24" s="210">
        <f t="shared" si="33"/>
        <v>0</v>
      </c>
      <c r="BT24" s="205">
        <f>KviteringV8[[#This Row],[pris SC (m. mva)]]*KviteringV8[[#This Row],[Antall]]</f>
        <v>0</v>
      </c>
      <c r="BU24" s="212"/>
    </row>
    <row r="25" spans="1:73" x14ac:dyDescent="0.35">
      <c r="A25" s="152" t="s">
        <v>112</v>
      </c>
      <c r="B25" s="141">
        <f>IFERROR(VLOOKUP(Inkjøp[[#This Row],[Produkt]],KviteringV3[],2,FALSE),0)</f>
        <v>36</v>
      </c>
      <c r="C25" s="141" cm="1">
        <f t="array" ref="C2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1745.424</v>
      </c>
      <c r="D25" s="120"/>
      <c r="E25" s="15" t="b">
        <f t="shared" si="0"/>
        <v>1</v>
      </c>
      <c r="F25" s="25" t="s">
        <v>113</v>
      </c>
      <c r="G25" s="23">
        <v>12</v>
      </c>
      <c r="H25" s="32">
        <v>15.81</v>
      </c>
      <c r="I25" s="25">
        <f>H25*1.15</f>
        <v>18.1815</v>
      </c>
      <c r="J25" s="25">
        <f>H25*G25</f>
        <v>189.72</v>
      </c>
      <c r="K25" s="25">
        <f>I25*G25</f>
        <v>218.178</v>
      </c>
      <c r="L25" s="27"/>
      <c r="M25" s="143" t="b">
        <f t="shared" si="5"/>
        <v>1</v>
      </c>
      <c r="N25" s="22" t="s">
        <v>113</v>
      </c>
      <c r="O25" s="23">
        <v>24</v>
      </c>
      <c r="P25" s="24">
        <v>15.81</v>
      </c>
      <c r="Q25" s="25">
        <f t="shared" si="45"/>
        <v>18.1815</v>
      </c>
      <c r="R25" s="25">
        <f t="shared" si="46"/>
        <v>379.44</v>
      </c>
      <c r="S25" s="26">
        <f t="shared" si="47"/>
        <v>436.35599999999999</v>
      </c>
      <c r="T25" s="27"/>
      <c r="U25" s="143" t="b">
        <f t="shared" si="10"/>
        <v>1</v>
      </c>
      <c r="V25" s="22" t="s">
        <v>113</v>
      </c>
      <c r="W25" s="23">
        <v>12</v>
      </c>
      <c r="X25" s="24">
        <v>15.81</v>
      </c>
      <c r="Y25" s="25">
        <f t="shared" si="39"/>
        <v>18.1815</v>
      </c>
      <c r="Z25" s="25">
        <f t="shared" si="40"/>
        <v>189.72</v>
      </c>
      <c r="AA25" s="26">
        <f t="shared" si="41"/>
        <v>218.178</v>
      </c>
      <c r="AB25" s="27"/>
      <c r="AD25" s="143" t="b">
        <f t="shared" si="15"/>
        <v>1</v>
      </c>
      <c r="AE25" s="22" t="s">
        <v>113</v>
      </c>
      <c r="AF25" s="23">
        <v>0</v>
      </c>
      <c r="AG25" s="24">
        <v>15.81</v>
      </c>
      <c r="AH25" s="25">
        <f t="shared" si="16"/>
        <v>18.1815</v>
      </c>
      <c r="AI25" s="25">
        <f t="shared" si="29"/>
        <v>0</v>
      </c>
      <c r="AJ25" s="205">
        <f>KviteringV4[[#This Row],[pris SC (m. mva)]]*KviteringV4[[#This Row],[Antall]]</f>
        <v>0</v>
      </c>
      <c r="AK25" s="27"/>
      <c r="AM25" s="143" t="b">
        <f t="shared" si="18"/>
        <v>1</v>
      </c>
      <c r="AN25" s="22" t="s">
        <v>113</v>
      </c>
      <c r="AO25" s="210"/>
      <c r="AP25" s="211">
        <v>15.81</v>
      </c>
      <c r="AQ25" s="210">
        <f t="shared" si="44"/>
        <v>18.1815</v>
      </c>
      <c r="AR25" s="210">
        <f t="shared" si="43"/>
        <v>0</v>
      </c>
      <c r="AS25" s="205">
        <f>KviteringV5[[#This Row],[pris SC (m. mva)]]*KviteringV5[[#This Row],[Antall]]</f>
        <v>0</v>
      </c>
      <c r="AT25" s="212"/>
      <c r="AV25" s="143" t="b">
        <f t="shared" si="22"/>
        <v>1</v>
      </c>
      <c r="AW25" s="22" t="s">
        <v>113</v>
      </c>
      <c r="AX25" s="210"/>
      <c r="AY25" s="211">
        <v>15.81</v>
      </c>
      <c r="AZ25" s="210">
        <f t="shared" si="34"/>
        <v>18.1815</v>
      </c>
      <c r="BA25" s="210">
        <f t="shared" si="30"/>
        <v>0</v>
      </c>
      <c r="BB25" s="205">
        <f>KviteringV6[[#This Row],[pris SC (m. mva)]]*KviteringV6[[#This Row],[Antall]]</f>
        <v>0</v>
      </c>
      <c r="BC25" s="212"/>
      <c r="BE25" s="143" t="b">
        <f t="shared" si="24"/>
        <v>1</v>
      </c>
      <c r="BF25" s="22" t="s">
        <v>113</v>
      </c>
      <c r="BG25" s="210">
        <v>12</v>
      </c>
      <c r="BH25" s="211">
        <v>15.81</v>
      </c>
      <c r="BI25" s="210">
        <f t="shared" si="31"/>
        <v>18.1815</v>
      </c>
      <c r="BJ25" s="210">
        <f t="shared" si="32"/>
        <v>189.72</v>
      </c>
      <c r="BK25" s="205">
        <f>KviteringV7[[#This Row],[pris SC (m. mva)]]*KviteringV7[[#This Row],[Antall]]</f>
        <v>218.178</v>
      </c>
      <c r="BL25" s="212"/>
      <c r="BN25" s="143" t="b">
        <f t="shared" si="26"/>
        <v>1</v>
      </c>
      <c r="BO25" s="22" t="s">
        <v>113</v>
      </c>
      <c r="BP25" s="210"/>
      <c r="BQ25" s="211">
        <v>15.81</v>
      </c>
      <c r="BR25" s="210">
        <f t="shared" si="27"/>
        <v>18.1815</v>
      </c>
      <c r="BS25" s="210">
        <f t="shared" si="33"/>
        <v>0</v>
      </c>
      <c r="BT25" s="205">
        <f>KviteringV8[[#This Row],[pris SC (m. mva)]]*KviteringV8[[#This Row],[Antall]]</f>
        <v>0</v>
      </c>
      <c r="BU25" s="212"/>
    </row>
    <row r="26" spans="1:73" x14ac:dyDescent="0.35">
      <c r="A26" s="152" t="s">
        <v>113</v>
      </c>
      <c r="B26" s="141">
        <f>IFERROR(VLOOKUP(Inkjøp[[#This Row],[Produkt]],KviteringV3[],2,FALSE),0)</f>
        <v>12</v>
      </c>
      <c r="C26" s="141" cm="1">
        <f t="array" ref="C2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872.71199999999999</v>
      </c>
      <c r="D26" s="120"/>
      <c r="E26" s="15" t="b">
        <f t="shared" si="0"/>
        <v>1</v>
      </c>
      <c r="F26" s="25" t="s">
        <v>114</v>
      </c>
      <c r="G26" s="23">
        <v>12</v>
      </c>
      <c r="H26" s="32">
        <v>15.83</v>
      </c>
      <c r="I26" s="25">
        <f>H26*1.15</f>
        <v>18.204499999999999</v>
      </c>
      <c r="J26" s="25">
        <f>H26*G26</f>
        <v>189.96</v>
      </c>
      <c r="K26" s="25">
        <f>I26*G26</f>
        <v>218.45400000000001</v>
      </c>
      <c r="L26" s="27"/>
      <c r="M26" s="143" t="b">
        <f t="shared" si="5"/>
        <v>1</v>
      </c>
      <c r="N26" s="22" t="s">
        <v>114</v>
      </c>
      <c r="O26" s="23">
        <v>24</v>
      </c>
      <c r="P26" s="24">
        <v>15.83</v>
      </c>
      <c r="Q26" s="25">
        <f t="shared" si="45"/>
        <v>18.204499999999999</v>
      </c>
      <c r="R26" s="25">
        <f t="shared" si="46"/>
        <v>379.92</v>
      </c>
      <c r="S26" s="26">
        <f t="shared" si="47"/>
        <v>436.90800000000002</v>
      </c>
      <c r="T26" s="27"/>
      <c r="U26" s="143" t="b">
        <f t="shared" si="10"/>
        <v>1</v>
      </c>
      <c r="V26" s="22" t="s">
        <v>114</v>
      </c>
      <c r="W26" s="23">
        <v>24</v>
      </c>
      <c r="X26" s="24">
        <v>15.83</v>
      </c>
      <c r="Y26" s="25">
        <f t="shared" si="39"/>
        <v>18.204499999999999</v>
      </c>
      <c r="Z26" s="25">
        <f t="shared" si="40"/>
        <v>379.92</v>
      </c>
      <c r="AA26" s="26">
        <f t="shared" si="41"/>
        <v>436.90800000000002</v>
      </c>
      <c r="AB26" s="27"/>
      <c r="AD26" s="143" t="b">
        <f t="shared" si="15"/>
        <v>1</v>
      </c>
      <c r="AE26" s="22" t="s">
        <v>114</v>
      </c>
      <c r="AF26" s="23">
        <v>24</v>
      </c>
      <c r="AG26" s="24">
        <v>15.83</v>
      </c>
      <c r="AH26" s="25">
        <f t="shared" si="16"/>
        <v>18.204499999999999</v>
      </c>
      <c r="AI26" s="25">
        <f t="shared" si="29"/>
        <v>379.92</v>
      </c>
      <c r="AJ26" s="205">
        <f>KviteringV4[[#This Row],[pris SC (m. mva)]]*KviteringV4[[#This Row],[Antall]]</f>
        <v>436.90800000000002</v>
      </c>
      <c r="AK26" s="27"/>
      <c r="AM26" s="143" t="b">
        <f t="shared" si="18"/>
        <v>1</v>
      </c>
      <c r="AN26" s="22" t="s">
        <v>114</v>
      </c>
      <c r="AO26" s="210"/>
      <c r="AP26" s="211">
        <v>15.83</v>
      </c>
      <c r="AQ26" s="210">
        <f t="shared" si="44"/>
        <v>18.204499999999999</v>
      </c>
      <c r="AR26" s="210">
        <f t="shared" si="43"/>
        <v>0</v>
      </c>
      <c r="AS26" s="205">
        <f>KviteringV5[[#This Row],[pris SC (m. mva)]]*KviteringV5[[#This Row],[Antall]]</f>
        <v>0</v>
      </c>
      <c r="AT26" s="212"/>
      <c r="AV26" s="143" t="b">
        <f t="shared" si="22"/>
        <v>1</v>
      </c>
      <c r="AW26" s="22" t="s">
        <v>114</v>
      </c>
      <c r="AX26" s="210"/>
      <c r="AY26" s="211">
        <v>15.83</v>
      </c>
      <c r="AZ26" s="210">
        <f t="shared" si="34"/>
        <v>18.204499999999999</v>
      </c>
      <c r="BA26" s="210">
        <f t="shared" si="30"/>
        <v>0</v>
      </c>
      <c r="BB26" s="205">
        <f>KviteringV6[[#This Row],[pris SC (m. mva)]]*KviteringV6[[#This Row],[Antall]]</f>
        <v>0</v>
      </c>
      <c r="BC26" s="212"/>
      <c r="BE26" s="143" t="b">
        <f t="shared" si="24"/>
        <v>1</v>
      </c>
      <c r="BF26" s="22" t="s">
        <v>114</v>
      </c>
      <c r="BG26" s="210">
        <v>24</v>
      </c>
      <c r="BH26" s="211">
        <v>15.83</v>
      </c>
      <c r="BI26" s="210">
        <f t="shared" si="31"/>
        <v>18.204499999999999</v>
      </c>
      <c r="BJ26" s="210">
        <f t="shared" si="32"/>
        <v>379.92</v>
      </c>
      <c r="BK26" s="205">
        <f>KviteringV7[[#This Row],[pris SC (m. mva)]]*KviteringV7[[#This Row],[Antall]]</f>
        <v>436.90800000000002</v>
      </c>
      <c r="BL26" s="212"/>
      <c r="BN26" s="143" t="b">
        <f t="shared" si="26"/>
        <v>1</v>
      </c>
      <c r="BO26" s="22" t="s">
        <v>114</v>
      </c>
      <c r="BP26" s="210"/>
      <c r="BQ26" s="211">
        <v>15.83</v>
      </c>
      <c r="BR26" s="210">
        <f t="shared" si="27"/>
        <v>18.204499999999999</v>
      </c>
      <c r="BS26" s="210">
        <f t="shared" si="33"/>
        <v>0</v>
      </c>
      <c r="BT26" s="205">
        <f>KviteringV8[[#This Row],[pris SC (m. mva)]]*KviteringV8[[#This Row],[Antall]]</f>
        <v>0</v>
      </c>
      <c r="BU26" s="212"/>
    </row>
    <row r="27" spans="1:73" x14ac:dyDescent="0.35">
      <c r="A27" s="152" t="s">
        <v>114</v>
      </c>
      <c r="B27" s="141">
        <f>IFERROR(VLOOKUP(Inkjøp[[#This Row],[Produkt]],KviteringV3[],2,FALSE),0)</f>
        <v>24</v>
      </c>
      <c r="C27" s="141" cm="1">
        <f t="array" ref="C2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1529.1779999999999</v>
      </c>
      <c r="D27" s="119"/>
      <c r="E27" s="15" t="b">
        <f t="shared" si="0"/>
        <v>1</v>
      </c>
      <c r="F27" s="25" t="s">
        <v>115</v>
      </c>
      <c r="G27" s="25"/>
      <c r="H27" s="25"/>
      <c r="I27" s="25"/>
      <c r="J27" s="25"/>
      <c r="K27" s="25"/>
      <c r="L27" s="27"/>
      <c r="M27" s="143" t="b">
        <f t="shared" si="5"/>
        <v>1</v>
      </c>
      <c r="N27" s="22" t="s">
        <v>115</v>
      </c>
      <c r="O27" s="28">
        <v>24</v>
      </c>
      <c r="P27" s="24">
        <v>16</v>
      </c>
      <c r="Q27" s="25">
        <f t="shared" si="45"/>
        <v>18.399999999999999</v>
      </c>
      <c r="R27" s="25">
        <f t="shared" si="46"/>
        <v>384</v>
      </c>
      <c r="S27" s="26">
        <f t="shared" si="47"/>
        <v>441.59999999999997</v>
      </c>
      <c r="T27" s="27"/>
      <c r="U27" s="143" t="b">
        <f t="shared" si="10"/>
        <v>1</v>
      </c>
      <c r="V27" s="22" t="s">
        <v>115</v>
      </c>
      <c r="W27" s="28">
        <v>34</v>
      </c>
      <c r="X27" s="24">
        <v>16</v>
      </c>
      <c r="Y27" s="25">
        <f t="shared" si="39"/>
        <v>18.399999999999999</v>
      </c>
      <c r="Z27" s="25">
        <f t="shared" si="40"/>
        <v>544</v>
      </c>
      <c r="AA27" s="26">
        <f t="shared" si="41"/>
        <v>625.59999999999991</v>
      </c>
      <c r="AB27" s="27"/>
      <c r="AD27" s="143" t="b">
        <f t="shared" si="15"/>
        <v>1</v>
      </c>
      <c r="AE27" s="22" t="s">
        <v>115</v>
      </c>
      <c r="AF27" s="28">
        <v>24</v>
      </c>
      <c r="AG27" s="24">
        <v>16</v>
      </c>
      <c r="AH27" s="25">
        <f t="shared" si="16"/>
        <v>18.399999999999999</v>
      </c>
      <c r="AI27" s="25">
        <f t="shared" si="29"/>
        <v>384</v>
      </c>
      <c r="AJ27" s="205">
        <f>KviteringV4[[#This Row],[pris SC (m. mva)]]*KviteringV4[[#This Row],[Antall]]</f>
        <v>441.59999999999997</v>
      </c>
      <c r="AK27" s="27"/>
      <c r="AM27" s="143" t="b">
        <f t="shared" si="18"/>
        <v>1</v>
      </c>
      <c r="AN27" s="22" t="s">
        <v>115</v>
      </c>
      <c r="AO27" s="213"/>
      <c r="AP27" s="211">
        <v>16</v>
      </c>
      <c r="AQ27" s="210">
        <f t="shared" si="44"/>
        <v>18.399999999999999</v>
      </c>
      <c r="AR27" s="210">
        <f t="shared" si="43"/>
        <v>0</v>
      </c>
      <c r="AS27" s="205">
        <f>KviteringV5[[#This Row],[pris SC (m. mva)]]*KviteringV5[[#This Row],[Antall]]</f>
        <v>0</v>
      </c>
      <c r="AT27" s="212"/>
      <c r="AV27" s="143" t="b">
        <f t="shared" si="22"/>
        <v>1</v>
      </c>
      <c r="AW27" s="22" t="s">
        <v>115</v>
      </c>
      <c r="AX27" s="213"/>
      <c r="AY27" s="211">
        <v>16</v>
      </c>
      <c r="AZ27" s="210">
        <f t="shared" si="34"/>
        <v>18.399999999999999</v>
      </c>
      <c r="BA27" s="210">
        <f t="shared" si="30"/>
        <v>0</v>
      </c>
      <c r="BB27" s="205">
        <f>KviteringV6[[#This Row],[pris SC (m. mva)]]*KviteringV6[[#This Row],[Antall]]</f>
        <v>0</v>
      </c>
      <c r="BC27" s="212"/>
      <c r="BE27" s="143" t="b">
        <f t="shared" si="24"/>
        <v>1</v>
      </c>
      <c r="BF27" s="22" t="s">
        <v>115</v>
      </c>
      <c r="BG27" s="213">
        <v>24</v>
      </c>
      <c r="BH27" s="211">
        <v>16</v>
      </c>
      <c r="BI27" s="210">
        <f t="shared" si="31"/>
        <v>18.399999999999999</v>
      </c>
      <c r="BJ27" s="210">
        <f t="shared" si="32"/>
        <v>384</v>
      </c>
      <c r="BK27" s="205">
        <f>KviteringV7[[#This Row],[pris SC (m. mva)]]*KviteringV7[[#This Row],[Antall]]</f>
        <v>441.59999999999997</v>
      </c>
      <c r="BL27" s="212"/>
      <c r="BN27" s="143" t="b">
        <f t="shared" si="26"/>
        <v>1</v>
      </c>
      <c r="BO27" s="22" t="s">
        <v>115</v>
      </c>
      <c r="BP27" s="213"/>
      <c r="BQ27" s="211">
        <v>16</v>
      </c>
      <c r="BR27" s="210">
        <f t="shared" si="27"/>
        <v>18.399999999999999</v>
      </c>
      <c r="BS27" s="210">
        <f t="shared" si="33"/>
        <v>0</v>
      </c>
      <c r="BT27" s="205">
        <f>KviteringV8[[#This Row],[pris SC (m. mva)]]*KviteringV8[[#This Row],[Antall]]</f>
        <v>0</v>
      </c>
      <c r="BU27" s="212"/>
    </row>
    <row r="28" spans="1:73" x14ac:dyDescent="0.35">
      <c r="A28" s="152" t="s">
        <v>115</v>
      </c>
      <c r="B28" s="141">
        <f>IFERROR(VLOOKUP(Inkjøp[[#This Row],[Produkt]],KviteringV3[],2,FALSE),0)</f>
        <v>34</v>
      </c>
      <c r="C28" s="141" cm="1">
        <f t="array" ref="C2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1508.7999999999997</v>
      </c>
      <c r="D28" s="120"/>
      <c r="E28" s="15" t="b">
        <f t="shared" si="0"/>
        <v>1</v>
      </c>
      <c r="F28" s="25" t="s">
        <v>116</v>
      </c>
      <c r="G28" s="23">
        <v>12</v>
      </c>
      <c r="H28" s="32">
        <v>15.81</v>
      </c>
      <c r="I28" s="25">
        <f>H28*1.15</f>
        <v>18.1815</v>
      </c>
      <c r="J28" s="25">
        <f>H28*G28</f>
        <v>189.72</v>
      </c>
      <c r="K28" s="25">
        <f>I28*G28</f>
        <v>218.178</v>
      </c>
      <c r="L28" s="27"/>
      <c r="M28" s="143" t="b">
        <f t="shared" si="5"/>
        <v>1</v>
      </c>
      <c r="N28" s="22" t="s">
        <v>116</v>
      </c>
      <c r="O28" s="23">
        <v>0</v>
      </c>
      <c r="P28" s="24">
        <v>15.81</v>
      </c>
      <c r="Q28" s="25">
        <f t="shared" si="45"/>
        <v>18.1815</v>
      </c>
      <c r="R28" s="25">
        <f t="shared" si="46"/>
        <v>0</v>
      </c>
      <c r="S28" s="26">
        <f t="shared" si="47"/>
        <v>0</v>
      </c>
      <c r="T28" s="27"/>
      <c r="U28" s="143" t="b">
        <f t="shared" si="10"/>
        <v>1</v>
      </c>
      <c r="V28" s="22" t="s">
        <v>116</v>
      </c>
      <c r="W28" s="23">
        <v>24</v>
      </c>
      <c r="X28" s="24">
        <v>15.81</v>
      </c>
      <c r="Y28" s="25">
        <f t="shared" si="39"/>
        <v>18.1815</v>
      </c>
      <c r="Z28" s="25">
        <f t="shared" si="40"/>
        <v>379.44</v>
      </c>
      <c r="AA28" s="26">
        <f t="shared" si="41"/>
        <v>436.35599999999999</v>
      </c>
      <c r="AB28" s="27"/>
      <c r="AD28" s="143" t="b">
        <f t="shared" si="15"/>
        <v>1</v>
      </c>
      <c r="AE28" s="22" t="s">
        <v>116</v>
      </c>
      <c r="AF28" s="23">
        <v>24</v>
      </c>
      <c r="AG28" s="24">
        <v>15.81</v>
      </c>
      <c r="AH28" s="25">
        <f t="shared" si="16"/>
        <v>18.1815</v>
      </c>
      <c r="AI28" s="25">
        <f t="shared" si="29"/>
        <v>379.44</v>
      </c>
      <c r="AJ28" s="205">
        <f>KviteringV4[[#This Row],[pris SC (m. mva)]]*KviteringV4[[#This Row],[Antall]]</f>
        <v>436.35599999999999</v>
      </c>
      <c r="AK28" s="27"/>
      <c r="AM28" s="143" t="b">
        <f t="shared" si="18"/>
        <v>1</v>
      </c>
      <c r="AN28" s="22" t="s">
        <v>116</v>
      </c>
      <c r="AO28" s="210"/>
      <c r="AP28" s="211">
        <v>15.81</v>
      </c>
      <c r="AQ28" s="210">
        <f t="shared" si="44"/>
        <v>18.1815</v>
      </c>
      <c r="AR28" s="210">
        <f t="shared" si="43"/>
        <v>0</v>
      </c>
      <c r="AS28" s="205">
        <f>KviteringV5[[#This Row],[pris SC (m. mva)]]*KviteringV5[[#This Row],[Antall]]</f>
        <v>0</v>
      </c>
      <c r="AT28" s="212"/>
      <c r="AV28" s="143" t="b">
        <f t="shared" si="22"/>
        <v>1</v>
      </c>
      <c r="AW28" s="22" t="s">
        <v>116</v>
      </c>
      <c r="AX28" s="210"/>
      <c r="AY28" s="211">
        <v>15.81</v>
      </c>
      <c r="AZ28" s="210">
        <f t="shared" si="34"/>
        <v>18.1815</v>
      </c>
      <c r="BA28" s="210">
        <f t="shared" si="30"/>
        <v>0</v>
      </c>
      <c r="BB28" s="205">
        <f>KviteringV6[[#This Row],[pris SC (m. mva)]]*KviteringV6[[#This Row],[Antall]]</f>
        <v>0</v>
      </c>
      <c r="BC28" s="212"/>
      <c r="BE28" s="143" t="b">
        <f t="shared" si="24"/>
        <v>1</v>
      </c>
      <c r="BF28" s="22" t="s">
        <v>116</v>
      </c>
      <c r="BG28" s="210">
        <v>12</v>
      </c>
      <c r="BH28" s="211">
        <v>15.81</v>
      </c>
      <c r="BI28" s="210">
        <f t="shared" si="31"/>
        <v>18.1815</v>
      </c>
      <c r="BJ28" s="210">
        <f t="shared" si="32"/>
        <v>189.72</v>
      </c>
      <c r="BK28" s="205">
        <f>KviteringV7[[#This Row],[pris SC (m. mva)]]*KviteringV7[[#This Row],[Antall]]</f>
        <v>218.178</v>
      </c>
      <c r="BL28" s="212"/>
      <c r="BN28" s="143" t="b">
        <f t="shared" si="26"/>
        <v>1</v>
      </c>
      <c r="BO28" s="22" t="s">
        <v>116</v>
      </c>
      <c r="BP28" s="210"/>
      <c r="BQ28" s="211">
        <v>15.81</v>
      </c>
      <c r="BR28" s="210">
        <f t="shared" si="27"/>
        <v>18.1815</v>
      </c>
      <c r="BS28" s="210">
        <f t="shared" si="33"/>
        <v>0</v>
      </c>
      <c r="BT28" s="205">
        <f>KviteringV8[[#This Row],[pris SC (m. mva)]]*KviteringV8[[#This Row],[Antall]]</f>
        <v>0</v>
      </c>
      <c r="BU28" s="212"/>
    </row>
    <row r="29" spans="1:73" x14ac:dyDescent="0.35">
      <c r="A29" s="152" t="s">
        <v>116</v>
      </c>
      <c r="B29" s="141">
        <f>IFERROR(VLOOKUP(Inkjøp[[#This Row],[Produkt]],KviteringV3[],2,FALSE),0)</f>
        <v>24</v>
      </c>
      <c r="C29" s="141" cm="1">
        <f t="array" ref="C2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1090.8899999999999</v>
      </c>
      <c r="D29" s="120"/>
      <c r="E29" s="15" t="b">
        <f t="shared" si="0"/>
        <v>1</v>
      </c>
      <c r="F29" s="25" t="s">
        <v>117</v>
      </c>
      <c r="G29" s="25"/>
      <c r="H29" s="25"/>
      <c r="I29" s="25"/>
      <c r="J29" s="25"/>
      <c r="K29" s="25"/>
      <c r="L29" s="27"/>
      <c r="M29" s="143" t="b">
        <f t="shared" si="5"/>
        <v>1</v>
      </c>
      <c r="N29" s="22" t="s">
        <v>117</v>
      </c>
      <c r="O29" s="28">
        <v>12</v>
      </c>
      <c r="P29" s="29">
        <v>16.78</v>
      </c>
      <c r="Q29" s="30">
        <f t="shared" si="45"/>
        <v>19.297000000000001</v>
      </c>
      <c r="R29" s="30">
        <f t="shared" si="46"/>
        <v>201.36</v>
      </c>
      <c r="S29" s="26">
        <f t="shared" si="47"/>
        <v>231.56400000000002</v>
      </c>
      <c r="T29" s="27"/>
      <c r="U29" s="143" t="b">
        <f t="shared" si="10"/>
        <v>1</v>
      </c>
      <c r="V29" s="22" t="s">
        <v>117</v>
      </c>
      <c r="W29" s="28">
        <v>24</v>
      </c>
      <c r="X29" s="29">
        <v>16.78</v>
      </c>
      <c r="Y29" s="30">
        <f t="shared" si="39"/>
        <v>19.297000000000001</v>
      </c>
      <c r="Z29" s="30">
        <f t="shared" si="40"/>
        <v>402.72</v>
      </c>
      <c r="AA29" s="26">
        <f t="shared" si="41"/>
        <v>463.12800000000004</v>
      </c>
      <c r="AB29" s="27"/>
      <c r="AD29" s="143" t="b">
        <f t="shared" si="15"/>
        <v>1</v>
      </c>
      <c r="AE29" s="22" t="s">
        <v>117</v>
      </c>
      <c r="AF29" s="28">
        <v>0</v>
      </c>
      <c r="AG29" s="29">
        <v>16.78</v>
      </c>
      <c r="AH29" s="25">
        <f t="shared" si="16"/>
        <v>19.297000000000001</v>
      </c>
      <c r="AI29" s="25">
        <f t="shared" si="29"/>
        <v>0</v>
      </c>
      <c r="AJ29" s="205">
        <f>KviteringV4[[#This Row],[pris SC (m. mva)]]*KviteringV4[[#This Row],[Antall]]</f>
        <v>0</v>
      </c>
      <c r="AK29" s="27"/>
      <c r="AM29" s="143" t="b">
        <f t="shared" si="18"/>
        <v>1</v>
      </c>
      <c r="AN29" s="22" t="s">
        <v>117</v>
      </c>
      <c r="AO29" s="213"/>
      <c r="AP29" s="214">
        <v>16.78</v>
      </c>
      <c r="AQ29" s="210">
        <f t="shared" si="44"/>
        <v>19.297000000000001</v>
      </c>
      <c r="AR29" s="210">
        <f t="shared" si="43"/>
        <v>0</v>
      </c>
      <c r="AS29" s="205">
        <f>KviteringV5[[#This Row],[pris SC (m. mva)]]*KviteringV5[[#This Row],[Antall]]</f>
        <v>0</v>
      </c>
      <c r="AT29" s="212"/>
      <c r="AV29" s="143" t="b">
        <f t="shared" si="22"/>
        <v>1</v>
      </c>
      <c r="AW29" s="22" t="s">
        <v>117</v>
      </c>
      <c r="AX29" s="213"/>
      <c r="AY29" s="214">
        <v>16.78</v>
      </c>
      <c r="AZ29" s="210">
        <f t="shared" si="34"/>
        <v>19.297000000000001</v>
      </c>
      <c r="BA29" s="210">
        <f t="shared" si="30"/>
        <v>0</v>
      </c>
      <c r="BB29" s="205">
        <f>KviteringV6[[#This Row],[pris SC (m. mva)]]*KviteringV6[[#This Row],[Antall]]</f>
        <v>0</v>
      </c>
      <c r="BC29" s="212"/>
      <c r="BE29" s="143" t="b">
        <f t="shared" si="24"/>
        <v>1</v>
      </c>
      <c r="BF29" s="22" t="s">
        <v>117</v>
      </c>
      <c r="BG29" s="213"/>
      <c r="BH29" s="214">
        <v>16.78</v>
      </c>
      <c r="BI29" s="210">
        <f t="shared" si="31"/>
        <v>19.297000000000001</v>
      </c>
      <c r="BJ29" s="210">
        <f t="shared" si="32"/>
        <v>0</v>
      </c>
      <c r="BK29" s="205">
        <f>KviteringV7[[#This Row],[pris SC (m. mva)]]*KviteringV7[[#This Row],[Antall]]</f>
        <v>0</v>
      </c>
      <c r="BL29" s="212"/>
      <c r="BN29" s="143" t="b">
        <f t="shared" si="26"/>
        <v>1</v>
      </c>
      <c r="BO29" s="22" t="s">
        <v>117</v>
      </c>
      <c r="BP29" s="213"/>
      <c r="BQ29" s="214">
        <v>16.78</v>
      </c>
      <c r="BR29" s="210">
        <f t="shared" si="27"/>
        <v>19.297000000000001</v>
      </c>
      <c r="BS29" s="210">
        <f t="shared" si="33"/>
        <v>0</v>
      </c>
      <c r="BT29" s="205">
        <f>KviteringV8[[#This Row],[pris SC (m. mva)]]*KviteringV8[[#This Row],[Antall]]</f>
        <v>0</v>
      </c>
      <c r="BU29" s="212"/>
    </row>
    <row r="30" spans="1:73" x14ac:dyDescent="0.35">
      <c r="A30" s="152" t="s">
        <v>117</v>
      </c>
      <c r="B30" s="141">
        <f>IFERROR(VLOOKUP(Inkjøp[[#This Row],[Produkt]],KviteringV3[],2,FALSE),0)</f>
        <v>24</v>
      </c>
      <c r="C30" s="141" cm="1">
        <f t="array" ref="C3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694.69200000000001</v>
      </c>
      <c r="D30" s="120"/>
      <c r="E30" s="15" t="b">
        <f t="shared" si="0"/>
        <v>1</v>
      </c>
      <c r="F30" s="25" t="s">
        <v>118</v>
      </c>
      <c r="G30" s="23">
        <v>54</v>
      </c>
      <c r="H30" s="32">
        <v>8.16</v>
      </c>
      <c r="I30" s="25">
        <f>H30*1.15</f>
        <v>9.3839999999999986</v>
      </c>
      <c r="J30" s="25">
        <f>H30*G30</f>
        <v>440.64</v>
      </c>
      <c r="K30" s="25">
        <f>I30*G30</f>
        <v>506.73599999999993</v>
      </c>
      <c r="L30" s="27"/>
      <c r="M30" s="143" t="b">
        <f t="shared" si="5"/>
        <v>1</v>
      </c>
      <c r="N30" s="22" t="s">
        <v>118</v>
      </c>
      <c r="O30" s="23">
        <v>54</v>
      </c>
      <c r="P30" s="24">
        <v>8.16</v>
      </c>
      <c r="Q30" s="25">
        <f t="shared" si="45"/>
        <v>9.3839999999999986</v>
      </c>
      <c r="R30" s="25">
        <f t="shared" si="46"/>
        <v>440.64</v>
      </c>
      <c r="S30" s="26">
        <f t="shared" si="47"/>
        <v>506.73599999999993</v>
      </c>
      <c r="T30" s="27"/>
      <c r="U30" s="143" t="b">
        <f t="shared" si="10"/>
        <v>1</v>
      </c>
      <c r="V30" s="22" t="s">
        <v>118</v>
      </c>
      <c r="W30" s="23">
        <v>126</v>
      </c>
      <c r="X30" s="24">
        <v>8.16</v>
      </c>
      <c r="Y30" s="25">
        <f t="shared" si="39"/>
        <v>9.3839999999999986</v>
      </c>
      <c r="Z30" s="25">
        <f t="shared" si="40"/>
        <v>1028.1600000000001</v>
      </c>
      <c r="AA30" s="26">
        <f t="shared" si="41"/>
        <v>1182.3839999999998</v>
      </c>
      <c r="AB30" s="27"/>
      <c r="AD30" s="143" t="b">
        <f t="shared" si="15"/>
        <v>1</v>
      </c>
      <c r="AE30" s="22" t="s">
        <v>118</v>
      </c>
      <c r="AF30" s="23">
        <v>72</v>
      </c>
      <c r="AG30" s="24">
        <v>8.16</v>
      </c>
      <c r="AH30" s="25">
        <f t="shared" si="16"/>
        <v>9.3839999999999986</v>
      </c>
      <c r="AI30" s="25">
        <f t="shared" si="29"/>
        <v>587.52</v>
      </c>
      <c r="AJ30" s="205">
        <f>KviteringV4[[#This Row],[pris SC (m. mva)]]*KviteringV4[[#This Row],[Antall]]</f>
        <v>675.64799999999991</v>
      </c>
      <c r="AK30" s="27"/>
      <c r="AM30" s="143" t="b">
        <f t="shared" si="18"/>
        <v>1</v>
      </c>
      <c r="AN30" s="22" t="s">
        <v>118</v>
      </c>
      <c r="AO30" s="210"/>
      <c r="AP30" s="211">
        <v>8.16</v>
      </c>
      <c r="AQ30" s="210">
        <f t="shared" si="44"/>
        <v>9.3839999999999986</v>
      </c>
      <c r="AR30" s="210">
        <f t="shared" si="43"/>
        <v>0</v>
      </c>
      <c r="AS30" s="205">
        <f>KviteringV5[[#This Row],[pris SC (m. mva)]]*KviteringV5[[#This Row],[Antall]]</f>
        <v>0</v>
      </c>
      <c r="AT30" s="212"/>
      <c r="AV30" s="143" t="b">
        <f t="shared" si="22"/>
        <v>1</v>
      </c>
      <c r="AW30" s="22" t="s">
        <v>118</v>
      </c>
      <c r="AX30" s="210"/>
      <c r="AY30" s="211">
        <v>8.16</v>
      </c>
      <c r="AZ30" s="210">
        <f t="shared" si="34"/>
        <v>9.3839999999999986</v>
      </c>
      <c r="BA30" s="210">
        <f t="shared" si="30"/>
        <v>0</v>
      </c>
      <c r="BB30" s="205">
        <f>KviteringV6[[#This Row],[pris SC (m. mva)]]*KviteringV6[[#This Row],[Antall]]</f>
        <v>0</v>
      </c>
      <c r="BC30" s="212"/>
      <c r="BE30" s="143" t="b">
        <f t="shared" si="24"/>
        <v>1</v>
      </c>
      <c r="BF30" s="22" t="s">
        <v>118</v>
      </c>
      <c r="BG30" s="210">
        <v>36</v>
      </c>
      <c r="BH30" s="211">
        <v>8.16</v>
      </c>
      <c r="BI30" s="210">
        <f t="shared" si="31"/>
        <v>9.3839999999999986</v>
      </c>
      <c r="BJ30" s="210">
        <f t="shared" si="32"/>
        <v>293.76</v>
      </c>
      <c r="BK30" s="205">
        <f>KviteringV7[[#This Row],[pris SC (m. mva)]]*KviteringV7[[#This Row],[Antall]]</f>
        <v>337.82399999999996</v>
      </c>
      <c r="BL30" s="212"/>
      <c r="BN30" s="143" t="b">
        <f t="shared" si="26"/>
        <v>1</v>
      </c>
      <c r="BO30" s="22" t="s">
        <v>118</v>
      </c>
      <c r="BP30" s="210"/>
      <c r="BQ30" s="211">
        <v>8.16</v>
      </c>
      <c r="BR30" s="210">
        <f t="shared" si="27"/>
        <v>9.3839999999999986</v>
      </c>
      <c r="BS30" s="210">
        <f t="shared" si="33"/>
        <v>0</v>
      </c>
      <c r="BT30" s="205">
        <f>KviteringV8[[#This Row],[pris SC (m. mva)]]*KviteringV8[[#This Row],[Antall]]</f>
        <v>0</v>
      </c>
      <c r="BU30" s="212"/>
    </row>
    <row r="31" spans="1:73" x14ac:dyDescent="0.35">
      <c r="A31" s="152" t="s">
        <v>118</v>
      </c>
      <c r="B31" s="141">
        <f>IFERROR(VLOOKUP(Inkjøp[[#This Row],[Produkt]],KviteringV3[],2,FALSE),0)</f>
        <v>126</v>
      </c>
      <c r="C31" s="141" cm="1">
        <f t="array" ref="C3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2871.5039999999999</v>
      </c>
      <c r="D31" s="120"/>
      <c r="E31" s="15" t="b">
        <f t="shared" si="0"/>
        <v>1</v>
      </c>
      <c r="F31" s="25" t="s">
        <v>119</v>
      </c>
      <c r="G31" s="25">
        <v>48</v>
      </c>
      <c r="H31" s="32">
        <v>16.37</v>
      </c>
      <c r="I31" s="25">
        <f>H31*1.15</f>
        <v>18.825499999999998</v>
      </c>
      <c r="J31" s="25">
        <f>H31*G31</f>
        <v>785.76</v>
      </c>
      <c r="K31" s="25">
        <f>I31*G31</f>
        <v>903.62399999999991</v>
      </c>
      <c r="L31" s="27">
        <f t="shared" ref="L31:L36" si="48">2*G31</f>
        <v>96</v>
      </c>
      <c r="M31" s="143" t="b">
        <f t="shared" si="5"/>
        <v>1</v>
      </c>
      <c r="N31" s="22" t="s">
        <v>119</v>
      </c>
      <c r="O31" s="25">
        <v>24</v>
      </c>
      <c r="P31" s="24">
        <v>16.37</v>
      </c>
      <c r="Q31" s="25">
        <f t="shared" si="45"/>
        <v>18.825499999999998</v>
      </c>
      <c r="R31" s="25">
        <f t="shared" si="46"/>
        <v>392.88</v>
      </c>
      <c r="S31" s="26">
        <f t="shared" si="47"/>
        <v>451.81199999999995</v>
      </c>
      <c r="T31" s="27">
        <f t="shared" ref="T31:T36" si="49">2*O31</f>
        <v>48</v>
      </c>
      <c r="U31" s="143" t="b">
        <f t="shared" si="10"/>
        <v>1</v>
      </c>
      <c r="V31" s="22" t="s">
        <v>119</v>
      </c>
      <c r="W31" s="25">
        <v>96</v>
      </c>
      <c r="X31" s="24">
        <v>16.37</v>
      </c>
      <c r="Y31" s="25">
        <f t="shared" si="39"/>
        <v>18.825499999999998</v>
      </c>
      <c r="Z31" s="25">
        <f t="shared" si="40"/>
        <v>1571.52</v>
      </c>
      <c r="AA31" s="26">
        <f t="shared" si="41"/>
        <v>1807.2479999999998</v>
      </c>
      <c r="AB31" s="27">
        <f>2*W31</f>
        <v>192</v>
      </c>
      <c r="AD31" s="143" t="b">
        <f t="shared" si="15"/>
        <v>1</v>
      </c>
      <c r="AE31" s="22" t="s">
        <v>119</v>
      </c>
      <c r="AF31" s="25">
        <v>96</v>
      </c>
      <c r="AG31" s="24">
        <v>16.38</v>
      </c>
      <c r="AH31" s="25">
        <f t="shared" si="16"/>
        <v>18.836999999999996</v>
      </c>
      <c r="AI31" s="25">
        <f t="shared" si="29"/>
        <v>1572.48</v>
      </c>
      <c r="AJ31" s="205">
        <f>KviteringV4[[#This Row],[pris SC (m. mva)]]*KviteringV4[[#This Row],[Antall]]</f>
        <v>1808.3519999999996</v>
      </c>
      <c r="AK31" s="27">
        <f>2*AF31</f>
        <v>192</v>
      </c>
      <c r="AM31" s="143" t="b">
        <f t="shared" si="18"/>
        <v>1</v>
      </c>
      <c r="AN31" s="22" t="s">
        <v>119</v>
      </c>
      <c r="AO31" s="210"/>
      <c r="AP31" s="211">
        <v>16.38</v>
      </c>
      <c r="AQ31" s="210">
        <f t="shared" si="44"/>
        <v>18.836999999999996</v>
      </c>
      <c r="AR31" s="210">
        <f t="shared" si="43"/>
        <v>0</v>
      </c>
      <c r="AS31" s="205">
        <f>KviteringV5[[#This Row],[pris SC (m. mva)]]*KviteringV5[[#This Row],[Antall]]</f>
        <v>0</v>
      </c>
      <c r="AT31" s="212">
        <f>2*AO31</f>
        <v>0</v>
      </c>
      <c r="AV31" s="143" t="b">
        <f t="shared" si="22"/>
        <v>1</v>
      </c>
      <c r="AW31" s="22" t="s">
        <v>119</v>
      </c>
      <c r="AX31" s="210"/>
      <c r="AY31" s="211">
        <v>16.38</v>
      </c>
      <c r="AZ31" s="210">
        <f t="shared" si="34"/>
        <v>18.836999999999996</v>
      </c>
      <c r="BA31" s="210">
        <f t="shared" si="30"/>
        <v>0</v>
      </c>
      <c r="BB31" s="205">
        <f>KviteringV6[[#This Row],[pris SC (m. mva)]]*KviteringV6[[#This Row],[Antall]]</f>
        <v>0</v>
      </c>
      <c r="BC31" s="212">
        <f>2*AX31</f>
        <v>0</v>
      </c>
      <c r="BE31" s="143" t="b">
        <f t="shared" si="24"/>
        <v>1</v>
      </c>
      <c r="BF31" s="22" t="s">
        <v>119</v>
      </c>
      <c r="BG31" s="210">
        <v>48</v>
      </c>
      <c r="BH31" s="211">
        <v>16.38</v>
      </c>
      <c r="BI31" s="210">
        <f t="shared" si="31"/>
        <v>18.836999999999996</v>
      </c>
      <c r="BJ31" s="210">
        <f t="shared" si="32"/>
        <v>786.24</v>
      </c>
      <c r="BK31" s="205">
        <f>KviteringV7[[#This Row],[pris SC (m. mva)]]*KviteringV7[[#This Row],[Antall]]</f>
        <v>904.17599999999982</v>
      </c>
      <c r="BL31" s="212">
        <f t="shared" ref="BL31:BL39" si="50">2*BG31</f>
        <v>96</v>
      </c>
      <c r="BN31" s="143" t="b">
        <f t="shared" si="26"/>
        <v>1</v>
      </c>
      <c r="BO31" s="22" t="s">
        <v>119</v>
      </c>
      <c r="BP31" s="210"/>
      <c r="BQ31" s="211">
        <v>16.38</v>
      </c>
      <c r="BR31" s="210">
        <f t="shared" si="27"/>
        <v>18.836999999999996</v>
      </c>
      <c r="BS31" s="210">
        <f t="shared" si="33"/>
        <v>0</v>
      </c>
      <c r="BT31" s="205">
        <f>KviteringV8[[#This Row],[pris SC (m. mva)]]*KviteringV8[[#This Row],[Antall]]</f>
        <v>0</v>
      </c>
      <c r="BU31" s="212">
        <f>2*BP31</f>
        <v>0</v>
      </c>
    </row>
    <row r="32" spans="1:73" x14ac:dyDescent="0.35">
      <c r="A32" s="152" t="s">
        <v>119</v>
      </c>
      <c r="B32" s="141">
        <f>IFERROR(VLOOKUP(Inkjøp[[#This Row],[Produkt]],KviteringV3[],2,FALSE),0)</f>
        <v>96</v>
      </c>
      <c r="C32" s="141" cm="1">
        <f t="array" ref="C3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5499.0359999999991</v>
      </c>
      <c r="D32" s="120"/>
      <c r="E32" s="15" t="b">
        <f t="shared" si="0"/>
        <v>1</v>
      </c>
      <c r="F32" s="25" t="s">
        <v>120</v>
      </c>
      <c r="G32" s="25">
        <v>24</v>
      </c>
      <c r="H32" s="32">
        <v>16.37</v>
      </c>
      <c r="I32" s="25">
        <f>H32*1.15</f>
        <v>18.825499999999998</v>
      </c>
      <c r="J32" s="25">
        <f>H32*G32</f>
        <v>392.88</v>
      </c>
      <c r="K32" s="25">
        <f>I32*G32</f>
        <v>451.81199999999995</v>
      </c>
      <c r="L32" s="27">
        <f t="shared" si="48"/>
        <v>48</v>
      </c>
      <c r="M32" s="143" t="b">
        <f t="shared" si="5"/>
        <v>1</v>
      </c>
      <c r="N32" s="22" t="s">
        <v>120</v>
      </c>
      <c r="O32" s="25">
        <v>24</v>
      </c>
      <c r="P32" s="24">
        <v>16.37</v>
      </c>
      <c r="Q32" s="25">
        <f t="shared" si="45"/>
        <v>18.825499999999998</v>
      </c>
      <c r="R32" s="25">
        <f t="shared" si="46"/>
        <v>392.88</v>
      </c>
      <c r="S32" s="26">
        <f t="shared" si="47"/>
        <v>451.81199999999995</v>
      </c>
      <c r="T32" s="27">
        <f t="shared" si="49"/>
        <v>48</v>
      </c>
      <c r="U32" s="143" t="b">
        <f t="shared" si="10"/>
        <v>1</v>
      </c>
      <c r="V32" s="22" t="s">
        <v>120</v>
      </c>
      <c r="W32" s="25">
        <v>48</v>
      </c>
      <c r="X32" s="24">
        <v>16.37</v>
      </c>
      <c r="Y32" s="25">
        <f t="shared" si="39"/>
        <v>18.825499999999998</v>
      </c>
      <c r="Z32" s="25">
        <f t="shared" si="40"/>
        <v>785.76</v>
      </c>
      <c r="AA32" s="26">
        <f t="shared" si="41"/>
        <v>903.62399999999991</v>
      </c>
      <c r="AB32" s="27">
        <f>2*W32</f>
        <v>96</v>
      </c>
      <c r="AD32" s="143" t="b">
        <f t="shared" si="15"/>
        <v>1</v>
      </c>
      <c r="AE32" s="22" t="s">
        <v>120</v>
      </c>
      <c r="AF32" s="25">
        <v>0</v>
      </c>
      <c r="AG32" s="24">
        <v>16.37</v>
      </c>
      <c r="AH32" s="25">
        <f t="shared" si="16"/>
        <v>18.825499999999998</v>
      </c>
      <c r="AI32" s="25">
        <f t="shared" si="29"/>
        <v>0</v>
      </c>
      <c r="AJ32" s="205">
        <f>KviteringV4[[#This Row],[pris SC (m. mva)]]*KviteringV4[[#This Row],[Antall]]</f>
        <v>0</v>
      </c>
      <c r="AK32" s="27">
        <f>2*AF32</f>
        <v>0</v>
      </c>
      <c r="AM32" s="143" t="b">
        <f t="shared" si="18"/>
        <v>1</v>
      </c>
      <c r="AN32" s="22" t="s">
        <v>120</v>
      </c>
      <c r="AO32" s="210"/>
      <c r="AP32" s="211">
        <v>16.37</v>
      </c>
      <c r="AQ32" s="210">
        <f t="shared" si="44"/>
        <v>18.825499999999998</v>
      </c>
      <c r="AR32" s="210">
        <f t="shared" si="43"/>
        <v>0</v>
      </c>
      <c r="AS32" s="205">
        <f>KviteringV5[[#This Row],[pris SC (m. mva)]]*KviteringV5[[#This Row],[Antall]]</f>
        <v>0</v>
      </c>
      <c r="AT32" s="212">
        <f>2*AO32</f>
        <v>0</v>
      </c>
      <c r="AV32" s="143" t="b">
        <f t="shared" si="22"/>
        <v>1</v>
      </c>
      <c r="AW32" s="22" t="s">
        <v>120</v>
      </c>
      <c r="AX32" s="210"/>
      <c r="AY32" s="211">
        <v>16.37</v>
      </c>
      <c r="AZ32" s="210">
        <f t="shared" si="34"/>
        <v>18.825499999999998</v>
      </c>
      <c r="BA32" s="210">
        <f t="shared" si="30"/>
        <v>0</v>
      </c>
      <c r="BB32" s="205">
        <f>KviteringV6[[#This Row],[pris SC (m. mva)]]*KviteringV6[[#This Row],[Antall]]</f>
        <v>0</v>
      </c>
      <c r="BC32" s="212">
        <f>2*AX32</f>
        <v>0</v>
      </c>
      <c r="BE32" s="143" t="b">
        <f t="shared" si="24"/>
        <v>1</v>
      </c>
      <c r="BF32" s="22" t="s">
        <v>120</v>
      </c>
      <c r="BG32" s="210"/>
      <c r="BH32" s="211">
        <v>16.37</v>
      </c>
      <c r="BI32" s="210">
        <f t="shared" si="31"/>
        <v>18.825499999999998</v>
      </c>
      <c r="BJ32" s="210">
        <f t="shared" si="32"/>
        <v>0</v>
      </c>
      <c r="BK32" s="205">
        <f>KviteringV7[[#This Row],[pris SC (m. mva)]]*KviteringV7[[#This Row],[Antall]]</f>
        <v>0</v>
      </c>
      <c r="BL32" s="212">
        <f t="shared" si="50"/>
        <v>0</v>
      </c>
      <c r="BN32" s="143" t="b">
        <f t="shared" si="26"/>
        <v>1</v>
      </c>
      <c r="BO32" s="22" t="s">
        <v>120</v>
      </c>
      <c r="BP32" s="210"/>
      <c r="BQ32" s="211">
        <v>16.37</v>
      </c>
      <c r="BR32" s="210">
        <f t="shared" si="27"/>
        <v>18.825499999999998</v>
      </c>
      <c r="BS32" s="210">
        <f t="shared" si="33"/>
        <v>0</v>
      </c>
      <c r="BT32" s="205">
        <f>KviteringV8[[#This Row],[pris SC (m. mva)]]*KviteringV8[[#This Row],[Antall]]</f>
        <v>0</v>
      </c>
      <c r="BU32" s="212">
        <f>2*BP32</f>
        <v>0</v>
      </c>
    </row>
    <row r="33" spans="1:73" x14ac:dyDescent="0.35">
      <c r="A33" s="152" t="s">
        <v>120</v>
      </c>
      <c r="B33" s="141">
        <f>IFERROR(VLOOKUP(Inkjøp[[#This Row],[Produkt]],KviteringV3[],2,FALSE),0)</f>
        <v>48</v>
      </c>
      <c r="C33" s="141" cm="1">
        <f t="array" ref="C3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1999.2479999999998</v>
      </c>
      <c r="D33" s="120"/>
      <c r="E33" s="15" t="b">
        <f t="shared" si="0"/>
        <v>1</v>
      </c>
      <c r="F33" s="25" t="s">
        <v>121</v>
      </c>
      <c r="G33" s="25">
        <v>48</v>
      </c>
      <c r="H33" s="32">
        <v>16.37</v>
      </c>
      <c r="I33" s="25">
        <f>H33*1.15</f>
        <v>18.825499999999998</v>
      </c>
      <c r="J33" s="25">
        <f>H33*G33</f>
        <v>785.76</v>
      </c>
      <c r="K33" s="25">
        <f>I33*G33</f>
        <v>903.62399999999991</v>
      </c>
      <c r="L33" s="27">
        <f t="shared" si="48"/>
        <v>96</v>
      </c>
      <c r="M33" s="143" t="b">
        <f t="shared" si="5"/>
        <v>1</v>
      </c>
      <c r="N33" s="22" t="s">
        <v>121</v>
      </c>
      <c r="O33" s="25">
        <v>72</v>
      </c>
      <c r="P33" s="24">
        <v>16.38</v>
      </c>
      <c r="Q33" s="25">
        <f t="shared" si="45"/>
        <v>18.836999999999996</v>
      </c>
      <c r="R33" s="25">
        <f t="shared" si="46"/>
        <v>1179.3599999999999</v>
      </c>
      <c r="S33" s="26">
        <f t="shared" si="47"/>
        <v>1356.2639999999997</v>
      </c>
      <c r="T33" s="27">
        <f t="shared" si="49"/>
        <v>144</v>
      </c>
      <c r="U33" s="143" t="b">
        <f t="shared" si="10"/>
        <v>1</v>
      </c>
      <c r="V33" s="22" t="s">
        <v>121</v>
      </c>
      <c r="W33" s="25">
        <v>168</v>
      </c>
      <c r="X33" s="24">
        <v>16.38</v>
      </c>
      <c r="Y33" s="25">
        <f t="shared" si="39"/>
        <v>18.836999999999996</v>
      </c>
      <c r="Z33" s="25">
        <f t="shared" si="40"/>
        <v>2751.8399999999997</v>
      </c>
      <c r="AA33" s="26">
        <f t="shared" si="41"/>
        <v>3164.6159999999995</v>
      </c>
      <c r="AB33" s="27">
        <f>2*W33</f>
        <v>336</v>
      </c>
      <c r="AD33" s="143" t="b">
        <f t="shared" si="15"/>
        <v>1</v>
      </c>
      <c r="AE33" s="22" t="s">
        <v>121</v>
      </c>
      <c r="AF33" s="25">
        <v>96</v>
      </c>
      <c r="AG33" s="24">
        <v>16.38</v>
      </c>
      <c r="AH33" s="25">
        <f t="shared" si="16"/>
        <v>18.836999999999996</v>
      </c>
      <c r="AI33" s="25">
        <f t="shared" si="29"/>
        <v>1572.48</v>
      </c>
      <c r="AJ33" s="205">
        <f>KviteringV4[[#This Row],[pris SC (m. mva)]]*KviteringV4[[#This Row],[Antall]]</f>
        <v>1808.3519999999996</v>
      </c>
      <c r="AK33" s="27">
        <f>2*AF33</f>
        <v>192</v>
      </c>
      <c r="AM33" s="143" t="b">
        <f t="shared" si="18"/>
        <v>1</v>
      </c>
      <c r="AN33" s="22" t="s">
        <v>121</v>
      </c>
      <c r="AO33" s="210"/>
      <c r="AP33" s="211">
        <v>16.38</v>
      </c>
      <c r="AQ33" s="210">
        <f t="shared" si="44"/>
        <v>18.836999999999996</v>
      </c>
      <c r="AR33" s="210">
        <f t="shared" si="43"/>
        <v>0</v>
      </c>
      <c r="AS33" s="205">
        <f>KviteringV5[[#This Row],[pris SC (m. mva)]]*KviteringV5[[#This Row],[Antall]]</f>
        <v>0</v>
      </c>
      <c r="AT33" s="212">
        <f>2*AO33</f>
        <v>0</v>
      </c>
      <c r="AV33" s="143" t="b">
        <f t="shared" si="22"/>
        <v>1</v>
      </c>
      <c r="AW33" s="22" t="s">
        <v>121</v>
      </c>
      <c r="AX33" s="210"/>
      <c r="AY33" s="211">
        <v>16.38</v>
      </c>
      <c r="AZ33" s="210">
        <f t="shared" si="34"/>
        <v>18.836999999999996</v>
      </c>
      <c r="BA33" s="210">
        <f t="shared" si="30"/>
        <v>0</v>
      </c>
      <c r="BB33" s="205">
        <f>KviteringV6[[#This Row],[pris SC (m. mva)]]*KviteringV6[[#This Row],[Antall]]</f>
        <v>0</v>
      </c>
      <c r="BC33" s="212">
        <f>2*AX33</f>
        <v>0</v>
      </c>
      <c r="BE33" s="143" t="b">
        <f t="shared" si="24"/>
        <v>1</v>
      </c>
      <c r="BF33" s="22" t="s">
        <v>121</v>
      </c>
      <c r="BG33" s="210">
        <v>72</v>
      </c>
      <c r="BH33" s="211">
        <v>16.38</v>
      </c>
      <c r="BI33" s="210">
        <f t="shared" si="31"/>
        <v>18.836999999999996</v>
      </c>
      <c r="BJ33" s="210">
        <f t="shared" si="32"/>
        <v>1179.3599999999999</v>
      </c>
      <c r="BK33" s="205">
        <f>KviteringV7[[#This Row],[pris SC (m. mva)]]*KviteringV7[[#This Row],[Antall]]</f>
        <v>1356.2639999999997</v>
      </c>
      <c r="BL33" s="212">
        <f t="shared" si="50"/>
        <v>144</v>
      </c>
      <c r="BN33" s="143" t="b">
        <f t="shared" si="26"/>
        <v>1</v>
      </c>
      <c r="BO33" s="22" t="s">
        <v>121</v>
      </c>
      <c r="BP33" s="210"/>
      <c r="BQ33" s="211">
        <v>16.38</v>
      </c>
      <c r="BR33" s="210">
        <f t="shared" si="27"/>
        <v>18.836999999999996</v>
      </c>
      <c r="BS33" s="210">
        <f t="shared" si="33"/>
        <v>0</v>
      </c>
      <c r="BT33" s="205">
        <f>KviteringV8[[#This Row],[pris SC (m. mva)]]*KviteringV8[[#This Row],[Antall]]</f>
        <v>0</v>
      </c>
      <c r="BU33" s="212">
        <f>2*BP33</f>
        <v>0</v>
      </c>
    </row>
    <row r="34" spans="1:73" x14ac:dyDescent="0.35">
      <c r="A34" s="152" t="s">
        <v>121</v>
      </c>
      <c r="B34" s="141">
        <f>IFERROR(VLOOKUP(Inkjøp[[#This Row],[Produkt]],KviteringV3[],2,FALSE),0)</f>
        <v>168</v>
      </c>
      <c r="C34" s="141" cm="1">
        <f t="array" ref="C3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8000.8559999999989</v>
      </c>
      <c r="D34" s="120"/>
      <c r="E34" s="15" t="b">
        <f t="shared" ref="E34:E65" si="51">COUNTIF($A:$A,F34)&gt;0</f>
        <v>1</v>
      </c>
      <c r="F34" s="25" t="s">
        <v>122</v>
      </c>
      <c r="G34" s="25">
        <v>80</v>
      </c>
      <c r="H34" s="32">
        <v>10.33</v>
      </c>
      <c r="I34" s="25">
        <f>H34*1.15</f>
        <v>11.879499999999998</v>
      </c>
      <c r="J34" s="25">
        <f>H34*G34</f>
        <v>826.4</v>
      </c>
      <c r="K34" s="25">
        <f>I34*G34</f>
        <v>950.3599999999999</v>
      </c>
      <c r="L34" s="27">
        <f t="shared" si="48"/>
        <v>160</v>
      </c>
      <c r="M34" s="143" t="b">
        <f t="shared" ref="M34:M65" si="52">COUNTIF($A:$A,N34)&gt;0</f>
        <v>1</v>
      </c>
      <c r="N34" s="22" t="s">
        <v>122</v>
      </c>
      <c r="O34" s="25">
        <v>120</v>
      </c>
      <c r="P34" s="24">
        <v>4.3044000000000002</v>
      </c>
      <c r="Q34" s="25">
        <f t="shared" si="45"/>
        <v>4.9500599999999997</v>
      </c>
      <c r="R34" s="25">
        <f t="shared" si="46"/>
        <v>516.52800000000002</v>
      </c>
      <c r="S34" s="26">
        <f t="shared" si="47"/>
        <v>594.00720000000001</v>
      </c>
      <c r="T34" s="27">
        <f t="shared" si="49"/>
        <v>240</v>
      </c>
      <c r="U34" s="143" t="b">
        <f t="shared" ref="U34:U65" si="53">COUNTIF($A:$A,V34)&gt;0</f>
        <v>1</v>
      </c>
      <c r="V34" s="22" t="s">
        <v>122</v>
      </c>
      <c r="W34" s="25">
        <v>200</v>
      </c>
      <c r="X34" s="24">
        <v>10.33</v>
      </c>
      <c r="Y34" s="25">
        <f t="shared" si="39"/>
        <v>11.879499999999998</v>
      </c>
      <c r="Z34" s="25">
        <f t="shared" si="40"/>
        <v>2066</v>
      </c>
      <c r="AA34" s="26">
        <f t="shared" si="41"/>
        <v>2375.8999999999996</v>
      </c>
      <c r="AB34" s="27">
        <f>2*W34</f>
        <v>400</v>
      </c>
      <c r="AD34" s="143" t="b">
        <f t="shared" ref="AD34:AD65" si="54">COUNTIF($A:$A,AE34)&gt;0</f>
        <v>1</v>
      </c>
      <c r="AE34" s="22" t="s">
        <v>122</v>
      </c>
      <c r="AF34" s="25">
        <v>180</v>
      </c>
      <c r="AG34" s="24">
        <v>10.33</v>
      </c>
      <c r="AH34" s="25">
        <f t="shared" si="16"/>
        <v>11.879499999999998</v>
      </c>
      <c r="AI34" s="25">
        <f t="shared" si="29"/>
        <v>1859.4</v>
      </c>
      <c r="AJ34" s="205">
        <f>KviteringV4[[#This Row],[pris SC (m. mva)]]*KviteringV4[[#This Row],[Antall]]</f>
        <v>2138.3099999999995</v>
      </c>
      <c r="AK34" s="27">
        <f>2*AF34</f>
        <v>360</v>
      </c>
      <c r="AM34" s="143" t="b">
        <f t="shared" ref="AM34:AM65" si="55">COUNTIF($A:$A,AN34)&gt;0</f>
        <v>1</v>
      </c>
      <c r="AN34" s="22" t="s">
        <v>122</v>
      </c>
      <c r="AO34" s="210"/>
      <c r="AP34" s="211">
        <v>10.33</v>
      </c>
      <c r="AQ34" s="210">
        <f t="shared" si="44"/>
        <v>11.879499999999998</v>
      </c>
      <c r="AR34" s="210">
        <f t="shared" si="43"/>
        <v>0</v>
      </c>
      <c r="AS34" s="205">
        <f>KviteringV5[[#This Row],[pris SC (m. mva)]]*KviteringV5[[#This Row],[Antall]]</f>
        <v>0</v>
      </c>
      <c r="AT34" s="212">
        <f>2*AO34</f>
        <v>0</v>
      </c>
      <c r="AV34" s="143" t="b">
        <f t="shared" ref="AV34:AV65" si="56">COUNTIF($A:$A,AW34)&gt;0</f>
        <v>1</v>
      </c>
      <c r="AW34" s="22" t="s">
        <v>122</v>
      </c>
      <c r="AX34" s="210"/>
      <c r="AY34" s="211">
        <v>10.33</v>
      </c>
      <c r="AZ34" s="210">
        <f t="shared" si="34"/>
        <v>11.879499999999998</v>
      </c>
      <c r="BA34" s="210">
        <f t="shared" si="30"/>
        <v>0</v>
      </c>
      <c r="BB34" s="205">
        <f>KviteringV6[[#This Row],[pris SC (m. mva)]]*KviteringV6[[#This Row],[Antall]]</f>
        <v>0</v>
      </c>
      <c r="BC34" s="212">
        <f>2*AX34</f>
        <v>0</v>
      </c>
      <c r="BE34" s="143" t="b">
        <f t="shared" ref="BE34:BE65" si="57">COUNTIF($A:$A,BF34)&gt;0</f>
        <v>1</v>
      </c>
      <c r="BF34" s="22" t="s">
        <v>122</v>
      </c>
      <c r="BG34" s="210">
        <v>160</v>
      </c>
      <c r="BH34" s="211">
        <v>10.33</v>
      </c>
      <c r="BI34" s="210">
        <f t="shared" si="31"/>
        <v>11.879499999999998</v>
      </c>
      <c r="BJ34" s="210">
        <f t="shared" si="32"/>
        <v>1652.8</v>
      </c>
      <c r="BK34" s="205">
        <f>KviteringV7[[#This Row],[pris SC (m. mva)]]*KviteringV7[[#This Row],[Antall]]</f>
        <v>1900.7199999999998</v>
      </c>
      <c r="BL34" s="212">
        <f t="shared" si="50"/>
        <v>320</v>
      </c>
      <c r="BN34" s="143" t="b">
        <f t="shared" ref="BN34:BN65" si="58">COUNTIF($A:$A,BO34)&gt;0</f>
        <v>1</v>
      </c>
      <c r="BO34" s="22" t="s">
        <v>122</v>
      </c>
      <c r="BP34" s="210"/>
      <c r="BQ34" s="211">
        <v>10.33</v>
      </c>
      <c r="BR34" s="210">
        <f t="shared" si="27"/>
        <v>11.879499999999998</v>
      </c>
      <c r="BS34" s="210">
        <f t="shared" si="33"/>
        <v>0</v>
      </c>
      <c r="BT34" s="205">
        <f>KviteringV8[[#This Row],[pris SC (m. mva)]]*KviteringV8[[#This Row],[Antall]]</f>
        <v>0</v>
      </c>
      <c r="BU34" s="212">
        <f>2*BP34</f>
        <v>0</v>
      </c>
    </row>
    <row r="35" spans="1:73" x14ac:dyDescent="0.35">
      <c r="A35" s="152" t="s">
        <v>122</v>
      </c>
      <c r="B35" s="141">
        <f>IFERROR(VLOOKUP(Inkjøp[[#This Row],[Produkt]],KviteringV3[],2,FALSE),0)</f>
        <v>200</v>
      </c>
      <c r="C35" s="141" cm="1">
        <f t="array" ref="C3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7218.5771999999988</v>
      </c>
      <c r="D35" s="121"/>
      <c r="E35" s="15" t="b">
        <f t="shared" si="51"/>
        <v>1</v>
      </c>
      <c r="F35" s="25" t="s">
        <v>123</v>
      </c>
      <c r="G35" s="25">
        <v>0</v>
      </c>
      <c r="H35" s="25"/>
      <c r="I35" s="25"/>
      <c r="J35" s="25"/>
      <c r="K35" s="25"/>
      <c r="L35" s="27">
        <f t="shared" si="48"/>
        <v>0</v>
      </c>
      <c r="M35" s="143" t="b">
        <f t="shared" si="52"/>
        <v>1</v>
      </c>
      <c r="N35" s="22" t="s">
        <v>123</v>
      </c>
      <c r="O35" s="27">
        <v>60</v>
      </c>
      <c r="P35" s="29">
        <v>11.01</v>
      </c>
      <c r="Q35" s="30">
        <f t="shared" si="45"/>
        <v>12.661499999999998</v>
      </c>
      <c r="R35" s="25">
        <f t="shared" si="46"/>
        <v>660.6</v>
      </c>
      <c r="S35" s="26">
        <f t="shared" si="47"/>
        <v>759.68999999999994</v>
      </c>
      <c r="T35" s="27">
        <f t="shared" si="49"/>
        <v>120</v>
      </c>
      <c r="U35" s="143" t="b">
        <f t="shared" si="53"/>
        <v>1</v>
      </c>
      <c r="V35" s="22" t="s">
        <v>123</v>
      </c>
      <c r="W35" s="25">
        <v>60</v>
      </c>
      <c r="X35" s="24">
        <v>11.01</v>
      </c>
      <c r="Y35" s="25">
        <f t="shared" si="39"/>
        <v>12.661499999999998</v>
      </c>
      <c r="Z35" s="25">
        <f t="shared" si="40"/>
        <v>660.6</v>
      </c>
      <c r="AA35" s="26">
        <f t="shared" si="41"/>
        <v>759.68999999999994</v>
      </c>
      <c r="AB35" s="27">
        <f>2*W35</f>
        <v>120</v>
      </c>
      <c r="AD35" s="143" t="b">
        <f t="shared" si="54"/>
        <v>1</v>
      </c>
      <c r="AE35" s="22" t="s">
        <v>123</v>
      </c>
      <c r="AF35" s="25">
        <v>120</v>
      </c>
      <c r="AG35" s="24">
        <v>11.01</v>
      </c>
      <c r="AH35" s="25">
        <f t="shared" si="16"/>
        <v>12.661499999999998</v>
      </c>
      <c r="AI35" s="25">
        <f t="shared" si="29"/>
        <v>1321.2</v>
      </c>
      <c r="AJ35" s="205">
        <f>KviteringV4[[#This Row],[pris SC (m. mva)]]*KviteringV4[[#This Row],[Antall]]</f>
        <v>1519.3799999999999</v>
      </c>
      <c r="AK35" s="27">
        <f>2*AF35</f>
        <v>240</v>
      </c>
      <c r="AM35" s="143" t="b">
        <f t="shared" si="55"/>
        <v>1</v>
      </c>
      <c r="AN35" s="22" t="s">
        <v>123</v>
      </c>
      <c r="AO35" s="210"/>
      <c r="AP35" s="211">
        <v>11.01</v>
      </c>
      <c r="AQ35" s="210">
        <f t="shared" si="44"/>
        <v>12.661499999999998</v>
      </c>
      <c r="AR35" s="210">
        <f t="shared" si="43"/>
        <v>0</v>
      </c>
      <c r="AS35" s="205">
        <f>KviteringV5[[#This Row],[pris SC (m. mva)]]*KviteringV5[[#This Row],[Antall]]</f>
        <v>0</v>
      </c>
      <c r="AT35" s="212">
        <f>2*AO35</f>
        <v>0</v>
      </c>
      <c r="AV35" s="143" t="b">
        <f t="shared" si="56"/>
        <v>1</v>
      </c>
      <c r="AW35" s="22" t="s">
        <v>123</v>
      </c>
      <c r="AX35" s="210"/>
      <c r="AY35" s="211">
        <v>11.01</v>
      </c>
      <c r="AZ35" s="210">
        <f t="shared" si="34"/>
        <v>12.661499999999998</v>
      </c>
      <c r="BA35" s="210">
        <f t="shared" si="30"/>
        <v>0</v>
      </c>
      <c r="BB35" s="205">
        <f>KviteringV6[[#This Row],[pris SC (m. mva)]]*KviteringV6[[#This Row],[Antall]]</f>
        <v>0</v>
      </c>
      <c r="BC35" s="212">
        <f>2*AX35</f>
        <v>0</v>
      </c>
      <c r="BE35" s="143" t="b">
        <f t="shared" si="57"/>
        <v>1</v>
      </c>
      <c r="BF35" s="22" t="s">
        <v>123</v>
      </c>
      <c r="BG35" s="210">
        <v>60</v>
      </c>
      <c r="BH35" s="211">
        <v>11.01</v>
      </c>
      <c r="BI35" s="210">
        <f t="shared" si="31"/>
        <v>12.661499999999998</v>
      </c>
      <c r="BJ35" s="210">
        <f t="shared" si="32"/>
        <v>660.6</v>
      </c>
      <c r="BK35" s="205">
        <f>KviteringV7[[#This Row],[pris SC (m. mva)]]*KviteringV7[[#This Row],[Antall]]</f>
        <v>759.68999999999994</v>
      </c>
      <c r="BL35" s="212">
        <f t="shared" si="50"/>
        <v>120</v>
      </c>
      <c r="BN35" s="143" t="b">
        <f t="shared" si="58"/>
        <v>1</v>
      </c>
      <c r="BO35" s="22" t="s">
        <v>123</v>
      </c>
      <c r="BP35" s="210"/>
      <c r="BQ35" s="211">
        <v>11.01</v>
      </c>
      <c r="BR35" s="210">
        <f t="shared" si="27"/>
        <v>12.661499999999998</v>
      </c>
      <c r="BS35" s="210">
        <f t="shared" si="33"/>
        <v>0</v>
      </c>
      <c r="BT35" s="205">
        <f>KviteringV8[[#This Row],[pris SC (m. mva)]]*KviteringV8[[#This Row],[Antall]]</f>
        <v>0</v>
      </c>
      <c r="BU35" s="212">
        <f>2*BP35</f>
        <v>0</v>
      </c>
    </row>
    <row r="36" spans="1:73" x14ac:dyDescent="0.35">
      <c r="A36" s="152" t="s">
        <v>123</v>
      </c>
      <c r="B36" s="141">
        <f>IFERROR(VLOOKUP(Inkjøp[[#This Row],[Produkt]],KviteringV3[],2,FALSE),0)</f>
        <v>60</v>
      </c>
      <c r="C36" s="141" cm="1">
        <f t="array" ref="C3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3518.7599999999998</v>
      </c>
      <c r="D36" s="120"/>
      <c r="E36" s="15" t="b">
        <f t="shared" si="51"/>
        <v>1</v>
      </c>
      <c r="F36" s="25" t="s">
        <v>124</v>
      </c>
      <c r="G36" s="25">
        <v>0</v>
      </c>
      <c r="H36" s="25"/>
      <c r="I36" s="25"/>
      <c r="J36" s="25"/>
      <c r="K36" s="25"/>
      <c r="L36" s="27">
        <f t="shared" si="48"/>
        <v>0</v>
      </c>
      <c r="M36" s="143" t="b">
        <f t="shared" si="52"/>
        <v>1</v>
      </c>
      <c r="N36" s="22" t="s">
        <v>124</v>
      </c>
      <c r="O36" s="30">
        <v>60</v>
      </c>
      <c r="P36" s="29">
        <v>10.45</v>
      </c>
      <c r="Q36" s="30">
        <f t="shared" si="45"/>
        <v>12.017499999999998</v>
      </c>
      <c r="R36" s="25">
        <f t="shared" si="46"/>
        <v>627</v>
      </c>
      <c r="S36" s="26">
        <f t="shared" si="47"/>
        <v>721.05</v>
      </c>
      <c r="T36" s="27">
        <f t="shared" si="49"/>
        <v>120</v>
      </c>
      <c r="U36" s="143" t="b">
        <f t="shared" si="53"/>
        <v>1</v>
      </c>
      <c r="V36" s="22" t="s">
        <v>124</v>
      </c>
      <c r="W36" s="27"/>
      <c r="X36" s="27"/>
      <c r="Y36" s="27"/>
      <c r="Z36" s="27"/>
      <c r="AA36" s="27"/>
      <c r="AD36" s="143" t="b">
        <f t="shared" si="54"/>
        <v>1</v>
      </c>
      <c r="AE36" s="22" t="s">
        <v>124</v>
      </c>
      <c r="AF36" s="27">
        <v>0</v>
      </c>
      <c r="AG36" s="27"/>
      <c r="AH36" s="25">
        <f t="shared" si="16"/>
        <v>0</v>
      </c>
      <c r="AI36" s="25">
        <f t="shared" si="29"/>
        <v>0</v>
      </c>
      <c r="AJ36" s="205">
        <f>KviteringV4[[#This Row],[pris SC (m. mva)]]*KviteringV4[[#This Row],[Antall]]</f>
        <v>0</v>
      </c>
      <c r="AM36" s="143" t="b">
        <f t="shared" si="55"/>
        <v>1</v>
      </c>
      <c r="AN36" s="22" t="s">
        <v>124</v>
      </c>
      <c r="AO36" s="212"/>
      <c r="AP36" s="212"/>
      <c r="AQ36" s="210">
        <f t="shared" si="44"/>
        <v>0</v>
      </c>
      <c r="AR36" s="210">
        <f t="shared" si="43"/>
        <v>0</v>
      </c>
      <c r="AS36" s="205">
        <f>KviteringV5[[#This Row],[pris SC (m. mva)]]*KviteringV5[[#This Row],[Antall]]</f>
        <v>0</v>
      </c>
      <c r="AT36" s="108"/>
      <c r="AV36" s="143" t="b">
        <f t="shared" si="56"/>
        <v>1</v>
      </c>
      <c r="AW36" s="22" t="s">
        <v>124</v>
      </c>
      <c r="AX36" s="212"/>
      <c r="AY36" s="212"/>
      <c r="AZ36" s="210">
        <f t="shared" si="34"/>
        <v>0</v>
      </c>
      <c r="BA36" s="210">
        <f t="shared" si="30"/>
        <v>0</v>
      </c>
      <c r="BB36" s="205">
        <f>KviteringV6[[#This Row],[pris SC (m. mva)]]*KviteringV6[[#This Row],[Antall]]</f>
        <v>0</v>
      </c>
      <c r="BC36" s="108"/>
      <c r="BE36" s="143" t="b">
        <f t="shared" si="57"/>
        <v>1</v>
      </c>
      <c r="BF36" s="22" t="s">
        <v>124</v>
      </c>
      <c r="BG36" s="212">
        <v>40</v>
      </c>
      <c r="BH36" s="212">
        <v>10.45</v>
      </c>
      <c r="BI36" s="210">
        <f t="shared" si="31"/>
        <v>12.017499999999998</v>
      </c>
      <c r="BJ36" s="210">
        <f t="shared" si="32"/>
        <v>418</v>
      </c>
      <c r="BK36" s="205">
        <f>KviteringV7[[#This Row],[pris SC (m. mva)]]*KviteringV7[[#This Row],[Antall]]</f>
        <v>480.69999999999993</v>
      </c>
      <c r="BL36" s="212">
        <f t="shared" si="50"/>
        <v>80</v>
      </c>
      <c r="BN36" s="143" t="b">
        <f t="shared" si="58"/>
        <v>1</v>
      </c>
      <c r="BO36" s="22" t="s">
        <v>124</v>
      </c>
      <c r="BP36" s="212"/>
      <c r="BQ36" s="212"/>
      <c r="BR36" s="210">
        <f t="shared" si="27"/>
        <v>0</v>
      </c>
      <c r="BS36" s="210">
        <f t="shared" si="33"/>
        <v>0</v>
      </c>
      <c r="BT36" s="205">
        <f>KviteringV8[[#This Row],[pris SC (m. mva)]]*KviteringV8[[#This Row],[Antall]]</f>
        <v>0</v>
      </c>
      <c r="BU36" s="108"/>
    </row>
    <row r="37" spans="1:73" x14ac:dyDescent="0.35">
      <c r="A37" s="152" t="s">
        <v>124</v>
      </c>
      <c r="B37" s="141">
        <f>IFERROR(VLOOKUP(Inkjøp[[#This Row],[Produkt]],KviteringV3[],2,FALSE),0)</f>
        <v>0</v>
      </c>
      <c r="C37" s="141" cm="1">
        <f t="array" ref="C3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841.05</v>
      </c>
      <c r="D37" s="120"/>
      <c r="E37" s="15" t="b">
        <f t="shared" si="51"/>
        <v>1</v>
      </c>
      <c r="F37" s="25" t="s">
        <v>125</v>
      </c>
      <c r="M37" s="143" t="b">
        <f t="shared" si="52"/>
        <v>1</v>
      </c>
      <c r="N37" t="s">
        <v>125</v>
      </c>
      <c r="U37" s="143" t="b">
        <f t="shared" si="53"/>
        <v>1</v>
      </c>
      <c r="V37" s="22" t="s">
        <v>125</v>
      </c>
      <c r="W37" s="25">
        <v>48</v>
      </c>
      <c r="X37" s="24">
        <v>14.9</v>
      </c>
      <c r="Y37" s="25">
        <f>X37*1.15</f>
        <v>17.134999999999998</v>
      </c>
      <c r="Z37" s="25">
        <f t="shared" ref="Z37:Z65" si="59">X37*W37</f>
        <v>715.2</v>
      </c>
      <c r="AA37" s="26">
        <f t="shared" ref="AA37:AA65" si="60">Y37*W37</f>
        <v>822.4799999999999</v>
      </c>
      <c r="AB37" s="27">
        <f>2*W37</f>
        <v>96</v>
      </c>
      <c r="AD37" s="143" t="b">
        <f t="shared" si="54"/>
        <v>1</v>
      </c>
      <c r="AE37" s="22" t="s">
        <v>125</v>
      </c>
      <c r="AF37" s="25">
        <v>48</v>
      </c>
      <c r="AG37" s="24">
        <v>14.9</v>
      </c>
      <c r="AH37" s="25">
        <f t="shared" si="16"/>
        <v>17.134999999999998</v>
      </c>
      <c r="AI37" s="25">
        <f t="shared" si="29"/>
        <v>715.2</v>
      </c>
      <c r="AJ37" s="205">
        <f>KviteringV4[[#This Row],[pris SC (m. mva)]]*KviteringV4[[#This Row],[Antall]]</f>
        <v>822.4799999999999</v>
      </c>
      <c r="AK37" s="27">
        <f>2*AF37</f>
        <v>96</v>
      </c>
      <c r="AM37" s="143" t="b">
        <f t="shared" si="55"/>
        <v>1</v>
      </c>
      <c r="AN37" s="22" t="s">
        <v>125</v>
      </c>
      <c r="AO37" s="210"/>
      <c r="AP37" s="211">
        <v>14.9</v>
      </c>
      <c r="AQ37" s="210">
        <f t="shared" si="44"/>
        <v>17.134999999999998</v>
      </c>
      <c r="AR37" s="210">
        <f t="shared" si="43"/>
        <v>0</v>
      </c>
      <c r="AS37" s="205">
        <f>KviteringV5[[#This Row],[pris SC (m. mva)]]*KviteringV5[[#This Row],[Antall]]</f>
        <v>0</v>
      </c>
      <c r="AT37" s="212">
        <f>2*AO37</f>
        <v>0</v>
      </c>
      <c r="AV37" s="143" t="b">
        <f t="shared" si="56"/>
        <v>1</v>
      </c>
      <c r="AW37" s="22" t="s">
        <v>125</v>
      </c>
      <c r="AX37" s="210"/>
      <c r="AY37" s="211">
        <v>14.9</v>
      </c>
      <c r="AZ37" s="210">
        <f t="shared" si="34"/>
        <v>17.134999999999998</v>
      </c>
      <c r="BA37" s="210">
        <f t="shared" si="30"/>
        <v>0</v>
      </c>
      <c r="BB37" s="205">
        <f>KviteringV6[[#This Row],[pris SC (m. mva)]]*KviteringV6[[#This Row],[Antall]]</f>
        <v>0</v>
      </c>
      <c r="BC37" s="212">
        <f>2*AX37</f>
        <v>0</v>
      </c>
      <c r="BE37" s="143" t="b">
        <f t="shared" si="57"/>
        <v>1</v>
      </c>
      <c r="BF37" s="22" t="s">
        <v>125</v>
      </c>
      <c r="BG37" s="210"/>
      <c r="BH37" s="211">
        <v>14.9</v>
      </c>
      <c r="BI37" s="210">
        <f t="shared" si="31"/>
        <v>17.134999999999998</v>
      </c>
      <c r="BJ37" s="210">
        <f t="shared" si="32"/>
        <v>0</v>
      </c>
      <c r="BK37" s="205">
        <f>KviteringV7[[#This Row],[pris SC (m. mva)]]*KviteringV7[[#This Row],[Antall]]</f>
        <v>0</v>
      </c>
      <c r="BL37" s="212">
        <f t="shared" si="50"/>
        <v>0</v>
      </c>
      <c r="BN37" s="143" t="b">
        <f t="shared" si="58"/>
        <v>1</v>
      </c>
      <c r="BO37" s="22" t="s">
        <v>125</v>
      </c>
      <c r="BP37" s="210"/>
      <c r="BQ37" s="211">
        <v>14.9</v>
      </c>
      <c r="BR37" s="210">
        <f t="shared" si="27"/>
        <v>17.134999999999998</v>
      </c>
      <c r="BS37" s="210">
        <f t="shared" si="33"/>
        <v>0</v>
      </c>
      <c r="BT37" s="205">
        <f>KviteringV8[[#This Row],[pris SC (m. mva)]]*KviteringV8[[#This Row],[Antall]]</f>
        <v>0</v>
      </c>
      <c r="BU37" s="212">
        <f>2*BP37</f>
        <v>0</v>
      </c>
    </row>
    <row r="38" spans="1:73" x14ac:dyDescent="0.35">
      <c r="A38" s="152" t="s">
        <v>125</v>
      </c>
      <c r="B38" s="141">
        <f>IFERROR(VLOOKUP(Inkjøp[[#This Row],[Produkt]],KviteringV3[],2,FALSE),0)</f>
        <v>48</v>
      </c>
      <c r="C38" s="141" cm="1">
        <f t="array" ref="C3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1836.9599999999998</v>
      </c>
      <c r="D38" s="120"/>
      <c r="E38" s="15" t="b">
        <f t="shared" si="51"/>
        <v>1</v>
      </c>
      <c r="F38" s="25" t="s">
        <v>126</v>
      </c>
      <c r="G38" s="25">
        <v>0</v>
      </c>
      <c r="H38" s="25"/>
      <c r="I38" s="25"/>
      <c r="J38" s="25"/>
      <c r="K38" s="25"/>
      <c r="L38" s="27">
        <f>2*G38</f>
        <v>0</v>
      </c>
      <c r="M38" s="143" t="b">
        <f t="shared" si="52"/>
        <v>1</v>
      </c>
      <c r="N38" s="22" t="s">
        <v>126</v>
      </c>
      <c r="O38" s="30">
        <v>24</v>
      </c>
      <c r="P38" s="27">
        <v>16.84</v>
      </c>
      <c r="Q38" s="30">
        <f>P38*1.15</f>
        <v>19.366</v>
      </c>
      <c r="R38" s="25">
        <f>P38*O38</f>
        <v>404.15999999999997</v>
      </c>
      <c r="S38" s="26">
        <f>Q38*O38</f>
        <v>464.78399999999999</v>
      </c>
      <c r="T38" s="27">
        <f>2*O38</f>
        <v>48</v>
      </c>
      <c r="U38" s="143" t="b">
        <f t="shared" si="53"/>
        <v>1</v>
      </c>
      <c r="V38" s="22" t="s">
        <v>126</v>
      </c>
      <c r="W38" s="25">
        <v>24</v>
      </c>
      <c r="X38" s="25">
        <v>16.84</v>
      </c>
      <c r="Y38" s="25">
        <f>X38*1.15</f>
        <v>19.366</v>
      </c>
      <c r="Z38" s="25">
        <f t="shared" si="59"/>
        <v>404.15999999999997</v>
      </c>
      <c r="AA38" s="26">
        <f t="shared" si="60"/>
        <v>464.78399999999999</v>
      </c>
      <c r="AB38" s="27">
        <f>2*W38</f>
        <v>48</v>
      </c>
      <c r="AD38" s="143" t="b">
        <f t="shared" si="54"/>
        <v>1</v>
      </c>
      <c r="AE38" s="22" t="s">
        <v>126</v>
      </c>
      <c r="AF38" s="25">
        <v>24</v>
      </c>
      <c r="AG38" s="25">
        <v>16.84</v>
      </c>
      <c r="AH38" s="25">
        <f t="shared" si="16"/>
        <v>19.366</v>
      </c>
      <c r="AI38" s="25">
        <f t="shared" si="29"/>
        <v>404.15999999999997</v>
      </c>
      <c r="AJ38" s="205">
        <f>KviteringV4[[#This Row],[pris SC (m. mva)]]*KviteringV4[[#This Row],[Antall]]</f>
        <v>464.78399999999999</v>
      </c>
      <c r="AK38" s="27">
        <f>2*AF38</f>
        <v>48</v>
      </c>
      <c r="AM38" s="143" t="b">
        <f t="shared" si="55"/>
        <v>1</v>
      </c>
      <c r="AN38" s="22" t="s">
        <v>126</v>
      </c>
      <c r="AO38" s="210"/>
      <c r="AP38" s="210">
        <v>16.84</v>
      </c>
      <c r="AQ38" s="210">
        <f t="shared" si="44"/>
        <v>19.366</v>
      </c>
      <c r="AR38" s="210">
        <f t="shared" si="43"/>
        <v>0</v>
      </c>
      <c r="AS38" s="205">
        <f>KviteringV5[[#This Row],[pris SC (m. mva)]]*KviteringV5[[#This Row],[Antall]]</f>
        <v>0</v>
      </c>
      <c r="AT38" s="212">
        <f>2*AO38</f>
        <v>0</v>
      </c>
      <c r="AV38" s="143" t="b">
        <f t="shared" si="56"/>
        <v>1</v>
      </c>
      <c r="AW38" s="22" t="s">
        <v>126</v>
      </c>
      <c r="AX38" s="210"/>
      <c r="AY38" s="210">
        <v>16.84</v>
      </c>
      <c r="AZ38" s="210">
        <f t="shared" si="34"/>
        <v>19.366</v>
      </c>
      <c r="BA38" s="210">
        <f t="shared" si="30"/>
        <v>0</v>
      </c>
      <c r="BB38" s="205">
        <f>KviteringV6[[#This Row],[pris SC (m. mva)]]*KviteringV6[[#This Row],[Antall]]</f>
        <v>0</v>
      </c>
      <c r="BC38" s="212">
        <f>2*AX38</f>
        <v>0</v>
      </c>
      <c r="BE38" s="143" t="b">
        <f t="shared" si="57"/>
        <v>1</v>
      </c>
      <c r="BF38" s="22" t="s">
        <v>126</v>
      </c>
      <c r="BG38" s="210">
        <v>12</v>
      </c>
      <c r="BH38" s="210">
        <v>16.84</v>
      </c>
      <c r="BI38" s="210">
        <f t="shared" si="31"/>
        <v>19.366</v>
      </c>
      <c r="BJ38" s="210">
        <f t="shared" si="32"/>
        <v>202.07999999999998</v>
      </c>
      <c r="BK38" s="205">
        <f>KviteringV7[[#This Row],[pris SC (m. mva)]]*KviteringV7[[#This Row],[Antall]]</f>
        <v>232.392</v>
      </c>
      <c r="BL38" s="212">
        <f t="shared" si="50"/>
        <v>24</v>
      </c>
      <c r="BN38" s="143" t="b">
        <f t="shared" si="58"/>
        <v>1</v>
      </c>
      <c r="BO38" s="22" t="s">
        <v>126</v>
      </c>
      <c r="BP38" s="210"/>
      <c r="BQ38" s="210">
        <v>16.84</v>
      </c>
      <c r="BR38" s="210">
        <f t="shared" si="27"/>
        <v>19.366</v>
      </c>
      <c r="BS38" s="210">
        <f t="shared" si="33"/>
        <v>0</v>
      </c>
      <c r="BT38" s="205">
        <f>KviteringV8[[#This Row],[pris SC (m. mva)]]*KviteringV8[[#This Row],[Antall]]</f>
        <v>0</v>
      </c>
      <c r="BU38" s="212">
        <f>2*BP38</f>
        <v>0</v>
      </c>
    </row>
    <row r="39" spans="1:73" x14ac:dyDescent="0.35">
      <c r="A39" s="188" t="s">
        <v>289</v>
      </c>
      <c r="B39" s="141">
        <f>IFERROR(VLOOKUP(Inkjøp[[#This Row],[Produkt]],KviteringV3[],2,FALSE),0)</f>
        <v>0</v>
      </c>
      <c r="C39" s="141" cm="1">
        <f t="array" ref="C3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0</v>
      </c>
      <c r="D39" s="120"/>
      <c r="E39" s="15" t="b">
        <f t="shared" si="51"/>
        <v>1</v>
      </c>
      <c r="F39" s="25" t="s">
        <v>127</v>
      </c>
      <c r="G39" s="25">
        <v>0</v>
      </c>
      <c r="H39" s="25"/>
      <c r="I39" s="25"/>
      <c r="J39" s="25"/>
      <c r="K39" s="25"/>
      <c r="L39" s="27">
        <f>2*G39</f>
        <v>0</v>
      </c>
      <c r="M39" s="143" t="b">
        <f t="shared" si="52"/>
        <v>1</v>
      </c>
      <c r="N39" s="22" t="s">
        <v>127</v>
      </c>
      <c r="O39" s="30">
        <v>12</v>
      </c>
      <c r="P39" s="27">
        <v>16.670000000000002</v>
      </c>
      <c r="Q39" s="30">
        <f>P39*1.15</f>
        <v>19.170500000000001</v>
      </c>
      <c r="R39" s="25">
        <f>P39*O39</f>
        <v>200.04000000000002</v>
      </c>
      <c r="S39" s="26">
        <f>Q39*O39</f>
        <v>230.04599999999999</v>
      </c>
      <c r="T39" s="27">
        <f>2*O39</f>
        <v>24</v>
      </c>
      <c r="U39" s="143" t="b">
        <f t="shared" si="53"/>
        <v>1</v>
      </c>
      <c r="V39" s="22" t="s">
        <v>127</v>
      </c>
      <c r="W39" s="25">
        <v>12</v>
      </c>
      <c r="X39" s="25">
        <v>16.670000000000002</v>
      </c>
      <c r="Y39" s="25">
        <f>X39*1.15</f>
        <v>19.170500000000001</v>
      </c>
      <c r="Z39" s="25">
        <f t="shared" si="59"/>
        <v>200.04000000000002</v>
      </c>
      <c r="AA39" s="26">
        <f t="shared" si="60"/>
        <v>230.04599999999999</v>
      </c>
      <c r="AB39" s="27">
        <f>2*W39</f>
        <v>24</v>
      </c>
      <c r="AD39" s="143" t="b">
        <f t="shared" si="54"/>
        <v>1</v>
      </c>
      <c r="AE39" s="22" t="s">
        <v>127</v>
      </c>
      <c r="AF39" s="25">
        <v>24</v>
      </c>
      <c r="AG39" s="25">
        <v>16.670000000000002</v>
      </c>
      <c r="AH39" s="25">
        <f t="shared" si="16"/>
        <v>19.170500000000001</v>
      </c>
      <c r="AI39" s="25">
        <f t="shared" si="29"/>
        <v>400.08000000000004</v>
      </c>
      <c r="AJ39" s="205">
        <f>KviteringV4[[#This Row],[pris SC (m. mva)]]*KviteringV4[[#This Row],[Antall]]</f>
        <v>460.09199999999998</v>
      </c>
      <c r="AK39" s="27">
        <f>2*AF39</f>
        <v>48</v>
      </c>
      <c r="AM39" s="143" t="b">
        <f t="shared" si="55"/>
        <v>1</v>
      </c>
      <c r="AN39" s="22" t="s">
        <v>127</v>
      </c>
      <c r="AO39" s="210"/>
      <c r="AP39" s="210">
        <v>16.670000000000002</v>
      </c>
      <c r="AQ39" s="210">
        <f t="shared" si="44"/>
        <v>19.170500000000001</v>
      </c>
      <c r="AR39" s="210">
        <f t="shared" si="43"/>
        <v>0</v>
      </c>
      <c r="AS39" s="205">
        <f>KviteringV5[[#This Row],[pris SC (m. mva)]]*KviteringV5[[#This Row],[Antall]]</f>
        <v>0</v>
      </c>
      <c r="AT39" s="212">
        <f>2*AO39</f>
        <v>0</v>
      </c>
      <c r="AV39" s="143" t="b">
        <f t="shared" si="56"/>
        <v>1</v>
      </c>
      <c r="AW39" s="22" t="s">
        <v>127</v>
      </c>
      <c r="AX39" s="210"/>
      <c r="AY39" s="210">
        <v>16.670000000000002</v>
      </c>
      <c r="AZ39" s="210">
        <f t="shared" si="34"/>
        <v>19.170500000000001</v>
      </c>
      <c r="BA39" s="210">
        <f t="shared" si="30"/>
        <v>0</v>
      </c>
      <c r="BB39" s="205">
        <f>KviteringV6[[#This Row],[pris SC (m. mva)]]*KviteringV6[[#This Row],[Antall]]</f>
        <v>0</v>
      </c>
      <c r="BC39" s="212">
        <f>2*AX39</f>
        <v>0</v>
      </c>
      <c r="BE39" s="143" t="b">
        <f t="shared" si="57"/>
        <v>1</v>
      </c>
      <c r="BF39" s="22" t="s">
        <v>127</v>
      </c>
      <c r="BG39" s="210"/>
      <c r="BH39" s="210">
        <v>16.670000000000002</v>
      </c>
      <c r="BI39" s="210">
        <f t="shared" si="31"/>
        <v>19.170500000000001</v>
      </c>
      <c r="BJ39" s="210">
        <f t="shared" si="32"/>
        <v>0</v>
      </c>
      <c r="BK39" s="205">
        <f>KviteringV7[[#This Row],[pris SC (m. mva)]]*KviteringV7[[#This Row],[Antall]]</f>
        <v>0</v>
      </c>
      <c r="BL39" s="212">
        <f t="shared" si="50"/>
        <v>0</v>
      </c>
      <c r="BN39" s="143" t="b">
        <f t="shared" si="58"/>
        <v>1</v>
      </c>
      <c r="BO39" s="22" t="s">
        <v>127</v>
      </c>
      <c r="BP39" s="210"/>
      <c r="BQ39" s="210">
        <v>16.670000000000002</v>
      </c>
      <c r="BR39" s="210">
        <f t="shared" si="27"/>
        <v>19.170500000000001</v>
      </c>
      <c r="BS39" s="210">
        <f t="shared" si="33"/>
        <v>0</v>
      </c>
      <c r="BT39" s="205">
        <f>KviteringV8[[#This Row],[pris SC (m. mva)]]*KviteringV8[[#This Row],[Antall]]</f>
        <v>0</v>
      </c>
      <c r="BU39" s="212">
        <f>2*BP39</f>
        <v>0</v>
      </c>
    </row>
    <row r="40" spans="1:73" x14ac:dyDescent="0.35">
      <c r="A40" s="152" t="s">
        <v>126</v>
      </c>
      <c r="B40" s="141">
        <f>IFERROR(VLOOKUP(Inkjøp[[#This Row],[Produkt]],KviteringV3[],2,FALSE),0)</f>
        <v>24</v>
      </c>
      <c r="C40" s="141" cm="1">
        <f t="array" ref="C4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1538.3519999999999</v>
      </c>
      <c r="D40" s="120"/>
      <c r="E40" s="15" t="b">
        <f t="shared" si="51"/>
        <v>1</v>
      </c>
      <c r="F40" s="25" t="s">
        <v>128</v>
      </c>
      <c r="G40" s="25">
        <v>28</v>
      </c>
      <c r="H40" s="32">
        <v>27.39</v>
      </c>
      <c r="I40" s="25">
        <f>H40*1.15</f>
        <v>31.4985</v>
      </c>
      <c r="J40" s="25">
        <f>H40*G40</f>
        <v>766.92000000000007</v>
      </c>
      <c r="K40" s="25">
        <f>I40*G40</f>
        <v>881.95799999999997</v>
      </c>
      <c r="L40" s="27"/>
      <c r="M40" s="143" t="b">
        <f t="shared" si="52"/>
        <v>1</v>
      </c>
      <c r="N40" s="22" t="s">
        <v>128</v>
      </c>
      <c r="O40" s="25">
        <v>27</v>
      </c>
      <c r="P40" s="24">
        <v>14.492699999999999</v>
      </c>
      <c r="Q40" s="25">
        <f>P40*1.15</f>
        <v>16.666604999999997</v>
      </c>
      <c r="R40" s="25">
        <f>P40*O40</f>
        <v>391.30289999999997</v>
      </c>
      <c r="S40" s="26">
        <f>Q40*O40</f>
        <v>449.99833499999994</v>
      </c>
      <c r="T40" s="27"/>
      <c r="U40" s="143" t="b">
        <f t="shared" si="53"/>
        <v>1</v>
      </c>
      <c r="V40" s="22" t="s">
        <v>128</v>
      </c>
      <c r="W40" s="25">
        <v>0</v>
      </c>
      <c r="X40" s="24">
        <v>14.492699999999999</v>
      </c>
      <c r="Y40" s="25">
        <f>X40*1.15</f>
        <v>16.666604999999997</v>
      </c>
      <c r="Z40" s="25">
        <f t="shared" si="59"/>
        <v>0</v>
      </c>
      <c r="AA40" s="26">
        <f t="shared" si="60"/>
        <v>0</v>
      </c>
      <c r="AB40" s="27">
        <f>2*W40</f>
        <v>0</v>
      </c>
      <c r="AD40" s="143" t="b">
        <f t="shared" si="54"/>
        <v>1</v>
      </c>
      <c r="AE40" s="22" t="s">
        <v>128</v>
      </c>
      <c r="AF40" s="25">
        <v>0</v>
      </c>
      <c r="AG40" s="24">
        <v>14.492699999999999</v>
      </c>
      <c r="AH40" s="25">
        <f t="shared" si="16"/>
        <v>16.666604999999997</v>
      </c>
      <c r="AI40" s="25">
        <f t="shared" si="29"/>
        <v>0</v>
      </c>
      <c r="AJ40" s="205">
        <f>KviteringV4[[#This Row],[pris SC (m. mva)]]*KviteringV4[[#This Row],[Antall]]</f>
        <v>0</v>
      </c>
      <c r="AK40" s="27">
        <f>2*AF40</f>
        <v>0</v>
      </c>
      <c r="AM40" s="143" t="b">
        <f t="shared" si="55"/>
        <v>1</v>
      </c>
      <c r="AN40" s="22" t="s">
        <v>128</v>
      </c>
      <c r="AO40" s="210"/>
      <c r="AP40" s="211">
        <v>14.492699999999999</v>
      </c>
      <c r="AQ40" s="210">
        <f t="shared" si="44"/>
        <v>16.666604999999997</v>
      </c>
      <c r="AR40" s="210">
        <f t="shared" si="43"/>
        <v>0</v>
      </c>
      <c r="AS40" s="205">
        <f>KviteringV5[[#This Row],[pris SC (m. mva)]]*KviteringV5[[#This Row],[Antall]]</f>
        <v>0</v>
      </c>
      <c r="AT40" s="212">
        <f>2*AO40</f>
        <v>0</v>
      </c>
      <c r="AV40" s="143" t="b">
        <f t="shared" si="56"/>
        <v>1</v>
      </c>
      <c r="AW40" s="22" t="s">
        <v>128</v>
      </c>
      <c r="AX40" s="210"/>
      <c r="AY40" s="211">
        <v>14.492699999999999</v>
      </c>
      <c r="AZ40" s="210">
        <f t="shared" si="34"/>
        <v>16.666604999999997</v>
      </c>
      <c r="BA40" s="210">
        <f t="shared" si="30"/>
        <v>0</v>
      </c>
      <c r="BB40" s="205">
        <f>KviteringV6[[#This Row],[pris SC (m. mva)]]*KviteringV6[[#This Row],[Antall]]</f>
        <v>0</v>
      </c>
      <c r="BC40" s="212">
        <f>2*AX40</f>
        <v>0</v>
      </c>
      <c r="BE40" s="143" t="b">
        <f t="shared" si="57"/>
        <v>1</v>
      </c>
      <c r="BF40" s="22" t="s">
        <v>128</v>
      </c>
      <c r="BG40" s="210"/>
      <c r="BH40" s="211">
        <v>14.492699999999999</v>
      </c>
      <c r="BI40" s="210">
        <f t="shared" si="31"/>
        <v>16.666604999999997</v>
      </c>
      <c r="BJ40" s="210">
        <f t="shared" si="32"/>
        <v>0</v>
      </c>
      <c r="BK40" s="205">
        <f>KviteringV7[[#This Row],[pris SC (m. mva)]]*KviteringV7[[#This Row],[Antall]]</f>
        <v>0</v>
      </c>
      <c r="BL40" s="212"/>
      <c r="BN40" s="143" t="b">
        <f t="shared" si="58"/>
        <v>1</v>
      </c>
      <c r="BO40" s="22" t="s">
        <v>128</v>
      </c>
      <c r="BP40" s="210"/>
      <c r="BQ40" s="211">
        <v>14.492699999999999</v>
      </c>
      <c r="BR40" s="210">
        <f t="shared" si="27"/>
        <v>16.666604999999997</v>
      </c>
      <c r="BS40" s="210">
        <f t="shared" si="33"/>
        <v>0</v>
      </c>
      <c r="BT40" s="205">
        <f>KviteringV8[[#This Row],[pris SC (m. mva)]]*KviteringV8[[#This Row],[Antall]]</f>
        <v>0</v>
      </c>
      <c r="BU40" s="212">
        <f>2*BP40</f>
        <v>0</v>
      </c>
    </row>
    <row r="41" spans="1:73" ht="17.5" customHeight="1" x14ac:dyDescent="0.35">
      <c r="A41" s="152" t="s">
        <v>127</v>
      </c>
      <c r="B41" s="141">
        <f>IFERROR(VLOOKUP(Inkjøp[[#This Row],[Produkt]],KviteringV3[],2,FALSE),0)</f>
        <v>12</v>
      </c>
      <c r="C41" s="141" cm="1">
        <f t="array" ref="C4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1016.184</v>
      </c>
      <c r="D41" s="120"/>
      <c r="E41" s="15" t="b">
        <f t="shared" si="51"/>
        <v>1</v>
      </c>
      <c r="F41" s="25" t="s">
        <v>129</v>
      </c>
      <c r="G41" s="25"/>
      <c r="H41" s="32"/>
      <c r="I41" s="25"/>
      <c r="J41" s="25"/>
      <c r="K41" s="25"/>
      <c r="L41" s="27"/>
      <c r="M41" s="143" t="b">
        <f t="shared" si="52"/>
        <v>1</v>
      </c>
      <c r="N41" s="22" t="s">
        <v>129</v>
      </c>
      <c r="O41" s="25"/>
      <c r="P41" s="24"/>
      <c r="Q41" s="25"/>
      <c r="R41" s="25"/>
      <c r="S41" s="26"/>
      <c r="T41" s="27"/>
      <c r="U41" s="143" t="b">
        <f t="shared" si="53"/>
        <v>1</v>
      </c>
      <c r="V41" s="22" t="s">
        <v>129</v>
      </c>
      <c r="W41" s="25">
        <v>60</v>
      </c>
      <c r="X41" s="24">
        <f>Y41/1.15</f>
        <v>8.608695652173914</v>
      </c>
      <c r="Y41" s="25">
        <v>9.9</v>
      </c>
      <c r="Z41" s="25">
        <f t="shared" si="59"/>
        <v>516.52173913043487</v>
      </c>
      <c r="AA41" s="26">
        <f t="shared" si="60"/>
        <v>594</v>
      </c>
      <c r="AB41" s="27"/>
      <c r="AD41" s="143" t="b">
        <f t="shared" si="54"/>
        <v>1</v>
      </c>
      <c r="AE41" s="22" t="s">
        <v>129</v>
      </c>
      <c r="AF41" s="25">
        <v>0</v>
      </c>
      <c r="AG41" s="24"/>
      <c r="AH41" s="25"/>
      <c r="AI41" s="25">
        <f t="shared" si="29"/>
        <v>0</v>
      </c>
      <c r="AJ41" s="205">
        <f>KviteringV4[[#This Row],[pris SC (m. mva)]]*KviteringV4[[#This Row],[Antall]]</f>
        <v>0</v>
      </c>
      <c r="AK41" s="27"/>
      <c r="AM41" s="143" t="b">
        <f t="shared" si="55"/>
        <v>1</v>
      </c>
      <c r="AN41" s="22" t="s">
        <v>129</v>
      </c>
      <c r="AO41" s="210">
        <v>60</v>
      </c>
      <c r="AP41" s="211"/>
      <c r="AQ41" s="210">
        <v>10.8025</v>
      </c>
      <c r="AR41" s="210">
        <f t="shared" si="43"/>
        <v>0</v>
      </c>
      <c r="AS41" s="205">
        <f>KviteringV5[[#This Row],[pris SC (m. mva)]]*KviteringV5[[#This Row],[Antall]]</f>
        <v>648.15</v>
      </c>
      <c r="AT41" s="212"/>
      <c r="AV41" s="143" t="b">
        <f t="shared" si="56"/>
        <v>1</v>
      </c>
      <c r="AW41" s="22" t="s">
        <v>129</v>
      </c>
      <c r="AX41" s="210"/>
      <c r="AY41" s="211"/>
      <c r="AZ41" s="210"/>
      <c r="BA41" s="210">
        <f t="shared" si="30"/>
        <v>0</v>
      </c>
      <c r="BB41" s="205">
        <f>KviteringV6[[#This Row],[pris SC (m. mva)]]*KviteringV6[[#This Row],[Antall]]</f>
        <v>0</v>
      </c>
      <c r="BC41" s="212"/>
      <c r="BE41" s="143" t="b">
        <f t="shared" si="57"/>
        <v>1</v>
      </c>
      <c r="BF41" s="22" t="s">
        <v>129</v>
      </c>
      <c r="BG41" s="210"/>
      <c r="BH41" s="211"/>
      <c r="BI41" s="210">
        <f t="shared" si="31"/>
        <v>0</v>
      </c>
      <c r="BJ41" s="210">
        <f t="shared" si="32"/>
        <v>0</v>
      </c>
      <c r="BK41" s="205">
        <f>KviteringV7[[#This Row],[pris SC (m. mva)]]*KviteringV7[[#This Row],[Antall]]</f>
        <v>0</v>
      </c>
      <c r="BL41" s="212"/>
      <c r="BN41" s="143" t="b">
        <f t="shared" si="58"/>
        <v>1</v>
      </c>
      <c r="BO41" s="22" t="s">
        <v>129</v>
      </c>
      <c r="BP41" s="210"/>
      <c r="BQ41" s="211"/>
      <c r="BR41" s="210"/>
      <c r="BS41" s="210">
        <f t="shared" si="33"/>
        <v>0</v>
      </c>
      <c r="BT41" s="205">
        <f>KviteringV8[[#This Row],[pris SC (m. mva)]]*KviteringV8[[#This Row],[Antall]]</f>
        <v>0</v>
      </c>
      <c r="BU41" s="212"/>
    </row>
    <row r="42" spans="1:73" x14ac:dyDescent="0.35">
      <c r="A42" s="152" t="s">
        <v>128</v>
      </c>
      <c r="B42" s="141">
        <f>IFERROR(VLOOKUP(Inkjøp[[#This Row],[Produkt]],KviteringV3[],2,FALSE),0)</f>
        <v>0</v>
      </c>
      <c r="C42" s="141" cm="1">
        <f t="array" ref="C4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1331.9563349999999</v>
      </c>
      <c r="D42" s="120"/>
      <c r="E42" s="15" t="b">
        <f t="shared" si="51"/>
        <v>1</v>
      </c>
      <c r="F42" s="25" t="s">
        <v>130</v>
      </c>
      <c r="G42" s="25">
        <v>28</v>
      </c>
      <c r="H42" s="32">
        <v>29.72</v>
      </c>
      <c r="I42" s="25">
        <f>H42*1.15</f>
        <v>34.177999999999997</v>
      </c>
      <c r="J42" s="25">
        <f>H42*G42</f>
        <v>832.16</v>
      </c>
      <c r="K42" s="25">
        <f>I42*G42</f>
        <v>956.98399999999992</v>
      </c>
      <c r="L42" s="27"/>
      <c r="M42" s="143" t="b">
        <f t="shared" si="52"/>
        <v>1</v>
      </c>
      <c r="N42" s="22" t="s">
        <v>130</v>
      </c>
      <c r="O42" s="25">
        <v>27</v>
      </c>
      <c r="P42" s="24">
        <v>14.492699999999999</v>
      </c>
      <c r="Q42" s="25">
        <f>P42*1.15</f>
        <v>16.666604999999997</v>
      </c>
      <c r="R42" s="25">
        <f>P42*O42</f>
        <v>391.30289999999997</v>
      </c>
      <c r="S42" s="26">
        <f>Q42*O42</f>
        <v>449.99833499999994</v>
      </c>
      <c r="T42" s="27"/>
      <c r="U42" s="143" t="b">
        <f t="shared" si="53"/>
        <v>1</v>
      </c>
      <c r="V42" s="22" t="s">
        <v>130</v>
      </c>
      <c r="W42" s="25">
        <v>0</v>
      </c>
      <c r="X42" s="24">
        <v>14.492699999999999</v>
      </c>
      <c r="Y42" s="25">
        <f>X42*1.15</f>
        <v>16.666604999999997</v>
      </c>
      <c r="Z42" s="25">
        <f t="shared" si="59"/>
        <v>0</v>
      </c>
      <c r="AA42" s="26">
        <f t="shared" si="60"/>
        <v>0</v>
      </c>
      <c r="AB42" s="27"/>
      <c r="AD42" s="143" t="b">
        <f t="shared" si="54"/>
        <v>1</v>
      </c>
      <c r="AE42" s="22" t="s">
        <v>130</v>
      </c>
      <c r="AF42" s="25">
        <v>0</v>
      </c>
      <c r="AG42" s="24">
        <v>14.492699999999999</v>
      </c>
      <c r="AH42" s="25">
        <f t="shared" ref="AH42:AH70" si="61">AG42*1.15</f>
        <v>16.666604999999997</v>
      </c>
      <c r="AI42" s="25">
        <f t="shared" si="29"/>
        <v>0</v>
      </c>
      <c r="AJ42" s="205">
        <f>KviteringV4[[#This Row],[pris SC (m. mva)]]*KviteringV4[[#This Row],[Antall]]</f>
        <v>0</v>
      </c>
      <c r="AK42" s="27"/>
      <c r="AM42" s="143" t="b">
        <f t="shared" si="55"/>
        <v>1</v>
      </c>
      <c r="AN42" s="22" t="s">
        <v>130</v>
      </c>
      <c r="AO42" s="210"/>
      <c r="AP42" s="211">
        <v>14.492699999999999</v>
      </c>
      <c r="AQ42" s="210">
        <f t="shared" ref="AQ42:AQ70" si="62">AP42*1.15</f>
        <v>16.666604999999997</v>
      </c>
      <c r="AR42" s="210">
        <f t="shared" si="43"/>
        <v>0</v>
      </c>
      <c r="AS42" s="205">
        <f>KviteringV5[[#This Row],[pris SC (m. mva)]]*KviteringV5[[#This Row],[Antall]]</f>
        <v>0</v>
      </c>
      <c r="AT42" s="212"/>
      <c r="AV42" s="143" t="b">
        <f t="shared" si="56"/>
        <v>1</v>
      </c>
      <c r="AW42" s="22" t="s">
        <v>130</v>
      </c>
      <c r="AX42" s="210"/>
      <c r="AY42" s="211">
        <v>14.492699999999999</v>
      </c>
      <c r="AZ42" s="210">
        <f t="shared" ref="AZ42:AZ70" si="63">AY42*1.15</f>
        <v>16.666604999999997</v>
      </c>
      <c r="BA42" s="210">
        <f t="shared" si="30"/>
        <v>0</v>
      </c>
      <c r="BB42" s="205">
        <f>KviteringV6[[#This Row],[pris SC (m. mva)]]*KviteringV6[[#This Row],[Antall]]</f>
        <v>0</v>
      </c>
      <c r="BC42" s="212"/>
      <c r="BE42" s="143" t="b">
        <f t="shared" si="57"/>
        <v>1</v>
      </c>
      <c r="BF42" s="22" t="s">
        <v>130</v>
      </c>
      <c r="BG42" s="210"/>
      <c r="BH42" s="211">
        <v>14.492699999999999</v>
      </c>
      <c r="BI42" s="210">
        <f t="shared" si="31"/>
        <v>16.666604999999997</v>
      </c>
      <c r="BJ42" s="210">
        <f t="shared" si="32"/>
        <v>0</v>
      </c>
      <c r="BK42" s="205">
        <f>KviteringV7[[#This Row],[pris SC (m. mva)]]*KviteringV7[[#This Row],[Antall]]</f>
        <v>0</v>
      </c>
      <c r="BL42" s="212"/>
      <c r="BN42" s="143" t="b">
        <f t="shared" si="58"/>
        <v>1</v>
      </c>
      <c r="BO42" s="22" t="s">
        <v>130</v>
      </c>
      <c r="BP42" s="210"/>
      <c r="BQ42" s="211">
        <v>14.492699999999999</v>
      </c>
      <c r="BR42" s="210">
        <f>BQ42*1.15</f>
        <v>16.666604999999997</v>
      </c>
      <c r="BS42" s="210">
        <f t="shared" si="33"/>
        <v>0</v>
      </c>
      <c r="BT42" s="205">
        <f>KviteringV8[[#This Row],[pris SC (m. mva)]]*KviteringV8[[#This Row],[Antall]]</f>
        <v>0</v>
      </c>
      <c r="BU42" s="212"/>
    </row>
    <row r="43" spans="1:73" x14ac:dyDescent="0.35">
      <c r="A43" s="152" t="s">
        <v>129</v>
      </c>
      <c r="B43" s="141">
        <f>IFERROR(VLOOKUP(Inkjøp[[#This Row],[Produkt]],KviteringV3[],2,FALSE),0)</f>
        <v>60</v>
      </c>
      <c r="C43" s="141" cm="1">
        <f t="array" ref="C4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594</v>
      </c>
      <c r="D43" s="120"/>
      <c r="E43" s="15" t="b">
        <f t="shared" si="51"/>
        <v>1</v>
      </c>
      <c r="F43" s="25" t="s">
        <v>131</v>
      </c>
      <c r="G43" s="25">
        <v>60</v>
      </c>
      <c r="H43" s="32">
        <v>12.54</v>
      </c>
      <c r="I43" s="25">
        <f>H43*1.15</f>
        <v>14.420999999999998</v>
      </c>
      <c r="J43" s="25">
        <f>H43*G43</f>
        <v>752.4</v>
      </c>
      <c r="K43" s="25">
        <f>I43*G43</f>
        <v>865.25999999999988</v>
      </c>
      <c r="L43" s="27"/>
      <c r="M43" s="143" t="b">
        <f t="shared" si="52"/>
        <v>1</v>
      </c>
      <c r="N43" s="22" t="s">
        <v>131</v>
      </c>
      <c r="O43" s="25">
        <v>60</v>
      </c>
      <c r="P43" s="24">
        <v>12.54</v>
      </c>
      <c r="Q43" s="25">
        <f>P43*1.15</f>
        <v>14.420999999999998</v>
      </c>
      <c r="R43" s="25">
        <f>P43*O43</f>
        <v>752.4</v>
      </c>
      <c r="S43" s="26">
        <f>Q43*O43</f>
        <v>865.25999999999988</v>
      </c>
      <c r="T43" s="27"/>
      <c r="U43" s="143" t="b">
        <f t="shared" si="53"/>
        <v>1</v>
      </c>
      <c r="V43" s="22" t="s">
        <v>131</v>
      </c>
      <c r="W43" s="25">
        <v>180</v>
      </c>
      <c r="X43" s="24">
        <v>12.54</v>
      </c>
      <c r="Y43" s="25">
        <f>X43*1.15</f>
        <v>14.420999999999998</v>
      </c>
      <c r="Z43" s="25">
        <f t="shared" si="59"/>
        <v>2257.1999999999998</v>
      </c>
      <c r="AA43" s="26">
        <f t="shared" si="60"/>
        <v>2595.7799999999997</v>
      </c>
      <c r="AB43" s="27"/>
      <c r="AD43" s="143" t="b">
        <f t="shared" si="54"/>
        <v>1</v>
      </c>
      <c r="AE43" s="22" t="s">
        <v>131</v>
      </c>
      <c r="AF43" s="25">
        <v>150</v>
      </c>
      <c r="AG43" s="24">
        <v>12.54</v>
      </c>
      <c r="AH43" s="25">
        <f t="shared" si="61"/>
        <v>14.420999999999998</v>
      </c>
      <c r="AI43" s="25">
        <f t="shared" si="29"/>
        <v>1880.9999999999998</v>
      </c>
      <c r="AJ43" s="205">
        <f>KviteringV4[[#This Row],[pris SC (m. mva)]]*KviteringV4[[#This Row],[Antall]]</f>
        <v>2163.1499999999996</v>
      </c>
      <c r="AK43" s="27"/>
      <c r="AM43" s="143" t="b">
        <f t="shared" si="55"/>
        <v>1</v>
      </c>
      <c r="AN43" s="22" t="s">
        <v>131</v>
      </c>
      <c r="AO43" s="210"/>
      <c r="AP43" s="211">
        <v>12.54</v>
      </c>
      <c r="AQ43" s="210">
        <f t="shared" si="62"/>
        <v>14.420999999999998</v>
      </c>
      <c r="AR43" s="210">
        <f t="shared" si="43"/>
        <v>0</v>
      </c>
      <c r="AS43" s="205">
        <f>KviteringV5[[#This Row],[pris SC (m. mva)]]*KviteringV5[[#This Row],[Antall]]</f>
        <v>0</v>
      </c>
      <c r="AT43" s="212"/>
      <c r="AV43" s="143" t="b">
        <f t="shared" si="56"/>
        <v>1</v>
      </c>
      <c r="AW43" s="22" t="s">
        <v>131</v>
      </c>
      <c r="AX43" s="210">
        <v>120</v>
      </c>
      <c r="AY43" s="211">
        <v>13.56</v>
      </c>
      <c r="AZ43" s="210">
        <f t="shared" si="63"/>
        <v>15.593999999999999</v>
      </c>
      <c r="BA43" s="210">
        <f t="shared" si="30"/>
        <v>1627.2</v>
      </c>
      <c r="BB43" s="205">
        <f>KviteringV6[[#This Row],[pris SC (m. mva)]]*KviteringV6[[#This Row],[Antall]]</f>
        <v>1871.28</v>
      </c>
      <c r="BC43" s="212"/>
      <c r="BE43" s="143" t="b">
        <f t="shared" si="57"/>
        <v>1</v>
      </c>
      <c r="BF43" s="22" t="s">
        <v>131</v>
      </c>
      <c r="BG43" s="210">
        <v>60</v>
      </c>
      <c r="BH43" s="211">
        <v>12.54</v>
      </c>
      <c r="BI43" s="210">
        <f t="shared" si="31"/>
        <v>14.420999999999998</v>
      </c>
      <c r="BJ43" s="210">
        <f t="shared" si="32"/>
        <v>752.4</v>
      </c>
      <c r="BK43" s="205">
        <f>KviteringV7[[#This Row],[pris SC (m. mva)]]*KviteringV7[[#This Row],[Antall]]</f>
        <v>865.25999999999988</v>
      </c>
      <c r="BL43" s="212"/>
      <c r="BN43" s="143" t="b">
        <f t="shared" si="58"/>
        <v>1</v>
      </c>
      <c r="BO43" s="22" t="s">
        <v>131</v>
      </c>
      <c r="BP43" s="210"/>
      <c r="BQ43" s="211">
        <v>13.56</v>
      </c>
      <c r="BR43" s="210">
        <f>BQ43*1.15</f>
        <v>15.593999999999999</v>
      </c>
      <c r="BS43" s="210">
        <f t="shared" si="33"/>
        <v>0</v>
      </c>
      <c r="BT43" s="205">
        <f>KviteringV8[[#This Row],[pris SC (m. mva)]]*KviteringV8[[#This Row],[Antall]]</f>
        <v>0</v>
      </c>
      <c r="BU43" s="212"/>
    </row>
    <row r="44" spans="1:73" x14ac:dyDescent="0.35">
      <c r="A44" s="152" t="s">
        <v>130</v>
      </c>
      <c r="B44" s="141">
        <f>IFERROR(VLOOKUP(Inkjøp[[#This Row],[Produkt]],KviteringV3[],2,FALSE),0)</f>
        <v>0</v>
      </c>
      <c r="C44" s="141" cm="1">
        <f t="array" ref="C4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1406.9823349999999</v>
      </c>
      <c r="D44" s="120"/>
      <c r="E44" s="15" t="b">
        <f t="shared" si="51"/>
        <v>1</v>
      </c>
      <c r="F44" s="25" t="s">
        <v>132</v>
      </c>
      <c r="G44" s="25">
        <v>108</v>
      </c>
      <c r="H44" s="32">
        <v>5.51</v>
      </c>
      <c r="I44" s="25">
        <f>H44*1.15</f>
        <v>6.3364999999999991</v>
      </c>
      <c r="J44" s="25">
        <f>H44*G44</f>
        <v>595.07999999999993</v>
      </c>
      <c r="K44" s="25">
        <f>I44*G44</f>
        <v>684.34199999999987</v>
      </c>
      <c r="L44" s="27"/>
      <c r="M44" s="143" t="b">
        <f t="shared" si="52"/>
        <v>1</v>
      </c>
      <c r="N44" s="22" t="s">
        <v>132</v>
      </c>
      <c r="O44" s="25">
        <v>108</v>
      </c>
      <c r="P44" s="24">
        <v>5.51</v>
      </c>
      <c r="Q44" s="25">
        <f>P44*1.15</f>
        <v>6.3364999999999991</v>
      </c>
      <c r="R44" s="25">
        <f>P44*O44</f>
        <v>595.07999999999993</v>
      </c>
      <c r="S44" s="26">
        <f>Q44*O44</f>
        <v>684.34199999999987</v>
      </c>
      <c r="T44" s="27"/>
      <c r="U44" s="143" t="b">
        <f t="shared" si="53"/>
        <v>1</v>
      </c>
      <c r="V44" s="22" t="s">
        <v>132</v>
      </c>
      <c r="W44" s="25">
        <v>252</v>
      </c>
      <c r="X44" s="24">
        <v>5.51</v>
      </c>
      <c r="Y44" s="25">
        <f>X44*1.15</f>
        <v>6.3364999999999991</v>
      </c>
      <c r="Z44" s="25">
        <f t="shared" si="59"/>
        <v>1388.52</v>
      </c>
      <c r="AA44" s="26">
        <f t="shared" si="60"/>
        <v>1596.7979999999998</v>
      </c>
      <c r="AB44" s="27"/>
      <c r="AD44" s="143" t="b">
        <f t="shared" si="54"/>
        <v>1</v>
      </c>
      <c r="AE44" s="22" t="s">
        <v>132</v>
      </c>
      <c r="AF44" s="25">
        <v>252</v>
      </c>
      <c r="AG44" s="24">
        <v>5.51</v>
      </c>
      <c r="AH44" s="25">
        <f t="shared" si="61"/>
        <v>6.3364999999999991</v>
      </c>
      <c r="AI44" s="25">
        <f t="shared" si="29"/>
        <v>1388.52</v>
      </c>
      <c r="AJ44" s="205">
        <f>KviteringV4[[#This Row],[pris SC (m. mva)]]*KviteringV4[[#This Row],[Antall]]</f>
        <v>1596.7979999999998</v>
      </c>
      <c r="AK44" s="27"/>
      <c r="AM44" s="143" t="b">
        <f t="shared" si="55"/>
        <v>1</v>
      </c>
      <c r="AN44" s="22" t="s">
        <v>132</v>
      </c>
      <c r="AO44" s="210"/>
      <c r="AP44" s="211">
        <v>5.51</v>
      </c>
      <c r="AQ44" s="210">
        <f t="shared" si="62"/>
        <v>6.3364999999999991</v>
      </c>
      <c r="AR44" s="210">
        <f t="shared" si="43"/>
        <v>0</v>
      </c>
      <c r="AS44" s="205">
        <f>KviteringV5[[#This Row],[pris SC (m. mva)]]*KviteringV5[[#This Row],[Antall]]</f>
        <v>0</v>
      </c>
      <c r="AT44" s="212"/>
      <c r="AV44" s="143" t="b">
        <f t="shared" si="56"/>
        <v>1</v>
      </c>
      <c r="AW44" s="22" t="s">
        <v>132</v>
      </c>
      <c r="AX44" s="210">
        <v>216</v>
      </c>
      <c r="AY44" s="211">
        <v>5.96</v>
      </c>
      <c r="AZ44" s="210">
        <f t="shared" si="63"/>
        <v>6.8539999999999992</v>
      </c>
      <c r="BA44" s="210">
        <f t="shared" si="30"/>
        <v>1287.3599999999999</v>
      </c>
      <c r="BB44" s="205">
        <f>KviteringV6[[#This Row],[pris SC (m. mva)]]*KviteringV6[[#This Row],[Antall]]</f>
        <v>1480.4639999999999</v>
      </c>
      <c r="BC44" s="212"/>
      <c r="BE44" s="143" t="b">
        <f t="shared" si="57"/>
        <v>1</v>
      </c>
      <c r="BF44" s="22" t="s">
        <v>132</v>
      </c>
      <c r="BG44" s="210">
        <v>144</v>
      </c>
      <c r="BH44" s="211">
        <v>5.51</v>
      </c>
      <c r="BI44" s="210">
        <f t="shared" si="31"/>
        <v>6.3364999999999991</v>
      </c>
      <c r="BJ44" s="210">
        <f t="shared" si="32"/>
        <v>793.43999999999994</v>
      </c>
      <c r="BK44" s="205">
        <f>KviteringV7[[#This Row],[pris SC (m. mva)]]*KviteringV7[[#This Row],[Antall]]</f>
        <v>912.4559999999999</v>
      </c>
      <c r="BL44" s="212"/>
      <c r="BN44" s="143" t="b">
        <f t="shared" si="58"/>
        <v>1</v>
      </c>
      <c r="BO44" s="22" t="s">
        <v>132</v>
      </c>
      <c r="BP44" s="210"/>
      <c r="BQ44" s="211">
        <v>5.96</v>
      </c>
      <c r="BR44" s="210">
        <f>BQ44*1.15</f>
        <v>6.8539999999999992</v>
      </c>
      <c r="BS44" s="210">
        <f t="shared" si="33"/>
        <v>0</v>
      </c>
      <c r="BT44" s="205">
        <f>KviteringV8[[#This Row],[pris SC (m. mva)]]*KviteringV8[[#This Row],[Antall]]</f>
        <v>0</v>
      </c>
      <c r="BU44" s="212"/>
    </row>
    <row r="45" spans="1:73" x14ac:dyDescent="0.35">
      <c r="A45" s="152" t="s">
        <v>131</v>
      </c>
      <c r="B45" s="141">
        <f>IFERROR(VLOOKUP(Inkjøp[[#This Row],[Produkt]],KviteringV3[],2,FALSE),0)</f>
        <v>180</v>
      </c>
      <c r="C45" s="141" cm="1">
        <f t="array" ref="C4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6489.4499999999989</v>
      </c>
      <c r="D45" s="120"/>
      <c r="E45" s="15" t="b">
        <f t="shared" si="51"/>
        <v>1</v>
      </c>
      <c r="F45" s="25" t="s">
        <v>133</v>
      </c>
      <c r="G45" s="25">
        <v>48</v>
      </c>
      <c r="H45" s="32">
        <v>20.07</v>
      </c>
      <c r="I45" s="25">
        <f>H45*1.15</f>
        <v>23.080499999999997</v>
      </c>
      <c r="J45" s="25">
        <f>H45*G45</f>
        <v>963.36</v>
      </c>
      <c r="K45" s="25">
        <f>I45*G45</f>
        <v>1107.8639999999998</v>
      </c>
      <c r="L45" s="27"/>
      <c r="M45" s="143" t="b">
        <f t="shared" si="52"/>
        <v>1</v>
      </c>
      <c r="N45" s="22" t="s">
        <v>133</v>
      </c>
      <c r="O45" s="25">
        <v>48</v>
      </c>
      <c r="P45" s="24">
        <v>20.07</v>
      </c>
      <c r="Q45" s="25">
        <f>P45*1.15</f>
        <v>23.080499999999997</v>
      </c>
      <c r="R45" s="25">
        <f>P45*O45</f>
        <v>963.36</v>
      </c>
      <c r="S45" s="26">
        <f>Q45*O45</f>
        <v>1107.8639999999998</v>
      </c>
      <c r="T45" s="27"/>
      <c r="U45" s="143" t="b">
        <f t="shared" si="53"/>
        <v>1</v>
      </c>
      <c r="V45" s="22" t="s">
        <v>133</v>
      </c>
      <c r="W45" s="25"/>
      <c r="X45" s="24"/>
      <c r="Y45" s="25"/>
      <c r="Z45" s="25">
        <f t="shared" si="59"/>
        <v>0</v>
      </c>
      <c r="AA45" s="26">
        <f t="shared" si="60"/>
        <v>0</v>
      </c>
      <c r="AB45" s="27"/>
      <c r="AD45" s="143" t="b">
        <f t="shared" si="54"/>
        <v>1</v>
      </c>
      <c r="AE45" s="22" t="s">
        <v>133</v>
      </c>
      <c r="AF45" s="25">
        <v>0</v>
      </c>
      <c r="AG45" s="24"/>
      <c r="AH45" s="25">
        <f t="shared" si="61"/>
        <v>0</v>
      </c>
      <c r="AI45" s="25">
        <f t="shared" si="29"/>
        <v>0</v>
      </c>
      <c r="AJ45" s="205">
        <f>KviteringV4[[#This Row],[pris SC (m. mva)]]*KviteringV4[[#This Row],[Antall]]</f>
        <v>0</v>
      </c>
      <c r="AK45" s="27"/>
      <c r="AM45" s="143" t="b">
        <f t="shared" si="55"/>
        <v>1</v>
      </c>
      <c r="AN45" s="22" t="s">
        <v>133</v>
      </c>
      <c r="AO45" s="210"/>
      <c r="AP45" s="211"/>
      <c r="AQ45" s="210">
        <f t="shared" si="62"/>
        <v>0</v>
      </c>
      <c r="AR45" s="210">
        <f t="shared" si="43"/>
        <v>0</v>
      </c>
      <c r="AS45" s="205">
        <f>KviteringV5[[#This Row],[pris SC (m. mva)]]*KviteringV5[[#This Row],[Antall]]</f>
        <v>0</v>
      </c>
      <c r="AT45" s="212"/>
      <c r="AV45" s="143" t="b">
        <f t="shared" si="56"/>
        <v>1</v>
      </c>
      <c r="AW45" s="22" t="s">
        <v>133</v>
      </c>
      <c r="AX45" s="210"/>
      <c r="AY45" s="211"/>
      <c r="AZ45" s="210">
        <f t="shared" si="63"/>
        <v>0</v>
      </c>
      <c r="BA45" s="210">
        <f t="shared" si="30"/>
        <v>0</v>
      </c>
      <c r="BB45" s="205">
        <f>KviteringV6[[#This Row],[pris SC (m. mva)]]*KviteringV6[[#This Row],[Antall]]</f>
        <v>0</v>
      </c>
      <c r="BC45" s="212"/>
      <c r="BE45" s="143" t="b">
        <f t="shared" si="57"/>
        <v>1</v>
      </c>
      <c r="BF45" s="22" t="s">
        <v>133</v>
      </c>
      <c r="BG45" s="210"/>
      <c r="BH45" s="211"/>
      <c r="BI45" s="210">
        <f t="shared" si="31"/>
        <v>0</v>
      </c>
      <c r="BJ45" s="210">
        <f t="shared" si="32"/>
        <v>0</v>
      </c>
      <c r="BK45" s="205">
        <f>KviteringV7[[#This Row],[pris SC (m. mva)]]*KviteringV7[[#This Row],[Antall]]</f>
        <v>0</v>
      </c>
      <c r="BL45" s="212"/>
      <c r="BN45" s="143" t="b">
        <f t="shared" si="58"/>
        <v>1</v>
      </c>
      <c r="BO45" s="22" t="s">
        <v>133</v>
      </c>
      <c r="BP45" s="210"/>
      <c r="BQ45" s="211"/>
      <c r="BR45" s="210">
        <f>BQ45*1.15</f>
        <v>0</v>
      </c>
      <c r="BS45" s="210">
        <f t="shared" si="33"/>
        <v>0</v>
      </c>
      <c r="BT45" s="205">
        <f>KviteringV8[[#This Row],[pris SC (m. mva)]]*KviteringV8[[#This Row],[Antall]]</f>
        <v>0</v>
      </c>
      <c r="BU45" s="212"/>
    </row>
    <row r="46" spans="1:73" ht="18.649999999999999" customHeight="1" x14ac:dyDescent="0.35">
      <c r="A46" s="152" t="s">
        <v>132</v>
      </c>
      <c r="B46" s="141">
        <f>IFERROR(VLOOKUP(Inkjøp[[#This Row],[Produkt]],KviteringV3[],2,FALSE),0)</f>
        <v>252</v>
      </c>
      <c r="C46" s="141" cm="1">
        <f t="array" ref="C4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4562.2799999999988</v>
      </c>
      <c r="D46" s="120"/>
      <c r="E46" s="15" t="b">
        <f t="shared" si="51"/>
        <v>1</v>
      </c>
      <c r="F46" s="25" t="s">
        <v>134</v>
      </c>
      <c r="G46" s="25"/>
      <c r="H46" s="32"/>
      <c r="I46" s="25"/>
      <c r="J46" s="25"/>
      <c r="K46" s="25"/>
      <c r="L46" s="27"/>
      <c r="M46" s="143" t="b">
        <f t="shared" si="52"/>
        <v>1</v>
      </c>
      <c r="N46" s="22" t="s">
        <v>134</v>
      </c>
      <c r="O46" s="25"/>
      <c r="P46" s="24"/>
      <c r="Q46" s="25"/>
      <c r="R46" s="25"/>
      <c r="S46" s="26"/>
      <c r="T46" s="27"/>
      <c r="U46" s="143" t="b">
        <f t="shared" si="53"/>
        <v>1</v>
      </c>
      <c r="V46" s="22" t="s">
        <v>134</v>
      </c>
      <c r="W46" s="25">
        <v>242</v>
      </c>
      <c r="X46" s="24"/>
      <c r="Y46" s="25">
        <v>29.9</v>
      </c>
      <c r="Z46" s="25">
        <f t="shared" si="59"/>
        <v>0</v>
      </c>
      <c r="AA46" s="26">
        <f>Y46*W46</f>
        <v>7235.7999999999993</v>
      </c>
      <c r="AB46" s="27"/>
      <c r="AD46" s="143" t="b">
        <f t="shared" si="54"/>
        <v>1</v>
      </c>
      <c r="AE46" s="22" t="s">
        <v>134</v>
      </c>
      <c r="AF46" s="25">
        <v>0</v>
      </c>
      <c r="AG46" s="24"/>
      <c r="AH46" s="25">
        <f t="shared" si="61"/>
        <v>0</v>
      </c>
      <c r="AI46" s="25">
        <f t="shared" si="29"/>
        <v>0</v>
      </c>
      <c r="AJ46" s="205">
        <f>KviteringV4[[#This Row],[pris SC (m. mva)]]*KviteringV4[[#This Row],[Antall]]</f>
        <v>0</v>
      </c>
      <c r="AK46" s="27"/>
      <c r="AM46" s="143" t="b">
        <f t="shared" si="55"/>
        <v>1</v>
      </c>
      <c r="AN46" s="22" t="s">
        <v>134</v>
      </c>
      <c r="AO46" s="210">
        <f>45+15</f>
        <v>60</v>
      </c>
      <c r="AP46" s="211"/>
      <c r="AQ46" s="210">
        <v>29.9</v>
      </c>
      <c r="AR46" s="210">
        <f t="shared" si="43"/>
        <v>0</v>
      </c>
      <c r="AS46" s="205">
        <f>KviteringV5[[#This Row],[pris SC (m. mva)]]*KviteringV5[[#This Row],[Antall]]</f>
        <v>1794</v>
      </c>
      <c r="AT46" s="212"/>
      <c r="AV46" s="143" t="b">
        <f t="shared" si="56"/>
        <v>1</v>
      </c>
      <c r="AW46" s="22" t="s">
        <v>134</v>
      </c>
      <c r="AX46" s="210">
        <f>109+93</f>
        <v>202</v>
      </c>
      <c r="AY46" s="211"/>
      <c r="AZ46" s="210">
        <v>29.9</v>
      </c>
      <c r="BA46" s="210">
        <f t="shared" si="30"/>
        <v>0</v>
      </c>
      <c r="BB46" s="205">
        <f>KviteringV6[[#This Row],[pris SC (m. mva)]]*KviteringV6[[#This Row],[Antall]]</f>
        <v>6039.7999999999993</v>
      </c>
      <c r="BC46" s="212"/>
      <c r="BE46" s="143" t="b">
        <f t="shared" si="57"/>
        <v>1</v>
      </c>
      <c r="BF46" s="22" t="s">
        <v>134</v>
      </c>
      <c r="BG46" s="210"/>
      <c r="BH46" s="211"/>
      <c r="BI46" s="210">
        <f t="shared" si="31"/>
        <v>0</v>
      </c>
      <c r="BJ46" s="210">
        <f t="shared" si="32"/>
        <v>0</v>
      </c>
      <c r="BK46" s="205">
        <f>KviteringV7[[#This Row],[pris SC (m. mva)]]*KviteringV7[[#This Row],[Antall]]</f>
        <v>0</v>
      </c>
      <c r="BL46" s="212"/>
      <c r="BN46" s="143" t="b">
        <f t="shared" si="58"/>
        <v>1</v>
      </c>
      <c r="BO46" s="22" t="s">
        <v>134</v>
      </c>
      <c r="BP46" s="210"/>
      <c r="BQ46" s="211"/>
      <c r="BR46" s="210">
        <v>29.9</v>
      </c>
      <c r="BS46" s="210">
        <f t="shared" si="33"/>
        <v>0</v>
      </c>
      <c r="BT46" s="205">
        <f>KviteringV8[[#This Row],[pris SC (m. mva)]]*KviteringV8[[#This Row],[Antall]]</f>
        <v>0</v>
      </c>
      <c r="BU46" s="212"/>
    </row>
    <row r="47" spans="1:73" x14ac:dyDescent="0.35">
      <c r="A47" s="152" t="s">
        <v>133</v>
      </c>
      <c r="B47" s="141">
        <f>IFERROR(VLOOKUP(Inkjøp[[#This Row],[Produkt]],KviteringV3[],2,FALSE),0)</f>
        <v>0</v>
      </c>
      <c r="C47" s="141" cm="1">
        <f t="array" ref="C4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2215.7279999999996</v>
      </c>
      <c r="D47" s="120"/>
      <c r="E47" s="15" t="b">
        <f t="shared" si="51"/>
        <v>1</v>
      </c>
      <c r="F47" s="25" t="s">
        <v>135</v>
      </c>
      <c r="M47" s="143" t="b">
        <f t="shared" si="52"/>
        <v>1</v>
      </c>
      <c r="N47" t="s">
        <v>135</v>
      </c>
      <c r="U47" s="143" t="b">
        <f t="shared" si="53"/>
        <v>1</v>
      </c>
      <c r="V47" s="22" t="s">
        <v>135</v>
      </c>
      <c r="W47" s="25">
        <v>128</v>
      </c>
      <c r="X47" s="24">
        <v>14.93</v>
      </c>
      <c r="Y47" s="25">
        <f t="shared" ref="Y47:Y65" si="64">X47*1.15</f>
        <v>17.169499999999999</v>
      </c>
      <c r="Z47" s="25">
        <f t="shared" si="59"/>
        <v>1911.04</v>
      </c>
      <c r="AA47" s="26">
        <f t="shared" si="60"/>
        <v>2197.6959999999999</v>
      </c>
      <c r="AB47" s="27"/>
      <c r="AD47" s="143" t="b">
        <f t="shared" si="54"/>
        <v>1</v>
      </c>
      <c r="AE47" s="22" t="s">
        <v>135</v>
      </c>
      <c r="AF47" s="25">
        <v>0</v>
      </c>
      <c r="AG47" s="24">
        <v>14.93</v>
      </c>
      <c r="AH47" s="25">
        <f t="shared" si="61"/>
        <v>17.169499999999999</v>
      </c>
      <c r="AI47" s="25">
        <f t="shared" si="29"/>
        <v>0</v>
      </c>
      <c r="AJ47" s="205">
        <f>KviteringV4[[#This Row],[pris SC (m. mva)]]*KviteringV4[[#This Row],[Antall]]</f>
        <v>0</v>
      </c>
      <c r="AK47" s="27"/>
      <c r="AM47" s="143" t="b">
        <f t="shared" si="55"/>
        <v>1</v>
      </c>
      <c r="AN47" s="22" t="s">
        <v>135</v>
      </c>
      <c r="AO47" s="210"/>
      <c r="AP47" s="211">
        <v>14.93</v>
      </c>
      <c r="AQ47" s="210">
        <f t="shared" si="62"/>
        <v>17.169499999999999</v>
      </c>
      <c r="AR47" s="210">
        <f t="shared" si="43"/>
        <v>0</v>
      </c>
      <c r="AS47" s="205">
        <f>KviteringV5[[#This Row],[pris SC (m. mva)]]*KviteringV5[[#This Row],[Antall]]</f>
        <v>0</v>
      </c>
      <c r="AT47" s="212"/>
      <c r="AV47" s="143" t="b">
        <f t="shared" si="56"/>
        <v>1</v>
      </c>
      <c r="AW47" s="22" t="s">
        <v>135</v>
      </c>
      <c r="AX47" s="210"/>
      <c r="AY47" s="211">
        <v>14.93</v>
      </c>
      <c r="AZ47" s="210">
        <f t="shared" si="63"/>
        <v>17.169499999999999</v>
      </c>
      <c r="BA47" s="210">
        <f t="shared" si="30"/>
        <v>0</v>
      </c>
      <c r="BB47" s="205">
        <f>KviteringV6[[#This Row],[pris SC (m. mva)]]*KviteringV6[[#This Row],[Antall]]</f>
        <v>0</v>
      </c>
      <c r="BC47" s="212"/>
      <c r="BE47" s="143" t="b">
        <f t="shared" si="57"/>
        <v>1</v>
      </c>
      <c r="BF47" s="22" t="s">
        <v>135</v>
      </c>
      <c r="BG47" s="210"/>
      <c r="BH47" s="211">
        <v>14.93</v>
      </c>
      <c r="BI47" s="210">
        <f t="shared" si="31"/>
        <v>17.169499999999999</v>
      </c>
      <c r="BJ47" s="210">
        <f t="shared" si="32"/>
        <v>0</v>
      </c>
      <c r="BK47" s="205">
        <f>KviteringV7[[#This Row],[pris SC (m. mva)]]*KviteringV7[[#This Row],[Antall]]</f>
        <v>0</v>
      </c>
      <c r="BL47" s="212"/>
      <c r="BN47" s="143" t="b">
        <f t="shared" si="58"/>
        <v>1</v>
      </c>
      <c r="BO47" s="22" t="s">
        <v>135</v>
      </c>
      <c r="BP47" s="210"/>
      <c r="BQ47" s="211">
        <v>14.93</v>
      </c>
      <c r="BR47" s="210">
        <f t="shared" ref="BR47:BR70" si="65">BQ47*1.15</f>
        <v>17.169499999999999</v>
      </c>
      <c r="BS47" s="210">
        <f t="shared" si="33"/>
        <v>0</v>
      </c>
      <c r="BT47" s="205">
        <f>KviteringV8[[#This Row],[pris SC (m. mva)]]*KviteringV8[[#This Row],[Antall]]</f>
        <v>0</v>
      </c>
      <c r="BU47" s="212"/>
    </row>
    <row r="48" spans="1:73" x14ac:dyDescent="0.35">
      <c r="A48" s="152" t="s">
        <v>134</v>
      </c>
      <c r="B48" s="141">
        <f>IFERROR(VLOOKUP(Inkjøp[[#This Row],[Produkt]],KviteringV3[],2,FALSE),0)</f>
        <v>242</v>
      </c>
      <c r="C48" s="141" cm="1">
        <f t="array" ref="C4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7235.7999999999993</v>
      </c>
      <c r="D48" s="120"/>
      <c r="E48" s="15" t="b">
        <f t="shared" si="51"/>
        <v>1</v>
      </c>
      <c r="F48" s="25" t="s">
        <v>136</v>
      </c>
      <c r="G48" s="25">
        <v>24</v>
      </c>
      <c r="H48" s="32">
        <v>19.2</v>
      </c>
      <c r="I48" s="25">
        <f>H48*1.15</f>
        <v>22.08</v>
      </c>
      <c r="J48" s="25">
        <f>H48*G48</f>
        <v>460.79999999999995</v>
      </c>
      <c r="K48" s="25">
        <f>I48*G48</f>
        <v>529.91999999999996</v>
      </c>
      <c r="L48" s="27"/>
      <c r="M48" s="143" t="b">
        <f t="shared" si="52"/>
        <v>1</v>
      </c>
      <c r="N48" s="22" t="s">
        <v>136</v>
      </c>
      <c r="O48" s="25">
        <v>48</v>
      </c>
      <c r="P48" s="24">
        <v>19.2</v>
      </c>
      <c r="Q48" s="25">
        <f t="shared" ref="Q48:Q65" si="66">P48*1.15</f>
        <v>22.08</v>
      </c>
      <c r="R48" s="25">
        <f t="shared" ref="R48:R65" si="67">P48*O48</f>
        <v>921.59999999999991</v>
      </c>
      <c r="S48" s="26">
        <f t="shared" ref="S48:S65" si="68">Q48*O48</f>
        <v>1059.8399999999999</v>
      </c>
      <c r="T48" s="27"/>
      <c r="U48" s="143" t="b">
        <f t="shared" si="53"/>
        <v>1</v>
      </c>
      <c r="V48" s="22" t="s">
        <v>136</v>
      </c>
      <c r="W48" s="25">
        <v>48</v>
      </c>
      <c r="X48" s="24">
        <v>19.2</v>
      </c>
      <c r="Y48" s="25">
        <f t="shared" si="64"/>
        <v>22.08</v>
      </c>
      <c r="Z48" s="25">
        <f t="shared" si="59"/>
        <v>921.59999999999991</v>
      </c>
      <c r="AA48" s="26">
        <f t="shared" si="60"/>
        <v>1059.8399999999999</v>
      </c>
      <c r="AB48" s="27"/>
      <c r="AD48" s="143" t="b">
        <f t="shared" si="54"/>
        <v>1</v>
      </c>
      <c r="AE48" s="22" t="s">
        <v>136</v>
      </c>
      <c r="AF48" s="25">
        <v>0</v>
      </c>
      <c r="AG48" s="24">
        <v>19.2</v>
      </c>
      <c r="AH48" s="25">
        <f t="shared" si="61"/>
        <v>22.08</v>
      </c>
      <c r="AI48" s="25">
        <f t="shared" si="29"/>
        <v>0</v>
      </c>
      <c r="AJ48" s="205">
        <f>KviteringV4[[#This Row],[pris SC (m. mva)]]*KviteringV4[[#This Row],[Antall]]</f>
        <v>0</v>
      </c>
      <c r="AK48" s="27"/>
      <c r="AM48" s="143" t="b">
        <f t="shared" si="55"/>
        <v>1</v>
      </c>
      <c r="AN48" s="22" t="s">
        <v>136</v>
      </c>
      <c r="AO48" s="210"/>
      <c r="AP48" s="211">
        <v>19.2</v>
      </c>
      <c r="AQ48" s="210">
        <f t="shared" si="62"/>
        <v>22.08</v>
      </c>
      <c r="AR48" s="210">
        <f t="shared" si="43"/>
        <v>0</v>
      </c>
      <c r="AS48" s="205">
        <f>KviteringV5[[#This Row],[pris SC (m. mva)]]*KviteringV5[[#This Row],[Antall]]</f>
        <v>0</v>
      </c>
      <c r="AT48" s="212"/>
      <c r="AV48" s="143" t="b">
        <f t="shared" si="56"/>
        <v>1</v>
      </c>
      <c r="AW48" s="22" t="s">
        <v>136</v>
      </c>
      <c r="AX48" s="210"/>
      <c r="AY48" s="211">
        <v>19.2</v>
      </c>
      <c r="AZ48" s="210">
        <f t="shared" si="63"/>
        <v>22.08</v>
      </c>
      <c r="BA48" s="210">
        <f t="shared" si="30"/>
        <v>0</v>
      </c>
      <c r="BB48" s="205">
        <f>KviteringV6[[#This Row],[pris SC (m. mva)]]*KviteringV6[[#This Row],[Antall]]</f>
        <v>0</v>
      </c>
      <c r="BC48" s="212"/>
      <c r="BE48" s="143" t="b">
        <f t="shared" si="57"/>
        <v>1</v>
      </c>
      <c r="BF48" s="22" t="s">
        <v>136</v>
      </c>
      <c r="BG48" s="210"/>
      <c r="BH48" s="211">
        <v>19.2</v>
      </c>
      <c r="BI48" s="210">
        <f t="shared" si="31"/>
        <v>22.08</v>
      </c>
      <c r="BJ48" s="210">
        <f t="shared" si="32"/>
        <v>0</v>
      </c>
      <c r="BK48" s="205">
        <f>KviteringV7[[#This Row],[pris SC (m. mva)]]*KviteringV7[[#This Row],[Antall]]</f>
        <v>0</v>
      </c>
      <c r="BL48" s="212"/>
      <c r="BN48" s="143" t="b">
        <f t="shared" si="58"/>
        <v>1</v>
      </c>
      <c r="BO48" s="22" t="s">
        <v>136</v>
      </c>
      <c r="BP48" s="210"/>
      <c r="BQ48" s="211">
        <v>19.2</v>
      </c>
      <c r="BR48" s="210">
        <f t="shared" si="65"/>
        <v>22.08</v>
      </c>
      <c r="BS48" s="210">
        <f t="shared" si="33"/>
        <v>0</v>
      </c>
      <c r="BT48" s="205">
        <f>KviteringV8[[#This Row],[pris SC (m. mva)]]*KviteringV8[[#This Row],[Antall]]</f>
        <v>0</v>
      </c>
      <c r="BU48" s="212"/>
    </row>
    <row r="49" spans="1:73" x14ac:dyDescent="0.35">
      <c r="A49" s="152" t="s">
        <v>135</v>
      </c>
      <c r="B49" s="141">
        <f>IFERROR(VLOOKUP(Inkjøp[[#This Row],[Produkt]],KviteringV3[],2,FALSE),0)</f>
        <v>128</v>
      </c>
      <c r="C49" s="141" cm="1">
        <f t="array" ref="C4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2197.6959999999999</v>
      </c>
      <c r="D49" s="120"/>
      <c r="E49" s="15" t="b">
        <f t="shared" si="51"/>
        <v>1</v>
      </c>
      <c r="F49" s="25" t="s">
        <v>137</v>
      </c>
      <c r="G49" s="25">
        <v>30</v>
      </c>
      <c r="H49" s="32">
        <v>21.01</v>
      </c>
      <c r="I49" s="25">
        <f>H49*1.15</f>
        <v>24.1615</v>
      </c>
      <c r="J49" s="25">
        <f>H49*G49</f>
        <v>630.30000000000007</v>
      </c>
      <c r="K49" s="25">
        <f>I49*G49</f>
        <v>724.84500000000003</v>
      </c>
      <c r="L49" s="27"/>
      <c r="M49" s="143" t="b">
        <f t="shared" si="52"/>
        <v>1</v>
      </c>
      <c r="N49" s="22" t="s">
        <v>137</v>
      </c>
      <c r="O49" s="25">
        <v>30</v>
      </c>
      <c r="P49" s="24">
        <v>21.01</v>
      </c>
      <c r="Q49" s="25">
        <f t="shared" si="66"/>
        <v>24.1615</v>
      </c>
      <c r="R49" s="25">
        <f t="shared" si="67"/>
        <v>630.30000000000007</v>
      </c>
      <c r="S49" s="26">
        <f t="shared" si="68"/>
        <v>724.84500000000003</v>
      </c>
      <c r="T49" s="27"/>
      <c r="U49" s="143" t="b">
        <f t="shared" si="53"/>
        <v>1</v>
      </c>
      <c r="V49" s="22" t="s">
        <v>137</v>
      </c>
      <c r="W49" s="25">
        <v>90</v>
      </c>
      <c r="X49" s="24">
        <v>21.01</v>
      </c>
      <c r="Y49" s="25">
        <f t="shared" si="64"/>
        <v>24.1615</v>
      </c>
      <c r="Z49" s="25">
        <f t="shared" si="59"/>
        <v>1890.9</v>
      </c>
      <c r="AA49" s="26">
        <f t="shared" si="60"/>
        <v>2174.5349999999999</v>
      </c>
      <c r="AB49" s="27"/>
      <c r="AD49" s="143" t="b">
        <f t="shared" si="54"/>
        <v>1</v>
      </c>
      <c r="AE49" s="22" t="s">
        <v>137</v>
      </c>
      <c r="AF49" s="25">
        <v>0</v>
      </c>
      <c r="AG49" s="24">
        <v>21.01</v>
      </c>
      <c r="AH49" s="25">
        <f t="shared" si="61"/>
        <v>24.1615</v>
      </c>
      <c r="AI49" s="25">
        <f t="shared" si="29"/>
        <v>0</v>
      </c>
      <c r="AJ49" s="205">
        <f>KviteringV4[[#This Row],[pris SC (m. mva)]]*KviteringV4[[#This Row],[Antall]]</f>
        <v>0</v>
      </c>
      <c r="AK49" s="27"/>
      <c r="AM49" s="143" t="b">
        <f t="shared" si="55"/>
        <v>1</v>
      </c>
      <c r="AN49" s="22" t="s">
        <v>137</v>
      </c>
      <c r="AO49" s="210"/>
      <c r="AP49" s="211">
        <v>21.01</v>
      </c>
      <c r="AQ49" s="210">
        <f t="shared" si="62"/>
        <v>24.1615</v>
      </c>
      <c r="AR49" s="210">
        <f t="shared" si="43"/>
        <v>0</v>
      </c>
      <c r="AS49" s="205">
        <f>KviteringV5[[#This Row],[pris SC (m. mva)]]*KviteringV5[[#This Row],[Antall]]</f>
        <v>0</v>
      </c>
      <c r="AT49" s="212"/>
      <c r="AV49" s="143" t="b">
        <f t="shared" si="56"/>
        <v>1</v>
      </c>
      <c r="AW49" s="22" t="s">
        <v>137</v>
      </c>
      <c r="AX49" s="210"/>
      <c r="AY49" s="211">
        <v>21.01</v>
      </c>
      <c r="AZ49" s="210">
        <f t="shared" si="63"/>
        <v>24.1615</v>
      </c>
      <c r="BA49" s="210">
        <f t="shared" si="30"/>
        <v>0</v>
      </c>
      <c r="BB49" s="205">
        <f>KviteringV6[[#This Row],[pris SC (m. mva)]]*KviteringV6[[#This Row],[Antall]]</f>
        <v>0</v>
      </c>
      <c r="BC49" s="212"/>
      <c r="BE49" s="143" t="b">
        <f t="shared" si="57"/>
        <v>1</v>
      </c>
      <c r="BF49" s="22" t="s">
        <v>137</v>
      </c>
      <c r="BG49" s="210"/>
      <c r="BH49" s="211">
        <v>21.01</v>
      </c>
      <c r="BI49" s="210">
        <f t="shared" si="31"/>
        <v>24.1615</v>
      </c>
      <c r="BJ49" s="210">
        <f t="shared" si="32"/>
        <v>0</v>
      </c>
      <c r="BK49" s="205">
        <f>KviteringV7[[#This Row],[pris SC (m. mva)]]*KviteringV7[[#This Row],[Antall]]</f>
        <v>0</v>
      </c>
      <c r="BL49" s="212"/>
      <c r="BN49" s="143" t="b">
        <f t="shared" si="58"/>
        <v>1</v>
      </c>
      <c r="BO49" s="22" t="s">
        <v>137</v>
      </c>
      <c r="BP49" s="210"/>
      <c r="BQ49" s="211">
        <v>21.01</v>
      </c>
      <c r="BR49" s="210">
        <f t="shared" si="65"/>
        <v>24.1615</v>
      </c>
      <c r="BS49" s="210">
        <f t="shared" si="33"/>
        <v>0</v>
      </c>
      <c r="BT49" s="205">
        <f>KviteringV8[[#This Row],[pris SC (m. mva)]]*KviteringV8[[#This Row],[Antall]]</f>
        <v>0</v>
      </c>
      <c r="BU49" s="212"/>
    </row>
    <row r="50" spans="1:73" x14ac:dyDescent="0.35">
      <c r="A50" s="152" t="s">
        <v>136</v>
      </c>
      <c r="B50" s="141">
        <f>IFERROR(VLOOKUP(Inkjøp[[#This Row],[Produkt]],KviteringV3[],2,FALSE),0)</f>
        <v>48</v>
      </c>
      <c r="C50" s="141" cm="1">
        <f t="array" ref="C5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2649.5999999999995</v>
      </c>
      <c r="D50" s="120"/>
      <c r="E50" s="15" t="b">
        <f t="shared" si="51"/>
        <v>1</v>
      </c>
      <c r="F50" s="25" t="s">
        <v>138</v>
      </c>
      <c r="G50" s="25">
        <v>20</v>
      </c>
      <c r="H50" s="32">
        <v>21.11</v>
      </c>
      <c r="I50" s="25">
        <f>H50*1.15</f>
        <v>24.276499999999999</v>
      </c>
      <c r="J50" s="25">
        <f>H50*G50</f>
        <v>422.2</v>
      </c>
      <c r="K50" s="25">
        <f>I50*G50</f>
        <v>485.53</v>
      </c>
      <c r="L50" s="27"/>
      <c r="M50" s="143" t="b">
        <f t="shared" si="52"/>
        <v>1</v>
      </c>
      <c r="N50" s="22" t="s">
        <v>138</v>
      </c>
      <c r="O50" s="25">
        <v>15</v>
      </c>
      <c r="P50" s="24">
        <v>14.492699999999999</v>
      </c>
      <c r="Q50" s="25">
        <f t="shared" si="66"/>
        <v>16.666604999999997</v>
      </c>
      <c r="R50" s="25">
        <f t="shared" si="67"/>
        <v>217.39049999999997</v>
      </c>
      <c r="S50" s="26">
        <f t="shared" si="68"/>
        <v>249.99907499999995</v>
      </c>
      <c r="T50" s="27"/>
      <c r="U50" s="143" t="b">
        <f t="shared" si="53"/>
        <v>1</v>
      </c>
      <c r="V50" s="22" t="s">
        <v>138</v>
      </c>
      <c r="W50" s="25">
        <v>0</v>
      </c>
      <c r="X50" s="24">
        <v>14.492699999999999</v>
      </c>
      <c r="Y50" s="25">
        <f t="shared" si="64"/>
        <v>16.666604999999997</v>
      </c>
      <c r="Z50" s="25">
        <f t="shared" si="59"/>
        <v>0</v>
      </c>
      <c r="AA50" s="26">
        <f t="shared" si="60"/>
        <v>0</v>
      </c>
      <c r="AB50" s="27"/>
      <c r="AD50" s="143" t="b">
        <f t="shared" si="54"/>
        <v>1</v>
      </c>
      <c r="AE50" s="22" t="s">
        <v>138</v>
      </c>
      <c r="AF50" s="25">
        <v>0</v>
      </c>
      <c r="AG50" s="24">
        <v>14.492699999999999</v>
      </c>
      <c r="AH50" s="25">
        <f t="shared" si="61"/>
        <v>16.666604999999997</v>
      </c>
      <c r="AI50" s="25">
        <f t="shared" si="29"/>
        <v>0</v>
      </c>
      <c r="AJ50" s="205">
        <f>KviteringV4[[#This Row],[pris SC (m. mva)]]*KviteringV4[[#This Row],[Antall]]</f>
        <v>0</v>
      </c>
      <c r="AK50" s="27"/>
      <c r="AM50" s="143" t="b">
        <f t="shared" si="55"/>
        <v>1</v>
      </c>
      <c r="AN50" s="22" t="s">
        <v>138</v>
      </c>
      <c r="AO50" s="210"/>
      <c r="AP50" s="211">
        <v>14.492699999999999</v>
      </c>
      <c r="AQ50" s="210">
        <f t="shared" si="62"/>
        <v>16.666604999999997</v>
      </c>
      <c r="AR50" s="210">
        <f t="shared" si="43"/>
        <v>0</v>
      </c>
      <c r="AS50" s="205">
        <f>KviteringV5[[#This Row],[pris SC (m. mva)]]*KviteringV5[[#This Row],[Antall]]</f>
        <v>0</v>
      </c>
      <c r="AT50" s="212"/>
      <c r="AV50" s="143" t="b">
        <f t="shared" si="56"/>
        <v>1</v>
      </c>
      <c r="AW50" s="22" t="s">
        <v>138</v>
      </c>
      <c r="AX50" s="210"/>
      <c r="AY50" s="211">
        <v>14.492699999999999</v>
      </c>
      <c r="AZ50" s="210">
        <f t="shared" si="63"/>
        <v>16.666604999999997</v>
      </c>
      <c r="BA50" s="210">
        <f t="shared" si="30"/>
        <v>0</v>
      </c>
      <c r="BB50" s="205">
        <f>KviteringV6[[#This Row],[pris SC (m. mva)]]*KviteringV6[[#This Row],[Antall]]</f>
        <v>0</v>
      </c>
      <c r="BC50" s="212"/>
      <c r="BE50" s="143" t="b">
        <f t="shared" si="57"/>
        <v>1</v>
      </c>
      <c r="BF50" s="22" t="s">
        <v>138</v>
      </c>
      <c r="BG50" s="210"/>
      <c r="BH50" s="211">
        <v>14.492699999999999</v>
      </c>
      <c r="BI50" s="210">
        <f t="shared" si="31"/>
        <v>16.666604999999997</v>
      </c>
      <c r="BJ50" s="210">
        <f t="shared" si="32"/>
        <v>0</v>
      </c>
      <c r="BK50" s="205">
        <f>KviteringV7[[#This Row],[pris SC (m. mva)]]*KviteringV7[[#This Row],[Antall]]</f>
        <v>0</v>
      </c>
      <c r="BL50" s="212"/>
      <c r="BN50" s="143" t="b">
        <f t="shared" si="58"/>
        <v>1</v>
      </c>
      <c r="BO50" s="22" t="s">
        <v>138</v>
      </c>
      <c r="BP50" s="210"/>
      <c r="BQ50" s="211">
        <v>14.492699999999999</v>
      </c>
      <c r="BR50" s="210">
        <f t="shared" si="65"/>
        <v>16.666604999999997</v>
      </c>
      <c r="BS50" s="210">
        <f t="shared" si="33"/>
        <v>0</v>
      </c>
      <c r="BT50" s="205">
        <f>KviteringV8[[#This Row],[pris SC (m. mva)]]*KviteringV8[[#This Row],[Antall]]</f>
        <v>0</v>
      </c>
      <c r="BU50" s="212"/>
    </row>
    <row r="51" spans="1:73" x14ac:dyDescent="0.35">
      <c r="A51" s="152" t="s">
        <v>137</v>
      </c>
      <c r="B51" s="141">
        <f>IFERROR(VLOOKUP(Inkjøp[[#This Row],[Produkt]],KviteringV3[],2,FALSE),0)</f>
        <v>90</v>
      </c>
      <c r="C51" s="141" cm="1">
        <f t="array" ref="C5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3624.2249999999999</v>
      </c>
      <c r="D51" s="120"/>
      <c r="E51" s="15" t="b">
        <f t="shared" si="51"/>
        <v>1</v>
      </c>
      <c r="F51" s="25" t="s">
        <v>139</v>
      </c>
      <c r="G51" s="25"/>
      <c r="H51" s="25"/>
      <c r="I51" s="25"/>
      <c r="J51" s="25"/>
      <c r="K51" s="25"/>
      <c r="L51" s="27"/>
      <c r="M51" s="143" t="b">
        <f t="shared" si="52"/>
        <v>1</v>
      </c>
      <c r="N51" s="22" t="s">
        <v>139</v>
      </c>
      <c r="O51" s="30">
        <v>48</v>
      </c>
      <c r="P51" s="29">
        <v>13.06</v>
      </c>
      <c r="Q51" s="30">
        <f t="shared" si="66"/>
        <v>15.019</v>
      </c>
      <c r="R51" s="30">
        <f t="shared" si="67"/>
        <v>626.88</v>
      </c>
      <c r="S51" s="31">
        <f t="shared" si="68"/>
        <v>720.91200000000003</v>
      </c>
      <c r="T51" s="27"/>
      <c r="U51" s="143" t="b">
        <f t="shared" si="53"/>
        <v>1</v>
      </c>
      <c r="V51" s="22" t="s">
        <v>139</v>
      </c>
      <c r="W51" s="25">
        <v>0</v>
      </c>
      <c r="X51" s="24">
        <v>13.06</v>
      </c>
      <c r="Y51" s="25">
        <f t="shared" si="64"/>
        <v>15.019</v>
      </c>
      <c r="Z51" s="25">
        <f t="shared" si="59"/>
        <v>0</v>
      </c>
      <c r="AA51" s="25">
        <f t="shared" si="60"/>
        <v>0</v>
      </c>
      <c r="AB51" s="27"/>
      <c r="AD51" s="143" t="b">
        <f t="shared" si="54"/>
        <v>1</v>
      </c>
      <c r="AE51" s="22" t="s">
        <v>139</v>
      </c>
      <c r="AF51" s="25">
        <v>0</v>
      </c>
      <c r="AG51" s="24">
        <v>13.06</v>
      </c>
      <c r="AH51" s="25">
        <f t="shared" si="61"/>
        <v>15.019</v>
      </c>
      <c r="AI51" s="25">
        <f t="shared" si="29"/>
        <v>0</v>
      </c>
      <c r="AJ51" s="205">
        <f>KviteringV4[[#This Row],[pris SC (m. mva)]]*KviteringV4[[#This Row],[Antall]]</f>
        <v>0</v>
      </c>
      <c r="AK51" s="27"/>
      <c r="AM51" s="143" t="b">
        <f t="shared" si="55"/>
        <v>1</v>
      </c>
      <c r="AN51" s="22" t="s">
        <v>139</v>
      </c>
      <c r="AO51" s="210"/>
      <c r="AP51" s="211">
        <v>13.06</v>
      </c>
      <c r="AQ51" s="210">
        <f t="shared" si="62"/>
        <v>15.019</v>
      </c>
      <c r="AR51" s="210">
        <f t="shared" si="43"/>
        <v>0</v>
      </c>
      <c r="AS51" s="205">
        <f>KviteringV5[[#This Row],[pris SC (m. mva)]]*KviteringV5[[#This Row],[Antall]]</f>
        <v>0</v>
      </c>
      <c r="AT51" s="212"/>
      <c r="AV51" s="143" t="b">
        <f t="shared" si="56"/>
        <v>1</v>
      </c>
      <c r="AW51" s="22" t="s">
        <v>139</v>
      </c>
      <c r="AX51" s="210"/>
      <c r="AY51" s="211">
        <v>13.06</v>
      </c>
      <c r="AZ51" s="210">
        <f t="shared" si="63"/>
        <v>15.019</v>
      </c>
      <c r="BA51" s="210">
        <f t="shared" si="30"/>
        <v>0</v>
      </c>
      <c r="BB51" s="205">
        <f>KviteringV6[[#This Row],[pris SC (m. mva)]]*KviteringV6[[#This Row],[Antall]]</f>
        <v>0</v>
      </c>
      <c r="BC51" s="212"/>
      <c r="BE51" s="143" t="b">
        <f t="shared" si="57"/>
        <v>1</v>
      </c>
      <c r="BF51" s="22" t="s">
        <v>139</v>
      </c>
      <c r="BG51" s="210"/>
      <c r="BH51" s="211">
        <v>13.06</v>
      </c>
      <c r="BI51" s="210">
        <f t="shared" si="31"/>
        <v>15.019</v>
      </c>
      <c r="BJ51" s="210">
        <f t="shared" si="32"/>
        <v>0</v>
      </c>
      <c r="BK51" s="205">
        <f>KviteringV7[[#This Row],[pris SC (m. mva)]]*KviteringV7[[#This Row],[Antall]]</f>
        <v>0</v>
      </c>
      <c r="BL51" s="212"/>
      <c r="BN51" s="143" t="b">
        <f t="shared" si="58"/>
        <v>1</v>
      </c>
      <c r="BO51" s="22" t="s">
        <v>139</v>
      </c>
      <c r="BP51" s="210"/>
      <c r="BQ51" s="211">
        <v>13.06</v>
      </c>
      <c r="BR51" s="210">
        <f t="shared" si="65"/>
        <v>15.019</v>
      </c>
      <c r="BS51" s="210">
        <f t="shared" si="33"/>
        <v>0</v>
      </c>
      <c r="BT51" s="205">
        <f>KviteringV8[[#This Row],[pris SC (m. mva)]]*KviteringV8[[#This Row],[Antall]]</f>
        <v>0</v>
      </c>
      <c r="BU51" s="212"/>
    </row>
    <row r="52" spans="1:73" x14ac:dyDescent="0.35">
      <c r="A52" s="152" t="s">
        <v>138</v>
      </c>
      <c r="B52" s="141">
        <f>IFERROR(VLOOKUP(Inkjøp[[#This Row],[Produkt]],KviteringV3[],2,FALSE),0)</f>
        <v>0</v>
      </c>
      <c r="C52" s="141" cm="1">
        <f t="array" ref="C5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735.52907499999992</v>
      </c>
      <c r="D52" s="120"/>
      <c r="E52" s="15" t="b">
        <f t="shared" si="51"/>
        <v>1</v>
      </c>
      <c r="F52" s="25" t="s">
        <v>140</v>
      </c>
      <c r="G52" s="25"/>
      <c r="H52" s="25"/>
      <c r="I52" s="25"/>
      <c r="J52" s="25"/>
      <c r="K52" s="25"/>
      <c r="L52" s="27"/>
      <c r="M52" s="143" t="b">
        <f t="shared" si="52"/>
        <v>1</v>
      </c>
      <c r="N52" s="22" t="s">
        <v>140</v>
      </c>
      <c r="O52" s="30">
        <v>48</v>
      </c>
      <c r="P52" s="29">
        <v>11.35</v>
      </c>
      <c r="Q52" s="30">
        <f t="shared" si="66"/>
        <v>13.052499999999998</v>
      </c>
      <c r="R52" s="30">
        <f t="shared" si="67"/>
        <v>544.79999999999995</v>
      </c>
      <c r="S52" s="31">
        <f t="shared" si="68"/>
        <v>626.52</v>
      </c>
      <c r="T52" s="27"/>
      <c r="U52" s="143" t="b">
        <f t="shared" si="53"/>
        <v>1</v>
      </c>
      <c r="V52" s="22" t="s">
        <v>140</v>
      </c>
      <c r="W52" s="25">
        <v>0</v>
      </c>
      <c r="X52" s="24">
        <v>11.35</v>
      </c>
      <c r="Y52" s="25">
        <f t="shared" si="64"/>
        <v>13.052499999999998</v>
      </c>
      <c r="Z52" s="25">
        <f t="shared" si="59"/>
        <v>0</v>
      </c>
      <c r="AA52" s="25">
        <f t="shared" si="60"/>
        <v>0</v>
      </c>
      <c r="AB52" s="27"/>
      <c r="AD52" s="143" t="b">
        <f t="shared" si="54"/>
        <v>1</v>
      </c>
      <c r="AE52" s="22" t="s">
        <v>140</v>
      </c>
      <c r="AF52" s="25">
        <v>0</v>
      </c>
      <c r="AG52" s="24">
        <v>11.35</v>
      </c>
      <c r="AH52" s="25">
        <f t="shared" si="61"/>
        <v>13.052499999999998</v>
      </c>
      <c r="AI52" s="25">
        <f t="shared" si="29"/>
        <v>0</v>
      </c>
      <c r="AJ52" s="205">
        <f>KviteringV4[[#This Row],[pris SC (m. mva)]]*KviteringV4[[#This Row],[Antall]]</f>
        <v>0</v>
      </c>
      <c r="AK52" s="27"/>
      <c r="AM52" s="143" t="b">
        <f t="shared" si="55"/>
        <v>1</v>
      </c>
      <c r="AN52" s="22" t="s">
        <v>140</v>
      </c>
      <c r="AO52" s="210"/>
      <c r="AP52" s="211">
        <v>11.35</v>
      </c>
      <c r="AQ52" s="210">
        <f t="shared" si="62"/>
        <v>13.052499999999998</v>
      </c>
      <c r="AR52" s="210">
        <f t="shared" si="43"/>
        <v>0</v>
      </c>
      <c r="AS52" s="205">
        <f>KviteringV5[[#This Row],[pris SC (m. mva)]]*KviteringV5[[#This Row],[Antall]]</f>
        <v>0</v>
      </c>
      <c r="AT52" s="212"/>
      <c r="AV52" s="143" t="b">
        <f t="shared" si="56"/>
        <v>1</v>
      </c>
      <c r="AW52" s="22" t="s">
        <v>140</v>
      </c>
      <c r="AX52" s="210"/>
      <c r="AY52" s="211">
        <v>11.35</v>
      </c>
      <c r="AZ52" s="210">
        <f t="shared" si="63"/>
        <v>13.052499999999998</v>
      </c>
      <c r="BA52" s="210">
        <f t="shared" si="30"/>
        <v>0</v>
      </c>
      <c r="BB52" s="205">
        <f>KviteringV6[[#This Row],[pris SC (m. mva)]]*KviteringV6[[#This Row],[Antall]]</f>
        <v>0</v>
      </c>
      <c r="BC52" s="212"/>
      <c r="BE52" s="143" t="b">
        <f t="shared" si="57"/>
        <v>1</v>
      </c>
      <c r="BF52" s="22" t="s">
        <v>140</v>
      </c>
      <c r="BG52" s="210"/>
      <c r="BH52" s="211">
        <v>11.35</v>
      </c>
      <c r="BI52" s="210">
        <f t="shared" si="31"/>
        <v>13.052499999999998</v>
      </c>
      <c r="BJ52" s="210">
        <f t="shared" si="32"/>
        <v>0</v>
      </c>
      <c r="BK52" s="205">
        <f>KviteringV7[[#This Row],[pris SC (m. mva)]]*KviteringV7[[#This Row],[Antall]]</f>
        <v>0</v>
      </c>
      <c r="BL52" s="212"/>
      <c r="BN52" s="143" t="b">
        <f t="shared" si="58"/>
        <v>1</v>
      </c>
      <c r="BO52" s="22" t="s">
        <v>140</v>
      </c>
      <c r="BP52" s="210"/>
      <c r="BQ52" s="211">
        <v>11.35</v>
      </c>
      <c r="BR52" s="210">
        <f t="shared" si="65"/>
        <v>13.052499999999998</v>
      </c>
      <c r="BS52" s="210">
        <f t="shared" si="33"/>
        <v>0</v>
      </c>
      <c r="BT52" s="205">
        <f>KviteringV8[[#This Row],[pris SC (m. mva)]]*KviteringV8[[#This Row],[Antall]]</f>
        <v>0</v>
      </c>
      <c r="BU52" s="212"/>
    </row>
    <row r="53" spans="1:73" x14ac:dyDescent="0.35">
      <c r="A53" s="152" t="s">
        <v>139</v>
      </c>
      <c r="B53" s="141">
        <f>IFERROR(VLOOKUP(Inkjøp[[#This Row],[Produkt]],KviteringV3[],2,FALSE),0)</f>
        <v>0</v>
      </c>
      <c r="C53" s="141" cm="1">
        <f t="array" ref="C5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720.91200000000003</v>
      </c>
      <c r="D53" s="120"/>
      <c r="E53" s="15" t="b">
        <f t="shared" si="51"/>
        <v>1</v>
      </c>
      <c r="F53" s="25" t="s">
        <v>141</v>
      </c>
      <c r="G53" s="25">
        <v>240</v>
      </c>
      <c r="H53" s="32">
        <v>2.27</v>
      </c>
      <c r="I53" s="25">
        <f t="shared" ref="I53:I64" si="69">H53*1.15</f>
        <v>2.6104999999999996</v>
      </c>
      <c r="J53" s="25">
        <f t="shared" ref="J53:J64" si="70">H53*G53</f>
        <v>544.79999999999995</v>
      </c>
      <c r="K53" s="25">
        <f t="shared" ref="K53:K64" si="71">I53*G53</f>
        <v>626.51999999999987</v>
      </c>
      <c r="L53" s="27"/>
      <c r="M53" s="143" t="b">
        <f t="shared" si="52"/>
        <v>1</v>
      </c>
      <c r="N53" s="22" t="s">
        <v>141</v>
      </c>
      <c r="O53" s="25">
        <v>0</v>
      </c>
      <c r="P53" s="24">
        <v>2.27</v>
      </c>
      <c r="Q53" s="25">
        <f t="shared" si="66"/>
        <v>2.6104999999999996</v>
      </c>
      <c r="R53" s="25">
        <f t="shared" si="67"/>
        <v>0</v>
      </c>
      <c r="S53" s="26">
        <f t="shared" si="68"/>
        <v>0</v>
      </c>
      <c r="T53" s="27"/>
      <c r="U53" s="143" t="b">
        <f t="shared" si="53"/>
        <v>1</v>
      </c>
      <c r="V53" s="22" t="s">
        <v>141</v>
      </c>
      <c r="W53" s="25">
        <v>0</v>
      </c>
      <c r="X53" s="24">
        <v>2.27</v>
      </c>
      <c r="Y53" s="25">
        <f t="shared" si="64"/>
        <v>2.6104999999999996</v>
      </c>
      <c r="Z53" s="25">
        <f t="shared" si="59"/>
        <v>0</v>
      </c>
      <c r="AA53" s="26">
        <f t="shared" si="60"/>
        <v>0</v>
      </c>
      <c r="AB53" s="27"/>
      <c r="AD53" s="143" t="b">
        <f t="shared" si="54"/>
        <v>1</v>
      </c>
      <c r="AE53" s="22" t="s">
        <v>141</v>
      </c>
      <c r="AF53" s="25">
        <v>0</v>
      </c>
      <c r="AG53" s="24">
        <v>2.27</v>
      </c>
      <c r="AH53" s="25">
        <f t="shared" si="61"/>
        <v>2.6104999999999996</v>
      </c>
      <c r="AI53" s="25">
        <f t="shared" si="29"/>
        <v>0</v>
      </c>
      <c r="AJ53" s="205">
        <f>KviteringV4[[#This Row],[pris SC (m. mva)]]*KviteringV4[[#This Row],[Antall]]</f>
        <v>0</v>
      </c>
      <c r="AK53" s="27"/>
      <c r="AM53" s="143" t="b">
        <f t="shared" si="55"/>
        <v>1</v>
      </c>
      <c r="AN53" s="22" t="s">
        <v>141</v>
      </c>
      <c r="AO53" s="210"/>
      <c r="AP53" s="211">
        <v>2.27</v>
      </c>
      <c r="AQ53" s="210">
        <f t="shared" si="62"/>
        <v>2.6104999999999996</v>
      </c>
      <c r="AR53" s="210">
        <f t="shared" si="43"/>
        <v>0</v>
      </c>
      <c r="AS53" s="205">
        <f>KviteringV5[[#This Row],[pris SC (m. mva)]]*KviteringV5[[#This Row],[Antall]]</f>
        <v>0</v>
      </c>
      <c r="AT53" s="212"/>
      <c r="AV53" s="143" t="b">
        <f t="shared" si="56"/>
        <v>1</v>
      </c>
      <c r="AW53" s="22" t="s">
        <v>141</v>
      </c>
      <c r="AX53" s="210"/>
      <c r="AY53" s="211">
        <v>2.27</v>
      </c>
      <c r="AZ53" s="210">
        <f t="shared" si="63"/>
        <v>2.6104999999999996</v>
      </c>
      <c r="BA53" s="210">
        <f t="shared" si="30"/>
        <v>0</v>
      </c>
      <c r="BB53" s="205">
        <f>KviteringV6[[#This Row],[pris SC (m. mva)]]*KviteringV6[[#This Row],[Antall]]</f>
        <v>0</v>
      </c>
      <c r="BC53" s="212"/>
      <c r="BE53" s="143" t="b">
        <f t="shared" si="57"/>
        <v>1</v>
      </c>
      <c r="BF53" s="22" t="s">
        <v>141</v>
      </c>
      <c r="BG53" s="210"/>
      <c r="BH53" s="211">
        <v>2.27</v>
      </c>
      <c r="BI53" s="210">
        <f t="shared" si="31"/>
        <v>2.6104999999999996</v>
      </c>
      <c r="BJ53" s="210">
        <f t="shared" si="32"/>
        <v>0</v>
      </c>
      <c r="BK53" s="205">
        <f>KviteringV7[[#This Row],[pris SC (m. mva)]]*KviteringV7[[#This Row],[Antall]]</f>
        <v>0</v>
      </c>
      <c r="BL53" s="212"/>
      <c r="BN53" s="143" t="b">
        <f t="shared" si="58"/>
        <v>1</v>
      </c>
      <c r="BO53" s="22" t="s">
        <v>141</v>
      </c>
      <c r="BP53" s="210"/>
      <c r="BQ53" s="211">
        <v>2.27</v>
      </c>
      <c r="BR53" s="210">
        <f t="shared" si="65"/>
        <v>2.6104999999999996</v>
      </c>
      <c r="BS53" s="210">
        <f t="shared" si="33"/>
        <v>0</v>
      </c>
      <c r="BT53" s="205">
        <f>KviteringV8[[#This Row],[pris SC (m. mva)]]*KviteringV8[[#This Row],[Antall]]</f>
        <v>0</v>
      </c>
      <c r="BU53" s="212"/>
    </row>
    <row r="54" spans="1:73" x14ac:dyDescent="0.35">
      <c r="A54" s="152" t="s">
        <v>140</v>
      </c>
      <c r="B54" s="141">
        <f>IFERROR(VLOOKUP(Inkjøp[[#This Row],[Produkt]],KviteringV3[],2,FALSE),0)</f>
        <v>0</v>
      </c>
      <c r="C54" s="141" cm="1">
        <f t="array" ref="C5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626.52</v>
      </c>
      <c r="D54" s="120"/>
      <c r="E54" s="15" t="b">
        <f t="shared" si="51"/>
        <v>1</v>
      </c>
      <c r="F54" s="25" t="s">
        <v>142</v>
      </c>
      <c r="G54" s="25">
        <v>144</v>
      </c>
      <c r="H54" s="32">
        <v>3.43</v>
      </c>
      <c r="I54" s="25">
        <f t="shared" si="69"/>
        <v>3.9444999999999997</v>
      </c>
      <c r="J54" s="25">
        <f t="shared" si="70"/>
        <v>493.92</v>
      </c>
      <c r="K54" s="25">
        <f t="shared" si="71"/>
        <v>568.00799999999992</v>
      </c>
      <c r="L54" s="27"/>
      <c r="M54" s="143" t="b">
        <f t="shared" si="52"/>
        <v>1</v>
      </c>
      <c r="N54" s="22" t="s">
        <v>142</v>
      </c>
      <c r="O54" s="25">
        <v>72</v>
      </c>
      <c r="P54" s="24">
        <v>3.43</v>
      </c>
      <c r="Q54" s="25">
        <f t="shared" si="66"/>
        <v>3.9444999999999997</v>
      </c>
      <c r="R54" s="25">
        <f t="shared" si="67"/>
        <v>246.96</v>
      </c>
      <c r="S54" s="26">
        <f t="shared" si="68"/>
        <v>284.00399999999996</v>
      </c>
      <c r="T54" s="27"/>
      <c r="U54" s="143" t="b">
        <f t="shared" si="53"/>
        <v>1</v>
      </c>
      <c r="V54" s="22" t="s">
        <v>142</v>
      </c>
      <c r="W54" s="25">
        <v>216</v>
      </c>
      <c r="X54" s="24">
        <v>3.43</v>
      </c>
      <c r="Y54" s="25">
        <f t="shared" si="64"/>
        <v>3.9444999999999997</v>
      </c>
      <c r="Z54" s="25">
        <f t="shared" si="59"/>
        <v>740.88</v>
      </c>
      <c r="AA54" s="26">
        <f t="shared" si="60"/>
        <v>852.01199999999994</v>
      </c>
      <c r="AB54" s="27"/>
      <c r="AD54" s="143" t="b">
        <f t="shared" si="54"/>
        <v>1</v>
      </c>
      <c r="AE54" s="22" t="s">
        <v>142</v>
      </c>
      <c r="AF54" s="25">
        <v>144</v>
      </c>
      <c r="AG54" s="24">
        <v>3.43</v>
      </c>
      <c r="AH54" s="25">
        <f t="shared" si="61"/>
        <v>3.9444999999999997</v>
      </c>
      <c r="AI54" s="25">
        <f t="shared" si="29"/>
        <v>493.92</v>
      </c>
      <c r="AJ54" s="205">
        <f>KviteringV4[[#This Row],[pris SC (m. mva)]]*KviteringV4[[#This Row],[Antall]]</f>
        <v>568.00799999999992</v>
      </c>
      <c r="AK54" s="27"/>
      <c r="AM54" s="143" t="b">
        <f t="shared" si="55"/>
        <v>1</v>
      </c>
      <c r="AN54" s="22" t="s">
        <v>142</v>
      </c>
      <c r="AO54" s="210"/>
      <c r="AP54" s="211">
        <v>3.43</v>
      </c>
      <c r="AQ54" s="210">
        <f t="shared" si="62"/>
        <v>3.9444999999999997</v>
      </c>
      <c r="AR54" s="210">
        <f t="shared" si="43"/>
        <v>0</v>
      </c>
      <c r="AS54" s="205">
        <f>KviteringV5[[#This Row],[pris SC (m. mva)]]*KviteringV5[[#This Row],[Antall]]</f>
        <v>0</v>
      </c>
      <c r="AT54" s="212"/>
      <c r="AV54" s="143" t="b">
        <f t="shared" si="56"/>
        <v>1</v>
      </c>
      <c r="AW54" s="22" t="s">
        <v>142</v>
      </c>
      <c r="AX54" s="210"/>
      <c r="AY54" s="211">
        <v>3.43</v>
      </c>
      <c r="AZ54" s="210">
        <f t="shared" si="63"/>
        <v>3.9444999999999997</v>
      </c>
      <c r="BA54" s="210">
        <f t="shared" si="30"/>
        <v>0</v>
      </c>
      <c r="BB54" s="205">
        <f>KviteringV6[[#This Row],[pris SC (m. mva)]]*KviteringV6[[#This Row],[Antall]]</f>
        <v>0</v>
      </c>
      <c r="BC54" s="212"/>
      <c r="BE54" s="143" t="b">
        <f t="shared" si="57"/>
        <v>1</v>
      </c>
      <c r="BF54" s="22" t="s">
        <v>142</v>
      </c>
      <c r="BG54" s="210">
        <v>144</v>
      </c>
      <c r="BH54" s="211">
        <v>3.43</v>
      </c>
      <c r="BI54" s="210">
        <f t="shared" si="31"/>
        <v>3.9444999999999997</v>
      </c>
      <c r="BJ54" s="210">
        <f t="shared" si="32"/>
        <v>493.92</v>
      </c>
      <c r="BK54" s="205">
        <f>KviteringV7[[#This Row],[pris SC (m. mva)]]*KviteringV7[[#This Row],[Antall]]</f>
        <v>568.00799999999992</v>
      </c>
      <c r="BL54" s="212"/>
      <c r="BN54" s="143" t="b">
        <f t="shared" si="58"/>
        <v>1</v>
      </c>
      <c r="BO54" s="22" t="s">
        <v>142</v>
      </c>
      <c r="BP54" s="210"/>
      <c r="BQ54" s="211">
        <v>3.43</v>
      </c>
      <c r="BR54" s="210">
        <f t="shared" si="65"/>
        <v>3.9444999999999997</v>
      </c>
      <c r="BS54" s="210">
        <f t="shared" si="33"/>
        <v>0</v>
      </c>
      <c r="BT54" s="205">
        <f>KviteringV8[[#This Row],[pris SC (m. mva)]]*KviteringV8[[#This Row],[Antall]]</f>
        <v>0</v>
      </c>
      <c r="BU54" s="212"/>
    </row>
    <row r="55" spans="1:73" x14ac:dyDescent="0.35">
      <c r="A55" s="152" t="s">
        <v>141</v>
      </c>
      <c r="B55" s="141">
        <f>IFERROR(VLOOKUP(Inkjøp[[#This Row],[Produkt]],KviteringV3[],2,FALSE),0)</f>
        <v>0</v>
      </c>
      <c r="C55" s="141" cm="1">
        <f t="array" ref="C5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626.51999999999987</v>
      </c>
      <c r="D55" s="120"/>
      <c r="E55" s="15" t="b">
        <f t="shared" si="51"/>
        <v>1</v>
      </c>
      <c r="F55" s="25" t="s">
        <v>143</v>
      </c>
      <c r="G55" s="25">
        <v>30</v>
      </c>
      <c r="H55" s="32">
        <v>9.8699999999999992</v>
      </c>
      <c r="I55" s="25">
        <f t="shared" si="69"/>
        <v>11.350499999999998</v>
      </c>
      <c r="J55" s="25">
        <f t="shared" si="70"/>
        <v>296.09999999999997</v>
      </c>
      <c r="K55" s="25">
        <f t="shared" si="71"/>
        <v>340.51499999999993</v>
      </c>
      <c r="L55" s="27"/>
      <c r="M55" s="143" t="b">
        <f t="shared" si="52"/>
        <v>1</v>
      </c>
      <c r="N55" s="22" t="s">
        <v>143</v>
      </c>
      <c r="O55" s="25">
        <v>60</v>
      </c>
      <c r="P55" s="24">
        <v>9.8699999999999992</v>
      </c>
      <c r="Q55" s="25">
        <f t="shared" si="66"/>
        <v>11.350499999999998</v>
      </c>
      <c r="R55" s="25">
        <f t="shared" si="67"/>
        <v>592.19999999999993</v>
      </c>
      <c r="S55" s="26">
        <f t="shared" si="68"/>
        <v>681.02999999999986</v>
      </c>
      <c r="T55" s="27"/>
      <c r="U55" s="143" t="b">
        <f t="shared" si="53"/>
        <v>1</v>
      </c>
      <c r="V55" s="22" t="s">
        <v>143</v>
      </c>
      <c r="W55" s="25">
        <v>0</v>
      </c>
      <c r="X55" s="24">
        <v>9.8699999999999992</v>
      </c>
      <c r="Y55" s="25">
        <f t="shared" si="64"/>
        <v>11.350499999999998</v>
      </c>
      <c r="Z55" s="25">
        <f t="shared" si="59"/>
        <v>0</v>
      </c>
      <c r="AA55" s="26">
        <f t="shared" si="60"/>
        <v>0</v>
      </c>
      <c r="AB55" s="27"/>
      <c r="AD55" s="143" t="b">
        <f t="shared" si="54"/>
        <v>1</v>
      </c>
      <c r="AE55" s="22" t="s">
        <v>143</v>
      </c>
      <c r="AF55" s="25">
        <v>90</v>
      </c>
      <c r="AG55" s="24">
        <v>9.8699999999999992</v>
      </c>
      <c r="AH55" s="25">
        <f t="shared" si="61"/>
        <v>11.350499999999998</v>
      </c>
      <c r="AI55" s="25">
        <f t="shared" si="29"/>
        <v>888.3</v>
      </c>
      <c r="AJ55" s="205">
        <f>KviteringV4[[#This Row],[pris SC (m. mva)]]*KviteringV4[[#This Row],[Antall]]</f>
        <v>1021.5449999999998</v>
      </c>
      <c r="AK55" s="27"/>
      <c r="AM55" s="143" t="b">
        <f t="shared" si="55"/>
        <v>1</v>
      </c>
      <c r="AN55" s="22" t="s">
        <v>143</v>
      </c>
      <c r="AO55" s="210"/>
      <c r="AP55" s="211">
        <v>9.8699999999999992</v>
      </c>
      <c r="AQ55" s="210">
        <f t="shared" si="62"/>
        <v>11.350499999999998</v>
      </c>
      <c r="AR55" s="210">
        <f t="shared" si="43"/>
        <v>0</v>
      </c>
      <c r="AS55" s="205">
        <f>KviteringV5[[#This Row],[pris SC (m. mva)]]*KviteringV5[[#This Row],[Antall]]</f>
        <v>0</v>
      </c>
      <c r="AT55" s="212"/>
      <c r="AV55" s="143" t="b">
        <f t="shared" si="56"/>
        <v>1</v>
      </c>
      <c r="AW55" s="22" t="s">
        <v>143</v>
      </c>
      <c r="AX55" s="210"/>
      <c r="AY55" s="211">
        <v>9.8699999999999992</v>
      </c>
      <c r="AZ55" s="210">
        <f t="shared" si="63"/>
        <v>11.350499999999998</v>
      </c>
      <c r="BA55" s="210">
        <f t="shared" si="30"/>
        <v>0</v>
      </c>
      <c r="BB55" s="205">
        <f>KviteringV6[[#This Row],[pris SC (m. mva)]]*KviteringV6[[#This Row],[Antall]]</f>
        <v>0</v>
      </c>
      <c r="BC55" s="212"/>
      <c r="BE55" s="143" t="b">
        <f t="shared" si="57"/>
        <v>1</v>
      </c>
      <c r="BF55" s="22" t="s">
        <v>143</v>
      </c>
      <c r="BG55" s="210">
        <v>60</v>
      </c>
      <c r="BH55" s="211">
        <v>9.8699999999999992</v>
      </c>
      <c r="BI55" s="210">
        <f t="shared" si="31"/>
        <v>11.350499999999998</v>
      </c>
      <c r="BJ55" s="210">
        <f t="shared" si="32"/>
        <v>592.19999999999993</v>
      </c>
      <c r="BK55" s="205">
        <f>KviteringV7[[#This Row],[pris SC (m. mva)]]*KviteringV7[[#This Row],[Antall]]</f>
        <v>681.02999999999986</v>
      </c>
      <c r="BL55" s="212"/>
      <c r="BN55" s="143" t="b">
        <f t="shared" si="58"/>
        <v>1</v>
      </c>
      <c r="BO55" s="22" t="s">
        <v>143</v>
      </c>
      <c r="BP55" s="210"/>
      <c r="BQ55" s="211">
        <v>9.8699999999999992</v>
      </c>
      <c r="BR55" s="210">
        <f t="shared" si="65"/>
        <v>11.350499999999998</v>
      </c>
      <c r="BS55" s="210">
        <f t="shared" si="33"/>
        <v>0</v>
      </c>
      <c r="BT55" s="205">
        <f>KviteringV8[[#This Row],[pris SC (m. mva)]]*KviteringV8[[#This Row],[Antall]]</f>
        <v>0</v>
      </c>
      <c r="BU55" s="212"/>
    </row>
    <row r="56" spans="1:73" x14ac:dyDescent="0.35">
      <c r="A56" s="152" t="s">
        <v>142</v>
      </c>
      <c r="B56" s="141">
        <f>IFERROR(VLOOKUP(Inkjøp[[#This Row],[Produkt]],KviteringV3[],2,FALSE),0)</f>
        <v>216</v>
      </c>
      <c r="C56" s="141" cm="1">
        <f t="array" ref="C5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2272.0319999999997</v>
      </c>
      <c r="D56" s="120"/>
      <c r="E56" s="15" t="b">
        <f t="shared" si="51"/>
        <v>1</v>
      </c>
      <c r="F56" s="25" t="s">
        <v>144</v>
      </c>
      <c r="G56" s="25">
        <v>50</v>
      </c>
      <c r="H56" s="32">
        <v>8.24</v>
      </c>
      <c r="I56" s="25">
        <f t="shared" si="69"/>
        <v>9.4759999999999991</v>
      </c>
      <c r="J56" s="25">
        <f t="shared" si="70"/>
        <v>412</v>
      </c>
      <c r="K56" s="25">
        <f t="shared" si="71"/>
        <v>473.79999999999995</v>
      </c>
      <c r="L56" s="27"/>
      <c r="M56" s="143" t="b">
        <f t="shared" si="52"/>
        <v>1</v>
      </c>
      <c r="N56" s="22" t="s">
        <v>144</v>
      </c>
      <c r="O56" s="25">
        <v>0</v>
      </c>
      <c r="P56" s="24">
        <v>8.24</v>
      </c>
      <c r="Q56" s="25">
        <f t="shared" si="66"/>
        <v>9.4759999999999991</v>
      </c>
      <c r="R56" s="25">
        <f t="shared" si="67"/>
        <v>0</v>
      </c>
      <c r="S56" s="26">
        <f t="shared" si="68"/>
        <v>0</v>
      </c>
      <c r="T56" s="27"/>
      <c r="U56" s="143" t="b">
        <f t="shared" si="53"/>
        <v>1</v>
      </c>
      <c r="V56" s="22" t="s">
        <v>144</v>
      </c>
      <c r="W56" s="25">
        <v>50</v>
      </c>
      <c r="X56" s="24">
        <v>8.24</v>
      </c>
      <c r="Y56" s="25">
        <f t="shared" si="64"/>
        <v>9.4759999999999991</v>
      </c>
      <c r="Z56" s="25">
        <f t="shared" si="59"/>
        <v>412</v>
      </c>
      <c r="AA56" s="26">
        <f t="shared" si="60"/>
        <v>473.79999999999995</v>
      </c>
      <c r="AB56" s="27"/>
      <c r="AD56" s="143" t="b">
        <f t="shared" si="54"/>
        <v>1</v>
      </c>
      <c r="AE56" s="22" t="s">
        <v>144</v>
      </c>
      <c r="AF56" s="25">
        <v>50</v>
      </c>
      <c r="AG56" s="24">
        <v>8.24</v>
      </c>
      <c r="AH56" s="25">
        <f t="shared" si="61"/>
        <v>9.4759999999999991</v>
      </c>
      <c r="AI56" s="25">
        <f t="shared" si="29"/>
        <v>412</v>
      </c>
      <c r="AJ56" s="205">
        <f>KviteringV4[[#This Row],[pris SC (m. mva)]]*KviteringV4[[#This Row],[Antall]]</f>
        <v>473.79999999999995</v>
      </c>
      <c r="AK56" s="27"/>
      <c r="AM56" s="143" t="b">
        <f t="shared" si="55"/>
        <v>1</v>
      </c>
      <c r="AN56" s="22" t="s">
        <v>144</v>
      </c>
      <c r="AO56" s="210"/>
      <c r="AP56" s="211">
        <v>8.24</v>
      </c>
      <c r="AQ56" s="210">
        <f t="shared" si="62"/>
        <v>9.4759999999999991</v>
      </c>
      <c r="AR56" s="210">
        <f t="shared" si="43"/>
        <v>0</v>
      </c>
      <c r="AS56" s="205">
        <f>KviteringV5[[#This Row],[pris SC (m. mva)]]*KviteringV5[[#This Row],[Antall]]</f>
        <v>0</v>
      </c>
      <c r="AT56" s="212"/>
      <c r="AV56" s="143" t="b">
        <f t="shared" si="56"/>
        <v>1</v>
      </c>
      <c r="AW56" s="22" t="s">
        <v>144</v>
      </c>
      <c r="AX56" s="210"/>
      <c r="AY56" s="211">
        <v>8.24</v>
      </c>
      <c r="AZ56" s="210">
        <f t="shared" si="63"/>
        <v>9.4759999999999991</v>
      </c>
      <c r="BA56" s="210">
        <f t="shared" si="30"/>
        <v>0</v>
      </c>
      <c r="BB56" s="205">
        <f>KviteringV6[[#This Row],[pris SC (m. mva)]]*KviteringV6[[#This Row],[Antall]]</f>
        <v>0</v>
      </c>
      <c r="BC56" s="212"/>
      <c r="BE56" s="143" t="b">
        <f t="shared" si="57"/>
        <v>1</v>
      </c>
      <c r="BF56" s="22" t="s">
        <v>144</v>
      </c>
      <c r="BG56" s="210">
        <v>50</v>
      </c>
      <c r="BH56" s="211">
        <v>8.24</v>
      </c>
      <c r="BI56" s="210">
        <f t="shared" si="31"/>
        <v>9.4759999999999991</v>
      </c>
      <c r="BJ56" s="210">
        <f t="shared" si="32"/>
        <v>412</v>
      </c>
      <c r="BK56" s="205">
        <f>KviteringV7[[#This Row],[pris SC (m. mva)]]*KviteringV7[[#This Row],[Antall]]</f>
        <v>473.79999999999995</v>
      </c>
      <c r="BL56" s="212"/>
      <c r="BN56" s="143" t="b">
        <f t="shared" si="58"/>
        <v>1</v>
      </c>
      <c r="BO56" s="22" t="s">
        <v>144</v>
      </c>
      <c r="BP56" s="210"/>
      <c r="BQ56" s="211">
        <v>8.24</v>
      </c>
      <c r="BR56" s="210">
        <f t="shared" si="65"/>
        <v>9.4759999999999991</v>
      </c>
      <c r="BS56" s="210">
        <f t="shared" si="33"/>
        <v>0</v>
      </c>
      <c r="BT56" s="205">
        <f>KviteringV8[[#This Row],[pris SC (m. mva)]]*KviteringV8[[#This Row],[Antall]]</f>
        <v>0</v>
      </c>
      <c r="BU56" s="212"/>
    </row>
    <row r="57" spans="1:73" x14ac:dyDescent="0.35">
      <c r="A57" s="152" t="s">
        <v>143</v>
      </c>
      <c r="B57" s="141">
        <f>IFERROR(VLOOKUP(Inkjøp[[#This Row],[Produkt]],KviteringV3[],2,FALSE),0)</f>
        <v>0</v>
      </c>
      <c r="C57" s="141" cm="1">
        <f t="array" ref="C5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2043.0899999999997</v>
      </c>
      <c r="D57" s="120"/>
      <c r="E57" s="15" t="b">
        <f t="shared" si="51"/>
        <v>1</v>
      </c>
      <c r="F57" s="25" t="s">
        <v>145</v>
      </c>
      <c r="G57" s="25">
        <v>12</v>
      </c>
      <c r="H57" s="32">
        <v>12.1</v>
      </c>
      <c r="I57" s="25">
        <f t="shared" si="69"/>
        <v>13.914999999999999</v>
      </c>
      <c r="J57" s="25">
        <f t="shared" si="70"/>
        <v>145.19999999999999</v>
      </c>
      <c r="K57" s="25">
        <f t="shared" si="71"/>
        <v>166.98</v>
      </c>
      <c r="L57" s="27"/>
      <c r="M57" s="143" t="b">
        <f t="shared" si="52"/>
        <v>1</v>
      </c>
      <c r="N57" s="22" t="s">
        <v>145</v>
      </c>
      <c r="O57" s="25">
        <v>24</v>
      </c>
      <c r="P57" s="24">
        <v>12.1</v>
      </c>
      <c r="Q57" s="25">
        <f t="shared" si="66"/>
        <v>13.914999999999999</v>
      </c>
      <c r="R57" s="25">
        <f t="shared" si="67"/>
        <v>290.39999999999998</v>
      </c>
      <c r="S57" s="26">
        <f t="shared" si="68"/>
        <v>333.96</v>
      </c>
      <c r="T57" s="27"/>
      <c r="U57" s="143" t="b">
        <f t="shared" si="53"/>
        <v>1</v>
      </c>
      <c r="V57" s="22" t="s">
        <v>145</v>
      </c>
      <c r="W57" s="25">
        <v>36</v>
      </c>
      <c r="X57" s="24">
        <v>12.1</v>
      </c>
      <c r="Y57" s="25">
        <f t="shared" si="64"/>
        <v>13.914999999999999</v>
      </c>
      <c r="Z57" s="25">
        <f t="shared" si="59"/>
        <v>435.59999999999997</v>
      </c>
      <c r="AA57" s="26">
        <f t="shared" si="60"/>
        <v>500.93999999999994</v>
      </c>
      <c r="AB57" s="27"/>
      <c r="AD57" s="143" t="b">
        <f t="shared" si="54"/>
        <v>1</v>
      </c>
      <c r="AE57" s="22" t="s">
        <v>145</v>
      </c>
      <c r="AF57" s="25">
        <v>24</v>
      </c>
      <c r="AG57" s="24">
        <v>12.1</v>
      </c>
      <c r="AH57" s="25">
        <f t="shared" si="61"/>
        <v>13.914999999999999</v>
      </c>
      <c r="AI57" s="25">
        <f t="shared" si="29"/>
        <v>290.39999999999998</v>
      </c>
      <c r="AJ57" s="205">
        <f>KviteringV4[[#This Row],[pris SC (m. mva)]]*KviteringV4[[#This Row],[Antall]]</f>
        <v>333.96</v>
      </c>
      <c r="AK57" s="27"/>
      <c r="AM57" s="143" t="b">
        <f t="shared" si="55"/>
        <v>1</v>
      </c>
      <c r="AN57" s="22" t="s">
        <v>145</v>
      </c>
      <c r="AO57" s="210"/>
      <c r="AP57" s="211">
        <v>12.1</v>
      </c>
      <c r="AQ57" s="210">
        <f t="shared" si="62"/>
        <v>13.914999999999999</v>
      </c>
      <c r="AR57" s="210">
        <f t="shared" si="43"/>
        <v>0</v>
      </c>
      <c r="AS57" s="205">
        <f>KviteringV5[[#This Row],[pris SC (m. mva)]]*KviteringV5[[#This Row],[Antall]]</f>
        <v>0</v>
      </c>
      <c r="AT57" s="212"/>
      <c r="AV57" s="143" t="b">
        <f t="shared" si="56"/>
        <v>1</v>
      </c>
      <c r="AW57" s="22" t="s">
        <v>145</v>
      </c>
      <c r="AX57" s="210"/>
      <c r="AY57" s="211">
        <v>12.1</v>
      </c>
      <c r="AZ57" s="210">
        <f t="shared" si="63"/>
        <v>13.914999999999999</v>
      </c>
      <c r="BA57" s="210">
        <f t="shared" si="30"/>
        <v>0</v>
      </c>
      <c r="BB57" s="205">
        <f>KviteringV6[[#This Row],[pris SC (m. mva)]]*KviteringV6[[#This Row],[Antall]]</f>
        <v>0</v>
      </c>
      <c r="BC57" s="212"/>
      <c r="BE57" s="143" t="b">
        <f t="shared" si="57"/>
        <v>1</v>
      </c>
      <c r="BF57" s="22" t="s">
        <v>145</v>
      </c>
      <c r="BG57" s="210">
        <v>24</v>
      </c>
      <c r="BH57" s="211">
        <v>12.1</v>
      </c>
      <c r="BI57" s="210">
        <f t="shared" si="31"/>
        <v>13.914999999999999</v>
      </c>
      <c r="BJ57" s="210">
        <f t="shared" si="32"/>
        <v>290.39999999999998</v>
      </c>
      <c r="BK57" s="205">
        <f>KviteringV7[[#This Row],[pris SC (m. mva)]]*KviteringV7[[#This Row],[Antall]]</f>
        <v>333.96</v>
      </c>
      <c r="BL57" s="212"/>
      <c r="BN57" s="143" t="b">
        <f t="shared" si="58"/>
        <v>1</v>
      </c>
      <c r="BO57" s="22" t="s">
        <v>145</v>
      </c>
      <c r="BP57" s="210"/>
      <c r="BQ57" s="211">
        <v>12.1</v>
      </c>
      <c r="BR57" s="210">
        <f t="shared" si="65"/>
        <v>13.914999999999999</v>
      </c>
      <c r="BS57" s="210">
        <f t="shared" si="33"/>
        <v>0</v>
      </c>
      <c r="BT57" s="205">
        <f>KviteringV8[[#This Row],[pris SC (m. mva)]]*KviteringV8[[#This Row],[Antall]]</f>
        <v>0</v>
      </c>
      <c r="BU57" s="212"/>
    </row>
    <row r="58" spans="1:73" x14ac:dyDescent="0.35">
      <c r="A58" s="152" t="s">
        <v>144</v>
      </c>
      <c r="B58" s="141">
        <f>IFERROR(VLOOKUP(Inkjøp[[#This Row],[Produkt]],KviteringV3[],2,FALSE),0)</f>
        <v>50</v>
      </c>
      <c r="C58" s="141" cm="1">
        <f t="array" ref="C5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1421.3999999999999</v>
      </c>
      <c r="D58" s="120"/>
      <c r="E58" s="15" t="b">
        <f t="shared" si="51"/>
        <v>1</v>
      </c>
      <c r="F58" s="25" t="s">
        <v>146</v>
      </c>
      <c r="G58" s="25">
        <v>12</v>
      </c>
      <c r="H58" s="32">
        <v>12.1</v>
      </c>
      <c r="I58" s="25">
        <f t="shared" si="69"/>
        <v>13.914999999999999</v>
      </c>
      <c r="J58" s="25">
        <f t="shared" si="70"/>
        <v>145.19999999999999</v>
      </c>
      <c r="K58" s="25">
        <f t="shared" si="71"/>
        <v>166.98</v>
      </c>
      <c r="L58" s="27"/>
      <c r="M58" s="143" t="b">
        <f t="shared" si="52"/>
        <v>1</v>
      </c>
      <c r="N58" s="22" t="s">
        <v>146</v>
      </c>
      <c r="O58" s="25">
        <v>24</v>
      </c>
      <c r="P58" s="24">
        <v>12.1</v>
      </c>
      <c r="Q58" s="25">
        <f t="shared" si="66"/>
        <v>13.914999999999999</v>
      </c>
      <c r="R58" s="25">
        <f t="shared" si="67"/>
        <v>290.39999999999998</v>
      </c>
      <c r="S58" s="26">
        <f t="shared" si="68"/>
        <v>333.96</v>
      </c>
      <c r="T58" s="27"/>
      <c r="U58" s="143" t="b">
        <f t="shared" si="53"/>
        <v>1</v>
      </c>
      <c r="V58" s="22" t="s">
        <v>146</v>
      </c>
      <c r="W58" s="25">
        <v>36</v>
      </c>
      <c r="X58" s="24">
        <v>12.1</v>
      </c>
      <c r="Y58" s="25">
        <f t="shared" si="64"/>
        <v>13.914999999999999</v>
      </c>
      <c r="Z58" s="25">
        <f t="shared" si="59"/>
        <v>435.59999999999997</v>
      </c>
      <c r="AA58" s="26">
        <f t="shared" si="60"/>
        <v>500.93999999999994</v>
      </c>
      <c r="AB58" s="27"/>
      <c r="AD58" s="143" t="b">
        <f t="shared" si="54"/>
        <v>1</v>
      </c>
      <c r="AE58" s="22" t="s">
        <v>146</v>
      </c>
      <c r="AF58" s="25">
        <v>24</v>
      </c>
      <c r="AG58" s="24">
        <v>12.1</v>
      </c>
      <c r="AH58" s="25">
        <f t="shared" si="61"/>
        <v>13.914999999999999</v>
      </c>
      <c r="AI58" s="25">
        <f t="shared" si="29"/>
        <v>290.39999999999998</v>
      </c>
      <c r="AJ58" s="205">
        <f>KviteringV4[[#This Row],[pris SC (m. mva)]]*KviteringV4[[#This Row],[Antall]]</f>
        <v>333.96</v>
      </c>
      <c r="AK58" s="27"/>
      <c r="AM58" s="143" t="b">
        <f t="shared" si="55"/>
        <v>1</v>
      </c>
      <c r="AN58" s="22" t="s">
        <v>146</v>
      </c>
      <c r="AO58" s="210"/>
      <c r="AP58" s="211">
        <v>12.1</v>
      </c>
      <c r="AQ58" s="210">
        <f t="shared" si="62"/>
        <v>13.914999999999999</v>
      </c>
      <c r="AR58" s="210">
        <f t="shared" si="43"/>
        <v>0</v>
      </c>
      <c r="AS58" s="205">
        <f>KviteringV5[[#This Row],[pris SC (m. mva)]]*KviteringV5[[#This Row],[Antall]]</f>
        <v>0</v>
      </c>
      <c r="AT58" s="212"/>
      <c r="AV58" s="143" t="b">
        <f t="shared" si="56"/>
        <v>1</v>
      </c>
      <c r="AW58" s="22" t="s">
        <v>146</v>
      </c>
      <c r="AX58" s="210"/>
      <c r="AY58" s="211">
        <v>12.1</v>
      </c>
      <c r="AZ58" s="210">
        <f t="shared" si="63"/>
        <v>13.914999999999999</v>
      </c>
      <c r="BA58" s="210">
        <f t="shared" si="30"/>
        <v>0</v>
      </c>
      <c r="BB58" s="205">
        <f>KviteringV6[[#This Row],[pris SC (m. mva)]]*KviteringV6[[#This Row],[Antall]]</f>
        <v>0</v>
      </c>
      <c r="BC58" s="212"/>
      <c r="BE58" s="143" t="b">
        <f t="shared" si="57"/>
        <v>1</v>
      </c>
      <c r="BF58" s="22" t="s">
        <v>146</v>
      </c>
      <c r="BG58" s="210">
        <v>36</v>
      </c>
      <c r="BH58" s="211">
        <v>12.1</v>
      </c>
      <c r="BI58" s="210">
        <f t="shared" si="31"/>
        <v>13.914999999999999</v>
      </c>
      <c r="BJ58" s="210">
        <f t="shared" si="32"/>
        <v>435.59999999999997</v>
      </c>
      <c r="BK58" s="205">
        <f>KviteringV7[[#This Row],[pris SC (m. mva)]]*KviteringV7[[#This Row],[Antall]]</f>
        <v>500.93999999999994</v>
      </c>
      <c r="BL58" s="212"/>
      <c r="BN58" s="143" t="b">
        <f t="shared" si="58"/>
        <v>1</v>
      </c>
      <c r="BO58" s="22" t="s">
        <v>146</v>
      </c>
      <c r="BP58" s="210"/>
      <c r="BQ58" s="211">
        <v>12.1</v>
      </c>
      <c r="BR58" s="210">
        <f t="shared" si="65"/>
        <v>13.914999999999999</v>
      </c>
      <c r="BS58" s="210">
        <f t="shared" si="33"/>
        <v>0</v>
      </c>
      <c r="BT58" s="205">
        <f>KviteringV8[[#This Row],[pris SC (m. mva)]]*KviteringV8[[#This Row],[Antall]]</f>
        <v>0</v>
      </c>
      <c r="BU58" s="212"/>
    </row>
    <row r="59" spans="1:73" x14ac:dyDescent="0.35">
      <c r="A59" s="152" t="s">
        <v>145</v>
      </c>
      <c r="B59" s="141">
        <f>IFERROR(VLOOKUP(Inkjøp[[#This Row],[Produkt]],KviteringV3[],2,FALSE),0)</f>
        <v>36</v>
      </c>
      <c r="C59" s="141" cm="1">
        <f t="array" ref="C5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1335.84</v>
      </c>
      <c r="D59" s="120"/>
      <c r="E59" s="15" t="b">
        <f t="shared" si="51"/>
        <v>1</v>
      </c>
      <c r="F59" s="25" t="s">
        <v>147</v>
      </c>
      <c r="G59" s="25">
        <v>12</v>
      </c>
      <c r="H59" s="32">
        <v>12.1</v>
      </c>
      <c r="I59" s="25">
        <f t="shared" si="69"/>
        <v>13.914999999999999</v>
      </c>
      <c r="J59" s="25">
        <f t="shared" si="70"/>
        <v>145.19999999999999</v>
      </c>
      <c r="K59" s="25">
        <f t="shared" si="71"/>
        <v>166.98</v>
      </c>
      <c r="L59" s="27"/>
      <c r="M59" s="143" t="b">
        <f t="shared" si="52"/>
        <v>1</v>
      </c>
      <c r="N59" s="22" t="s">
        <v>147</v>
      </c>
      <c r="O59" s="25">
        <v>24</v>
      </c>
      <c r="P59" s="24">
        <v>12.1</v>
      </c>
      <c r="Q59" s="25">
        <f t="shared" si="66"/>
        <v>13.914999999999999</v>
      </c>
      <c r="R59" s="25">
        <f t="shared" si="67"/>
        <v>290.39999999999998</v>
      </c>
      <c r="S59" s="26">
        <f t="shared" si="68"/>
        <v>333.96</v>
      </c>
      <c r="T59" s="27"/>
      <c r="U59" s="143" t="b">
        <f t="shared" si="53"/>
        <v>1</v>
      </c>
      <c r="V59" s="22" t="s">
        <v>147</v>
      </c>
      <c r="W59" s="25">
        <v>36</v>
      </c>
      <c r="X59" s="24">
        <v>12.1</v>
      </c>
      <c r="Y59" s="25">
        <f t="shared" si="64"/>
        <v>13.914999999999999</v>
      </c>
      <c r="Z59" s="25">
        <f t="shared" si="59"/>
        <v>435.59999999999997</v>
      </c>
      <c r="AA59" s="26">
        <f t="shared" si="60"/>
        <v>500.93999999999994</v>
      </c>
      <c r="AB59" s="27"/>
      <c r="AD59" s="143" t="b">
        <f t="shared" si="54"/>
        <v>1</v>
      </c>
      <c r="AE59" s="22" t="s">
        <v>147</v>
      </c>
      <c r="AF59" s="25">
        <v>24</v>
      </c>
      <c r="AG59" s="24">
        <v>12.1</v>
      </c>
      <c r="AH59" s="25">
        <f t="shared" si="61"/>
        <v>13.914999999999999</v>
      </c>
      <c r="AI59" s="25">
        <f t="shared" si="29"/>
        <v>290.39999999999998</v>
      </c>
      <c r="AJ59" s="205">
        <f>KviteringV4[[#This Row],[pris SC (m. mva)]]*KviteringV4[[#This Row],[Antall]]</f>
        <v>333.96</v>
      </c>
      <c r="AK59" s="27"/>
      <c r="AM59" s="143" t="b">
        <f t="shared" si="55"/>
        <v>1</v>
      </c>
      <c r="AN59" s="22" t="s">
        <v>147</v>
      </c>
      <c r="AO59" s="210"/>
      <c r="AP59" s="211">
        <v>12.1</v>
      </c>
      <c r="AQ59" s="210">
        <f t="shared" si="62"/>
        <v>13.914999999999999</v>
      </c>
      <c r="AR59" s="210">
        <f t="shared" si="43"/>
        <v>0</v>
      </c>
      <c r="AS59" s="205">
        <f>KviteringV5[[#This Row],[pris SC (m. mva)]]*KviteringV5[[#This Row],[Antall]]</f>
        <v>0</v>
      </c>
      <c r="AT59" s="212"/>
      <c r="AV59" s="143" t="b">
        <f t="shared" si="56"/>
        <v>1</v>
      </c>
      <c r="AW59" s="22" t="s">
        <v>147</v>
      </c>
      <c r="AX59" s="210"/>
      <c r="AY59" s="211">
        <v>12.1</v>
      </c>
      <c r="AZ59" s="210">
        <f t="shared" si="63"/>
        <v>13.914999999999999</v>
      </c>
      <c r="BA59" s="210">
        <f t="shared" si="30"/>
        <v>0</v>
      </c>
      <c r="BB59" s="205">
        <f>KviteringV6[[#This Row],[pris SC (m. mva)]]*KviteringV6[[#This Row],[Antall]]</f>
        <v>0</v>
      </c>
      <c r="BC59" s="212"/>
      <c r="BE59" s="143" t="b">
        <f t="shared" si="57"/>
        <v>1</v>
      </c>
      <c r="BF59" s="22" t="s">
        <v>147</v>
      </c>
      <c r="BG59" s="210">
        <v>24</v>
      </c>
      <c r="BH59" s="211">
        <v>12.1</v>
      </c>
      <c r="BI59" s="210">
        <f t="shared" si="31"/>
        <v>13.914999999999999</v>
      </c>
      <c r="BJ59" s="210">
        <f t="shared" si="32"/>
        <v>290.39999999999998</v>
      </c>
      <c r="BK59" s="205">
        <f>KviteringV7[[#This Row],[pris SC (m. mva)]]*KviteringV7[[#This Row],[Antall]]</f>
        <v>333.96</v>
      </c>
      <c r="BL59" s="212"/>
      <c r="BN59" s="143" t="b">
        <f t="shared" si="58"/>
        <v>1</v>
      </c>
      <c r="BO59" s="22" t="s">
        <v>147</v>
      </c>
      <c r="BP59" s="210"/>
      <c r="BQ59" s="211">
        <v>12.1</v>
      </c>
      <c r="BR59" s="210">
        <f t="shared" si="65"/>
        <v>13.914999999999999</v>
      </c>
      <c r="BS59" s="210">
        <f t="shared" si="33"/>
        <v>0</v>
      </c>
      <c r="BT59" s="205">
        <f>KviteringV8[[#This Row],[pris SC (m. mva)]]*KviteringV8[[#This Row],[Antall]]</f>
        <v>0</v>
      </c>
      <c r="BU59" s="212"/>
    </row>
    <row r="60" spans="1:73" x14ac:dyDescent="0.35">
      <c r="A60" s="152" t="s">
        <v>146</v>
      </c>
      <c r="B60" s="141">
        <f>IFERROR(VLOOKUP(Inkjøp[[#This Row],[Produkt]],KviteringV3[],2,FALSE),0)</f>
        <v>36</v>
      </c>
      <c r="C60" s="141" cm="1">
        <f t="array" ref="C6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1335.84</v>
      </c>
      <c r="D60" s="120"/>
      <c r="E60" s="15" t="b">
        <f t="shared" si="51"/>
        <v>1</v>
      </c>
      <c r="F60" s="25" t="s">
        <v>148</v>
      </c>
      <c r="G60" s="25">
        <v>15</v>
      </c>
      <c r="H60" s="32">
        <v>18.05</v>
      </c>
      <c r="I60" s="25">
        <f t="shared" si="69"/>
        <v>20.7575</v>
      </c>
      <c r="J60" s="25">
        <f t="shared" si="70"/>
        <v>270.75</v>
      </c>
      <c r="K60" s="25">
        <f t="shared" si="71"/>
        <v>311.36250000000001</v>
      </c>
      <c r="L60" s="27"/>
      <c r="M60" s="143" t="b">
        <f t="shared" si="52"/>
        <v>1</v>
      </c>
      <c r="N60" s="22" t="s">
        <v>148</v>
      </c>
      <c r="O60" s="25">
        <v>0</v>
      </c>
      <c r="P60" s="24">
        <v>18.05</v>
      </c>
      <c r="Q60" s="25">
        <f t="shared" si="66"/>
        <v>20.7575</v>
      </c>
      <c r="R60" s="25">
        <f t="shared" si="67"/>
        <v>0</v>
      </c>
      <c r="S60" s="26">
        <f t="shared" si="68"/>
        <v>0</v>
      </c>
      <c r="T60" s="27"/>
      <c r="U60" s="143" t="b">
        <f t="shared" si="53"/>
        <v>1</v>
      </c>
      <c r="V60" s="22" t="s">
        <v>148</v>
      </c>
      <c r="W60" s="25">
        <v>0</v>
      </c>
      <c r="X60" s="24">
        <v>18.05</v>
      </c>
      <c r="Y60" s="25">
        <f t="shared" si="64"/>
        <v>20.7575</v>
      </c>
      <c r="Z60" s="25">
        <f t="shared" si="59"/>
        <v>0</v>
      </c>
      <c r="AA60" s="26">
        <f t="shared" si="60"/>
        <v>0</v>
      </c>
      <c r="AB60" s="27"/>
      <c r="AD60" s="143" t="b">
        <f t="shared" si="54"/>
        <v>1</v>
      </c>
      <c r="AE60" s="22" t="s">
        <v>148</v>
      </c>
      <c r="AF60" s="25">
        <v>0</v>
      </c>
      <c r="AG60" s="24">
        <v>18.05</v>
      </c>
      <c r="AH60" s="25">
        <f t="shared" si="61"/>
        <v>20.7575</v>
      </c>
      <c r="AI60" s="25">
        <f t="shared" si="29"/>
        <v>0</v>
      </c>
      <c r="AJ60" s="205">
        <f>KviteringV4[[#This Row],[pris SC (m. mva)]]*KviteringV4[[#This Row],[Antall]]</f>
        <v>0</v>
      </c>
      <c r="AK60" s="27"/>
      <c r="AM60" s="143" t="b">
        <f t="shared" si="55"/>
        <v>1</v>
      </c>
      <c r="AN60" s="22" t="s">
        <v>148</v>
      </c>
      <c r="AO60" s="210"/>
      <c r="AP60" s="211">
        <v>18.05</v>
      </c>
      <c r="AQ60" s="210">
        <f t="shared" si="62"/>
        <v>20.7575</v>
      </c>
      <c r="AR60" s="210">
        <f t="shared" si="43"/>
        <v>0</v>
      </c>
      <c r="AS60" s="205">
        <f>KviteringV5[[#This Row],[pris SC (m. mva)]]*KviteringV5[[#This Row],[Antall]]</f>
        <v>0</v>
      </c>
      <c r="AT60" s="212"/>
      <c r="AV60" s="143" t="b">
        <f t="shared" si="56"/>
        <v>1</v>
      </c>
      <c r="AW60" s="22" t="s">
        <v>148</v>
      </c>
      <c r="AX60" s="210"/>
      <c r="AY60" s="211">
        <v>18.05</v>
      </c>
      <c r="AZ60" s="210">
        <f t="shared" si="63"/>
        <v>20.7575</v>
      </c>
      <c r="BA60" s="210">
        <f t="shared" si="30"/>
        <v>0</v>
      </c>
      <c r="BB60" s="205">
        <f>KviteringV6[[#This Row],[pris SC (m. mva)]]*KviteringV6[[#This Row],[Antall]]</f>
        <v>0</v>
      </c>
      <c r="BC60" s="212"/>
      <c r="BE60" s="143" t="b">
        <f t="shared" si="57"/>
        <v>1</v>
      </c>
      <c r="BF60" s="22" t="s">
        <v>148</v>
      </c>
      <c r="BG60" s="210"/>
      <c r="BH60" s="211">
        <v>18.05</v>
      </c>
      <c r="BI60" s="210">
        <f t="shared" si="31"/>
        <v>20.7575</v>
      </c>
      <c r="BJ60" s="210">
        <f t="shared" si="32"/>
        <v>0</v>
      </c>
      <c r="BK60" s="205">
        <f>KviteringV7[[#This Row],[pris SC (m. mva)]]*KviteringV7[[#This Row],[Antall]]</f>
        <v>0</v>
      </c>
      <c r="BL60" s="212"/>
      <c r="BN60" s="143" t="b">
        <f t="shared" si="58"/>
        <v>1</v>
      </c>
      <c r="BO60" s="22" t="s">
        <v>148</v>
      </c>
      <c r="BP60" s="210"/>
      <c r="BQ60" s="211">
        <v>18.05</v>
      </c>
      <c r="BR60" s="210">
        <f t="shared" si="65"/>
        <v>20.7575</v>
      </c>
      <c r="BS60" s="210">
        <f t="shared" si="33"/>
        <v>0</v>
      </c>
      <c r="BT60" s="205">
        <f>KviteringV8[[#This Row],[pris SC (m. mva)]]*KviteringV8[[#This Row],[Antall]]</f>
        <v>0</v>
      </c>
      <c r="BU60" s="212"/>
    </row>
    <row r="61" spans="1:73" x14ac:dyDescent="0.35">
      <c r="A61" s="152" t="s">
        <v>147</v>
      </c>
      <c r="B61" s="141">
        <f>IFERROR(VLOOKUP(Inkjøp[[#This Row],[Produkt]],KviteringV3[],2,FALSE),0)</f>
        <v>36</v>
      </c>
      <c r="C61" s="141" cm="1">
        <f t="array" ref="C6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1335.84</v>
      </c>
      <c r="D61" s="120"/>
      <c r="E61" s="15" t="b">
        <f t="shared" si="51"/>
        <v>1</v>
      </c>
      <c r="F61" s="25" t="s">
        <v>149</v>
      </c>
      <c r="G61" s="25">
        <v>40</v>
      </c>
      <c r="H61" s="32">
        <v>10.220000000000001</v>
      </c>
      <c r="I61" s="25">
        <f t="shared" si="69"/>
        <v>11.753</v>
      </c>
      <c r="J61" s="25">
        <f t="shared" si="70"/>
        <v>408.8</v>
      </c>
      <c r="K61" s="25">
        <f t="shared" si="71"/>
        <v>470.12</v>
      </c>
      <c r="L61" s="27"/>
      <c r="M61" s="143" t="b">
        <f t="shared" si="52"/>
        <v>1</v>
      </c>
      <c r="N61" s="22" t="s">
        <v>149</v>
      </c>
      <c r="O61" s="25">
        <v>80</v>
      </c>
      <c r="P61" s="24">
        <v>10.220000000000001</v>
      </c>
      <c r="Q61" s="25">
        <f t="shared" si="66"/>
        <v>11.753</v>
      </c>
      <c r="R61" s="25">
        <f t="shared" si="67"/>
        <v>817.6</v>
      </c>
      <c r="S61" s="26">
        <f t="shared" si="68"/>
        <v>940.24</v>
      </c>
      <c r="T61" s="27"/>
      <c r="U61" s="143" t="b">
        <f t="shared" si="53"/>
        <v>1</v>
      </c>
      <c r="V61" s="22" t="s">
        <v>149</v>
      </c>
      <c r="W61" s="25">
        <v>120</v>
      </c>
      <c r="X61" s="24">
        <v>10.220000000000001</v>
      </c>
      <c r="Y61" s="25">
        <f t="shared" si="64"/>
        <v>11.753</v>
      </c>
      <c r="Z61" s="25">
        <f t="shared" si="59"/>
        <v>1226.4000000000001</v>
      </c>
      <c r="AA61" s="26">
        <f t="shared" si="60"/>
        <v>1410.3600000000001</v>
      </c>
      <c r="AB61" s="27"/>
      <c r="AD61" s="143" t="b">
        <f t="shared" si="54"/>
        <v>1</v>
      </c>
      <c r="AE61" s="22" t="s">
        <v>149</v>
      </c>
      <c r="AF61" s="25"/>
      <c r="AG61" s="24">
        <v>10.220000000000001</v>
      </c>
      <c r="AH61" s="25">
        <f t="shared" si="61"/>
        <v>11.753</v>
      </c>
      <c r="AI61" s="25">
        <f t="shared" si="29"/>
        <v>0</v>
      </c>
      <c r="AJ61" s="205">
        <f>KviteringV4[[#This Row],[pris SC (m. mva)]]*KviteringV4[[#This Row],[Antall]]</f>
        <v>0</v>
      </c>
      <c r="AK61" s="27"/>
      <c r="AM61" s="143" t="b">
        <f t="shared" si="55"/>
        <v>1</v>
      </c>
      <c r="AN61" s="22" t="s">
        <v>149</v>
      </c>
      <c r="AO61" s="210"/>
      <c r="AP61" s="211">
        <v>10.220000000000001</v>
      </c>
      <c r="AQ61" s="210">
        <f t="shared" si="62"/>
        <v>11.753</v>
      </c>
      <c r="AR61" s="210">
        <f t="shared" si="43"/>
        <v>0</v>
      </c>
      <c r="AS61" s="205">
        <f>KviteringV5[[#This Row],[pris SC (m. mva)]]*KviteringV5[[#This Row],[Antall]]</f>
        <v>0</v>
      </c>
      <c r="AT61" s="212"/>
      <c r="AV61" s="143" t="b">
        <f t="shared" si="56"/>
        <v>1</v>
      </c>
      <c r="AW61" s="22" t="s">
        <v>149</v>
      </c>
      <c r="AX61" s="210"/>
      <c r="AY61" s="211">
        <v>10.220000000000001</v>
      </c>
      <c r="AZ61" s="210">
        <f t="shared" si="63"/>
        <v>11.753</v>
      </c>
      <c r="BA61" s="210">
        <f t="shared" si="30"/>
        <v>0</v>
      </c>
      <c r="BB61" s="205">
        <f>KviteringV6[[#This Row],[pris SC (m. mva)]]*KviteringV6[[#This Row],[Antall]]</f>
        <v>0</v>
      </c>
      <c r="BC61" s="212"/>
      <c r="BE61" s="143" t="b">
        <f t="shared" si="57"/>
        <v>1</v>
      </c>
      <c r="BF61" s="22" t="s">
        <v>149</v>
      </c>
      <c r="BG61" s="210">
        <v>40</v>
      </c>
      <c r="BH61" s="211">
        <v>10.220000000000001</v>
      </c>
      <c r="BI61" s="210">
        <f t="shared" si="31"/>
        <v>11.753</v>
      </c>
      <c r="BJ61" s="210">
        <f t="shared" si="32"/>
        <v>408.8</v>
      </c>
      <c r="BK61" s="205">
        <f>KviteringV7[[#This Row],[pris SC (m. mva)]]*KviteringV7[[#This Row],[Antall]]</f>
        <v>470.12</v>
      </c>
      <c r="BL61" s="212"/>
      <c r="BN61" s="143" t="b">
        <f t="shared" si="58"/>
        <v>1</v>
      </c>
      <c r="BO61" s="22" t="s">
        <v>149</v>
      </c>
      <c r="BP61" s="210"/>
      <c r="BQ61" s="211">
        <v>10.220000000000001</v>
      </c>
      <c r="BR61" s="210">
        <f t="shared" si="65"/>
        <v>11.753</v>
      </c>
      <c r="BS61" s="210">
        <f t="shared" si="33"/>
        <v>0</v>
      </c>
      <c r="BT61" s="205">
        <f>KviteringV8[[#This Row],[pris SC (m. mva)]]*KviteringV8[[#This Row],[Antall]]</f>
        <v>0</v>
      </c>
      <c r="BU61" s="212"/>
    </row>
    <row r="62" spans="1:73" x14ac:dyDescent="0.35">
      <c r="A62" s="152" t="s">
        <v>148</v>
      </c>
      <c r="B62" s="141">
        <f>IFERROR(VLOOKUP(Inkjøp[[#This Row],[Produkt]],KviteringV3[],2,FALSE),0)</f>
        <v>0</v>
      </c>
      <c r="C62" s="141" cm="1">
        <f t="array" ref="C6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311.36250000000001</v>
      </c>
      <c r="D62" s="120"/>
      <c r="E62" s="15" t="b">
        <f t="shared" si="51"/>
        <v>1</v>
      </c>
      <c r="F62" s="25" t="s">
        <v>150</v>
      </c>
      <c r="G62" s="25">
        <v>26</v>
      </c>
      <c r="H62" s="32">
        <v>24.99</v>
      </c>
      <c r="I62" s="25">
        <f t="shared" si="69"/>
        <v>28.738499999999995</v>
      </c>
      <c r="J62" s="25">
        <f t="shared" si="70"/>
        <v>649.74</v>
      </c>
      <c r="K62" s="25">
        <f t="shared" si="71"/>
        <v>747.20099999999991</v>
      </c>
      <c r="L62" s="27"/>
      <c r="M62" s="143" t="b">
        <f t="shared" si="52"/>
        <v>1</v>
      </c>
      <c r="N62" s="22" t="s">
        <v>150</v>
      </c>
      <c r="O62" s="25">
        <v>0</v>
      </c>
      <c r="P62" s="24">
        <v>24.99</v>
      </c>
      <c r="Q62" s="25">
        <f t="shared" si="66"/>
        <v>28.738499999999995</v>
      </c>
      <c r="R62" s="25">
        <f t="shared" si="67"/>
        <v>0</v>
      </c>
      <c r="S62" s="26">
        <f t="shared" si="68"/>
        <v>0</v>
      </c>
      <c r="T62" s="27"/>
      <c r="U62" s="143" t="b">
        <f t="shared" si="53"/>
        <v>1</v>
      </c>
      <c r="V62" s="22" t="s">
        <v>150</v>
      </c>
      <c r="W62" s="25">
        <v>0</v>
      </c>
      <c r="X62" s="24">
        <v>24.99</v>
      </c>
      <c r="Y62" s="25">
        <f t="shared" si="64"/>
        <v>28.738499999999995</v>
      </c>
      <c r="Z62" s="25">
        <f t="shared" si="59"/>
        <v>0</v>
      </c>
      <c r="AA62" s="26">
        <f t="shared" si="60"/>
        <v>0</v>
      </c>
      <c r="AB62" s="27"/>
      <c r="AD62" s="143" t="b">
        <f t="shared" si="54"/>
        <v>1</v>
      </c>
      <c r="AE62" s="22" t="s">
        <v>150</v>
      </c>
      <c r="AF62" s="25"/>
      <c r="AG62" s="24">
        <v>24.99</v>
      </c>
      <c r="AH62" s="25">
        <f t="shared" si="61"/>
        <v>28.738499999999995</v>
      </c>
      <c r="AI62" s="25">
        <f t="shared" si="29"/>
        <v>0</v>
      </c>
      <c r="AJ62" s="205">
        <f>KviteringV4[[#This Row],[pris SC (m. mva)]]*KviteringV4[[#This Row],[Antall]]</f>
        <v>0</v>
      </c>
      <c r="AK62" s="27"/>
      <c r="AM62" s="143" t="b">
        <f t="shared" si="55"/>
        <v>1</v>
      </c>
      <c r="AN62" s="22" t="s">
        <v>150</v>
      </c>
      <c r="AO62" s="210"/>
      <c r="AP62" s="211">
        <v>24.99</v>
      </c>
      <c r="AQ62" s="210">
        <f t="shared" si="62"/>
        <v>28.738499999999995</v>
      </c>
      <c r="AR62" s="210">
        <f t="shared" si="43"/>
        <v>0</v>
      </c>
      <c r="AS62" s="205">
        <f>KviteringV5[[#This Row],[pris SC (m. mva)]]*KviteringV5[[#This Row],[Antall]]</f>
        <v>0</v>
      </c>
      <c r="AT62" s="212"/>
      <c r="AV62" s="143" t="b">
        <f t="shared" si="56"/>
        <v>1</v>
      </c>
      <c r="AW62" s="22" t="s">
        <v>150</v>
      </c>
      <c r="AX62" s="210"/>
      <c r="AY62" s="211">
        <v>24.99</v>
      </c>
      <c r="AZ62" s="210">
        <f t="shared" si="63"/>
        <v>28.738499999999995</v>
      </c>
      <c r="BA62" s="210">
        <f t="shared" si="30"/>
        <v>0</v>
      </c>
      <c r="BB62" s="205">
        <f>KviteringV6[[#This Row],[pris SC (m. mva)]]*KviteringV6[[#This Row],[Antall]]</f>
        <v>0</v>
      </c>
      <c r="BC62" s="212"/>
      <c r="BE62" s="143" t="b">
        <f t="shared" si="57"/>
        <v>1</v>
      </c>
      <c r="BF62" s="22" t="s">
        <v>150</v>
      </c>
      <c r="BG62" s="210"/>
      <c r="BH62" s="211">
        <v>24.99</v>
      </c>
      <c r="BI62" s="210">
        <f t="shared" si="31"/>
        <v>28.738499999999995</v>
      </c>
      <c r="BJ62" s="210">
        <f t="shared" si="32"/>
        <v>0</v>
      </c>
      <c r="BK62" s="205">
        <f>KviteringV7[[#This Row],[pris SC (m. mva)]]*KviteringV7[[#This Row],[Antall]]</f>
        <v>0</v>
      </c>
      <c r="BL62" s="212"/>
      <c r="BN62" s="143" t="b">
        <f t="shared" si="58"/>
        <v>1</v>
      </c>
      <c r="BO62" s="22" t="s">
        <v>150</v>
      </c>
      <c r="BP62" s="210"/>
      <c r="BQ62" s="211">
        <v>24.99</v>
      </c>
      <c r="BR62" s="210">
        <f t="shared" si="65"/>
        <v>28.738499999999995</v>
      </c>
      <c r="BS62" s="210">
        <f t="shared" si="33"/>
        <v>0</v>
      </c>
      <c r="BT62" s="205">
        <f>KviteringV8[[#This Row],[pris SC (m. mva)]]*KviteringV8[[#This Row],[Antall]]</f>
        <v>0</v>
      </c>
      <c r="BU62" s="212"/>
    </row>
    <row r="63" spans="1:73" x14ac:dyDescent="0.35">
      <c r="A63" s="152" t="s">
        <v>149</v>
      </c>
      <c r="B63" s="141">
        <f>IFERROR(VLOOKUP(Inkjøp[[#This Row],[Produkt]],KviteringV3[],2,FALSE),0)</f>
        <v>120</v>
      </c>
      <c r="C63" s="141" cm="1">
        <f t="array" ref="C6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2820.7200000000003</v>
      </c>
      <c r="D63" s="120"/>
      <c r="E63" s="15" t="b">
        <f t="shared" si="51"/>
        <v>1</v>
      </c>
      <c r="F63" s="25" t="s">
        <v>151</v>
      </c>
      <c r="G63" s="25">
        <v>30</v>
      </c>
      <c r="H63" s="32">
        <v>2.62</v>
      </c>
      <c r="I63" s="25">
        <f t="shared" si="69"/>
        <v>3.0129999999999999</v>
      </c>
      <c r="J63" s="25">
        <f t="shared" si="70"/>
        <v>78.600000000000009</v>
      </c>
      <c r="K63" s="25">
        <f t="shared" si="71"/>
        <v>90.39</v>
      </c>
      <c r="L63" s="27"/>
      <c r="M63" s="143" t="b">
        <f t="shared" si="52"/>
        <v>1</v>
      </c>
      <c r="N63" s="22" t="s">
        <v>151</v>
      </c>
      <c r="O63" s="25">
        <v>180</v>
      </c>
      <c r="P63" s="24">
        <v>2.62</v>
      </c>
      <c r="Q63" s="25">
        <f t="shared" si="66"/>
        <v>3.0129999999999999</v>
      </c>
      <c r="R63" s="25">
        <f t="shared" si="67"/>
        <v>471.6</v>
      </c>
      <c r="S63" s="26">
        <f t="shared" si="68"/>
        <v>542.34</v>
      </c>
      <c r="T63" s="27"/>
      <c r="U63" s="143" t="b">
        <f t="shared" si="53"/>
        <v>1</v>
      </c>
      <c r="V63" s="22" t="s">
        <v>151</v>
      </c>
      <c r="W63" s="25">
        <v>150</v>
      </c>
      <c r="X63" s="24">
        <v>2.62</v>
      </c>
      <c r="Y63" s="25">
        <f t="shared" si="64"/>
        <v>3.0129999999999999</v>
      </c>
      <c r="Z63" s="25">
        <f t="shared" si="59"/>
        <v>393</v>
      </c>
      <c r="AA63" s="26">
        <f t="shared" si="60"/>
        <v>451.95</v>
      </c>
      <c r="AB63" s="27"/>
      <c r="AD63" s="143" t="b">
        <f t="shared" si="54"/>
        <v>1</v>
      </c>
      <c r="AE63" s="22" t="s">
        <v>151</v>
      </c>
      <c r="AF63" s="25">
        <v>150</v>
      </c>
      <c r="AG63" s="24">
        <v>2.62</v>
      </c>
      <c r="AH63" s="25">
        <f t="shared" si="61"/>
        <v>3.0129999999999999</v>
      </c>
      <c r="AI63" s="25">
        <f t="shared" si="29"/>
        <v>393</v>
      </c>
      <c r="AJ63" s="205">
        <f>KviteringV4[[#This Row],[pris SC (m. mva)]]*KviteringV4[[#This Row],[Antall]]</f>
        <v>451.95</v>
      </c>
      <c r="AK63" s="27"/>
      <c r="AM63" s="143" t="b">
        <f t="shared" si="55"/>
        <v>1</v>
      </c>
      <c r="AN63" s="22" t="s">
        <v>151</v>
      </c>
      <c r="AO63" s="210"/>
      <c r="AP63" s="211">
        <v>2.62</v>
      </c>
      <c r="AQ63" s="210">
        <f t="shared" si="62"/>
        <v>3.0129999999999999</v>
      </c>
      <c r="AR63" s="210">
        <f t="shared" si="43"/>
        <v>0</v>
      </c>
      <c r="AS63" s="205">
        <f>KviteringV5[[#This Row],[pris SC (m. mva)]]*KviteringV5[[#This Row],[Antall]]</f>
        <v>0</v>
      </c>
      <c r="AT63" s="212"/>
      <c r="AV63" s="143" t="b">
        <f t="shared" si="56"/>
        <v>1</v>
      </c>
      <c r="AW63" s="22" t="s">
        <v>151</v>
      </c>
      <c r="AX63" s="210"/>
      <c r="AY63" s="211">
        <v>2.62</v>
      </c>
      <c r="AZ63" s="210">
        <f t="shared" si="63"/>
        <v>3.0129999999999999</v>
      </c>
      <c r="BA63" s="210">
        <f t="shared" si="30"/>
        <v>0</v>
      </c>
      <c r="BB63" s="205">
        <f>KviteringV6[[#This Row],[pris SC (m. mva)]]*KviteringV6[[#This Row],[Antall]]</f>
        <v>0</v>
      </c>
      <c r="BC63" s="212"/>
      <c r="BE63" s="143" t="b">
        <f t="shared" si="57"/>
        <v>1</v>
      </c>
      <c r="BF63" s="22" t="s">
        <v>151</v>
      </c>
      <c r="BG63" s="210">
        <v>90</v>
      </c>
      <c r="BH63" s="211">
        <v>3.2333333333333334</v>
      </c>
      <c r="BI63" s="210">
        <f t="shared" si="31"/>
        <v>3.7183333333333333</v>
      </c>
      <c r="BJ63" s="210">
        <f t="shared" si="32"/>
        <v>291</v>
      </c>
      <c r="BK63" s="205">
        <f>KviteringV7[[#This Row],[pris SC (m. mva)]]*KviteringV7[[#This Row],[Antall]]</f>
        <v>334.65</v>
      </c>
      <c r="BL63" s="212"/>
      <c r="BM63" t="s">
        <v>374</v>
      </c>
      <c r="BN63" s="143" t="b">
        <f t="shared" si="58"/>
        <v>1</v>
      </c>
      <c r="BO63" s="22" t="s">
        <v>151</v>
      </c>
      <c r="BP63" s="210"/>
      <c r="BQ63" s="211">
        <v>2.62</v>
      </c>
      <c r="BR63" s="210">
        <f t="shared" si="65"/>
        <v>3.0129999999999999</v>
      </c>
      <c r="BS63" s="210">
        <f t="shared" si="33"/>
        <v>0</v>
      </c>
      <c r="BT63" s="205">
        <f>KviteringV8[[#This Row],[pris SC (m. mva)]]*KviteringV8[[#This Row],[Antall]]</f>
        <v>0</v>
      </c>
      <c r="BU63" s="212"/>
    </row>
    <row r="64" spans="1:73" x14ac:dyDescent="0.35">
      <c r="A64" s="152" t="s">
        <v>150</v>
      </c>
      <c r="B64" s="141">
        <f>IFERROR(VLOOKUP(Inkjøp[[#This Row],[Produkt]],KviteringV3[],2,FALSE),0)</f>
        <v>0</v>
      </c>
      <c r="C64" s="141" cm="1">
        <f t="array" ref="C6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747.20099999999991</v>
      </c>
      <c r="D64" s="142"/>
      <c r="E64" s="15" t="b">
        <f t="shared" si="51"/>
        <v>1</v>
      </c>
      <c r="F64" s="25" t="s">
        <v>152</v>
      </c>
      <c r="G64" s="25">
        <v>30</v>
      </c>
      <c r="H64" s="32">
        <v>9.5399999999999991</v>
      </c>
      <c r="I64" s="25">
        <f t="shared" si="69"/>
        <v>10.970999999999998</v>
      </c>
      <c r="J64" s="25">
        <f t="shared" si="70"/>
        <v>286.2</v>
      </c>
      <c r="K64" s="25">
        <f t="shared" si="71"/>
        <v>329.12999999999994</v>
      </c>
      <c r="L64" s="27"/>
      <c r="M64" s="143" t="b">
        <f t="shared" si="52"/>
        <v>1</v>
      </c>
      <c r="N64" s="22" t="s">
        <v>152</v>
      </c>
      <c r="O64" s="25">
        <v>30</v>
      </c>
      <c r="P64" s="24">
        <v>9.5399999999999991</v>
      </c>
      <c r="Q64" s="25">
        <f t="shared" si="66"/>
        <v>10.970999999999998</v>
      </c>
      <c r="R64" s="25">
        <f t="shared" si="67"/>
        <v>286.2</v>
      </c>
      <c r="S64" s="26">
        <f t="shared" si="68"/>
        <v>329.12999999999994</v>
      </c>
      <c r="T64" s="27"/>
      <c r="U64" s="143" t="b">
        <f t="shared" si="53"/>
        <v>1</v>
      </c>
      <c r="V64" s="22" t="s">
        <v>152</v>
      </c>
      <c r="W64" s="25">
        <v>30</v>
      </c>
      <c r="X64" s="24">
        <v>9.5399999999999991</v>
      </c>
      <c r="Y64" s="25">
        <f t="shared" si="64"/>
        <v>10.970999999999998</v>
      </c>
      <c r="Z64" s="25">
        <f t="shared" si="59"/>
        <v>286.2</v>
      </c>
      <c r="AA64" s="26">
        <f t="shared" si="60"/>
        <v>329.12999999999994</v>
      </c>
      <c r="AB64" s="27"/>
      <c r="AD64" s="143" t="b">
        <f t="shared" si="54"/>
        <v>1</v>
      </c>
      <c r="AE64" s="22" t="s">
        <v>152</v>
      </c>
      <c r="AF64" s="25">
        <v>30</v>
      </c>
      <c r="AG64" s="24">
        <v>9.5399999999999991</v>
      </c>
      <c r="AH64" s="25">
        <f t="shared" si="61"/>
        <v>10.970999999999998</v>
      </c>
      <c r="AI64" s="25">
        <f t="shared" si="29"/>
        <v>286.2</v>
      </c>
      <c r="AJ64" s="205">
        <f>KviteringV4[[#This Row],[pris SC (m. mva)]]*KviteringV4[[#This Row],[Antall]]</f>
        <v>329.12999999999994</v>
      </c>
      <c r="AK64" s="27"/>
      <c r="AM64" s="143" t="b">
        <f t="shared" si="55"/>
        <v>1</v>
      </c>
      <c r="AN64" s="22" t="s">
        <v>152</v>
      </c>
      <c r="AO64" s="210"/>
      <c r="AP64" s="211">
        <v>9.5399999999999991</v>
      </c>
      <c r="AQ64" s="210">
        <f t="shared" si="62"/>
        <v>10.970999999999998</v>
      </c>
      <c r="AR64" s="210">
        <f t="shared" si="43"/>
        <v>0</v>
      </c>
      <c r="AS64" s="205">
        <f>KviteringV5[[#This Row],[pris SC (m. mva)]]*KviteringV5[[#This Row],[Antall]]</f>
        <v>0</v>
      </c>
      <c r="AT64" s="212"/>
      <c r="AV64" s="143" t="b">
        <f t="shared" si="56"/>
        <v>1</v>
      </c>
      <c r="AW64" s="22" t="s">
        <v>152</v>
      </c>
      <c r="AX64" s="210"/>
      <c r="AY64" s="211">
        <v>9.5399999999999991</v>
      </c>
      <c r="AZ64" s="210">
        <f t="shared" si="63"/>
        <v>10.970999999999998</v>
      </c>
      <c r="BA64" s="210">
        <f t="shared" si="30"/>
        <v>0</v>
      </c>
      <c r="BB64" s="205">
        <f>KviteringV6[[#This Row],[pris SC (m. mva)]]*KviteringV6[[#This Row],[Antall]]</f>
        <v>0</v>
      </c>
      <c r="BC64" s="212"/>
      <c r="BE64" s="143" t="b">
        <f t="shared" si="57"/>
        <v>1</v>
      </c>
      <c r="BF64" s="22" t="s">
        <v>152</v>
      </c>
      <c r="BG64" s="210">
        <v>30</v>
      </c>
      <c r="BH64" s="211">
        <v>9.5399999999999991</v>
      </c>
      <c r="BI64" s="210">
        <f t="shared" si="31"/>
        <v>10.970999999999998</v>
      </c>
      <c r="BJ64" s="210">
        <f t="shared" si="32"/>
        <v>286.2</v>
      </c>
      <c r="BK64" s="205">
        <f>KviteringV7[[#This Row],[pris SC (m. mva)]]*KviteringV7[[#This Row],[Antall]]</f>
        <v>329.12999999999994</v>
      </c>
      <c r="BL64" s="212"/>
      <c r="BN64" s="143" t="b">
        <f t="shared" si="58"/>
        <v>1</v>
      </c>
      <c r="BO64" s="22" t="s">
        <v>152</v>
      </c>
      <c r="BP64" s="210"/>
      <c r="BQ64" s="211">
        <v>9.5399999999999991</v>
      </c>
      <c r="BR64" s="210">
        <f t="shared" si="65"/>
        <v>10.970999999999998</v>
      </c>
      <c r="BS64" s="210">
        <f t="shared" si="33"/>
        <v>0</v>
      </c>
      <c r="BT64" s="205">
        <f>KviteringV8[[#This Row],[pris SC (m. mva)]]*KviteringV8[[#This Row],[Antall]]</f>
        <v>0</v>
      </c>
      <c r="BU64" s="212"/>
    </row>
    <row r="65" spans="1:73" x14ac:dyDescent="0.35">
      <c r="A65" s="152" t="s">
        <v>151</v>
      </c>
      <c r="B65" s="141">
        <f>IFERROR(VLOOKUP(Inkjøp[[#This Row],[Produkt]],KviteringV3[],2,FALSE),0)</f>
        <v>150</v>
      </c>
      <c r="C65" s="141" cm="1">
        <f t="array" ref="C6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1536.63</v>
      </c>
      <c r="D65" s="120"/>
      <c r="E65" s="15" t="b">
        <f t="shared" si="51"/>
        <v>1</v>
      </c>
      <c r="F65" s="25" t="s">
        <v>153</v>
      </c>
      <c r="G65" s="25"/>
      <c r="H65" s="25"/>
      <c r="I65" s="25"/>
      <c r="J65" s="25"/>
      <c r="K65" s="25"/>
      <c r="L65" s="27"/>
      <c r="M65" s="143" t="b">
        <f t="shared" si="52"/>
        <v>1</v>
      </c>
      <c r="N65" s="22" t="s">
        <v>153</v>
      </c>
      <c r="O65" s="30">
        <v>144</v>
      </c>
      <c r="P65" s="29">
        <v>3.69</v>
      </c>
      <c r="Q65" s="30">
        <f t="shared" si="66"/>
        <v>4.2435</v>
      </c>
      <c r="R65" s="30">
        <f t="shared" si="67"/>
        <v>531.36</v>
      </c>
      <c r="S65" s="26">
        <f t="shared" si="68"/>
        <v>611.06399999999996</v>
      </c>
      <c r="T65" s="27"/>
      <c r="U65" s="143" t="b">
        <f t="shared" si="53"/>
        <v>1</v>
      </c>
      <c r="V65" s="22" t="s">
        <v>153</v>
      </c>
      <c r="W65" s="25">
        <v>0</v>
      </c>
      <c r="X65" s="24">
        <v>3.69</v>
      </c>
      <c r="Y65" s="25">
        <f t="shared" si="64"/>
        <v>4.2435</v>
      </c>
      <c r="Z65" s="25">
        <f t="shared" si="59"/>
        <v>0</v>
      </c>
      <c r="AA65" s="26">
        <f t="shared" si="60"/>
        <v>0</v>
      </c>
      <c r="AB65" s="27"/>
      <c r="AD65" s="143" t="b">
        <f t="shared" si="54"/>
        <v>1</v>
      </c>
      <c r="AE65" s="22" t="s">
        <v>153</v>
      </c>
      <c r="AF65" s="25"/>
      <c r="AG65" s="24">
        <v>3.69</v>
      </c>
      <c r="AH65" s="25">
        <f t="shared" si="61"/>
        <v>4.2435</v>
      </c>
      <c r="AI65" s="25">
        <f t="shared" si="29"/>
        <v>0</v>
      </c>
      <c r="AJ65" s="205">
        <f>KviteringV4[[#This Row],[pris SC (m. mva)]]*KviteringV4[[#This Row],[Antall]]</f>
        <v>0</v>
      </c>
      <c r="AK65" s="27"/>
      <c r="AM65" s="143" t="b">
        <f t="shared" si="55"/>
        <v>1</v>
      </c>
      <c r="AN65" s="22" t="s">
        <v>153</v>
      </c>
      <c r="AO65" s="210"/>
      <c r="AP65" s="211">
        <v>3.69</v>
      </c>
      <c r="AQ65" s="210">
        <f t="shared" si="62"/>
        <v>4.2435</v>
      </c>
      <c r="AR65" s="210">
        <f t="shared" si="43"/>
        <v>0</v>
      </c>
      <c r="AS65" s="205">
        <f>KviteringV5[[#This Row],[pris SC (m. mva)]]*KviteringV5[[#This Row],[Antall]]</f>
        <v>0</v>
      </c>
      <c r="AT65" s="212"/>
      <c r="AV65" s="143" t="b">
        <f t="shared" si="56"/>
        <v>1</v>
      </c>
      <c r="AW65" s="22" t="s">
        <v>153</v>
      </c>
      <c r="AX65" s="210"/>
      <c r="AY65" s="211">
        <v>3.69</v>
      </c>
      <c r="AZ65" s="210">
        <f t="shared" si="63"/>
        <v>4.2435</v>
      </c>
      <c r="BA65" s="210">
        <f t="shared" si="30"/>
        <v>0</v>
      </c>
      <c r="BB65" s="205">
        <f>KviteringV6[[#This Row],[pris SC (m. mva)]]*KviteringV6[[#This Row],[Antall]]</f>
        <v>0</v>
      </c>
      <c r="BC65" s="212"/>
      <c r="BE65" s="143" t="b">
        <f t="shared" si="57"/>
        <v>1</v>
      </c>
      <c r="BF65" s="22" t="s">
        <v>153</v>
      </c>
      <c r="BG65" s="210"/>
      <c r="BH65" s="211">
        <v>3.69</v>
      </c>
      <c r="BI65" s="210">
        <f t="shared" si="31"/>
        <v>4.2435</v>
      </c>
      <c r="BJ65" s="210">
        <f t="shared" si="32"/>
        <v>0</v>
      </c>
      <c r="BK65" s="205">
        <f>KviteringV7[[#This Row],[pris SC (m. mva)]]*KviteringV7[[#This Row],[Antall]]</f>
        <v>0</v>
      </c>
      <c r="BL65" s="212"/>
      <c r="BN65" s="143" t="b">
        <f t="shared" si="58"/>
        <v>1</v>
      </c>
      <c r="BO65" s="22" t="s">
        <v>153</v>
      </c>
      <c r="BP65" s="210"/>
      <c r="BQ65" s="211">
        <v>3.69</v>
      </c>
      <c r="BR65" s="210">
        <f t="shared" si="65"/>
        <v>4.2435</v>
      </c>
      <c r="BS65" s="210">
        <f t="shared" si="33"/>
        <v>0</v>
      </c>
      <c r="BT65" s="205">
        <f>KviteringV8[[#This Row],[pris SC (m. mva)]]*KviteringV8[[#This Row],[Antall]]</f>
        <v>0</v>
      </c>
      <c r="BU65" s="212"/>
    </row>
    <row r="66" spans="1:73" x14ac:dyDescent="0.35">
      <c r="A66" s="152" t="s">
        <v>152</v>
      </c>
      <c r="B66" s="141">
        <f>IFERROR(VLOOKUP(Inkjøp[[#This Row],[Produkt]],KviteringV3[],2,FALSE),0)</f>
        <v>30</v>
      </c>
      <c r="C66" s="141" cm="1">
        <f t="array" ref="C6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1316.5199999999998</v>
      </c>
      <c r="D66" s="120"/>
      <c r="E66" s="15" t="b">
        <f t="shared" ref="E66:E68" si="72">COUNTIF($A:$A,F66)&gt;0</f>
        <v>1</v>
      </c>
      <c r="F66" s="118" t="s">
        <v>156</v>
      </c>
      <c r="G66" s="25"/>
      <c r="H66" s="25"/>
      <c r="I66" s="25"/>
      <c r="J66" s="25"/>
      <c r="K66" s="25"/>
      <c r="L66" s="27"/>
      <c r="M66" s="143" t="b">
        <f t="shared" ref="M66:M68" si="73">COUNTIF($A:$A,N66)&gt;0</f>
        <v>1</v>
      </c>
      <c r="N66" s="22" t="s">
        <v>156</v>
      </c>
      <c r="O66" s="30">
        <v>28</v>
      </c>
      <c r="P66" s="29">
        <v>13.01</v>
      </c>
      <c r="Q66" s="30">
        <f>P66*1.15</f>
        <v>14.961499999999999</v>
      </c>
      <c r="R66" s="30">
        <f>P66*O66</f>
        <v>364.28</v>
      </c>
      <c r="S66" s="26">
        <f>Q66*O66</f>
        <v>418.92199999999997</v>
      </c>
      <c r="T66" s="27"/>
      <c r="U66" s="143" t="b">
        <f t="shared" ref="U66:U68" si="74">COUNTIF($A:$A,V66)&gt;0</f>
        <v>1</v>
      </c>
      <c r="V66" s="22" t="s">
        <v>156</v>
      </c>
      <c r="W66" s="25">
        <v>28</v>
      </c>
      <c r="X66" s="24">
        <v>13.01</v>
      </c>
      <c r="Y66" s="25">
        <f>X66*1.15</f>
        <v>14.961499999999999</v>
      </c>
      <c r="Z66" s="25">
        <f>X66*W66</f>
        <v>364.28</v>
      </c>
      <c r="AA66" s="26">
        <f>Y66*W66</f>
        <v>418.92199999999997</v>
      </c>
      <c r="AB66" s="27"/>
      <c r="AD66" s="143" t="b">
        <f t="shared" ref="AD66:AD72" si="75">COUNTIF($A:$A,AE66)&gt;0</f>
        <v>1</v>
      </c>
      <c r="AE66" s="22" t="s">
        <v>156</v>
      </c>
      <c r="AF66" s="25"/>
      <c r="AG66" s="24">
        <v>13.01</v>
      </c>
      <c r="AH66" s="25">
        <f t="shared" si="61"/>
        <v>14.961499999999999</v>
      </c>
      <c r="AI66" s="25">
        <f t="shared" si="29"/>
        <v>0</v>
      </c>
      <c r="AJ66" s="205">
        <f>KviteringV4[[#This Row],[pris SC (m. mva)]]*KviteringV4[[#This Row],[Antall]]</f>
        <v>0</v>
      </c>
      <c r="AK66" s="27"/>
      <c r="AM66" s="143" t="b">
        <f t="shared" ref="AM66:AM72" si="76">COUNTIF($A:$A,AN66)&gt;0</f>
        <v>1</v>
      </c>
      <c r="AN66" s="22" t="s">
        <v>156</v>
      </c>
      <c r="AO66" s="210"/>
      <c r="AP66" s="211">
        <v>13.01</v>
      </c>
      <c r="AQ66" s="210">
        <f t="shared" si="62"/>
        <v>14.961499999999999</v>
      </c>
      <c r="AR66" s="210">
        <f t="shared" si="43"/>
        <v>0</v>
      </c>
      <c r="AS66" s="205">
        <f>KviteringV5[[#This Row],[pris SC (m. mva)]]*KviteringV5[[#This Row],[Antall]]</f>
        <v>0</v>
      </c>
      <c r="AT66" s="212"/>
      <c r="AV66" s="143" t="b">
        <f t="shared" ref="AV66:AV72" si="77">COUNTIF($A:$A,AW66)&gt;0</f>
        <v>1</v>
      </c>
      <c r="AW66" s="22" t="s">
        <v>156</v>
      </c>
      <c r="AX66" s="210"/>
      <c r="AY66" s="211">
        <v>13.01</v>
      </c>
      <c r="AZ66" s="210">
        <f t="shared" si="63"/>
        <v>14.961499999999999</v>
      </c>
      <c r="BA66" s="210">
        <f t="shared" si="30"/>
        <v>0</v>
      </c>
      <c r="BB66" s="205">
        <f>KviteringV6[[#This Row],[pris SC (m. mva)]]*KviteringV6[[#This Row],[Antall]]</f>
        <v>0</v>
      </c>
      <c r="BC66" s="212"/>
      <c r="BE66" s="143" t="b">
        <f t="shared" ref="BE66:BE72" si="78">COUNTIF($A:$A,BF66)&gt;0</f>
        <v>1</v>
      </c>
      <c r="BF66" s="22" t="s">
        <v>156</v>
      </c>
      <c r="BG66" s="210"/>
      <c r="BH66" s="211">
        <v>13.01</v>
      </c>
      <c r="BI66" s="210">
        <f t="shared" si="31"/>
        <v>14.961499999999999</v>
      </c>
      <c r="BJ66" s="210">
        <f t="shared" si="32"/>
        <v>0</v>
      </c>
      <c r="BK66" s="205">
        <f>KviteringV7[[#This Row],[pris SC (m. mva)]]*KviteringV7[[#This Row],[Antall]]</f>
        <v>0</v>
      </c>
      <c r="BL66" s="212"/>
      <c r="BN66" s="143" t="b">
        <f t="shared" ref="BN66:BN72" si="79">COUNTIF($A:$A,BO66)&gt;0</f>
        <v>1</v>
      </c>
      <c r="BO66" s="22" t="s">
        <v>156</v>
      </c>
      <c r="BP66" s="210"/>
      <c r="BQ66" s="211">
        <v>13.01</v>
      </c>
      <c r="BR66" s="210">
        <f t="shared" si="65"/>
        <v>14.961499999999999</v>
      </c>
      <c r="BS66" s="210">
        <f t="shared" si="33"/>
        <v>0</v>
      </c>
      <c r="BT66" s="205">
        <f>KviteringV8[[#This Row],[pris SC (m. mva)]]*KviteringV8[[#This Row],[Antall]]</f>
        <v>0</v>
      </c>
      <c r="BU66" s="212"/>
    </row>
    <row r="67" spans="1:73" ht="18.649999999999999" customHeight="1" x14ac:dyDescent="0.35">
      <c r="A67" s="152" t="s">
        <v>153</v>
      </c>
      <c r="B67" s="141">
        <f>IFERROR(VLOOKUP(Inkjøp[[#This Row],[Produkt]],KviteringV3[],2,FALSE),0)</f>
        <v>0</v>
      </c>
      <c r="C67" s="141" cm="1">
        <f t="array" ref="C6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611.06399999999996</v>
      </c>
      <c r="D67" s="120"/>
      <c r="E67" s="15" t="b">
        <f t="shared" si="72"/>
        <v>1</v>
      </c>
      <c r="F67" s="25" t="s">
        <v>154</v>
      </c>
      <c r="G67" s="25"/>
      <c r="H67" s="25"/>
      <c r="I67" s="25"/>
      <c r="J67" s="25"/>
      <c r="K67" s="25"/>
      <c r="L67" s="27"/>
      <c r="M67" s="143" t="b">
        <f t="shared" si="73"/>
        <v>1</v>
      </c>
      <c r="N67" s="22" t="s">
        <v>154</v>
      </c>
      <c r="O67" s="30">
        <v>60</v>
      </c>
      <c r="P67" s="29">
        <v>2.79</v>
      </c>
      <c r="Q67" s="30">
        <f>P67*1.15</f>
        <v>3.2084999999999999</v>
      </c>
      <c r="R67" s="30">
        <f>P67*O67</f>
        <v>167.4</v>
      </c>
      <c r="S67" s="26">
        <f>Q67*O67</f>
        <v>192.51</v>
      </c>
      <c r="T67" s="27"/>
      <c r="U67" s="143" t="b">
        <f t="shared" si="74"/>
        <v>1</v>
      </c>
      <c r="V67" s="22" t="s">
        <v>154</v>
      </c>
      <c r="W67" s="25">
        <v>0</v>
      </c>
      <c r="X67" s="24">
        <v>2.79</v>
      </c>
      <c r="Y67" s="25">
        <f>X67*1.15</f>
        <v>3.2084999999999999</v>
      </c>
      <c r="Z67" s="25">
        <f>X67*W67</f>
        <v>0</v>
      </c>
      <c r="AA67" s="26">
        <f>Y67*W67</f>
        <v>0</v>
      </c>
      <c r="AB67" s="27"/>
      <c r="AD67" s="143" t="b">
        <f t="shared" si="75"/>
        <v>1</v>
      </c>
      <c r="AE67" s="22" t="s">
        <v>154</v>
      </c>
      <c r="AF67" s="25"/>
      <c r="AG67" s="24">
        <v>2.79</v>
      </c>
      <c r="AH67" s="25">
        <f t="shared" si="61"/>
        <v>3.2084999999999999</v>
      </c>
      <c r="AI67" s="25">
        <f t="shared" ref="AI67:AI72" si="80">AG67*AF67</f>
        <v>0</v>
      </c>
      <c r="AJ67" s="205">
        <f>KviteringV4[[#This Row],[pris SC (m. mva)]]*KviteringV4[[#This Row],[Antall]]</f>
        <v>0</v>
      </c>
      <c r="AK67" s="27"/>
      <c r="AM67" s="143" t="b">
        <f t="shared" si="76"/>
        <v>1</v>
      </c>
      <c r="AN67" s="22" t="s">
        <v>154</v>
      </c>
      <c r="AO67" s="210"/>
      <c r="AP67" s="211">
        <v>2.79</v>
      </c>
      <c r="AQ67" s="210">
        <f t="shared" si="62"/>
        <v>3.2084999999999999</v>
      </c>
      <c r="AR67" s="210">
        <f t="shared" si="43"/>
        <v>0</v>
      </c>
      <c r="AS67" s="205">
        <f>KviteringV5[[#This Row],[pris SC (m. mva)]]*KviteringV5[[#This Row],[Antall]]</f>
        <v>0</v>
      </c>
      <c r="AT67" s="212"/>
      <c r="AV67" s="143" t="b">
        <f t="shared" si="77"/>
        <v>1</v>
      </c>
      <c r="AW67" s="22" t="s">
        <v>154</v>
      </c>
      <c r="AX67" s="210"/>
      <c r="AY67" s="211">
        <v>2.79</v>
      </c>
      <c r="AZ67" s="210">
        <f t="shared" si="63"/>
        <v>3.2084999999999999</v>
      </c>
      <c r="BA67" s="210">
        <f t="shared" ref="BA67:BA72" si="81">AY67*AX67</f>
        <v>0</v>
      </c>
      <c r="BB67" s="205">
        <f>KviteringV6[[#This Row],[pris SC (m. mva)]]*KviteringV6[[#This Row],[Antall]]</f>
        <v>0</v>
      </c>
      <c r="BC67" s="212"/>
      <c r="BE67" s="143" t="b">
        <f t="shared" si="78"/>
        <v>1</v>
      </c>
      <c r="BF67" s="22" t="s">
        <v>154</v>
      </c>
      <c r="BG67" s="210"/>
      <c r="BH67" s="211">
        <v>2.79</v>
      </c>
      <c r="BI67" s="210">
        <f t="shared" ref="BI67:BI72" si="82">BH67*1.15</f>
        <v>3.2084999999999999</v>
      </c>
      <c r="BJ67" s="210">
        <f t="shared" ref="BJ67:BJ72" si="83">BH67*BG67</f>
        <v>0</v>
      </c>
      <c r="BK67" s="205">
        <f>KviteringV7[[#This Row],[pris SC (m. mva)]]*KviteringV7[[#This Row],[Antall]]</f>
        <v>0</v>
      </c>
      <c r="BL67" s="212"/>
      <c r="BN67" s="143" t="b">
        <f t="shared" si="79"/>
        <v>1</v>
      </c>
      <c r="BO67" s="22" t="s">
        <v>154</v>
      </c>
      <c r="BP67" s="210"/>
      <c r="BQ67" s="211">
        <v>2.79</v>
      </c>
      <c r="BR67" s="210">
        <f t="shared" si="65"/>
        <v>3.2084999999999999</v>
      </c>
      <c r="BS67" s="210">
        <f t="shared" ref="BS67:BS72" si="84">BQ67*BP67</f>
        <v>0</v>
      </c>
      <c r="BT67" s="205">
        <f>KviteringV8[[#This Row],[pris SC (m. mva)]]*KviteringV8[[#This Row],[Antall]]</f>
        <v>0</v>
      </c>
      <c r="BU67" s="212"/>
    </row>
    <row r="68" spans="1:73" ht="18.649999999999999" customHeight="1" x14ac:dyDescent="0.35">
      <c r="A68" s="153" t="s">
        <v>156</v>
      </c>
      <c r="B68" s="141">
        <f>IFERROR(VLOOKUP(Inkjøp[[#This Row],[Produkt]],KviteringV3[],2,FALSE),0)</f>
        <v>28</v>
      </c>
      <c r="C68" s="141" cm="1">
        <f t="array" ref="C6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837.84399999999994</v>
      </c>
      <c r="D68" s="121"/>
      <c r="E68" s="15" t="b">
        <f t="shared" si="72"/>
        <v>1</v>
      </c>
      <c r="F68" s="25" t="s">
        <v>155</v>
      </c>
      <c r="G68" s="140"/>
      <c r="H68" s="140"/>
      <c r="I68" s="140"/>
      <c r="J68" s="140"/>
      <c r="K68" s="140"/>
      <c r="L68" s="27"/>
      <c r="M68" s="143" t="b">
        <f t="shared" si="73"/>
        <v>1</v>
      </c>
      <c r="N68" s="22" t="s">
        <v>155</v>
      </c>
      <c r="O68" s="30">
        <v>60</v>
      </c>
      <c r="P68" s="29">
        <v>3.0259999999999998</v>
      </c>
      <c r="Q68" s="30">
        <f>P68*1.15</f>
        <v>3.4798999999999993</v>
      </c>
      <c r="R68" s="30">
        <f>P68*O68</f>
        <v>181.56</v>
      </c>
      <c r="S68" s="26">
        <f>Q68*O68</f>
        <v>208.79399999999995</v>
      </c>
      <c r="T68" s="27"/>
      <c r="U68" s="143" t="b">
        <f t="shared" si="74"/>
        <v>1</v>
      </c>
      <c r="V68" s="22" t="s">
        <v>155</v>
      </c>
      <c r="W68" s="25">
        <v>0</v>
      </c>
      <c r="X68" s="24">
        <v>3.0259999999999998</v>
      </c>
      <c r="Y68" s="25">
        <f>X68*1.15</f>
        <v>3.4798999999999993</v>
      </c>
      <c r="Z68" s="25">
        <f>X68*W68</f>
        <v>0</v>
      </c>
      <c r="AA68" s="26">
        <f>Y68*W68</f>
        <v>0</v>
      </c>
      <c r="AB68" s="27"/>
      <c r="AD68" s="143" t="b">
        <f t="shared" si="75"/>
        <v>1</v>
      </c>
      <c r="AE68" s="22" t="s">
        <v>155</v>
      </c>
      <c r="AF68" s="25"/>
      <c r="AG68" s="24">
        <v>3.0259999999999998</v>
      </c>
      <c r="AH68" s="25">
        <f t="shared" si="61"/>
        <v>3.4798999999999993</v>
      </c>
      <c r="AI68" s="25">
        <f t="shared" si="80"/>
        <v>0</v>
      </c>
      <c r="AJ68" s="205">
        <f>KviteringV4[[#This Row],[pris SC (m. mva)]]*KviteringV4[[#This Row],[Antall]]</f>
        <v>0</v>
      </c>
      <c r="AK68" s="27"/>
      <c r="AM68" s="143" t="b">
        <f t="shared" si="76"/>
        <v>1</v>
      </c>
      <c r="AN68" s="22" t="s">
        <v>155</v>
      </c>
      <c r="AO68" s="210"/>
      <c r="AP68" s="211">
        <v>3.0259999999999998</v>
      </c>
      <c r="AQ68" s="210">
        <f t="shared" si="62"/>
        <v>3.4798999999999993</v>
      </c>
      <c r="AR68" s="210">
        <f t="shared" si="43"/>
        <v>0</v>
      </c>
      <c r="AS68" s="205">
        <f>KviteringV5[[#This Row],[pris SC (m. mva)]]*KviteringV5[[#This Row],[Antall]]</f>
        <v>0</v>
      </c>
      <c r="AT68" s="212"/>
      <c r="AV68" s="143" t="b">
        <f t="shared" si="77"/>
        <v>1</v>
      </c>
      <c r="AW68" s="22" t="s">
        <v>155</v>
      </c>
      <c r="AX68" s="210"/>
      <c r="AY68" s="211">
        <v>3.0259999999999998</v>
      </c>
      <c r="AZ68" s="210">
        <f t="shared" si="63"/>
        <v>3.4798999999999993</v>
      </c>
      <c r="BA68" s="210">
        <f t="shared" si="81"/>
        <v>0</v>
      </c>
      <c r="BB68" s="205">
        <f>KviteringV6[[#This Row],[pris SC (m. mva)]]*KviteringV6[[#This Row],[Antall]]</f>
        <v>0</v>
      </c>
      <c r="BC68" s="212"/>
      <c r="BE68" s="143" t="b">
        <f t="shared" si="78"/>
        <v>1</v>
      </c>
      <c r="BF68" s="22" t="s">
        <v>155</v>
      </c>
      <c r="BG68" s="210"/>
      <c r="BH68" s="211">
        <v>3.0259999999999998</v>
      </c>
      <c r="BI68" s="210">
        <f t="shared" si="82"/>
        <v>3.4798999999999993</v>
      </c>
      <c r="BJ68" s="210">
        <f t="shared" si="83"/>
        <v>0</v>
      </c>
      <c r="BK68" s="205">
        <f>KviteringV7[[#This Row],[pris SC (m. mva)]]*KviteringV7[[#This Row],[Antall]]</f>
        <v>0</v>
      </c>
      <c r="BL68" s="212"/>
      <c r="BN68" s="143" t="b">
        <f t="shared" si="79"/>
        <v>1</v>
      </c>
      <c r="BO68" s="22" t="s">
        <v>155</v>
      </c>
      <c r="BP68" s="210"/>
      <c r="BQ68" s="211">
        <v>3.0259999999999998</v>
      </c>
      <c r="BR68" s="210">
        <f t="shared" si="65"/>
        <v>3.4798999999999993</v>
      </c>
      <c r="BS68" s="210">
        <f t="shared" si="84"/>
        <v>0</v>
      </c>
      <c r="BT68" s="205">
        <f>KviteringV8[[#This Row],[pris SC (m. mva)]]*KviteringV8[[#This Row],[Antall]]</f>
        <v>0</v>
      </c>
      <c r="BU68" s="212"/>
    </row>
    <row r="69" spans="1:73" ht="18.649999999999999" customHeight="1" x14ac:dyDescent="0.35">
      <c r="A69" s="152" t="s">
        <v>154</v>
      </c>
      <c r="B69" s="141">
        <f>IFERROR(VLOOKUP(Inkjøp[[#This Row],[Produkt]],KviteringV3[],2,FALSE),0)</f>
        <v>0</v>
      </c>
      <c r="C69" s="141" cm="1">
        <f t="array" ref="C6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192.51</v>
      </c>
      <c r="E69" s="34"/>
      <c r="F69" s="16" t="e">
        <f>#REF!</f>
        <v>#REF!</v>
      </c>
      <c r="G69" s="35"/>
      <c r="H69" s="35"/>
      <c r="I69" s="35"/>
      <c r="J69" s="35"/>
      <c r="K69" s="35"/>
      <c r="L69" s="36"/>
      <c r="M69" s="36"/>
      <c r="N69" s="16" t="e">
        <f>#REF!</f>
        <v>#REF!</v>
      </c>
      <c r="O69" s="35"/>
      <c r="P69" s="35"/>
      <c r="Q69" s="35"/>
      <c r="R69" s="35"/>
      <c r="S69" s="35"/>
      <c r="T69" s="36"/>
      <c r="U69" s="36"/>
      <c r="V69" s="16" t="e">
        <f>$F69</f>
        <v>#REF!</v>
      </c>
      <c r="W69" s="35"/>
      <c r="X69" s="35"/>
      <c r="Y69" s="35"/>
      <c r="Z69" s="35"/>
      <c r="AA69" s="35"/>
      <c r="AB69" s="36"/>
      <c r="AD69" s="143" t="b">
        <f t="shared" si="75"/>
        <v>1</v>
      </c>
      <c r="AE69" t="s">
        <v>273</v>
      </c>
      <c r="AF69" s="25">
        <v>24</v>
      </c>
      <c r="AG69" s="24">
        <v>18.899999999999999</v>
      </c>
      <c r="AH69" s="25">
        <f t="shared" si="61"/>
        <v>21.734999999999996</v>
      </c>
      <c r="AI69" s="25">
        <f t="shared" si="80"/>
        <v>453.59999999999997</v>
      </c>
      <c r="AJ69" s="205">
        <f>KviteringV4[[#This Row],[pris SC (m. mva)]]*KviteringV4[[#This Row],[Antall]]</f>
        <v>521.63999999999987</v>
      </c>
      <c r="AK69" s="27">
        <f>KviteringV4[[#This Row],[Antall]]*2</f>
        <v>48</v>
      </c>
      <c r="AM69" s="143" t="b">
        <f t="shared" si="76"/>
        <v>1</v>
      </c>
      <c r="AN69" t="s">
        <v>273</v>
      </c>
      <c r="AO69" s="210"/>
      <c r="AP69" s="211">
        <v>18.899999999999999</v>
      </c>
      <c r="AQ69" s="210">
        <f t="shared" si="62"/>
        <v>21.734999999999996</v>
      </c>
      <c r="AR69" s="210">
        <f t="shared" si="43"/>
        <v>0</v>
      </c>
      <c r="AS69" s="205">
        <f>KviteringV5[[#This Row],[pris SC (m. mva)]]*KviteringV5[[#This Row],[Antall]]</f>
        <v>0</v>
      </c>
      <c r="AT69" s="212">
        <f>KviteringV5[[#This Row],[Antall]]*2</f>
        <v>0</v>
      </c>
      <c r="AV69" s="143" t="b">
        <f t="shared" si="77"/>
        <v>1</v>
      </c>
      <c r="AW69" t="s">
        <v>273</v>
      </c>
      <c r="AX69" s="210"/>
      <c r="AY69" s="211">
        <v>18.899999999999999</v>
      </c>
      <c r="AZ69" s="210">
        <f t="shared" si="63"/>
        <v>21.734999999999996</v>
      </c>
      <c r="BA69" s="210">
        <f t="shared" si="81"/>
        <v>0</v>
      </c>
      <c r="BB69" s="205">
        <f>KviteringV6[[#This Row],[pris SC (m. mva)]]*KviteringV6[[#This Row],[Antall]]</f>
        <v>0</v>
      </c>
      <c r="BC69" s="212">
        <f>KviteringV6[[#This Row],[Antall]]*2</f>
        <v>0</v>
      </c>
      <c r="BE69" s="143" t="b">
        <f t="shared" si="78"/>
        <v>1</v>
      </c>
      <c r="BF69" t="s">
        <v>273</v>
      </c>
      <c r="BG69" s="210"/>
      <c r="BH69" s="211">
        <v>18.899999999999999</v>
      </c>
      <c r="BI69" s="210">
        <f t="shared" si="82"/>
        <v>21.734999999999996</v>
      </c>
      <c r="BJ69" s="210">
        <f t="shared" si="83"/>
        <v>0</v>
      </c>
      <c r="BK69" s="205">
        <f>KviteringV7[[#This Row],[pris SC (m. mva)]]*KviteringV7[[#This Row],[Antall]]</f>
        <v>0</v>
      </c>
      <c r="BL69" s="212">
        <f>KviteringV7[[#This Row],[Antall]]*2</f>
        <v>0</v>
      </c>
      <c r="BN69" s="143" t="b">
        <f t="shared" si="79"/>
        <v>1</v>
      </c>
      <c r="BO69" t="s">
        <v>273</v>
      </c>
      <c r="BP69" s="210"/>
      <c r="BQ69" s="211">
        <v>18.899999999999999</v>
      </c>
      <c r="BR69" s="210">
        <f t="shared" si="65"/>
        <v>21.734999999999996</v>
      </c>
      <c r="BS69" s="210">
        <f t="shared" si="84"/>
        <v>0</v>
      </c>
      <c r="BT69" s="205">
        <f>KviteringV8[[#This Row],[pris SC (m. mva)]]*KviteringV8[[#This Row],[Antall]]</f>
        <v>0</v>
      </c>
      <c r="BU69" s="212">
        <f>KviteringV8[[#This Row],[Antall]]*2</f>
        <v>0</v>
      </c>
    </row>
    <row r="70" spans="1:73" ht="18.649999999999999" customHeight="1" x14ac:dyDescent="0.4">
      <c r="A70" s="154" t="s">
        <v>155</v>
      </c>
      <c r="B70" s="141">
        <f>IFERROR(VLOOKUP(Inkjøp[[#This Row],[Produkt]],KviteringV3[],2,FALSE),0)</f>
        <v>0</v>
      </c>
      <c r="C70" s="141" cm="1">
        <f t="array" ref="C7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208.79399999999995</v>
      </c>
      <c r="E70" s="34"/>
      <c r="F70" s="16">
        <f>A76</f>
        <v>0</v>
      </c>
      <c r="G70" s="43" t="s">
        <v>157</v>
      </c>
      <c r="H70" s="44" t="s">
        <v>83</v>
      </c>
      <c r="I70" s="44" t="s">
        <v>84</v>
      </c>
      <c r="J70" s="44" t="s">
        <v>85</v>
      </c>
      <c r="K70" s="45" t="s">
        <v>86</v>
      </c>
      <c r="L70" s="46" t="s">
        <v>35</v>
      </c>
      <c r="M70" s="37"/>
      <c r="N70" s="16">
        <f>A76</f>
        <v>0</v>
      </c>
      <c r="O70" s="43" t="s">
        <v>82</v>
      </c>
      <c r="P70" s="43" t="s">
        <v>83</v>
      </c>
      <c r="Q70" s="43" t="s">
        <v>84</v>
      </c>
      <c r="R70" s="43" t="s">
        <v>85</v>
      </c>
      <c r="S70" s="47" t="s">
        <v>86</v>
      </c>
      <c r="T70" s="48" t="s">
        <v>158</v>
      </c>
      <c r="U70" s="36"/>
      <c r="V70" s="16">
        <f>$F70</f>
        <v>0</v>
      </c>
      <c r="W70" s="43" t="s">
        <v>82</v>
      </c>
      <c r="X70" s="43" t="s">
        <v>83</v>
      </c>
      <c r="Y70" s="43" t="s">
        <v>84</v>
      </c>
      <c r="Z70" s="43" t="s">
        <v>85</v>
      </c>
      <c r="AA70" s="47" t="s">
        <v>86</v>
      </c>
      <c r="AB70" s="48" t="s">
        <v>158</v>
      </c>
      <c r="AD70" s="143" t="b">
        <f t="shared" si="75"/>
        <v>1</v>
      </c>
      <c r="AE70" s="22" t="s">
        <v>289</v>
      </c>
      <c r="AF70" s="25">
        <v>48</v>
      </c>
      <c r="AG70" s="24">
        <v>17.13</v>
      </c>
      <c r="AH70" s="25">
        <f t="shared" si="61"/>
        <v>19.699499999999997</v>
      </c>
      <c r="AI70" s="25">
        <f t="shared" si="80"/>
        <v>822.24</v>
      </c>
      <c r="AJ70" s="205">
        <f>KviteringV4[[#This Row],[pris SC (m. mva)]]*KviteringV4[[#This Row],[Antall]]</f>
        <v>945.57599999999979</v>
      </c>
      <c r="AK70" s="27">
        <f>KviteringV4[[#This Row],[Antall]]*2</f>
        <v>96</v>
      </c>
      <c r="AM70" s="143" t="b">
        <f t="shared" si="76"/>
        <v>1</v>
      </c>
      <c r="AN70" s="22" t="s">
        <v>289</v>
      </c>
      <c r="AO70" s="210"/>
      <c r="AP70" s="211">
        <v>17.13</v>
      </c>
      <c r="AQ70" s="210">
        <f t="shared" si="62"/>
        <v>19.699499999999997</v>
      </c>
      <c r="AR70" s="210">
        <f t="shared" si="43"/>
        <v>0</v>
      </c>
      <c r="AS70" s="205">
        <f>KviteringV5[[#This Row],[pris SC (m. mva)]]*KviteringV5[[#This Row],[Antall]]</f>
        <v>0</v>
      </c>
      <c r="AT70" s="212">
        <f>KviteringV5[[#This Row],[Antall]]*2</f>
        <v>0</v>
      </c>
      <c r="AV70" s="143" t="b">
        <f t="shared" si="77"/>
        <v>1</v>
      </c>
      <c r="AW70" s="22" t="s">
        <v>289</v>
      </c>
      <c r="AX70" s="210"/>
      <c r="AY70" s="211">
        <v>17.13</v>
      </c>
      <c r="AZ70" s="210">
        <f t="shared" si="63"/>
        <v>19.699499999999997</v>
      </c>
      <c r="BA70" s="210">
        <f t="shared" si="81"/>
        <v>0</v>
      </c>
      <c r="BB70" s="205">
        <f>KviteringV6[[#This Row],[pris SC (m. mva)]]*KviteringV6[[#This Row],[Antall]]</f>
        <v>0</v>
      </c>
      <c r="BC70" s="212">
        <f>KviteringV6[[#This Row],[Antall]]*2</f>
        <v>0</v>
      </c>
      <c r="BE70" s="143" t="b">
        <f t="shared" si="78"/>
        <v>1</v>
      </c>
      <c r="BF70" s="22" t="s">
        <v>289</v>
      </c>
      <c r="BG70" s="210"/>
      <c r="BH70" s="211">
        <v>17.13</v>
      </c>
      <c r="BI70" s="210">
        <f t="shared" si="82"/>
        <v>19.699499999999997</v>
      </c>
      <c r="BJ70" s="210">
        <f t="shared" si="83"/>
        <v>0</v>
      </c>
      <c r="BK70" s="205">
        <f>KviteringV7[[#This Row],[pris SC (m. mva)]]*KviteringV7[[#This Row],[Antall]]</f>
        <v>0</v>
      </c>
      <c r="BL70" s="212">
        <f>KviteringV7[[#This Row],[Antall]]*2</f>
        <v>0</v>
      </c>
      <c r="BN70" s="143" t="b">
        <f t="shared" si="79"/>
        <v>1</v>
      </c>
      <c r="BO70" s="22" t="s">
        <v>289</v>
      </c>
      <c r="BP70" s="210"/>
      <c r="BQ70" s="211">
        <v>17.13</v>
      </c>
      <c r="BR70" s="210">
        <f t="shared" si="65"/>
        <v>19.699499999999997</v>
      </c>
      <c r="BS70" s="210">
        <f t="shared" si="84"/>
        <v>0</v>
      </c>
      <c r="BT70" s="205">
        <f>KviteringV8[[#This Row],[pris SC (m. mva)]]*KviteringV8[[#This Row],[Antall]]</f>
        <v>0</v>
      </c>
      <c r="BU70" s="212">
        <f>KviteringV8[[#This Row],[Antall]]*2</f>
        <v>0</v>
      </c>
    </row>
    <row r="71" spans="1:73" ht="18.649999999999999" customHeight="1" x14ac:dyDescent="0.35">
      <c r="A71" s="154" t="s">
        <v>342</v>
      </c>
      <c r="B71" s="141">
        <f>IFERROR(VLOOKUP(Inkjøp[[#This Row],[Produkt]],KviteringV3[],2,FALSE),0)</f>
        <v>0</v>
      </c>
      <c r="C71" s="141" cm="1">
        <f t="array" ref="C7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0</v>
      </c>
      <c r="E71" s="34"/>
      <c r="F71" s="16">
        <f>A77</f>
        <v>0</v>
      </c>
      <c r="G71" s="39">
        <f t="shared" ref="G71:L71" si="85">SUM(G2:G68)</f>
        <v>2129</v>
      </c>
      <c r="H71" s="39">
        <f t="shared" si="85"/>
        <v>689.15</v>
      </c>
      <c r="I71" s="39">
        <f t="shared" si="85"/>
        <v>792.52250000000004</v>
      </c>
      <c r="J71" s="39">
        <f t="shared" si="85"/>
        <v>26657.089999999997</v>
      </c>
      <c r="K71" s="39">
        <f t="shared" si="85"/>
        <v>30655.6535</v>
      </c>
      <c r="L71" s="39">
        <f t="shared" si="85"/>
        <v>2080</v>
      </c>
      <c r="M71" s="39"/>
      <c r="N71" s="16">
        <f>A77</f>
        <v>0</v>
      </c>
      <c r="O71" s="39">
        <f t="shared" ref="O71:T71" si="86">SUM(O2:O68)</f>
        <v>2499</v>
      </c>
      <c r="P71" s="39">
        <f t="shared" si="86"/>
        <v>820.06850000000009</v>
      </c>
      <c r="Q71" s="39">
        <f t="shared" si="86"/>
        <v>943.07877500000018</v>
      </c>
      <c r="R71" s="39">
        <f t="shared" si="86"/>
        <v>28013.904300000002</v>
      </c>
      <c r="S71" s="39">
        <f t="shared" si="86"/>
        <v>32215.989944999994</v>
      </c>
      <c r="T71" s="39">
        <f t="shared" si="86"/>
        <v>2184</v>
      </c>
      <c r="U71" s="36"/>
      <c r="V71" s="16">
        <f>$F71</f>
        <v>0</v>
      </c>
      <c r="W71" s="39">
        <f t="shared" ref="W71:AB71" si="87">SUM(W2:W68)</f>
        <v>4174</v>
      </c>
      <c r="X71" s="39">
        <f t="shared" si="87"/>
        <v>845.52279565217373</v>
      </c>
      <c r="Y71" s="39">
        <f t="shared" si="87"/>
        <v>1002.2512150000002</v>
      </c>
      <c r="Z71" s="39">
        <f t="shared" si="87"/>
        <v>49771.101739130412</v>
      </c>
      <c r="AA71" s="39">
        <f t="shared" si="87"/>
        <v>64472.56700000001</v>
      </c>
      <c r="AB71" s="39">
        <f t="shared" si="87"/>
        <v>4384</v>
      </c>
      <c r="AD71" s="143" t="b">
        <f t="shared" si="75"/>
        <v>0</v>
      </c>
      <c r="AE71" s="22" t="s">
        <v>322</v>
      </c>
      <c r="AF71" s="25">
        <v>1</v>
      </c>
      <c r="AG71" s="24">
        <v>500</v>
      </c>
      <c r="AH71" s="25">
        <f>AG71*1.25</f>
        <v>625</v>
      </c>
      <c r="AI71" s="25">
        <f t="shared" si="80"/>
        <v>500</v>
      </c>
      <c r="AJ71" s="205">
        <f>KviteringV4[[#This Row],[pris SC (m. mva)]]*KviteringV4[[#This Row],[Antall]]</f>
        <v>625</v>
      </c>
      <c r="AK71" s="27"/>
      <c r="AM71" s="143" t="b">
        <f t="shared" si="76"/>
        <v>0</v>
      </c>
      <c r="AN71" s="22" t="s">
        <v>322</v>
      </c>
      <c r="AO71" s="210"/>
      <c r="AP71" s="211">
        <v>500</v>
      </c>
      <c r="AQ71" s="210">
        <f>AP71*1.25</f>
        <v>625</v>
      </c>
      <c r="AR71" s="210">
        <f t="shared" si="43"/>
        <v>0</v>
      </c>
      <c r="AS71" s="205">
        <f>KviteringV5[[#This Row],[pris SC (m. mva)]]*KviteringV5[[#This Row],[Antall]]</f>
        <v>0</v>
      </c>
      <c r="AT71" s="212"/>
      <c r="AV71" s="143" t="b">
        <f t="shared" si="77"/>
        <v>1</v>
      </c>
      <c r="AW71" s="22" t="s">
        <v>340</v>
      </c>
      <c r="AX71" s="210">
        <v>100</v>
      </c>
      <c r="AY71" s="211"/>
      <c r="AZ71" s="210">
        <v>6.9</v>
      </c>
      <c r="BA71" s="210">
        <f t="shared" si="81"/>
        <v>0</v>
      </c>
      <c r="BB71" s="205">
        <f>KviteringV6[[#This Row],[pris SC (m. mva)]]*KviteringV6[[#This Row],[Antall]]</f>
        <v>690</v>
      </c>
      <c r="BC71" s="212">
        <f>KviteringV6[[#This Row],[Antall]]*2</f>
        <v>200</v>
      </c>
      <c r="BE71" s="143" t="b">
        <f t="shared" si="78"/>
        <v>1</v>
      </c>
      <c r="BF71" s="22" t="s">
        <v>340</v>
      </c>
      <c r="BG71" s="210"/>
      <c r="BH71" s="211"/>
      <c r="BI71" s="210">
        <f t="shared" si="82"/>
        <v>0</v>
      </c>
      <c r="BJ71" s="210">
        <f t="shared" si="83"/>
        <v>0</v>
      </c>
      <c r="BK71" s="205">
        <f>KviteringV7[[#This Row],[pris SC (m. mva)]]*KviteringV7[[#This Row],[Antall]]</f>
        <v>0</v>
      </c>
      <c r="BL71" s="212">
        <f>KviteringV7[[#This Row],[Antall]]*2</f>
        <v>0</v>
      </c>
      <c r="BN71" s="143" t="b">
        <f t="shared" si="79"/>
        <v>1</v>
      </c>
      <c r="BO71" s="22" t="s">
        <v>340</v>
      </c>
      <c r="BP71" s="210"/>
      <c r="BQ71" s="211"/>
      <c r="BR71" s="210">
        <v>6.9</v>
      </c>
      <c r="BS71" s="210">
        <f t="shared" si="84"/>
        <v>0</v>
      </c>
      <c r="BT71" s="205">
        <f>KviteringV8[[#This Row],[pris SC (m. mva)]]*KviteringV8[[#This Row],[Antall]]</f>
        <v>0</v>
      </c>
      <c r="BU71" s="212">
        <f>KviteringV8[[#This Row],[Antall]]*2</f>
        <v>0</v>
      </c>
    </row>
    <row r="72" spans="1:73" ht="18.649999999999999" customHeight="1" x14ac:dyDescent="0.35">
      <c r="A72" s="154" t="s">
        <v>344</v>
      </c>
      <c r="B72" s="141">
        <f>IFERROR(VLOOKUP(Inkjøp[[#This Row],[Produkt]],KviteringV3[],2,FALSE),0)</f>
        <v>0</v>
      </c>
      <c r="C72" s="141" cm="1">
        <f t="array" ref="C7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0</v>
      </c>
      <c r="J72" s="8" t="s">
        <v>160</v>
      </c>
      <c r="K72" s="49">
        <f>K71+L71</f>
        <v>32735.6535</v>
      </c>
      <c r="R72" s="8" t="s">
        <v>161</v>
      </c>
      <c r="S72" s="49">
        <f>S71+T71</f>
        <v>34399.989944999994</v>
      </c>
      <c r="Z72" s="8" t="s">
        <v>161</v>
      </c>
      <c r="AA72" s="49">
        <f>AA71+AB71</f>
        <v>68856.56700000001</v>
      </c>
      <c r="AD72" s="143" t="b">
        <f t="shared" si="75"/>
        <v>0</v>
      </c>
      <c r="AE72" s="202" t="s">
        <v>315</v>
      </c>
      <c r="AF72" s="25"/>
      <c r="AG72" s="24"/>
      <c r="AH72" s="25">
        <f>AG72*1.15</f>
        <v>0</v>
      </c>
      <c r="AI72" s="25">
        <f t="shared" si="80"/>
        <v>0</v>
      </c>
      <c r="AJ72" s="205">
        <f>KviteringV4[[#This Row],[pris SC (m. mva)]]*KviteringV4[[#This Row],[Antall]]</f>
        <v>0</v>
      </c>
      <c r="AK72" s="27"/>
      <c r="AM72" s="143" t="b">
        <f t="shared" si="76"/>
        <v>0</v>
      </c>
      <c r="AN72" s="202" t="s">
        <v>315</v>
      </c>
      <c r="AO72" s="210"/>
      <c r="AP72" s="211"/>
      <c r="AQ72" s="210">
        <f>AP72*1.15</f>
        <v>0</v>
      </c>
      <c r="AR72" s="210">
        <f t="shared" si="43"/>
        <v>0</v>
      </c>
      <c r="AS72" s="205">
        <f>KviteringV5[[#This Row],[pris SC (m. mva)]]*KviteringV5[[#This Row],[Antall]]</f>
        <v>0</v>
      </c>
      <c r="AT72" s="212"/>
      <c r="AV72" s="143" t="b">
        <f t="shared" si="77"/>
        <v>0</v>
      </c>
      <c r="AW72" s="202" t="s">
        <v>315</v>
      </c>
      <c r="AX72" s="210"/>
      <c r="AY72" s="211"/>
      <c r="AZ72" s="210">
        <f>AY72*1.15</f>
        <v>0</v>
      </c>
      <c r="BA72" s="210">
        <f t="shared" si="81"/>
        <v>0</v>
      </c>
      <c r="BB72" s="205">
        <f>KviteringV6[[#This Row],[pris SC (m. mva)]]*KviteringV6[[#This Row],[Antall]]</f>
        <v>0</v>
      </c>
      <c r="BC72" s="212"/>
      <c r="BE72" s="143" t="b">
        <f t="shared" si="78"/>
        <v>0</v>
      </c>
      <c r="BF72" s="202" t="s">
        <v>315</v>
      </c>
      <c r="BG72" s="210"/>
      <c r="BH72" s="211"/>
      <c r="BI72" s="210">
        <f t="shared" si="82"/>
        <v>0</v>
      </c>
      <c r="BJ72" s="210">
        <f t="shared" si="83"/>
        <v>0</v>
      </c>
      <c r="BK72" s="205">
        <f>KviteringV7[[#This Row],[pris SC (m. mva)]]*KviteringV7[[#This Row],[Antall]]</f>
        <v>0</v>
      </c>
      <c r="BL72" s="212"/>
      <c r="BN72" s="143" t="b">
        <f t="shared" si="79"/>
        <v>0</v>
      </c>
      <c r="BO72" s="202" t="s">
        <v>315</v>
      </c>
      <c r="BP72" s="210"/>
      <c r="BQ72" s="211"/>
      <c r="BR72" s="210">
        <f>BQ72*1.15</f>
        <v>0</v>
      </c>
      <c r="BS72" s="210">
        <f t="shared" si="84"/>
        <v>0</v>
      </c>
      <c r="BT72" s="205">
        <f>KviteringV8[[#This Row],[pris SC (m. mva)]]*KviteringV8[[#This Row],[Antall]]</f>
        <v>0</v>
      </c>
      <c r="BU72" s="212"/>
    </row>
    <row r="73" spans="1:73" x14ac:dyDescent="0.35">
      <c r="A73" s="188" t="s">
        <v>340</v>
      </c>
      <c r="B73" s="141">
        <f>IFERROR(VLOOKUP(Inkjøp[[#This Row],[Produkt]],KviteringV3[],2,FALSE),0)</f>
        <v>0</v>
      </c>
      <c r="C73" s="141" cm="1">
        <f t="array" ref="C7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0</v>
      </c>
      <c r="J73" s="8" t="s">
        <v>159</v>
      </c>
      <c r="K73" s="17">
        <v>32735</v>
      </c>
      <c r="R73" s="8" t="s">
        <v>159</v>
      </c>
      <c r="S73" s="17">
        <f>O79</f>
        <v>34398.339999999997</v>
      </c>
      <c r="Z73" s="8" t="s">
        <v>159</v>
      </c>
      <c r="AA73" s="49">
        <f>W83</f>
        <v>68884</v>
      </c>
    </row>
    <row r="74" spans="1:73" ht="26.15" customHeight="1" x14ac:dyDescent="0.35">
      <c r="A74" s="188" t="s">
        <v>345</v>
      </c>
      <c r="B74" s="141">
        <f>IFERROR(VLOOKUP(Inkjøp[[#This Row],[Produkt]],KviteringV3[],2,FALSE),0)</f>
        <v>0</v>
      </c>
      <c r="C74" s="141" cm="1">
        <f t="array" ref="C7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{6,7}))+SUM(INDEX(KviteringV4[], MATCH(Inkjøp[[#This Row],[Produkt]], KviteringV4[Produkt], 0), {6,7})),0)</f>
        <v>0</v>
      </c>
      <c r="J74" s="8" t="s">
        <v>163</v>
      </c>
      <c r="K74" s="49">
        <f>K72-K73</f>
        <v>0.65350000000034925</v>
      </c>
      <c r="N74" s="2" t="s">
        <v>164</v>
      </c>
      <c r="O74" s="2" t="s">
        <v>165</v>
      </c>
      <c r="P74" s="2" t="s">
        <v>166</v>
      </c>
      <c r="R74" s="8" t="s">
        <v>167</v>
      </c>
      <c r="S74" s="49">
        <f>S72-S73</f>
        <v>1.6499449999973876</v>
      </c>
      <c r="V74" s="2" t="s">
        <v>164</v>
      </c>
      <c r="W74" s="2" t="s">
        <v>165</v>
      </c>
      <c r="X74" s="2" t="s">
        <v>166</v>
      </c>
      <c r="Y74" s="2" t="s">
        <v>168</v>
      </c>
      <c r="Z74" s="8" t="s">
        <v>167</v>
      </c>
      <c r="AA74" s="49">
        <f>AA72-AA73</f>
        <v>-27.432999999989988</v>
      </c>
      <c r="AF74" s="203"/>
      <c r="AG74" s="35"/>
      <c r="AH74" s="35"/>
      <c r="AI74" s="35"/>
      <c r="AJ74" s="35"/>
      <c r="AK74" s="36"/>
      <c r="AO74" s="203"/>
      <c r="AP74" s="35"/>
      <c r="AQ74" s="35"/>
      <c r="AR74" s="35"/>
      <c r="AS74" s="35"/>
      <c r="AT74" s="36"/>
      <c r="AX74" s="203"/>
      <c r="AY74" s="35"/>
      <c r="AZ74" s="35"/>
      <c r="BA74" s="35"/>
      <c r="BB74" s="35"/>
      <c r="BC74" s="36"/>
      <c r="BG74" s="203"/>
      <c r="BH74" s="35"/>
      <c r="BI74" s="35"/>
      <c r="BJ74" s="35"/>
      <c r="BK74" s="35"/>
      <c r="BL74" s="36"/>
      <c r="BP74" s="203"/>
      <c r="BQ74" s="35"/>
      <c r="BR74" s="35"/>
      <c r="BS74" s="35"/>
      <c r="BT74" s="35"/>
      <c r="BU74" s="36"/>
    </row>
    <row r="75" spans="1:73" ht="16" x14ac:dyDescent="0.4">
      <c r="G75" s="7"/>
      <c r="N75" t="s">
        <v>169</v>
      </c>
      <c r="O75">
        <v>486.5</v>
      </c>
      <c r="P75">
        <v>70</v>
      </c>
      <c r="V75" t="s">
        <v>170</v>
      </c>
      <c r="W75">
        <v>59572</v>
      </c>
      <c r="Y75" t="s">
        <v>171</v>
      </c>
      <c r="Z75" s="8"/>
      <c r="AA75" s="49"/>
      <c r="AF75" s="44" t="s">
        <v>82</v>
      </c>
      <c r="AG75" s="44"/>
      <c r="AH75" s="44"/>
      <c r="AI75" s="44" t="s">
        <v>85</v>
      </c>
      <c r="AJ75" s="45" t="s">
        <v>86</v>
      </c>
      <c r="AK75" s="204" t="s">
        <v>158</v>
      </c>
      <c r="AO75" s="44" t="s">
        <v>82</v>
      </c>
      <c r="AP75" s="44"/>
      <c r="AQ75" s="44"/>
      <c r="AR75" s="44" t="s">
        <v>85</v>
      </c>
      <c r="AS75" s="45" t="s">
        <v>86</v>
      </c>
      <c r="AT75" s="204" t="s">
        <v>158</v>
      </c>
      <c r="AX75" s="44" t="s">
        <v>82</v>
      </c>
      <c r="AY75" s="44"/>
      <c r="AZ75" s="44"/>
      <c r="BA75" s="44" t="s">
        <v>85</v>
      </c>
      <c r="BB75" s="45" t="s">
        <v>86</v>
      </c>
      <c r="BC75" s="204" t="s">
        <v>158</v>
      </c>
      <c r="BG75" s="44" t="s">
        <v>82</v>
      </c>
      <c r="BH75" s="44"/>
      <c r="BI75" s="44"/>
      <c r="BJ75" s="44" t="s">
        <v>85</v>
      </c>
      <c r="BK75" s="45" t="s">
        <v>86</v>
      </c>
      <c r="BL75" s="204" t="s">
        <v>158</v>
      </c>
      <c r="BP75" s="44" t="s">
        <v>82</v>
      </c>
      <c r="BQ75" s="44"/>
      <c r="BR75" s="44"/>
      <c r="BS75" s="44" t="s">
        <v>85</v>
      </c>
      <c r="BT75" s="45" t="s">
        <v>86</v>
      </c>
      <c r="BU75" s="204" t="s">
        <v>158</v>
      </c>
    </row>
    <row r="76" spans="1:73" ht="26.15" customHeight="1" x14ac:dyDescent="0.4">
      <c r="A76" s="92"/>
      <c r="B76" s="50" t="s">
        <v>157</v>
      </c>
      <c r="C76" s="42" t="s">
        <v>86</v>
      </c>
      <c r="N76" t="s">
        <v>169</v>
      </c>
      <c r="O76">
        <v>347.5</v>
      </c>
      <c r="P76">
        <v>50</v>
      </c>
      <c r="V76" t="s">
        <v>173</v>
      </c>
      <c r="W76">
        <v>-605.1</v>
      </c>
      <c r="AE76" s="7"/>
      <c r="AF76" s="39">
        <f>SUM(AF2:AF72)</f>
        <v>2583</v>
      </c>
      <c r="AG76" s="39"/>
      <c r="AH76" s="39"/>
      <c r="AI76" s="39">
        <f>SUM(AI2:AI72)</f>
        <v>31474.98000000001</v>
      </c>
      <c r="AJ76" s="39">
        <f>SUM(AJ2:AJ72)</f>
        <v>36246.226999999984</v>
      </c>
      <c r="AK76" s="39">
        <f>SUM(AK2:AK72)</f>
        <v>2952</v>
      </c>
      <c r="AN76" s="7"/>
      <c r="AO76" s="39">
        <f>SUM(AO2:AO72)</f>
        <v>120</v>
      </c>
      <c r="AP76" s="39"/>
      <c r="AQ76" s="39"/>
      <c r="AR76" s="39">
        <f>SUM(AR2:AR72)</f>
        <v>0</v>
      </c>
      <c r="AS76" s="39">
        <f>SUM(AS2:AS72)</f>
        <v>2442.15</v>
      </c>
      <c r="AT76" s="39">
        <f>SUM(AT2:AT72)</f>
        <v>0</v>
      </c>
      <c r="AW76" s="7"/>
      <c r="AX76" s="39">
        <f>SUM(AX2:AX72)</f>
        <v>730</v>
      </c>
      <c r="AY76" s="39"/>
      <c r="AZ76" s="39"/>
      <c r="BA76" s="39">
        <f>SUM(BA2:BA72)</f>
        <v>2914.56</v>
      </c>
      <c r="BB76" s="39">
        <f>SUM(BB2:BB72)</f>
        <v>11539.543999999998</v>
      </c>
      <c r="BC76" s="39">
        <f>SUM(BC2:BC72)</f>
        <v>384</v>
      </c>
      <c r="BF76" s="7"/>
      <c r="BG76" s="39">
        <f>SUM(BG2:BG72)</f>
        <v>1850</v>
      </c>
      <c r="BH76" s="39"/>
      <c r="BI76" s="39"/>
      <c r="BJ76" s="39">
        <f>SUM(BJ2:BJ72)</f>
        <v>20744.96</v>
      </c>
      <c r="BK76" s="39">
        <f>SUM(BK2:BK72)</f>
        <v>23856.703999999991</v>
      </c>
      <c r="BL76" s="39">
        <f>SUM(BL2:BL72)</f>
        <v>2032</v>
      </c>
      <c r="BO76" s="7"/>
      <c r="BP76" s="39">
        <f>SUM(BP2:BP72)</f>
        <v>0</v>
      </c>
      <c r="BQ76" s="39"/>
      <c r="BR76" s="39"/>
      <c r="BS76" s="39">
        <f>SUM(BS2:BS72)</f>
        <v>0</v>
      </c>
      <c r="BT76" s="39">
        <f>SUM(BT2:BT72)</f>
        <v>0</v>
      </c>
      <c r="BU76" s="39">
        <f>SUM(BU2:BU72)</f>
        <v>0</v>
      </c>
    </row>
    <row r="77" spans="1:73" x14ac:dyDescent="0.35">
      <c r="A77" s="92"/>
      <c r="B77" s="51">
        <f>SUM(B2:B74)</f>
        <v>4174</v>
      </c>
      <c r="C77" s="38">
        <f>SUM(C2:C74)</f>
        <v>172954.22144499994</v>
      </c>
      <c r="N77" t="s">
        <v>175</v>
      </c>
      <c r="O77">
        <v>32414.34</v>
      </c>
      <c r="P77">
        <v>2210</v>
      </c>
      <c r="V77" t="s">
        <v>176</v>
      </c>
      <c r="W77">
        <v>2088</v>
      </c>
      <c r="Y77" t="s">
        <v>177</v>
      </c>
      <c r="AI77" s="8" t="s">
        <v>161</v>
      </c>
      <c r="AJ77" s="49">
        <f>AJ76+AK76</f>
        <v>39198.226999999984</v>
      </c>
      <c r="AR77" s="8" t="s">
        <v>161</v>
      </c>
      <c r="AS77" s="49">
        <f>AS76+AT76</f>
        <v>2442.15</v>
      </c>
      <c r="BA77" s="8" t="s">
        <v>161</v>
      </c>
      <c r="BB77" s="49">
        <f>BB76+BC76</f>
        <v>11923.543999999998</v>
      </c>
      <c r="BJ77" s="8" t="s">
        <v>161</v>
      </c>
      <c r="BK77" s="49">
        <f>BK76+BL76</f>
        <v>25888.703999999991</v>
      </c>
      <c r="BS77" s="8" t="s">
        <v>161</v>
      </c>
      <c r="BT77" s="49">
        <f>BT76+BU76</f>
        <v>0</v>
      </c>
    </row>
    <row r="78" spans="1:73" ht="18.5" x14ac:dyDescent="0.45">
      <c r="A78" s="155"/>
      <c r="B78" s="139" t="s">
        <v>159</v>
      </c>
      <c r="C78" s="71">
        <f>K73+S73+AA73+AJ78-AS78-BB78-BK78-BT78</f>
        <v>215467.9</v>
      </c>
      <c r="G78" s="7"/>
      <c r="N78" t="s">
        <v>179</v>
      </c>
      <c r="O78">
        <v>1150</v>
      </c>
      <c r="P78">
        <f>27+27+15</f>
        <v>69</v>
      </c>
      <c r="V78" t="s">
        <v>180</v>
      </c>
      <c r="W78">
        <v>1794</v>
      </c>
      <c r="Y78" t="s">
        <v>177</v>
      </c>
      <c r="AI78" s="8" t="s">
        <v>159</v>
      </c>
      <c r="AJ78" s="49">
        <f>AF86</f>
        <v>39198.36</v>
      </c>
      <c r="AR78" s="8" t="s">
        <v>159</v>
      </c>
      <c r="AS78" s="49">
        <f>AO86</f>
        <v>-2442.15</v>
      </c>
      <c r="BA78" s="8" t="s">
        <v>159</v>
      </c>
      <c r="BB78" s="49">
        <f>AX86</f>
        <v>-11921.9</v>
      </c>
      <c r="BJ78" s="8" t="s">
        <v>159</v>
      </c>
      <c r="BK78" s="49">
        <f>BG86</f>
        <v>-25888.15</v>
      </c>
      <c r="BS78" s="8" t="s">
        <v>159</v>
      </c>
      <c r="BT78" s="49">
        <f>BP86</f>
        <v>0</v>
      </c>
    </row>
    <row r="79" spans="1:73" x14ac:dyDescent="0.35">
      <c r="B79" s="41" t="s">
        <v>162</v>
      </c>
      <c r="C79" s="40">
        <f>C77-C78</f>
        <v>-42513.67855500005</v>
      </c>
      <c r="N79" t="s">
        <v>80</v>
      </c>
      <c r="O79">
        <f>SUM(O75:O78)</f>
        <v>34398.339999999997</v>
      </c>
      <c r="P79">
        <f>SUM(P75:P78)</f>
        <v>2399</v>
      </c>
      <c r="V79" t="s">
        <v>181</v>
      </c>
      <c r="W79">
        <v>594</v>
      </c>
      <c r="AE79" s="2" t="s">
        <v>164</v>
      </c>
      <c r="AF79" s="2" t="s">
        <v>165</v>
      </c>
      <c r="AG79" s="2" t="s">
        <v>166</v>
      </c>
      <c r="AH79" s="2" t="s">
        <v>168</v>
      </c>
      <c r="AI79" s="8" t="s">
        <v>316</v>
      </c>
      <c r="AJ79" s="49">
        <f>AJ77-AJ78</f>
        <v>-0.13300000001618173</v>
      </c>
      <c r="AK79" t="s">
        <v>317</v>
      </c>
      <c r="AN79" s="2" t="s">
        <v>164</v>
      </c>
      <c r="AO79" s="2" t="s">
        <v>165</v>
      </c>
      <c r="AP79" s="2" t="s">
        <v>166</v>
      </c>
      <c r="AQ79" s="2" t="s">
        <v>168</v>
      </c>
      <c r="AR79" s="8" t="s">
        <v>316</v>
      </c>
      <c r="AS79" s="49">
        <f>AS77+AS78</f>
        <v>0</v>
      </c>
      <c r="AT79" t="s">
        <v>317</v>
      </c>
      <c r="AW79" s="2" t="s">
        <v>164</v>
      </c>
      <c r="AX79" s="2" t="s">
        <v>165</v>
      </c>
      <c r="AY79" s="2" t="s">
        <v>166</v>
      </c>
      <c r="AZ79" s="2" t="s">
        <v>168</v>
      </c>
      <c r="BA79" s="8" t="s">
        <v>316</v>
      </c>
      <c r="BB79" s="49">
        <f>BB77+BB78</f>
        <v>1.6439999999984138</v>
      </c>
      <c r="BC79" t="s">
        <v>317</v>
      </c>
      <c r="BF79" s="2" t="s">
        <v>164</v>
      </c>
      <c r="BG79" s="2" t="s">
        <v>165</v>
      </c>
      <c r="BH79" s="2" t="s">
        <v>166</v>
      </c>
      <c r="BI79" s="2" t="s">
        <v>168</v>
      </c>
      <c r="BJ79" s="8" t="s">
        <v>316</v>
      </c>
      <c r="BK79" s="49">
        <f>BK77+BK78</f>
        <v>0.55399999998917338</v>
      </c>
      <c r="BL79" t="s">
        <v>317</v>
      </c>
      <c r="BO79" s="2" t="s">
        <v>164</v>
      </c>
      <c r="BP79" s="2" t="s">
        <v>165</v>
      </c>
      <c r="BQ79" s="2" t="s">
        <v>166</v>
      </c>
      <c r="BR79" s="2" t="s">
        <v>168</v>
      </c>
      <c r="BS79" s="8" t="s">
        <v>316</v>
      </c>
      <c r="BT79" s="49">
        <f>BT77+BT78</f>
        <v>0</v>
      </c>
      <c r="BU79" t="s">
        <v>317</v>
      </c>
    </row>
    <row r="80" spans="1:73" x14ac:dyDescent="0.35">
      <c r="V80" t="s">
        <v>269</v>
      </c>
      <c r="W80">
        <v>2182</v>
      </c>
      <c r="AE80" s="191" t="s">
        <v>318</v>
      </c>
      <c r="AF80" s="191">
        <v>32401.63</v>
      </c>
      <c r="AG80" s="191">
        <f>2003+40</f>
        <v>2043</v>
      </c>
      <c r="AH80" s="191" t="s">
        <v>319</v>
      </c>
      <c r="AI80" s="8" t="s">
        <v>320</v>
      </c>
      <c r="AJ80" s="49">
        <f>AG80+AG81-AF76</f>
        <v>0</v>
      </c>
      <c r="AN80" s="191" t="s">
        <v>318</v>
      </c>
      <c r="AO80" s="191">
        <v>-648.15</v>
      </c>
      <c r="AP80" s="191">
        <v>60</v>
      </c>
      <c r="AQ80" s="191" t="s">
        <v>319</v>
      </c>
      <c r="AR80" s="8" t="s">
        <v>320</v>
      </c>
      <c r="AS80" s="49">
        <f>AP86-AO76</f>
        <v>0</v>
      </c>
      <c r="AW80" s="191" t="s">
        <v>318</v>
      </c>
      <c r="AX80" s="191">
        <v>-3259.1</v>
      </c>
      <c r="AY80" s="191">
        <v>109</v>
      </c>
      <c r="AZ80" s="191" t="s">
        <v>319</v>
      </c>
      <c r="BA80" s="8" t="s">
        <v>320</v>
      </c>
      <c r="BB80" s="49">
        <f>AY86-AX76</f>
        <v>0</v>
      </c>
      <c r="BF80" s="191" t="s">
        <v>318</v>
      </c>
      <c r="BG80" s="191">
        <v>-25888.15</v>
      </c>
      <c r="BH80" s="191">
        <v>1850</v>
      </c>
      <c r="BI80" s="191" t="s">
        <v>319</v>
      </c>
      <c r="BJ80" s="8" t="s">
        <v>320</v>
      </c>
      <c r="BK80" s="49">
        <f>BH86-BG76</f>
        <v>0</v>
      </c>
      <c r="BO80" s="191" t="s">
        <v>318</v>
      </c>
      <c r="BP80" s="191"/>
      <c r="BQ80" s="191"/>
      <c r="BR80" s="191" t="s">
        <v>319</v>
      </c>
      <c r="BS80" s="8" t="s">
        <v>320</v>
      </c>
      <c r="BT80" s="49">
        <f>BQ86-BP76</f>
        <v>0</v>
      </c>
    </row>
    <row r="81" spans="1:70" ht="26" x14ac:dyDescent="0.6">
      <c r="A81" s="84" t="s">
        <v>172</v>
      </c>
      <c r="V81" t="s">
        <v>314</v>
      </c>
      <c r="W81">
        <v>3259.1</v>
      </c>
      <c r="AE81" s="191" t="s">
        <v>321</v>
      </c>
      <c r="AF81" s="191">
        <v>6796.73</v>
      </c>
      <c r="AG81" s="191">
        <v>540</v>
      </c>
      <c r="AH81" s="191" t="s">
        <v>319</v>
      </c>
      <c r="AN81" s="191" t="s">
        <v>321</v>
      </c>
      <c r="AO81" s="191">
        <f>-448.5-897</f>
        <v>-1345.5</v>
      </c>
      <c r="AP81" s="191">
        <v>45</v>
      </c>
      <c r="AQ81" s="191" t="s">
        <v>319</v>
      </c>
      <c r="AW81" s="191" t="s">
        <v>321</v>
      </c>
      <c r="AX81" s="191">
        <v>-3350.4</v>
      </c>
      <c r="AY81" s="191">
        <v>336</v>
      </c>
      <c r="AZ81" s="191" t="s">
        <v>319</v>
      </c>
      <c r="BF81" s="191" t="s">
        <v>321</v>
      </c>
      <c r="BG81" s="191"/>
      <c r="BH81" s="191"/>
      <c r="BI81" s="191" t="s">
        <v>319</v>
      </c>
      <c r="BO81" s="191" t="s">
        <v>321</v>
      </c>
      <c r="BP81" s="191"/>
      <c r="BQ81" s="191"/>
      <c r="BR81" s="191" t="s">
        <v>319</v>
      </c>
    </row>
    <row r="82" spans="1:70" x14ac:dyDescent="0.35">
      <c r="A82" t="s">
        <v>174</v>
      </c>
      <c r="B82" s="7">
        <f>C78*-1</f>
        <v>-215467.9</v>
      </c>
      <c r="AE82" s="191"/>
      <c r="AF82" s="191"/>
      <c r="AG82" s="191"/>
      <c r="AH82" s="191"/>
      <c r="AN82" s="191" t="s">
        <v>338</v>
      </c>
      <c r="AO82" s="191">
        <v>-448.5</v>
      </c>
      <c r="AP82" s="191">
        <v>15</v>
      </c>
      <c r="AQ82" s="191" t="s">
        <v>319</v>
      </c>
      <c r="AW82" s="191" t="s">
        <v>338</v>
      </c>
      <c r="AX82" s="191">
        <v>-3670.4</v>
      </c>
      <c r="AY82" s="191">
        <v>193</v>
      </c>
      <c r="AZ82" s="191" t="s">
        <v>319</v>
      </c>
      <c r="BF82" s="191" t="s">
        <v>338</v>
      </c>
      <c r="BG82" s="191"/>
      <c r="BH82" s="191"/>
      <c r="BI82" s="191" t="s">
        <v>319</v>
      </c>
      <c r="BO82" s="191" t="s">
        <v>338</v>
      </c>
      <c r="BP82" s="191"/>
      <c r="BQ82" s="191"/>
      <c r="BR82" s="191" t="s">
        <v>319</v>
      </c>
    </row>
    <row r="83" spans="1:70" x14ac:dyDescent="0.35">
      <c r="A83" t="s">
        <v>178</v>
      </c>
      <c r="B83">
        <f>SUM(B87:B126)</f>
        <v>-235300.65</v>
      </c>
      <c r="V83" t="s">
        <v>80</v>
      </c>
      <c r="W83">
        <f>SUM(W75:W81)</f>
        <v>68884</v>
      </c>
      <c r="AE83" s="191"/>
      <c r="AF83" s="191"/>
      <c r="AG83" s="191"/>
      <c r="AH83" s="191"/>
      <c r="AN83" s="191"/>
      <c r="AO83" s="191"/>
      <c r="AP83" s="191"/>
      <c r="AQ83" s="191"/>
      <c r="AW83" s="191"/>
      <c r="AX83" s="191">
        <v>-1404</v>
      </c>
      <c r="AY83" s="191">
        <v>72</v>
      </c>
      <c r="AZ83" s="191"/>
      <c r="BA83" s="8" t="s">
        <v>348</v>
      </c>
      <c r="BF83" s="191"/>
      <c r="BG83" s="191"/>
      <c r="BH83" s="191"/>
      <c r="BI83" s="191"/>
      <c r="BO83" s="191"/>
      <c r="BP83" s="191"/>
      <c r="BQ83" s="191"/>
      <c r="BR83" s="191"/>
    </row>
    <row r="84" spans="1:70" x14ac:dyDescent="0.35">
      <c r="A84" t="s">
        <v>52</v>
      </c>
      <c r="B84" s="7">
        <f>B82-B83</f>
        <v>19832.75</v>
      </c>
      <c r="AE84" s="191"/>
      <c r="AF84" s="191"/>
      <c r="AG84" s="191"/>
      <c r="AH84" s="191"/>
      <c r="AN84" s="191"/>
      <c r="AO84" s="191"/>
      <c r="AP84" s="191"/>
      <c r="AQ84" s="191"/>
      <c r="AW84" s="191"/>
      <c r="AX84" s="191">
        <v>-230</v>
      </c>
      <c r="AY84" s="191">
        <v>20</v>
      </c>
      <c r="AZ84" s="191"/>
      <c r="BF84" s="191"/>
      <c r="BG84" s="191"/>
      <c r="BH84" s="191"/>
      <c r="BI84" s="191"/>
      <c r="BO84" s="191"/>
      <c r="BP84" s="191"/>
      <c r="BQ84" s="191"/>
      <c r="BR84" s="191"/>
    </row>
    <row r="85" spans="1:70" x14ac:dyDescent="0.35">
      <c r="AE85" s="191"/>
      <c r="AF85" s="191"/>
      <c r="AG85" s="191"/>
      <c r="AH85" s="191"/>
      <c r="AN85" s="191"/>
      <c r="AO85" s="191"/>
      <c r="AP85" s="191"/>
      <c r="AQ85" s="191"/>
      <c r="AW85" s="191"/>
      <c r="AX85" s="191">
        <v>-8</v>
      </c>
      <c r="AY85" s="191">
        <v>0</v>
      </c>
      <c r="AZ85" s="191"/>
      <c r="BF85" s="191"/>
      <c r="BG85" s="191"/>
      <c r="BH85" s="191"/>
      <c r="BI85" s="191"/>
      <c r="BO85" s="191"/>
      <c r="BP85" s="191"/>
      <c r="BQ85" s="191"/>
      <c r="BR85" s="191"/>
    </row>
    <row r="86" spans="1:70" x14ac:dyDescent="0.35">
      <c r="AE86" t="s">
        <v>80</v>
      </c>
      <c r="AF86">
        <f>SUM(AF80:AF85)</f>
        <v>39198.36</v>
      </c>
      <c r="AN86" t="s">
        <v>80</v>
      </c>
      <c r="AO86">
        <f>SUM(AO80:AO85)</f>
        <v>-2442.15</v>
      </c>
      <c r="AP86">
        <f>SUM(AP80:AP84)</f>
        <v>120</v>
      </c>
      <c r="AW86" t="s">
        <v>80</v>
      </c>
      <c r="AX86">
        <f>SUM(AX80:AX85)</f>
        <v>-11921.9</v>
      </c>
      <c r="AY86">
        <f>SUM(AY80:AY85)</f>
        <v>730</v>
      </c>
      <c r="BF86" t="s">
        <v>80</v>
      </c>
      <c r="BG86">
        <f>SUM(BG80:BG85)</f>
        <v>-25888.15</v>
      </c>
      <c r="BH86">
        <f>SUM(BH80:BH85)</f>
        <v>1850</v>
      </c>
      <c r="BO86" t="s">
        <v>80</v>
      </c>
      <c r="BP86">
        <f>SUM(BP80:BP85)</f>
        <v>0</v>
      </c>
      <c r="BQ86">
        <f>SUM(BQ80:BQ85)</f>
        <v>0</v>
      </c>
    </row>
    <row r="88" spans="1:70" x14ac:dyDescent="0.35">
      <c r="H88" t="s">
        <v>339</v>
      </c>
    </row>
    <row r="94" spans="1:70" x14ac:dyDescent="0.35">
      <c r="J94" s="89"/>
      <c r="K94" s="191"/>
    </row>
    <row r="95" spans="1:70" x14ac:dyDescent="0.35">
      <c r="J95" s="89"/>
      <c r="K95" s="191"/>
    </row>
    <row r="96" spans="1:70" x14ac:dyDescent="0.35">
      <c r="J96" s="216"/>
      <c r="K96" s="191"/>
    </row>
    <row r="97" spans="1:11" x14ac:dyDescent="0.35">
      <c r="A97" t="str" cm="1">
        <f t="array" ref="A97:E1012">'Inn Kiosk Python'!A85:E1000</f>
        <v>Utført dato</v>
      </c>
      <c r="B97" t="str">
        <v>Beløp ut</v>
      </c>
      <c r="C97" t="str">
        <v>Mottakernavn</v>
      </c>
      <c r="D97" t="str">
        <v>Numref</v>
      </c>
      <c r="E97" t="str">
        <v>Melding/KID/Fakt.nr</v>
      </c>
      <c r="K97" s="70"/>
    </row>
    <row r="98" spans="1:11" x14ac:dyDescent="0.35">
      <c r="A98" s="89" t="str">
        <v>24.11.2025</v>
      </c>
      <c r="B98" s="191">
        <v>-448.5</v>
      </c>
      <c r="C98" t="str">
        <v>Viktor Aandstad</v>
      </c>
      <c r="D98">
        <v>10042690000</v>
      </c>
      <c r="E98" t="str">
        <v>Til: Viktor Aandstad
Kioskruss sjokolande</v>
      </c>
      <c r="I98" t="s">
        <v>337</v>
      </c>
      <c r="J98" s="74"/>
      <c r="K98" s="191"/>
    </row>
    <row r="99" spans="1:11" x14ac:dyDescent="0.35">
      <c r="A99" s="89" t="str">
        <v>24.11.2025</v>
      </c>
      <c r="B99" s="191">
        <v>-1345.5</v>
      </c>
      <c r="C99" t="str">
        <v>Viktor Aandstad</v>
      </c>
      <c r="D99">
        <v>10042680000</v>
      </c>
      <c r="E99" t="str">
        <v>Til: Viktor Aandstad
Kioskruss sjokolade</v>
      </c>
      <c r="I99" t="s">
        <v>337</v>
      </c>
      <c r="J99" s="74"/>
      <c r="K99" s="8"/>
    </row>
    <row r="100" spans="1:11" x14ac:dyDescent="0.35">
      <c r="A100" s="216" t="str">
        <v>23.03.2026</v>
      </c>
      <c r="B100" s="224">
        <v>-21784.6</v>
      </c>
      <c r="C100">
        <v>0</v>
      </c>
      <c r="D100">
        <v>114592615</v>
      </c>
      <c r="E100" t="str">
        <v>21.03 STORCASH BARSTØLVEIEN KRISTIANSAND</v>
      </c>
      <c r="I100" t="s">
        <v>336</v>
      </c>
      <c r="J100" s="89"/>
      <c r="K100" s="191"/>
    </row>
    <row r="101" spans="1:11" x14ac:dyDescent="0.35">
      <c r="A101" t="str">
        <v>21.05.2026</v>
      </c>
      <c r="B101" s="70">
        <v>-8</v>
      </c>
      <c r="C101" t="str">
        <v>Viktor Aandstad</v>
      </c>
      <c r="D101">
        <v>54761590000</v>
      </c>
      <c r="E101" t="str">
        <v>Til: Viktor Aandstad
Kioskruss. Tilleg til 230kr 07.04.2026</v>
      </c>
      <c r="I101" t="s">
        <v>337</v>
      </c>
      <c r="K101" s="70"/>
    </row>
    <row r="102" spans="1:11" x14ac:dyDescent="0.35">
      <c r="A102" s="74" t="str">
        <v>20.10.2025</v>
      </c>
      <c r="B102" s="8">
        <v>-8966.9</v>
      </c>
      <c r="C102" t="str">
        <v>Johannes Sødal</v>
      </c>
      <c r="D102">
        <v>45035860000</v>
      </c>
      <c r="E102" t="str">
        <v>Til: Johannes Sødal
Kioskens andel</v>
      </c>
      <c r="I102" t="s">
        <v>337</v>
      </c>
      <c r="J102" s="74"/>
      <c r="K102" s="8"/>
    </row>
    <row r="103" spans="1:11" x14ac:dyDescent="0.35">
      <c r="A103" s="74" t="str">
        <v>18.05.2026</v>
      </c>
      <c r="B103" s="8">
        <v>-2407.77</v>
      </c>
      <c r="C103" t="str">
        <v>Viktor Aandstad</v>
      </c>
      <c r="D103">
        <v>65069850000</v>
      </c>
      <c r="E103" t="str">
        <v>Til: Viktor Aandstad
Inkjøp kioskrussen</v>
      </c>
      <c r="I103" t="s">
        <v>337</v>
      </c>
      <c r="K103" s="70"/>
    </row>
    <row r="104" spans="1:11" x14ac:dyDescent="0.35">
      <c r="A104" s="89" t="str">
        <v>18.03.2026</v>
      </c>
      <c r="B104" s="191">
        <v>-1404</v>
      </c>
      <c r="C104" t="str">
        <v>Viktor Aandstad</v>
      </c>
      <c r="D104">
        <v>79380460000</v>
      </c>
      <c r="E104" t="str">
        <v>Til: Viktor Aandstad
Kioskrussen inkjøp</v>
      </c>
      <c r="I104" t="s">
        <v>337</v>
      </c>
      <c r="K104" s="70"/>
    </row>
    <row r="105" spans="1:11" x14ac:dyDescent="0.35">
      <c r="A105" t="str">
        <v>18.03.2026</v>
      </c>
      <c r="B105" s="70">
        <v>-1286.75</v>
      </c>
      <c r="C105" t="str">
        <v>Carl Martin Linnebo</v>
      </c>
      <c r="D105">
        <v>79380480000</v>
      </c>
      <c r="E105" t="str">
        <v>Til: Carl Martin Linnebo
Kioskrussen inkjøp</v>
      </c>
      <c r="I105" t="s">
        <v>337</v>
      </c>
      <c r="K105" s="70"/>
    </row>
    <row r="106" spans="1:11" x14ac:dyDescent="0.35">
      <c r="A106" s="74" t="str">
        <v>17.11.2025</v>
      </c>
      <c r="B106" s="8">
        <v>-648.15</v>
      </c>
      <c r="C106" t="str">
        <v>Viktor Aandstad</v>
      </c>
      <c r="D106">
        <v>19136400000</v>
      </c>
      <c r="E106" t="str">
        <v>Til: Viktor Aandstad
Kiosken, sjokolade fra sverige</v>
      </c>
      <c r="I106" t="s">
        <v>337</v>
      </c>
      <c r="K106" s="70"/>
    </row>
    <row r="107" spans="1:11" x14ac:dyDescent="0.35">
      <c r="A107" t="str">
        <v>16.01.2026</v>
      </c>
      <c r="B107" s="70">
        <v>-6796.76</v>
      </c>
      <c r="C107" t="str">
        <v>Viktor Aandstad</v>
      </c>
      <c r="D107">
        <v>22911420000</v>
      </c>
      <c r="E107" t="str">
        <v>Til: Viktor Aandstad
Kioskinkjøp, kvit 2</v>
      </c>
      <c r="I107" t="s">
        <v>337</v>
      </c>
      <c r="K107" s="70"/>
    </row>
    <row r="108" spans="1:11" x14ac:dyDescent="0.35">
      <c r="A108" t="str">
        <v>15.01.2026</v>
      </c>
      <c r="B108" s="70">
        <v>-3259.1</v>
      </c>
      <c r="C108" t="str">
        <v>Viktor Aandstad</v>
      </c>
      <c r="D108">
        <v>12131700000</v>
      </c>
      <c r="E108" t="str">
        <v>Til: Viktor Aandstad
Kioskruss, sjokolade</v>
      </c>
      <c r="I108" t="s">
        <v>337</v>
      </c>
      <c r="K108" s="70"/>
    </row>
    <row r="109" spans="1:11" x14ac:dyDescent="0.35">
      <c r="A109" t="str">
        <v>14.10.2025</v>
      </c>
      <c r="B109" s="70">
        <v>-2088</v>
      </c>
      <c r="C109" t="str">
        <v>Viktor Aandstad</v>
      </c>
      <c r="D109">
        <v>85429420000</v>
      </c>
      <c r="E109" t="str">
        <v>Til: Viktor Aandstad
Battery kiosk. Innkjøp 2 kvit 3</v>
      </c>
      <c r="I109" t="s">
        <v>337</v>
      </c>
      <c r="K109" s="70"/>
    </row>
    <row r="110" spans="1:11" x14ac:dyDescent="0.35">
      <c r="A110" t="str">
        <v>13.10.2025</v>
      </c>
      <c r="B110" s="70">
        <v>-50000</v>
      </c>
      <c r="C110">
        <v>0</v>
      </c>
      <c r="D110">
        <v>175694291</v>
      </c>
      <c r="E110" t="str">
        <v>10.10 STORCASH BARSTØLVEIEN KRISTIANSAND</v>
      </c>
      <c r="I110" t="s">
        <v>337</v>
      </c>
      <c r="K110" s="70"/>
    </row>
    <row r="111" spans="1:11" x14ac:dyDescent="0.35">
      <c r="A111" t="str">
        <v>12.08.2025</v>
      </c>
      <c r="B111" s="70">
        <v>-32735</v>
      </c>
      <c r="C111" t="str">
        <v>Viktor Aandstad</v>
      </c>
      <c r="D111">
        <v>62748000000</v>
      </c>
      <c r="E111" t="str">
        <v>Til: Viktor Aandstad
Utlegg storcach russen</v>
      </c>
      <c r="I111" t="s">
        <v>337</v>
      </c>
      <c r="K111" s="70"/>
    </row>
    <row r="112" spans="1:11" x14ac:dyDescent="0.35">
      <c r="A112" t="str">
        <v>11.09.2025</v>
      </c>
      <c r="B112" s="70">
        <v>-347.5</v>
      </c>
      <c r="C112" t="str">
        <v>Viktor Aandstad</v>
      </c>
      <c r="D112">
        <v>90089470000</v>
      </c>
      <c r="E112" t="str">
        <v>Til: Viktor Aandstad
Rema 1000 kioskinkjøp nr 2</v>
      </c>
      <c r="I112" t="s">
        <v>337</v>
      </c>
      <c r="J112" s="74"/>
      <c r="K112" s="8"/>
    </row>
    <row r="113" spans="1:11" x14ac:dyDescent="0.35">
      <c r="A113" t="str">
        <v>11.09.2025</v>
      </c>
      <c r="B113" s="70">
        <v>-1150</v>
      </c>
      <c r="C113" t="str">
        <v>Ruth Linnea Erøy</v>
      </c>
      <c r="D113">
        <v>90089480000</v>
      </c>
      <c r="E113" t="str">
        <v>Til: Ruth Linnea Erøy
Joker kiosk innkjøp nr 2</v>
      </c>
      <c r="I113" t="s">
        <v>337</v>
      </c>
      <c r="J113" s="74"/>
      <c r="K113" s="8"/>
    </row>
    <row r="114" spans="1:11" x14ac:dyDescent="0.35">
      <c r="A114" t="str">
        <v>11.09.2025</v>
      </c>
      <c r="B114" s="70">
        <v>-486.5</v>
      </c>
      <c r="C114" t="str">
        <v>Viktor Aandstad</v>
      </c>
      <c r="D114">
        <v>90089460000</v>
      </c>
      <c r="E114" t="str">
        <v>Til: Viktor Aandstad
Rema 100 kioskinkjøp nr 2</v>
      </c>
      <c r="I114" t="s">
        <v>337</v>
      </c>
      <c r="J114" s="74"/>
      <c r="K114" s="191"/>
    </row>
    <row r="115" spans="1:11" x14ac:dyDescent="0.35">
      <c r="A115" t="str">
        <v>11.09.2025</v>
      </c>
      <c r="B115" s="70">
        <v>-32414.34</v>
      </c>
      <c r="C115" t="str">
        <v>Viktor Aandstad</v>
      </c>
      <c r="D115">
        <v>90089450000</v>
      </c>
      <c r="E115" t="str">
        <v>Til: Viktor Aandstad
SC Kioskinnkjøp nr 2</v>
      </c>
      <c r="I115" t="s">
        <v>337</v>
      </c>
      <c r="J115" s="216"/>
      <c r="K115" s="191"/>
    </row>
    <row r="116" spans="1:11" x14ac:dyDescent="0.35">
      <c r="A116" s="74" t="str">
        <v>09.12.2025</v>
      </c>
      <c r="B116" s="8">
        <v>-32401.63</v>
      </c>
      <c r="C116">
        <v>0</v>
      </c>
      <c r="D116">
        <v>172399792</v>
      </c>
      <c r="E116" t="str">
        <v>08.12 STORCASH BARSTØLVEIEN KRISTIANSAND</v>
      </c>
      <c r="I116" t="s">
        <v>337</v>
      </c>
    </row>
    <row r="117" spans="1:11" x14ac:dyDescent="0.35">
      <c r="A117" s="74" t="str">
        <v>09.12.2025</v>
      </c>
      <c r="B117" s="8">
        <v>-2182.6999999999998</v>
      </c>
      <c r="C117" t="str">
        <v>Viktor Aandstad</v>
      </c>
      <c r="D117">
        <v>99450530000</v>
      </c>
      <c r="E117" t="str">
        <v>Til: Viktor Aandstad
kioskrussen sjokolade. kvit 5</v>
      </c>
      <c r="I117" t="s">
        <v>337</v>
      </c>
    </row>
    <row r="118" spans="1:11" x14ac:dyDescent="0.35">
      <c r="A118" s="74" t="str">
        <v>09.03.2026</v>
      </c>
      <c r="B118" s="8">
        <v>-3670.4</v>
      </c>
      <c r="C118" t="str">
        <v>Viktor Aandstad</v>
      </c>
      <c r="D118">
        <v>90297920000</v>
      </c>
      <c r="E118" t="str">
        <v>Til: Viktor Aandstad
Kioskrussen inkjøp</v>
      </c>
      <c r="I118" t="s">
        <v>337</v>
      </c>
    </row>
    <row r="119" spans="1:11" x14ac:dyDescent="0.35">
      <c r="A119" s="216" t="str">
        <v>09.03.2026</v>
      </c>
      <c r="B119" s="36">
        <v>-3350.4</v>
      </c>
      <c r="C119" t="str">
        <v>Viktor Aandstad</v>
      </c>
      <c r="D119">
        <v>90297890000</v>
      </c>
      <c r="E119" t="str">
        <v>Til: Viktor Aandstad
Kioskruss</v>
      </c>
      <c r="I119" t="s">
        <v>337</v>
      </c>
    </row>
    <row r="120" spans="1:11" x14ac:dyDescent="0.35">
      <c r="A120" t="str">
        <v>07.04.2026</v>
      </c>
      <c r="B120">
        <v>-230</v>
      </c>
      <c r="C120" t="str">
        <v>Viktor Aandstad</v>
      </c>
      <c r="D120">
        <v>97912930000</v>
      </c>
      <c r="E120" t="str">
        <v>Til: Viktor Aandstad
Kioskrussen</v>
      </c>
    </row>
    <row r="121" spans="1:11" x14ac:dyDescent="0.35">
      <c r="A121" t="str">
        <v>05.02.2026</v>
      </c>
      <c r="B121">
        <v>-25888.15</v>
      </c>
      <c r="C121">
        <v>0</v>
      </c>
      <c r="D121">
        <v>130692947</v>
      </c>
      <c r="E121" t="str">
        <v>05.02 STORCASH BARSTØLVEIEN KRISTIANSAND</v>
      </c>
    </row>
    <row r="122" spans="1:11" x14ac:dyDescent="0.35">
      <c r="A122">
        <v>0</v>
      </c>
      <c r="B122">
        <v>0</v>
      </c>
      <c r="C122">
        <v>0</v>
      </c>
      <c r="D122">
        <v>0</v>
      </c>
      <c r="E122">
        <v>0</v>
      </c>
    </row>
    <row r="123" spans="1:11" x14ac:dyDescent="0.35">
      <c r="A123">
        <v>0</v>
      </c>
      <c r="B123">
        <v>0</v>
      </c>
      <c r="C123">
        <v>0</v>
      </c>
      <c r="D123">
        <v>0</v>
      </c>
      <c r="E123">
        <v>0</v>
      </c>
    </row>
    <row r="124" spans="1:11" x14ac:dyDescent="0.35">
      <c r="A124">
        <v>0</v>
      </c>
      <c r="B124">
        <v>0</v>
      </c>
      <c r="C124">
        <v>0</v>
      </c>
      <c r="D124">
        <v>0</v>
      </c>
      <c r="E124">
        <v>0</v>
      </c>
    </row>
    <row r="125" spans="1:11" x14ac:dyDescent="0.35">
      <c r="A125">
        <v>0</v>
      </c>
      <c r="B125">
        <v>0</v>
      </c>
      <c r="C125">
        <v>0</v>
      </c>
      <c r="D125">
        <v>0</v>
      </c>
      <c r="E125">
        <v>0</v>
      </c>
    </row>
    <row r="126" spans="1:11" x14ac:dyDescent="0.35">
      <c r="A126">
        <v>0</v>
      </c>
      <c r="B126">
        <v>0</v>
      </c>
      <c r="C126">
        <v>0</v>
      </c>
      <c r="D126">
        <v>0</v>
      </c>
      <c r="E126">
        <v>0</v>
      </c>
    </row>
    <row r="127" spans="1:11" x14ac:dyDescent="0.35">
      <c r="A127">
        <v>0</v>
      </c>
      <c r="B127">
        <v>0</v>
      </c>
      <c r="C127">
        <v>0</v>
      </c>
      <c r="D127">
        <v>0</v>
      </c>
      <c r="E127">
        <v>0</v>
      </c>
    </row>
    <row r="128" spans="1:11" x14ac:dyDescent="0.3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3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3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3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3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3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3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3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3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3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3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3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3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3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3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3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3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3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3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3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3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3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3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3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3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3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3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3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3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3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3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3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3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35">
      <c r="A161">
        <v>0</v>
      </c>
      <c r="B161">
        <v>0</v>
      </c>
      <c r="C161">
        <v>0</v>
      </c>
      <c r="D161">
        <v>0</v>
      </c>
      <c r="E161">
        <v>0</v>
      </c>
    </row>
    <row r="162" spans="1:5" x14ac:dyDescent="0.35">
      <c r="A162">
        <v>0</v>
      </c>
      <c r="B162">
        <v>0</v>
      </c>
      <c r="C162">
        <v>0</v>
      </c>
      <c r="D162">
        <v>0</v>
      </c>
      <c r="E162">
        <v>0</v>
      </c>
    </row>
    <row r="163" spans="1:5" x14ac:dyDescent="0.35">
      <c r="A163">
        <v>0</v>
      </c>
      <c r="B163">
        <v>0</v>
      </c>
      <c r="C163">
        <v>0</v>
      </c>
      <c r="D163">
        <v>0</v>
      </c>
      <c r="E163">
        <v>0</v>
      </c>
    </row>
    <row r="164" spans="1:5" x14ac:dyDescent="0.35">
      <c r="A164">
        <v>0</v>
      </c>
      <c r="B164">
        <v>0</v>
      </c>
      <c r="C164">
        <v>0</v>
      </c>
      <c r="D164">
        <v>0</v>
      </c>
      <c r="E164">
        <v>0</v>
      </c>
    </row>
    <row r="165" spans="1:5" x14ac:dyDescent="0.35">
      <c r="A165">
        <v>0</v>
      </c>
      <c r="B165">
        <v>0</v>
      </c>
      <c r="C165">
        <v>0</v>
      </c>
      <c r="D165">
        <v>0</v>
      </c>
      <c r="E165">
        <v>0</v>
      </c>
    </row>
    <row r="166" spans="1:5" x14ac:dyDescent="0.35">
      <c r="A166">
        <v>0</v>
      </c>
      <c r="B166">
        <v>0</v>
      </c>
      <c r="C166">
        <v>0</v>
      </c>
      <c r="D166">
        <v>0</v>
      </c>
      <c r="E166">
        <v>0</v>
      </c>
    </row>
    <row r="167" spans="1:5" x14ac:dyDescent="0.35">
      <c r="A167">
        <v>0</v>
      </c>
      <c r="B167">
        <v>0</v>
      </c>
      <c r="C167">
        <v>0</v>
      </c>
      <c r="D167">
        <v>0</v>
      </c>
      <c r="E167">
        <v>0</v>
      </c>
    </row>
    <row r="168" spans="1:5" x14ac:dyDescent="0.35">
      <c r="A168">
        <v>0</v>
      </c>
      <c r="B168">
        <v>0</v>
      </c>
      <c r="C168">
        <v>0</v>
      </c>
      <c r="D168">
        <v>0</v>
      </c>
      <c r="E168">
        <v>0</v>
      </c>
    </row>
    <row r="169" spans="1:5" x14ac:dyDescent="0.35">
      <c r="A169">
        <v>0</v>
      </c>
      <c r="B169">
        <v>0</v>
      </c>
      <c r="C169">
        <v>0</v>
      </c>
      <c r="D169">
        <v>0</v>
      </c>
      <c r="E169">
        <v>0</v>
      </c>
    </row>
    <row r="170" spans="1:5" x14ac:dyDescent="0.35">
      <c r="A170">
        <v>0</v>
      </c>
      <c r="B170">
        <v>0</v>
      </c>
      <c r="C170">
        <v>0</v>
      </c>
      <c r="D170">
        <v>0</v>
      </c>
      <c r="E170">
        <v>0</v>
      </c>
    </row>
    <row r="171" spans="1:5" x14ac:dyDescent="0.35">
      <c r="A171">
        <v>0</v>
      </c>
      <c r="B171">
        <v>0</v>
      </c>
      <c r="C171">
        <v>0</v>
      </c>
      <c r="D171">
        <v>0</v>
      </c>
      <c r="E171">
        <v>0</v>
      </c>
    </row>
    <row r="172" spans="1:5" x14ac:dyDescent="0.35">
      <c r="A172">
        <v>0</v>
      </c>
      <c r="B172">
        <v>0</v>
      </c>
      <c r="C172">
        <v>0</v>
      </c>
      <c r="D172">
        <v>0</v>
      </c>
      <c r="E172">
        <v>0</v>
      </c>
    </row>
    <row r="173" spans="1:5" x14ac:dyDescent="0.35">
      <c r="A173">
        <v>0</v>
      </c>
      <c r="B173">
        <v>0</v>
      </c>
      <c r="C173">
        <v>0</v>
      </c>
      <c r="D173">
        <v>0</v>
      </c>
      <c r="E173">
        <v>0</v>
      </c>
    </row>
    <row r="174" spans="1:5" x14ac:dyDescent="0.35">
      <c r="A174">
        <v>0</v>
      </c>
      <c r="B174">
        <v>0</v>
      </c>
      <c r="C174">
        <v>0</v>
      </c>
      <c r="D174">
        <v>0</v>
      </c>
      <c r="E174">
        <v>0</v>
      </c>
    </row>
    <row r="175" spans="1:5" x14ac:dyDescent="0.35">
      <c r="A175">
        <v>0</v>
      </c>
      <c r="B175">
        <v>0</v>
      </c>
      <c r="C175">
        <v>0</v>
      </c>
      <c r="D175">
        <v>0</v>
      </c>
      <c r="E175">
        <v>0</v>
      </c>
    </row>
    <row r="176" spans="1:5" x14ac:dyDescent="0.35">
      <c r="A176">
        <v>0</v>
      </c>
      <c r="B176">
        <v>0</v>
      </c>
      <c r="C176">
        <v>0</v>
      </c>
      <c r="D176">
        <v>0</v>
      </c>
      <c r="E176">
        <v>0</v>
      </c>
    </row>
    <row r="177" spans="1:5" x14ac:dyDescent="0.35">
      <c r="A177">
        <v>0</v>
      </c>
      <c r="B177">
        <v>0</v>
      </c>
      <c r="C177">
        <v>0</v>
      </c>
      <c r="D177">
        <v>0</v>
      </c>
      <c r="E177">
        <v>0</v>
      </c>
    </row>
    <row r="178" spans="1:5" x14ac:dyDescent="0.35">
      <c r="A178">
        <v>0</v>
      </c>
      <c r="B178">
        <v>0</v>
      </c>
      <c r="C178">
        <v>0</v>
      </c>
      <c r="D178">
        <v>0</v>
      </c>
      <c r="E178">
        <v>0</v>
      </c>
    </row>
    <row r="179" spans="1:5" x14ac:dyDescent="0.35">
      <c r="A179">
        <v>0</v>
      </c>
      <c r="B179">
        <v>0</v>
      </c>
      <c r="C179">
        <v>0</v>
      </c>
      <c r="D179">
        <v>0</v>
      </c>
      <c r="E179">
        <v>0</v>
      </c>
    </row>
    <row r="180" spans="1:5" x14ac:dyDescent="0.35">
      <c r="A180">
        <v>0</v>
      </c>
      <c r="B180">
        <v>0</v>
      </c>
      <c r="C180">
        <v>0</v>
      </c>
      <c r="D180">
        <v>0</v>
      </c>
      <c r="E180">
        <v>0</v>
      </c>
    </row>
    <row r="181" spans="1:5" x14ac:dyDescent="0.35">
      <c r="A181">
        <v>0</v>
      </c>
      <c r="B181">
        <v>0</v>
      </c>
      <c r="C181">
        <v>0</v>
      </c>
      <c r="D181">
        <v>0</v>
      </c>
      <c r="E181">
        <v>0</v>
      </c>
    </row>
    <row r="182" spans="1:5" x14ac:dyDescent="0.35">
      <c r="A182">
        <v>0</v>
      </c>
      <c r="B182">
        <v>0</v>
      </c>
      <c r="C182">
        <v>0</v>
      </c>
      <c r="D182">
        <v>0</v>
      </c>
      <c r="E182">
        <v>0</v>
      </c>
    </row>
    <row r="183" spans="1:5" x14ac:dyDescent="0.35">
      <c r="A183">
        <v>0</v>
      </c>
      <c r="B183">
        <v>0</v>
      </c>
      <c r="C183">
        <v>0</v>
      </c>
      <c r="D183">
        <v>0</v>
      </c>
      <c r="E183">
        <v>0</v>
      </c>
    </row>
    <row r="184" spans="1:5" x14ac:dyDescent="0.35">
      <c r="A184">
        <v>0</v>
      </c>
      <c r="B184">
        <v>0</v>
      </c>
      <c r="C184">
        <v>0</v>
      </c>
      <c r="D184">
        <v>0</v>
      </c>
      <c r="E184">
        <v>0</v>
      </c>
    </row>
    <row r="185" spans="1:5" x14ac:dyDescent="0.35">
      <c r="A185">
        <v>0</v>
      </c>
      <c r="B185">
        <v>0</v>
      </c>
      <c r="C185">
        <v>0</v>
      </c>
      <c r="D185">
        <v>0</v>
      </c>
      <c r="E185">
        <v>0</v>
      </c>
    </row>
    <row r="186" spans="1:5" x14ac:dyDescent="0.35">
      <c r="A186">
        <v>0</v>
      </c>
      <c r="B186">
        <v>0</v>
      </c>
      <c r="C186">
        <v>0</v>
      </c>
      <c r="D186">
        <v>0</v>
      </c>
      <c r="E186">
        <v>0</v>
      </c>
    </row>
    <row r="187" spans="1:5" x14ac:dyDescent="0.35">
      <c r="A187">
        <v>0</v>
      </c>
      <c r="B187">
        <v>0</v>
      </c>
      <c r="C187">
        <v>0</v>
      </c>
      <c r="D187">
        <v>0</v>
      </c>
      <c r="E187">
        <v>0</v>
      </c>
    </row>
    <row r="188" spans="1:5" x14ac:dyDescent="0.35">
      <c r="A188">
        <v>0</v>
      </c>
      <c r="B188">
        <v>0</v>
      </c>
      <c r="C188">
        <v>0</v>
      </c>
      <c r="D188">
        <v>0</v>
      </c>
      <c r="E188">
        <v>0</v>
      </c>
    </row>
    <row r="189" spans="1:5" x14ac:dyDescent="0.35">
      <c r="A189">
        <v>0</v>
      </c>
      <c r="B189">
        <v>0</v>
      </c>
      <c r="C189">
        <v>0</v>
      </c>
      <c r="D189">
        <v>0</v>
      </c>
      <c r="E189">
        <v>0</v>
      </c>
    </row>
    <row r="190" spans="1:5" x14ac:dyDescent="0.35">
      <c r="A190">
        <v>0</v>
      </c>
      <c r="B190">
        <v>0</v>
      </c>
      <c r="C190">
        <v>0</v>
      </c>
      <c r="D190">
        <v>0</v>
      </c>
      <c r="E190">
        <v>0</v>
      </c>
    </row>
    <row r="191" spans="1:5" x14ac:dyDescent="0.35">
      <c r="A191">
        <v>0</v>
      </c>
      <c r="B191">
        <v>0</v>
      </c>
      <c r="C191">
        <v>0</v>
      </c>
      <c r="D191">
        <v>0</v>
      </c>
      <c r="E191">
        <v>0</v>
      </c>
    </row>
    <row r="192" spans="1:5" x14ac:dyDescent="0.35">
      <c r="A192">
        <v>0</v>
      </c>
      <c r="B192">
        <v>0</v>
      </c>
      <c r="C192">
        <v>0</v>
      </c>
      <c r="D192">
        <v>0</v>
      </c>
      <c r="E192">
        <v>0</v>
      </c>
    </row>
    <row r="193" spans="1:5" x14ac:dyDescent="0.35">
      <c r="A193">
        <v>0</v>
      </c>
      <c r="B193">
        <v>0</v>
      </c>
      <c r="C193">
        <v>0</v>
      </c>
      <c r="D193">
        <v>0</v>
      </c>
      <c r="E193">
        <v>0</v>
      </c>
    </row>
    <row r="194" spans="1:5" x14ac:dyDescent="0.35">
      <c r="A194">
        <v>0</v>
      </c>
      <c r="B194">
        <v>0</v>
      </c>
      <c r="C194">
        <v>0</v>
      </c>
      <c r="D194">
        <v>0</v>
      </c>
      <c r="E194">
        <v>0</v>
      </c>
    </row>
    <row r="195" spans="1:5" x14ac:dyDescent="0.35">
      <c r="A195">
        <v>0</v>
      </c>
      <c r="B195">
        <v>0</v>
      </c>
      <c r="C195">
        <v>0</v>
      </c>
      <c r="D195">
        <v>0</v>
      </c>
      <c r="E195">
        <v>0</v>
      </c>
    </row>
    <row r="196" spans="1:5" x14ac:dyDescent="0.35">
      <c r="A196">
        <v>0</v>
      </c>
      <c r="B196">
        <v>0</v>
      </c>
      <c r="C196">
        <v>0</v>
      </c>
      <c r="D196">
        <v>0</v>
      </c>
      <c r="E196">
        <v>0</v>
      </c>
    </row>
    <row r="197" spans="1:5" x14ac:dyDescent="0.35">
      <c r="A197">
        <v>0</v>
      </c>
      <c r="B197">
        <v>0</v>
      </c>
      <c r="C197">
        <v>0</v>
      </c>
      <c r="D197">
        <v>0</v>
      </c>
      <c r="E197">
        <v>0</v>
      </c>
    </row>
    <row r="198" spans="1:5" x14ac:dyDescent="0.35">
      <c r="A198">
        <v>0</v>
      </c>
      <c r="B198">
        <v>0</v>
      </c>
      <c r="C198">
        <v>0</v>
      </c>
      <c r="D198">
        <v>0</v>
      </c>
      <c r="E198">
        <v>0</v>
      </c>
    </row>
    <row r="199" spans="1:5" x14ac:dyDescent="0.35">
      <c r="A199">
        <v>0</v>
      </c>
      <c r="B199">
        <v>0</v>
      </c>
      <c r="C199">
        <v>0</v>
      </c>
      <c r="D199">
        <v>0</v>
      </c>
      <c r="E199">
        <v>0</v>
      </c>
    </row>
    <row r="200" spans="1:5" x14ac:dyDescent="0.35">
      <c r="A200">
        <v>0</v>
      </c>
      <c r="B200">
        <v>0</v>
      </c>
      <c r="C200">
        <v>0</v>
      </c>
      <c r="D200">
        <v>0</v>
      </c>
      <c r="E200">
        <v>0</v>
      </c>
    </row>
    <row r="201" spans="1:5" x14ac:dyDescent="0.35">
      <c r="A201">
        <v>0</v>
      </c>
      <c r="B201">
        <v>0</v>
      </c>
      <c r="C201">
        <v>0</v>
      </c>
      <c r="D201">
        <v>0</v>
      </c>
      <c r="E201">
        <v>0</v>
      </c>
    </row>
    <row r="202" spans="1:5" x14ac:dyDescent="0.35">
      <c r="A202">
        <v>0</v>
      </c>
      <c r="B202">
        <v>0</v>
      </c>
      <c r="C202">
        <v>0</v>
      </c>
      <c r="D202">
        <v>0</v>
      </c>
      <c r="E202">
        <v>0</v>
      </c>
    </row>
    <row r="203" spans="1:5" x14ac:dyDescent="0.35">
      <c r="A203">
        <v>0</v>
      </c>
      <c r="B203">
        <v>0</v>
      </c>
      <c r="C203">
        <v>0</v>
      </c>
      <c r="D203">
        <v>0</v>
      </c>
      <c r="E203">
        <v>0</v>
      </c>
    </row>
    <row r="204" spans="1:5" x14ac:dyDescent="0.35">
      <c r="A204">
        <v>0</v>
      </c>
      <c r="B204">
        <v>0</v>
      </c>
      <c r="C204">
        <v>0</v>
      </c>
      <c r="D204">
        <v>0</v>
      </c>
      <c r="E204">
        <v>0</v>
      </c>
    </row>
    <row r="205" spans="1:5" x14ac:dyDescent="0.35">
      <c r="A205">
        <v>0</v>
      </c>
      <c r="B205">
        <v>0</v>
      </c>
      <c r="C205">
        <v>0</v>
      </c>
      <c r="D205">
        <v>0</v>
      </c>
      <c r="E205">
        <v>0</v>
      </c>
    </row>
    <row r="206" spans="1:5" x14ac:dyDescent="0.35">
      <c r="A206">
        <v>0</v>
      </c>
      <c r="B206">
        <v>0</v>
      </c>
      <c r="C206">
        <v>0</v>
      </c>
      <c r="D206">
        <v>0</v>
      </c>
      <c r="E206">
        <v>0</v>
      </c>
    </row>
    <row r="207" spans="1:5" x14ac:dyDescent="0.35">
      <c r="A207">
        <v>0</v>
      </c>
      <c r="B207">
        <v>0</v>
      </c>
      <c r="C207">
        <v>0</v>
      </c>
      <c r="D207">
        <v>0</v>
      </c>
      <c r="E207">
        <v>0</v>
      </c>
    </row>
    <row r="208" spans="1:5" x14ac:dyDescent="0.35">
      <c r="A208">
        <v>0</v>
      </c>
      <c r="B208">
        <v>0</v>
      </c>
      <c r="C208">
        <v>0</v>
      </c>
      <c r="D208">
        <v>0</v>
      </c>
      <c r="E208">
        <v>0</v>
      </c>
    </row>
    <row r="209" spans="1:5" x14ac:dyDescent="0.35">
      <c r="A209">
        <v>0</v>
      </c>
      <c r="B209">
        <v>0</v>
      </c>
      <c r="C209">
        <v>0</v>
      </c>
      <c r="D209">
        <v>0</v>
      </c>
      <c r="E209">
        <v>0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  <row r="1001" spans="1:5" x14ac:dyDescent="0.35">
      <c r="A1001">
        <v>0</v>
      </c>
      <c r="B1001">
        <v>0</v>
      </c>
      <c r="C1001">
        <v>0</v>
      </c>
      <c r="D1001">
        <v>0</v>
      </c>
      <c r="E1001">
        <v>0</v>
      </c>
    </row>
    <row r="1002" spans="1:5" x14ac:dyDescent="0.35">
      <c r="A1002">
        <v>0</v>
      </c>
      <c r="B1002">
        <v>0</v>
      </c>
      <c r="C1002">
        <v>0</v>
      </c>
      <c r="D1002">
        <v>0</v>
      </c>
      <c r="E1002">
        <v>0</v>
      </c>
    </row>
    <row r="1003" spans="1:5" x14ac:dyDescent="0.35">
      <c r="A1003">
        <v>0</v>
      </c>
      <c r="B1003">
        <v>0</v>
      </c>
      <c r="C1003">
        <v>0</v>
      </c>
      <c r="D1003">
        <v>0</v>
      </c>
      <c r="E1003">
        <v>0</v>
      </c>
    </row>
    <row r="1004" spans="1:5" x14ac:dyDescent="0.35">
      <c r="A1004">
        <v>0</v>
      </c>
      <c r="B1004">
        <v>0</v>
      </c>
      <c r="C1004">
        <v>0</v>
      </c>
      <c r="D1004">
        <v>0</v>
      </c>
      <c r="E1004">
        <v>0</v>
      </c>
    </row>
    <row r="1005" spans="1:5" x14ac:dyDescent="0.35">
      <c r="A1005">
        <v>0</v>
      </c>
      <c r="B1005">
        <v>0</v>
      </c>
      <c r="C1005">
        <v>0</v>
      </c>
      <c r="D1005">
        <v>0</v>
      </c>
      <c r="E1005">
        <v>0</v>
      </c>
    </row>
    <row r="1006" spans="1:5" x14ac:dyDescent="0.35">
      <c r="A1006">
        <v>0</v>
      </c>
      <c r="B1006">
        <v>0</v>
      </c>
      <c r="C1006">
        <v>0</v>
      </c>
      <c r="D1006">
        <v>0</v>
      </c>
      <c r="E1006">
        <v>0</v>
      </c>
    </row>
    <row r="1007" spans="1:5" x14ac:dyDescent="0.35">
      <c r="A1007">
        <v>0</v>
      </c>
      <c r="B1007">
        <v>0</v>
      </c>
      <c r="C1007">
        <v>0</v>
      </c>
      <c r="D1007">
        <v>0</v>
      </c>
      <c r="E1007">
        <v>0</v>
      </c>
    </row>
    <row r="1008" spans="1:5" x14ac:dyDescent="0.35">
      <c r="A1008">
        <v>0</v>
      </c>
      <c r="B1008">
        <v>0</v>
      </c>
      <c r="C1008">
        <v>0</v>
      </c>
      <c r="D1008">
        <v>0</v>
      </c>
      <c r="E1008">
        <v>0</v>
      </c>
    </row>
    <row r="1009" spans="1:5" x14ac:dyDescent="0.35">
      <c r="A1009">
        <v>0</v>
      </c>
      <c r="B1009">
        <v>0</v>
      </c>
      <c r="C1009">
        <v>0</v>
      </c>
      <c r="D1009">
        <v>0</v>
      </c>
      <c r="E1009">
        <v>0</v>
      </c>
    </row>
    <row r="1010" spans="1:5" x14ac:dyDescent="0.35">
      <c r="A1010">
        <v>0</v>
      </c>
      <c r="B1010">
        <v>0</v>
      </c>
      <c r="C1010">
        <v>0</v>
      </c>
      <c r="D1010">
        <v>0</v>
      </c>
      <c r="E1010">
        <v>0</v>
      </c>
    </row>
    <row r="1011" spans="1:5" x14ac:dyDescent="0.35">
      <c r="A1011">
        <v>0</v>
      </c>
      <c r="B1011">
        <v>0</v>
      </c>
      <c r="C1011">
        <v>0</v>
      </c>
      <c r="D1011">
        <v>0</v>
      </c>
      <c r="E1011">
        <v>0</v>
      </c>
    </row>
    <row r="1012" spans="1:5" x14ac:dyDescent="0.35">
      <c r="A1012">
        <v>0</v>
      </c>
      <c r="B1012">
        <v>0</v>
      </c>
      <c r="C1012">
        <v>0</v>
      </c>
      <c r="D1012">
        <v>0</v>
      </c>
      <c r="E1012">
        <v>0</v>
      </c>
    </row>
  </sheetData>
  <conditionalFormatting sqref="E2:E68">
    <cfRule type="cellIs" dxfId="17" priority="8" operator="equal">
      <formula>TRUE</formula>
    </cfRule>
  </conditionalFormatting>
  <conditionalFormatting sqref="M2:M68">
    <cfRule type="cellIs" dxfId="16" priority="7" operator="equal">
      <formula>TRUE</formula>
    </cfRule>
  </conditionalFormatting>
  <conditionalFormatting sqref="U2:U68">
    <cfRule type="cellIs" dxfId="15" priority="6" operator="equal">
      <formula>TRUE</formula>
    </cfRule>
  </conditionalFormatting>
  <conditionalFormatting sqref="AD2:AD72">
    <cfRule type="cellIs" dxfId="14" priority="5" operator="equal">
      <formula>TRUE</formula>
    </cfRule>
  </conditionalFormatting>
  <conditionalFormatting sqref="AM2:AM72">
    <cfRule type="cellIs" dxfId="13" priority="4" operator="equal">
      <formula>TRUE</formula>
    </cfRule>
  </conditionalFormatting>
  <conditionalFormatting sqref="AV2:AV72">
    <cfRule type="cellIs" dxfId="12" priority="3" operator="equal">
      <formula>TRUE</formula>
    </cfRule>
  </conditionalFormatting>
  <conditionalFormatting sqref="BE2:BE72">
    <cfRule type="cellIs" dxfId="11" priority="2" operator="equal">
      <formula>TRUE</formula>
    </cfRule>
  </conditionalFormatting>
  <conditionalFormatting sqref="BN2:BN72">
    <cfRule type="cellIs" dxfId="10" priority="1" operator="equal">
      <formula>TRUE</formula>
    </cfRule>
  </conditionalFormatting>
  <pageMargins left="0.7" right="0.7" top="0.75" bottom="0.75" header="0.3" footer="0.3"/>
  <pageSetup paperSize="9" orientation="portrait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3AC0-3067-4CB3-AD3C-2E566F336BBF}">
  <dimension ref="A1:D54"/>
  <sheetViews>
    <sheetView workbookViewId="0">
      <selection activeCell="Q15" sqref="Q15"/>
    </sheetView>
  </sheetViews>
  <sheetFormatPr baseColWidth="10" defaultRowHeight="14.5" x14ac:dyDescent="0.35"/>
  <cols>
    <col min="1" max="1" width="25.453125" bestFit="1" customWidth="1"/>
    <col min="2" max="2" width="13.1796875" bestFit="1" customWidth="1"/>
    <col min="3" max="3" width="8.1796875" bestFit="1" customWidth="1"/>
    <col min="4" max="4" width="16.453125" bestFit="1" customWidth="1"/>
  </cols>
  <sheetData>
    <row r="1" spans="1:4" x14ac:dyDescent="0.35">
      <c r="A1" t="s">
        <v>183</v>
      </c>
      <c r="B1" t="s">
        <v>186</v>
      </c>
      <c r="C1" t="s">
        <v>82</v>
      </c>
      <c r="D1" t="s">
        <v>187</v>
      </c>
    </row>
    <row r="2" spans="1:4" x14ac:dyDescent="0.35">
      <c r="A2" t="s">
        <v>132</v>
      </c>
      <c r="B2" t="s">
        <v>188</v>
      </c>
      <c r="C2">
        <v>247</v>
      </c>
      <c r="D2">
        <v>2470</v>
      </c>
    </row>
    <row r="3" spans="1:4" x14ac:dyDescent="0.35">
      <c r="A3" t="s">
        <v>142</v>
      </c>
      <c r="B3" t="s">
        <v>69</v>
      </c>
      <c r="C3">
        <v>112</v>
      </c>
      <c r="D3">
        <v>1120</v>
      </c>
    </row>
    <row r="4" spans="1:4" x14ac:dyDescent="0.35">
      <c r="A4" t="s">
        <v>151</v>
      </c>
      <c r="B4" t="s">
        <v>69</v>
      </c>
      <c r="C4">
        <v>105</v>
      </c>
      <c r="D4">
        <v>840</v>
      </c>
    </row>
    <row r="5" spans="1:4" x14ac:dyDescent="0.35">
      <c r="A5" t="s">
        <v>122</v>
      </c>
      <c r="B5" t="s">
        <v>68</v>
      </c>
      <c r="C5">
        <v>101</v>
      </c>
      <c r="D5">
        <v>2020</v>
      </c>
    </row>
    <row r="6" spans="1:4" x14ac:dyDescent="0.35">
      <c r="A6" t="s">
        <v>131</v>
      </c>
      <c r="B6" t="s">
        <v>188</v>
      </c>
      <c r="C6">
        <v>86</v>
      </c>
      <c r="D6">
        <v>1548</v>
      </c>
    </row>
    <row r="7" spans="1:4" x14ac:dyDescent="0.35">
      <c r="A7" t="s">
        <v>90</v>
      </c>
      <c r="B7" t="s">
        <v>189</v>
      </c>
      <c r="C7">
        <v>81</v>
      </c>
      <c r="D7">
        <v>2430</v>
      </c>
    </row>
    <row r="8" spans="1:4" x14ac:dyDescent="0.35">
      <c r="A8" t="s">
        <v>266</v>
      </c>
      <c r="B8" t="s">
        <v>188</v>
      </c>
      <c r="C8">
        <v>78</v>
      </c>
      <c r="D8">
        <v>3890</v>
      </c>
    </row>
    <row r="9" spans="1:4" x14ac:dyDescent="0.35">
      <c r="A9" t="s">
        <v>123</v>
      </c>
      <c r="B9" t="s">
        <v>68</v>
      </c>
      <c r="C9">
        <v>76</v>
      </c>
      <c r="D9">
        <v>1520</v>
      </c>
    </row>
    <row r="10" spans="1:4" x14ac:dyDescent="0.35">
      <c r="A10" t="s">
        <v>107</v>
      </c>
      <c r="B10" t="s">
        <v>189</v>
      </c>
      <c r="C10">
        <v>74</v>
      </c>
      <c r="D10">
        <v>2072</v>
      </c>
    </row>
    <row r="11" spans="1:4" x14ac:dyDescent="0.35">
      <c r="A11" t="s">
        <v>119</v>
      </c>
      <c r="B11" t="s">
        <v>68</v>
      </c>
      <c r="C11">
        <v>73</v>
      </c>
      <c r="D11">
        <v>2044</v>
      </c>
    </row>
    <row r="12" spans="1:4" x14ac:dyDescent="0.35">
      <c r="A12" t="s">
        <v>92</v>
      </c>
      <c r="B12" t="s">
        <v>189</v>
      </c>
      <c r="C12">
        <v>65</v>
      </c>
      <c r="D12">
        <v>1950</v>
      </c>
    </row>
    <row r="13" spans="1:4" x14ac:dyDescent="0.35">
      <c r="A13" t="s">
        <v>121</v>
      </c>
      <c r="B13" t="s">
        <v>68</v>
      </c>
      <c r="C13">
        <v>60</v>
      </c>
      <c r="D13">
        <v>1680</v>
      </c>
    </row>
    <row r="14" spans="1:4" x14ac:dyDescent="0.35">
      <c r="A14" t="s">
        <v>88</v>
      </c>
      <c r="B14" t="s">
        <v>189</v>
      </c>
      <c r="C14">
        <v>53</v>
      </c>
      <c r="D14">
        <v>1590</v>
      </c>
    </row>
    <row r="15" spans="1:4" x14ac:dyDescent="0.35">
      <c r="A15" t="s">
        <v>89</v>
      </c>
      <c r="B15" t="s">
        <v>189</v>
      </c>
      <c r="C15">
        <v>47</v>
      </c>
      <c r="D15">
        <v>1410</v>
      </c>
    </row>
    <row r="16" spans="1:4" x14ac:dyDescent="0.35">
      <c r="A16" t="s">
        <v>118</v>
      </c>
      <c r="B16" t="s">
        <v>190</v>
      </c>
      <c r="C16">
        <v>45</v>
      </c>
      <c r="D16">
        <v>675</v>
      </c>
    </row>
    <row r="17" spans="1:4" x14ac:dyDescent="0.35">
      <c r="A17" t="s">
        <v>149</v>
      </c>
      <c r="B17" t="s">
        <v>69</v>
      </c>
      <c r="C17">
        <v>40</v>
      </c>
      <c r="D17">
        <v>720</v>
      </c>
    </row>
    <row r="18" spans="1:4" x14ac:dyDescent="0.35">
      <c r="A18" t="s">
        <v>103</v>
      </c>
      <c r="B18" t="s">
        <v>189</v>
      </c>
      <c r="C18">
        <v>31</v>
      </c>
      <c r="D18">
        <v>868</v>
      </c>
    </row>
    <row r="19" spans="1:4" x14ac:dyDescent="0.35">
      <c r="A19" t="s">
        <v>152</v>
      </c>
      <c r="B19" t="s">
        <v>192</v>
      </c>
      <c r="C19">
        <v>28</v>
      </c>
      <c r="D19">
        <v>420</v>
      </c>
    </row>
    <row r="20" spans="1:4" x14ac:dyDescent="0.35">
      <c r="A20" t="s">
        <v>144</v>
      </c>
      <c r="B20" t="s">
        <v>69</v>
      </c>
      <c r="C20">
        <v>28</v>
      </c>
      <c r="D20">
        <v>420</v>
      </c>
    </row>
    <row r="21" spans="1:4" x14ac:dyDescent="0.35">
      <c r="A21" t="s">
        <v>102</v>
      </c>
      <c r="B21" t="s">
        <v>189</v>
      </c>
      <c r="C21">
        <v>27</v>
      </c>
      <c r="D21">
        <v>405</v>
      </c>
    </row>
    <row r="22" spans="1:4" x14ac:dyDescent="0.35">
      <c r="A22" t="s">
        <v>98</v>
      </c>
      <c r="B22" t="s">
        <v>189</v>
      </c>
      <c r="C22">
        <v>27</v>
      </c>
      <c r="D22">
        <v>729</v>
      </c>
    </row>
    <row r="23" spans="1:4" x14ac:dyDescent="0.35">
      <c r="A23" t="s">
        <v>110</v>
      </c>
      <c r="B23" t="s">
        <v>189</v>
      </c>
      <c r="C23">
        <v>26</v>
      </c>
      <c r="D23">
        <v>728</v>
      </c>
    </row>
    <row r="24" spans="1:4" x14ac:dyDescent="0.35">
      <c r="A24" t="s">
        <v>105</v>
      </c>
      <c r="B24" t="s">
        <v>189</v>
      </c>
      <c r="C24">
        <v>22</v>
      </c>
      <c r="D24">
        <v>616</v>
      </c>
    </row>
    <row r="25" spans="1:4" x14ac:dyDescent="0.35">
      <c r="A25" t="s">
        <v>125</v>
      </c>
      <c r="B25" t="s">
        <v>68</v>
      </c>
      <c r="C25">
        <v>17</v>
      </c>
      <c r="D25">
        <v>476</v>
      </c>
    </row>
    <row r="26" spans="1:4" x14ac:dyDescent="0.35">
      <c r="A26" t="s">
        <v>91</v>
      </c>
      <c r="B26" t="s">
        <v>189</v>
      </c>
      <c r="C26">
        <v>17</v>
      </c>
      <c r="D26">
        <v>510</v>
      </c>
    </row>
    <row r="27" spans="1:4" x14ac:dyDescent="0.35">
      <c r="A27" t="s">
        <v>145</v>
      </c>
      <c r="B27" t="s">
        <v>192</v>
      </c>
      <c r="C27">
        <v>17</v>
      </c>
      <c r="D27">
        <v>306</v>
      </c>
    </row>
    <row r="28" spans="1:4" x14ac:dyDescent="0.35">
      <c r="A28" t="s">
        <v>112</v>
      </c>
      <c r="B28" t="s">
        <v>190</v>
      </c>
      <c r="C28">
        <v>15</v>
      </c>
      <c r="D28">
        <v>360</v>
      </c>
    </row>
    <row r="29" spans="1:4" x14ac:dyDescent="0.35">
      <c r="A29" t="s">
        <v>116</v>
      </c>
      <c r="B29" t="s">
        <v>190</v>
      </c>
      <c r="C29">
        <v>15</v>
      </c>
      <c r="D29">
        <v>360</v>
      </c>
    </row>
    <row r="30" spans="1:4" x14ac:dyDescent="0.35">
      <c r="A30" t="s">
        <v>93</v>
      </c>
      <c r="B30" t="s">
        <v>189</v>
      </c>
      <c r="C30">
        <v>15</v>
      </c>
      <c r="D30">
        <v>405</v>
      </c>
    </row>
    <row r="31" spans="1:4" x14ac:dyDescent="0.35">
      <c r="A31" t="s">
        <v>120</v>
      </c>
      <c r="B31" t="s">
        <v>68</v>
      </c>
      <c r="C31">
        <v>13</v>
      </c>
      <c r="D31">
        <v>364</v>
      </c>
    </row>
    <row r="32" spans="1:4" x14ac:dyDescent="0.35">
      <c r="A32" t="s">
        <v>114</v>
      </c>
      <c r="B32" t="s">
        <v>190</v>
      </c>
      <c r="C32">
        <v>13</v>
      </c>
      <c r="D32">
        <v>312</v>
      </c>
    </row>
    <row r="33" spans="1:4" x14ac:dyDescent="0.35">
      <c r="A33" t="s">
        <v>141</v>
      </c>
      <c r="B33" t="s">
        <v>69</v>
      </c>
      <c r="C33">
        <v>13</v>
      </c>
      <c r="D33">
        <v>130</v>
      </c>
    </row>
    <row r="34" spans="1:4" x14ac:dyDescent="0.35">
      <c r="A34" t="s">
        <v>126</v>
      </c>
      <c r="B34" t="s">
        <v>68</v>
      </c>
      <c r="C34">
        <v>12</v>
      </c>
      <c r="D34">
        <v>336</v>
      </c>
    </row>
    <row r="35" spans="1:4" x14ac:dyDescent="0.35">
      <c r="A35" t="s">
        <v>273</v>
      </c>
      <c r="B35" t="s">
        <v>189</v>
      </c>
      <c r="C35">
        <v>12</v>
      </c>
      <c r="D35">
        <v>360</v>
      </c>
    </row>
    <row r="36" spans="1:4" x14ac:dyDescent="0.35">
      <c r="A36" t="s">
        <v>147</v>
      </c>
      <c r="B36" t="s">
        <v>192</v>
      </c>
      <c r="C36">
        <v>12</v>
      </c>
      <c r="D36">
        <v>216</v>
      </c>
    </row>
    <row r="37" spans="1:4" x14ac:dyDescent="0.35">
      <c r="A37" t="s">
        <v>143</v>
      </c>
      <c r="B37" t="s">
        <v>69</v>
      </c>
      <c r="C37">
        <v>12</v>
      </c>
      <c r="D37">
        <v>240</v>
      </c>
    </row>
    <row r="38" spans="1:4" x14ac:dyDescent="0.35">
      <c r="A38" t="s">
        <v>115</v>
      </c>
      <c r="B38" t="s">
        <v>190</v>
      </c>
      <c r="C38">
        <v>11</v>
      </c>
      <c r="D38">
        <v>264</v>
      </c>
    </row>
    <row r="39" spans="1:4" x14ac:dyDescent="0.35">
      <c r="A39" t="s">
        <v>193</v>
      </c>
      <c r="B39" t="s">
        <v>189</v>
      </c>
      <c r="C39">
        <v>11</v>
      </c>
      <c r="D39">
        <v>297</v>
      </c>
    </row>
    <row r="40" spans="1:4" x14ac:dyDescent="0.35">
      <c r="A40" t="s">
        <v>153</v>
      </c>
      <c r="B40" t="s">
        <v>69</v>
      </c>
      <c r="C40">
        <v>10</v>
      </c>
      <c r="D40">
        <v>80</v>
      </c>
    </row>
    <row r="41" spans="1:4" x14ac:dyDescent="0.35">
      <c r="A41" t="s">
        <v>97</v>
      </c>
      <c r="B41" t="s">
        <v>189</v>
      </c>
      <c r="C41">
        <v>10</v>
      </c>
      <c r="D41">
        <v>270</v>
      </c>
    </row>
    <row r="42" spans="1:4" x14ac:dyDescent="0.35">
      <c r="A42" t="s">
        <v>96</v>
      </c>
      <c r="B42" t="s">
        <v>189</v>
      </c>
      <c r="C42">
        <v>10</v>
      </c>
      <c r="D42">
        <v>270</v>
      </c>
    </row>
    <row r="43" spans="1:4" x14ac:dyDescent="0.35">
      <c r="A43" t="s">
        <v>101</v>
      </c>
      <c r="B43" t="s">
        <v>189</v>
      </c>
      <c r="C43">
        <v>8</v>
      </c>
      <c r="D43">
        <v>120</v>
      </c>
    </row>
    <row r="44" spans="1:4" x14ac:dyDescent="0.35">
      <c r="A44" t="s">
        <v>146</v>
      </c>
      <c r="B44" t="s">
        <v>192</v>
      </c>
      <c r="C44">
        <v>8</v>
      </c>
      <c r="D44">
        <v>144</v>
      </c>
    </row>
    <row r="45" spans="1:4" x14ac:dyDescent="0.35">
      <c r="A45" t="s">
        <v>127</v>
      </c>
      <c r="B45" t="s">
        <v>68</v>
      </c>
      <c r="C45">
        <v>7</v>
      </c>
      <c r="D45">
        <v>196</v>
      </c>
    </row>
    <row r="46" spans="1:4" x14ac:dyDescent="0.35">
      <c r="A46" t="s">
        <v>99</v>
      </c>
      <c r="B46" t="s">
        <v>189</v>
      </c>
      <c r="C46">
        <v>7</v>
      </c>
      <c r="D46">
        <v>189</v>
      </c>
    </row>
    <row r="47" spans="1:4" x14ac:dyDescent="0.35">
      <c r="A47" t="s">
        <v>124</v>
      </c>
      <c r="B47" t="s">
        <v>68</v>
      </c>
      <c r="C47">
        <v>6</v>
      </c>
      <c r="D47">
        <v>120</v>
      </c>
    </row>
    <row r="48" spans="1:4" x14ac:dyDescent="0.35">
      <c r="A48" t="s">
        <v>155</v>
      </c>
      <c r="B48" t="s">
        <v>192</v>
      </c>
      <c r="C48">
        <v>6</v>
      </c>
      <c r="D48">
        <v>52</v>
      </c>
    </row>
    <row r="49" spans="1:4" x14ac:dyDescent="0.35">
      <c r="A49" t="s">
        <v>154</v>
      </c>
      <c r="B49" t="s">
        <v>192</v>
      </c>
      <c r="C49">
        <v>6</v>
      </c>
      <c r="D49">
        <v>52</v>
      </c>
    </row>
    <row r="50" spans="1:4" x14ac:dyDescent="0.35">
      <c r="A50" t="s">
        <v>100</v>
      </c>
      <c r="B50" t="s">
        <v>189</v>
      </c>
      <c r="C50">
        <v>5</v>
      </c>
      <c r="D50">
        <v>135</v>
      </c>
    </row>
    <row r="51" spans="1:4" x14ac:dyDescent="0.35">
      <c r="A51" t="s">
        <v>113</v>
      </c>
      <c r="B51" t="s">
        <v>190</v>
      </c>
      <c r="C51">
        <v>2</v>
      </c>
      <c r="D51">
        <v>48</v>
      </c>
    </row>
    <row r="52" spans="1:4" x14ac:dyDescent="0.35">
      <c r="A52" t="s">
        <v>108</v>
      </c>
      <c r="B52" t="s">
        <v>189</v>
      </c>
      <c r="C52">
        <v>1</v>
      </c>
      <c r="D52">
        <v>28</v>
      </c>
    </row>
    <row r="53" spans="1:4" x14ac:dyDescent="0.35">
      <c r="A53" t="s">
        <v>150</v>
      </c>
      <c r="B53" t="s">
        <v>69</v>
      </c>
      <c r="C53">
        <v>1</v>
      </c>
      <c r="D53">
        <v>35</v>
      </c>
    </row>
    <row r="54" spans="1:4" x14ac:dyDescent="0.35">
      <c r="A54" t="s">
        <v>117</v>
      </c>
      <c r="B54" t="s">
        <v>190</v>
      </c>
      <c r="C54">
        <v>1</v>
      </c>
      <c r="D54">
        <v>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2F8E-E4AA-4BA4-8AF0-995243B5843E}">
  <dimension ref="A1:D50"/>
  <sheetViews>
    <sheetView workbookViewId="0">
      <selection sqref="A1:D50"/>
    </sheetView>
  </sheetViews>
  <sheetFormatPr baseColWidth="10" defaultRowHeight="14.5" x14ac:dyDescent="0.35"/>
  <cols>
    <col min="1" max="1" width="25.453125" bestFit="1" customWidth="1"/>
    <col min="2" max="2" width="13.1796875" bestFit="1" customWidth="1"/>
    <col min="3" max="3" width="8.1796875" bestFit="1" customWidth="1"/>
    <col min="4" max="4" width="16.453125" bestFit="1" customWidth="1"/>
  </cols>
  <sheetData>
    <row r="1" spans="1:4" x14ac:dyDescent="0.35">
      <c r="A1" t="s">
        <v>183</v>
      </c>
      <c r="B1" t="s">
        <v>186</v>
      </c>
      <c r="C1" t="s">
        <v>82</v>
      </c>
      <c r="D1" t="s">
        <v>187</v>
      </c>
    </row>
    <row r="2" spans="1:4" x14ac:dyDescent="0.35">
      <c r="A2" t="s">
        <v>132</v>
      </c>
      <c r="B2" t="s">
        <v>188</v>
      </c>
      <c r="C2">
        <v>159</v>
      </c>
      <c r="D2">
        <v>1590</v>
      </c>
    </row>
    <row r="3" spans="1:4" x14ac:dyDescent="0.35">
      <c r="A3" t="s">
        <v>90</v>
      </c>
      <c r="B3" t="s">
        <v>189</v>
      </c>
      <c r="C3">
        <v>73</v>
      </c>
      <c r="D3">
        <v>2190</v>
      </c>
    </row>
    <row r="4" spans="1:4" x14ac:dyDescent="0.35">
      <c r="A4" t="s">
        <v>122</v>
      </c>
      <c r="B4" t="s">
        <v>68</v>
      </c>
      <c r="C4">
        <v>62</v>
      </c>
      <c r="D4">
        <v>1240</v>
      </c>
    </row>
    <row r="5" spans="1:4" x14ac:dyDescent="0.35">
      <c r="A5" t="s">
        <v>143</v>
      </c>
      <c r="B5" t="s">
        <v>69</v>
      </c>
      <c r="C5">
        <v>58</v>
      </c>
      <c r="D5">
        <v>1160</v>
      </c>
    </row>
    <row r="6" spans="1:4" x14ac:dyDescent="0.35">
      <c r="A6" t="s">
        <v>131</v>
      </c>
      <c r="B6" t="s">
        <v>188</v>
      </c>
      <c r="C6">
        <v>54</v>
      </c>
      <c r="D6">
        <v>972</v>
      </c>
    </row>
    <row r="7" spans="1:4" x14ac:dyDescent="0.35">
      <c r="A7" t="s">
        <v>121</v>
      </c>
      <c r="B7" t="s">
        <v>68</v>
      </c>
      <c r="C7">
        <v>52</v>
      </c>
      <c r="D7">
        <v>1456</v>
      </c>
    </row>
    <row r="8" spans="1:4" x14ac:dyDescent="0.35">
      <c r="A8" t="s">
        <v>88</v>
      </c>
      <c r="B8" t="s">
        <v>189</v>
      </c>
      <c r="C8">
        <v>50</v>
      </c>
      <c r="D8">
        <v>1500</v>
      </c>
    </row>
    <row r="9" spans="1:4" x14ac:dyDescent="0.35">
      <c r="A9" t="s">
        <v>142</v>
      </c>
      <c r="B9" t="s">
        <v>69</v>
      </c>
      <c r="C9">
        <v>47</v>
      </c>
      <c r="D9">
        <v>470</v>
      </c>
    </row>
    <row r="10" spans="1:4" x14ac:dyDescent="0.35">
      <c r="A10" t="s">
        <v>123</v>
      </c>
      <c r="B10" t="s">
        <v>68</v>
      </c>
      <c r="C10">
        <v>46</v>
      </c>
      <c r="D10">
        <v>920</v>
      </c>
    </row>
    <row r="11" spans="1:4" x14ac:dyDescent="0.35">
      <c r="A11" t="s">
        <v>89</v>
      </c>
      <c r="B11" t="s">
        <v>189</v>
      </c>
      <c r="C11">
        <v>45</v>
      </c>
      <c r="D11">
        <v>1350</v>
      </c>
    </row>
    <row r="12" spans="1:4" x14ac:dyDescent="0.35">
      <c r="A12" t="s">
        <v>151</v>
      </c>
      <c r="B12" t="s">
        <v>69</v>
      </c>
      <c r="C12">
        <v>41</v>
      </c>
      <c r="D12">
        <v>328</v>
      </c>
    </row>
    <row r="13" spans="1:4" x14ac:dyDescent="0.35">
      <c r="A13" t="s">
        <v>92</v>
      </c>
      <c r="B13" t="s">
        <v>189</v>
      </c>
      <c r="C13">
        <v>41</v>
      </c>
      <c r="D13">
        <v>1230</v>
      </c>
    </row>
    <row r="14" spans="1:4" x14ac:dyDescent="0.35">
      <c r="A14" t="s">
        <v>149</v>
      </c>
      <c r="B14" t="s">
        <v>69</v>
      </c>
      <c r="C14">
        <v>40</v>
      </c>
      <c r="D14">
        <v>720</v>
      </c>
    </row>
    <row r="15" spans="1:4" x14ac:dyDescent="0.35">
      <c r="A15" t="s">
        <v>103</v>
      </c>
      <c r="B15" t="s">
        <v>189</v>
      </c>
      <c r="C15">
        <v>34</v>
      </c>
      <c r="D15">
        <v>952</v>
      </c>
    </row>
    <row r="16" spans="1:4" x14ac:dyDescent="0.35">
      <c r="A16" t="s">
        <v>118</v>
      </c>
      <c r="B16" t="s">
        <v>190</v>
      </c>
      <c r="C16">
        <v>33</v>
      </c>
      <c r="D16">
        <v>495</v>
      </c>
    </row>
    <row r="17" spans="1:4" x14ac:dyDescent="0.35">
      <c r="A17" t="s">
        <v>266</v>
      </c>
      <c r="B17" t="s">
        <v>188</v>
      </c>
      <c r="C17">
        <v>29</v>
      </c>
      <c r="D17">
        <v>1450</v>
      </c>
    </row>
    <row r="18" spans="1:4" x14ac:dyDescent="0.35">
      <c r="A18" t="s">
        <v>102</v>
      </c>
      <c r="B18" t="s">
        <v>189</v>
      </c>
      <c r="C18">
        <v>28</v>
      </c>
      <c r="D18">
        <v>420</v>
      </c>
    </row>
    <row r="19" spans="1:4" x14ac:dyDescent="0.35">
      <c r="A19" t="s">
        <v>101</v>
      </c>
      <c r="B19" t="s">
        <v>189</v>
      </c>
      <c r="C19">
        <v>26</v>
      </c>
      <c r="D19">
        <v>390</v>
      </c>
    </row>
    <row r="20" spans="1:4" x14ac:dyDescent="0.35">
      <c r="A20" t="s">
        <v>141</v>
      </c>
      <c r="B20" t="s">
        <v>69</v>
      </c>
      <c r="C20">
        <v>26</v>
      </c>
      <c r="D20">
        <v>260</v>
      </c>
    </row>
    <row r="21" spans="1:4" x14ac:dyDescent="0.35">
      <c r="A21" t="s">
        <v>91</v>
      </c>
      <c r="B21" t="s">
        <v>189</v>
      </c>
      <c r="C21">
        <v>25</v>
      </c>
      <c r="D21">
        <v>750</v>
      </c>
    </row>
    <row r="22" spans="1:4" x14ac:dyDescent="0.35">
      <c r="A22" t="s">
        <v>144</v>
      </c>
      <c r="B22" t="s">
        <v>69</v>
      </c>
      <c r="C22">
        <v>23</v>
      </c>
      <c r="D22">
        <v>345</v>
      </c>
    </row>
    <row r="23" spans="1:4" x14ac:dyDescent="0.35">
      <c r="A23" t="s">
        <v>119</v>
      </c>
      <c r="B23" t="s">
        <v>68</v>
      </c>
      <c r="C23">
        <v>17</v>
      </c>
      <c r="D23">
        <v>476</v>
      </c>
    </row>
    <row r="24" spans="1:4" x14ac:dyDescent="0.35">
      <c r="A24" t="s">
        <v>110</v>
      </c>
      <c r="B24" t="s">
        <v>189</v>
      </c>
      <c r="C24">
        <v>16</v>
      </c>
      <c r="D24">
        <v>448</v>
      </c>
    </row>
    <row r="25" spans="1:4" x14ac:dyDescent="0.35">
      <c r="A25" t="s">
        <v>98</v>
      </c>
      <c r="B25" t="s">
        <v>189</v>
      </c>
      <c r="C25">
        <v>16</v>
      </c>
      <c r="D25">
        <v>432</v>
      </c>
    </row>
    <row r="26" spans="1:4" x14ac:dyDescent="0.35">
      <c r="A26" t="s">
        <v>105</v>
      </c>
      <c r="B26" t="s">
        <v>189</v>
      </c>
      <c r="C26">
        <v>14</v>
      </c>
      <c r="D26">
        <v>392</v>
      </c>
    </row>
    <row r="27" spans="1:4" x14ac:dyDescent="0.35">
      <c r="A27" t="s">
        <v>113</v>
      </c>
      <c r="B27" t="s">
        <v>190</v>
      </c>
      <c r="C27">
        <v>13</v>
      </c>
      <c r="D27">
        <v>312</v>
      </c>
    </row>
    <row r="28" spans="1:4" x14ac:dyDescent="0.35">
      <c r="A28" t="s">
        <v>154</v>
      </c>
      <c r="B28" t="s">
        <v>192</v>
      </c>
      <c r="C28">
        <v>13</v>
      </c>
      <c r="D28">
        <v>78</v>
      </c>
    </row>
    <row r="29" spans="1:4" x14ac:dyDescent="0.35">
      <c r="A29" t="s">
        <v>115</v>
      </c>
      <c r="B29" t="s">
        <v>190</v>
      </c>
      <c r="C29">
        <v>12</v>
      </c>
      <c r="D29">
        <v>288</v>
      </c>
    </row>
    <row r="30" spans="1:4" x14ac:dyDescent="0.35">
      <c r="A30" t="s">
        <v>146</v>
      </c>
      <c r="B30" t="s">
        <v>192</v>
      </c>
      <c r="C30">
        <v>12</v>
      </c>
      <c r="D30">
        <v>216</v>
      </c>
    </row>
    <row r="31" spans="1:4" x14ac:dyDescent="0.35">
      <c r="A31" t="s">
        <v>93</v>
      </c>
      <c r="B31" t="s">
        <v>189</v>
      </c>
      <c r="C31">
        <v>12</v>
      </c>
      <c r="D31">
        <v>324</v>
      </c>
    </row>
    <row r="32" spans="1:4" x14ac:dyDescent="0.35">
      <c r="A32" t="s">
        <v>125</v>
      </c>
      <c r="B32" t="s">
        <v>68</v>
      </c>
      <c r="C32">
        <v>11</v>
      </c>
      <c r="D32">
        <v>308</v>
      </c>
    </row>
    <row r="33" spans="1:4" x14ac:dyDescent="0.35">
      <c r="A33" t="s">
        <v>112</v>
      </c>
      <c r="B33" t="s">
        <v>190</v>
      </c>
      <c r="C33">
        <v>11</v>
      </c>
      <c r="D33">
        <v>264</v>
      </c>
    </row>
    <row r="34" spans="1:4" x14ac:dyDescent="0.35">
      <c r="A34" t="s">
        <v>114</v>
      </c>
      <c r="B34" t="s">
        <v>190</v>
      </c>
      <c r="C34">
        <v>11</v>
      </c>
      <c r="D34">
        <v>264</v>
      </c>
    </row>
    <row r="35" spans="1:4" x14ac:dyDescent="0.35">
      <c r="A35" t="s">
        <v>147</v>
      </c>
      <c r="B35" t="s">
        <v>192</v>
      </c>
      <c r="C35">
        <v>11</v>
      </c>
      <c r="D35">
        <v>198</v>
      </c>
    </row>
    <row r="36" spans="1:4" x14ac:dyDescent="0.35">
      <c r="A36" t="s">
        <v>99</v>
      </c>
      <c r="B36" t="s">
        <v>189</v>
      </c>
      <c r="C36">
        <v>11</v>
      </c>
      <c r="D36">
        <v>297</v>
      </c>
    </row>
    <row r="37" spans="1:4" x14ac:dyDescent="0.35">
      <c r="A37" t="s">
        <v>152</v>
      </c>
      <c r="B37" t="s">
        <v>192</v>
      </c>
      <c r="C37">
        <v>10</v>
      </c>
      <c r="D37">
        <v>150</v>
      </c>
    </row>
    <row r="38" spans="1:4" x14ac:dyDescent="0.35">
      <c r="A38" t="s">
        <v>155</v>
      </c>
      <c r="B38" t="s">
        <v>192</v>
      </c>
      <c r="C38">
        <v>10</v>
      </c>
      <c r="D38">
        <v>60</v>
      </c>
    </row>
    <row r="39" spans="1:4" x14ac:dyDescent="0.35">
      <c r="A39" t="s">
        <v>342</v>
      </c>
      <c r="B39" t="s">
        <v>343</v>
      </c>
      <c r="C39">
        <v>9</v>
      </c>
      <c r="D39">
        <v>180</v>
      </c>
    </row>
    <row r="40" spans="1:4" x14ac:dyDescent="0.35">
      <c r="A40" t="s">
        <v>126</v>
      </c>
      <c r="B40" t="s">
        <v>68</v>
      </c>
      <c r="C40">
        <v>9</v>
      </c>
      <c r="D40">
        <v>252</v>
      </c>
    </row>
    <row r="41" spans="1:4" x14ac:dyDescent="0.35">
      <c r="A41" t="s">
        <v>145</v>
      </c>
      <c r="B41" t="s">
        <v>192</v>
      </c>
      <c r="C41">
        <v>7</v>
      </c>
      <c r="D41">
        <v>126</v>
      </c>
    </row>
    <row r="42" spans="1:4" x14ac:dyDescent="0.35">
      <c r="A42" t="s">
        <v>97</v>
      </c>
      <c r="B42" t="s">
        <v>189</v>
      </c>
      <c r="C42">
        <v>7</v>
      </c>
      <c r="D42">
        <v>189</v>
      </c>
    </row>
    <row r="43" spans="1:4" x14ac:dyDescent="0.35">
      <c r="A43" t="s">
        <v>124</v>
      </c>
      <c r="B43" t="s">
        <v>68</v>
      </c>
      <c r="C43">
        <v>6</v>
      </c>
      <c r="D43">
        <v>120</v>
      </c>
    </row>
    <row r="44" spans="1:4" x14ac:dyDescent="0.35">
      <c r="A44" t="s">
        <v>120</v>
      </c>
      <c r="B44" t="s">
        <v>68</v>
      </c>
      <c r="C44">
        <v>6</v>
      </c>
      <c r="D44">
        <v>168</v>
      </c>
    </row>
    <row r="45" spans="1:4" x14ac:dyDescent="0.35">
      <c r="A45" t="s">
        <v>193</v>
      </c>
      <c r="B45" t="s">
        <v>189</v>
      </c>
      <c r="C45">
        <v>6</v>
      </c>
      <c r="D45">
        <v>162</v>
      </c>
    </row>
    <row r="46" spans="1:4" x14ac:dyDescent="0.35">
      <c r="A46" t="s">
        <v>153</v>
      </c>
      <c r="B46" t="s">
        <v>69</v>
      </c>
      <c r="C46">
        <v>5</v>
      </c>
      <c r="D46">
        <v>40</v>
      </c>
    </row>
    <row r="47" spans="1:4" x14ac:dyDescent="0.35">
      <c r="A47" t="s">
        <v>127</v>
      </c>
      <c r="B47" t="s">
        <v>68</v>
      </c>
      <c r="C47">
        <v>5</v>
      </c>
      <c r="D47">
        <v>140</v>
      </c>
    </row>
    <row r="48" spans="1:4" x14ac:dyDescent="0.35">
      <c r="A48" t="s">
        <v>100</v>
      </c>
      <c r="B48" t="s">
        <v>189</v>
      </c>
      <c r="C48">
        <v>4</v>
      </c>
      <c r="D48">
        <v>108</v>
      </c>
    </row>
    <row r="49" spans="1:4" x14ac:dyDescent="0.35">
      <c r="A49" t="s">
        <v>96</v>
      </c>
      <c r="B49" t="s">
        <v>189</v>
      </c>
      <c r="C49">
        <v>4</v>
      </c>
      <c r="D49">
        <v>108</v>
      </c>
    </row>
    <row r="50" spans="1:4" x14ac:dyDescent="0.35">
      <c r="A50" t="s">
        <v>107</v>
      </c>
      <c r="B50" t="s">
        <v>189</v>
      </c>
      <c r="C50">
        <v>3</v>
      </c>
      <c r="D50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60998-79BD-4709-9ED8-17E5130639A9}">
  <dimension ref="A1:D55"/>
  <sheetViews>
    <sheetView workbookViewId="0">
      <selection activeCell="S28" sqref="S28"/>
    </sheetView>
  </sheetViews>
  <sheetFormatPr baseColWidth="10" defaultRowHeight="14.5" x14ac:dyDescent="0.35"/>
  <cols>
    <col min="1" max="1" width="25.453125" bestFit="1" customWidth="1"/>
    <col min="2" max="2" width="13.1796875" bestFit="1" customWidth="1"/>
    <col min="3" max="3" width="8.1796875" bestFit="1" customWidth="1"/>
    <col min="4" max="4" width="16.453125" bestFit="1" customWidth="1"/>
  </cols>
  <sheetData>
    <row r="1" spans="1:4" x14ac:dyDescent="0.35">
      <c r="A1" t="s">
        <v>183</v>
      </c>
      <c r="B1" t="s">
        <v>186</v>
      </c>
      <c r="C1" t="s">
        <v>82</v>
      </c>
      <c r="D1" t="s">
        <v>187</v>
      </c>
    </row>
    <row r="2" spans="1:4" x14ac:dyDescent="0.35">
      <c r="A2" t="s">
        <v>132</v>
      </c>
      <c r="B2" t="s">
        <v>188</v>
      </c>
      <c r="C2">
        <v>164</v>
      </c>
      <c r="D2">
        <v>1640</v>
      </c>
    </row>
    <row r="3" spans="1:4" x14ac:dyDescent="0.35">
      <c r="A3" t="s">
        <v>122</v>
      </c>
      <c r="B3" t="s">
        <v>68</v>
      </c>
      <c r="C3">
        <v>124</v>
      </c>
      <c r="D3">
        <v>2480</v>
      </c>
    </row>
    <row r="4" spans="1:4" x14ac:dyDescent="0.35">
      <c r="A4" t="s">
        <v>131</v>
      </c>
      <c r="B4" t="s">
        <v>188</v>
      </c>
      <c r="C4">
        <v>109</v>
      </c>
      <c r="D4">
        <v>1962</v>
      </c>
    </row>
    <row r="5" spans="1:4" x14ac:dyDescent="0.35">
      <c r="A5" t="s">
        <v>142</v>
      </c>
      <c r="B5" t="s">
        <v>69</v>
      </c>
      <c r="C5">
        <v>92</v>
      </c>
      <c r="D5">
        <v>920</v>
      </c>
    </row>
    <row r="6" spans="1:4" x14ac:dyDescent="0.35">
      <c r="A6" t="s">
        <v>340</v>
      </c>
      <c r="B6" t="s">
        <v>68</v>
      </c>
      <c r="C6">
        <v>89</v>
      </c>
      <c r="D6">
        <v>1780</v>
      </c>
    </row>
    <row r="7" spans="1:4" x14ac:dyDescent="0.35">
      <c r="A7" t="s">
        <v>88</v>
      </c>
      <c r="B7" t="s">
        <v>189</v>
      </c>
      <c r="C7">
        <v>67</v>
      </c>
      <c r="D7">
        <v>2010</v>
      </c>
    </row>
    <row r="8" spans="1:4" x14ac:dyDescent="0.35">
      <c r="A8" t="s">
        <v>90</v>
      </c>
      <c r="B8" t="s">
        <v>189</v>
      </c>
      <c r="C8">
        <v>66</v>
      </c>
      <c r="D8">
        <v>1980</v>
      </c>
    </row>
    <row r="9" spans="1:4" x14ac:dyDescent="0.35">
      <c r="A9" t="s">
        <v>92</v>
      </c>
      <c r="B9" t="s">
        <v>189</v>
      </c>
      <c r="C9">
        <v>64</v>
      </c>
      <c r="D9">
        <v>1920</v>
      </c>
    </row>
    <row r="10" spans="1:4" x14ac:dyDescent="0.35">
      <c r="A10" t="s">
        <v>89</v>
      </c>
      <c r="B10" t="s">
        <v>189</v>
      </c>
      <c r="C10">
        <v>57</v>
      </c>
      <c r="D10">
        <v>1710</v>
      </c>
    </row>
    <row r="11" spans="1:4" x14ac:dyDescent="0.35">
      <c r="A11" t="s">
        <v>102</v>
      </c>
      <c r="B11" t="s">
        <v>189</v>
      </c>
      <c r="C11">
        <v>57</v>
      </c>
      <c r="D11">
        <v>855</v>
      </c>
    </row>
    <row r="12" spans="1:4" x14ac:dyDescent="0.35">
      <c r="A12" t="s">
        <v>151</v>
      </c>
      <c r="B12" t="s">
        <v>69</v>
      </c>
      <c r="C12">
        <v>53</v>
      </c>
      <c r="D12">
        <v>424</v>
      </c>
    </row>
    <row r="13" spans="1:4" x14ac:dyDescent="0.35">
      <c r="A13" t="s">
        <v>266</v>
      </c>
      <c r="B13" t="s">
        <v>188</v>
      </c>
      <c r="C13">
        <v>46</v>
      </c>
      <c r="D13">
        <v>2300</v>
      </c>
    </row>
    <row r="14" spans="1:4" x14ac:dyDescent="0.35">
      <c r="A14" t="s">
        <v>101</v>
      </c>
      <c r="B14" t="s">
        <v>189</v>
      </c>
      <c r="C14">
        <v>44</v>
      </c>
      <c r="D14">
        <v>660</v>
      </c>
    </row>
    <row r="15" spans="1:4" x14ac:dyDescent="0.35">
      <c r="A15" t="s">
        <v>123</v>
      </c>
      <c r="B15" t="s">
        <v>68</v>
      </c>
      <c r="C15">
        <v>40</v>
      </c>
      <c r="D15">
        <v>800</v>
      </c>
    </row>
    <row r="16" spans="1:4" x14ac:dyDescent="0.35">
      <c r="A16" t="s">
        <v>143</v>
      </c>
      <c r="B16" t="s">
        <v>69</v>
      </c>
      <c r="C16">
        <v>39</v>
      </c>
      <c r="D16">
        <v>780</v>
      </c>
    </row>
    <row r="17" spans="1:4" x14ac:dyDescent="0.35">
      <c r="A17" t="s">
        <v>107</v>
      </c>
      <c r="B17" t="s">
        <v>189</v>
      </c>
      <c r="C17">
        <v>38</v>
      </c>
      <c r="D17">
        <v>1064</v>
      </c>
    </row>
    <row r="18" spans="1:4" x14ac:dyDescent="0.35">
      <c r="A18" t="s">
        <v>119</v>
      </c>
      <c r="B18" t="s">
        <v>68</v>
      </c>
      <c r="C18">
        <v>38</v>
      </c>
      <c r="D18">
        <v>1064</v>
      </c>
    </row>
    <row r="19" spans="1:4" x14ac:dyDescent="0.35">
      <c r="A19" t="s">
        <v>150</v>
      </c>
      <c r="B19" t="s">
        <v>69</v>
      </c>
      <c r="C19">
        <v>33</v>
      </c>
      <c r="D19">
        <v>1155</v>
      </c>
    </row>
    <row r="20" spans="1:4" x14ac:dyDescent="0.35">
      <c r="A20" t="s">
        <v>121</v>
      </c>
      <c r="B20" t="s">
        <v>68</v>
      </c>
      <c r="C20">
        <v>32</v>
      </c>
      <c r="D20">
        <v>896</v>
      </c>
    </row>
    <row r="21" spans="1:4" x14ac:dyDescent="0.35">
      <c r="A21" t="s">
        <v>124</v>
      </c>
      <c r="B21" t="s">
        <v>68</v>
      </c>
      <c r="C21">
        <v>29</v>
      </c>
      <c r="D21">
        <v>580</v>
      </c>
    </row>
    <row r="22" spans="1:4" x14ac:dyDescent="0.35">
      <c r="A22" t="s">
        <v>146</v>
      </c>
      <c r="B22" t="s">
        <v>192</v>
      </c>
      <c r="C22">
        <v>26</v>
      </c>
      <c r="D22">
        <v>468</v>
      </c>
    </row>
    <row r="23" spans="1:4" x14ac:dyDescent="0.35">
      <c r="A23" t="s">
        <v>91</v>
      </c>
      <c r="B23" t="s">
        <v>189</v>
      </c>
      <c r="C23">
        <v>23</v>
      </c>
      <c r="D23">
        <v>690</v>
      </c>
    </row>
    <row r="24" spans="1:4" x14ac:dyDescent="0.35">
      <c r="A24" t="s">
        <v>118</v>
      </c>
      <c r="B24" t="s">
        <v>190</v>
      </c>
      <c r="C24">
        <v>23</v>
      </c>
      <c r="D24">
        <v>345</v>
      </c>
    </row>
    <row r="25" spans="1:4" x14ac:dyDescent="0.35">
      <c r="A25" t="s">
        <v>147</v>
      </c>
      <c r="B25" t="s">
        <v>192</v>
      </c>
      <c r="C25">
        <v>21</v>
      </c>
      <c r="D25">
        <v>378</v>
      </c>
    </row>
    <row r="26" spans="1:4" x14ac:dyDescent="0.35">
      <c r="A26" t="s">
        <v>105</v>
      </c>
      <c r="B26" t="s">
        <v>189</v>
      </c>
      <c r="C26">
        <v>20</v>
      </c>
      <c r="D26">
        <v>560</v>
      </c>
    </row>
    <row r="27" spans="1:4" x14ac:dyDescent="0.35">
      <c r="A27" t="s">
        <v>344</v>
      </c>
      <c r="B27" t="s">
        <v>68</v>
      </c>
      <c r="C27">
        <v>20</v>
      </c>
      <c r="D27">
        <v>400</v>
      </c>
    </row>
    <row r="28" spans="1:4" x14ac:dyDescent="0.35">
      <c r="A28" t="s">
        <v>114</v>
      </c>
      <c r="B28" t="s">
        <v>190</v>
      </c>
      <c r="C28">
        <v>18</v>
      </c>
      <c r="D28">
        <v>432</v>
      </c>
    </row>
    <row r="29" spans="1:4" x14ac:dyDescent="0.35">
      <c r="A29" t="s">
        <v>116</v>
      </c>
      <c r="B29" t="s">
        <v>190</v>
      </c>
      <c r="C29">
        <v>18</v>
      </c>
      <c r="D29">
        <v>432</v>
      </c>
    </row>
    <row r="30" spans="1:4" x14ac:dyDescent="0.35">
      <c r="A30" t="s">
        <v>115</v>
      </c>
      <c r="B30" t="s">
        <v>190</v>
      </c>
      <c r="C30">
        <v>18</v>
      </c>
      <c r="D30">
        <v>432</v>
      </c>
    </row>
    <row r="31" spans="1:4" x14ac:dyDescent="0.35">
      <c r="A31" t="s">
        <v>149</v>
      </c>
      <c r="B31" t="s">
        <v>69</v>
      </c>
      <c r="C31">
        <v>18</v>
      </c>
      <c r="D31">
        <v>324</v>
      </c>
    </row>
    <row r="32" spans="1:4" x14ac:dyDescent="0.35">
      <c r="A32" t="s">
        <v>100</v>
      </c>
      <c r="B32" t="s">
        <v>189</v>
      </c>
      <c r="C32">
        <v>17</v>
      </c>
      <c r="D32">
        <v>354</v>
      </c>
    </row>
    <row r="33" spans="1:4" x14ac:dyDescent="0.35">
      <c r="A33" t="s">
        <v>141</v>
      </c>
      <c r="B33" t="s">
        <v>69</v>
      </c>
      <c r="C33">
        <v>17</v>
      </c>
      <c r="D33">
        <v>170</v>
      </c>
    </row>
    <row r="34" spans="1:4" x14ac:dyDescent="0.35">
      <c r="A34" t="s">
        <v>144</v>
      </c>
      <c r="B34" t="s">
        <v>69</v>
      </c>
      <c r="C34">
        <v>16</v>
      </c>
      <c r="D34">
        <v>240</v>
      </c>
    </row>
    <row r="35" spans="1:4" x14ac:dyDescent="0.35">
      <c r="A35" t="s">
        <v>103</v>
      </c>
      <c r="B35" t="s">
        <v>189</v>
      </c>
      <c r="C35">
        <v>15</v>
      </c>
      <c r="D35">
        <v>420</v>
      </c>
    </row>
    <row r="36" spans="1:4" x14ac:dyDescent="0.35">
      <c r="A36" t="s">
        <v>153</v>
      </c>
      <c r="B36" t="s">
        <v>69</v>
      </c>
      <c r="C36">
        <v>15</v>
      </c>
      <c r="D36">
        <v>120</v>
      </c>
    </row>
    <row r="37" spans="1:4" x14ac:dyDescent="0.35">
      <c r="A37" t="s">
        <v>152</v>
      </c>
      <c r="B37" t="s">
        <v>192</v>
      </c>
      <c r="C37">
        <v>15</v>
      </c>
      <c r="D37">
        <v>225</v>
      </c>
    </row>
    <row r="38" spans="1:4" x14ac:dyDescent="0.35">
      <c r="A38" t="s">
        <v>345</v>
      </c>
      <c r="B38" t="s">
        <v>189</v>
      </c>
      <c r="C38">
        <v>15</v>
      </c>
      <c r="D38">
        <v>450</v>
      </c>
    </row>
    <row r="39" spans="1:4" x14ac:dyDescent="0.35">
      <c r="A39" t="s">
        <v>99</v>
      </c>
      <c r="B39" t="s">
        <v>189</v>
      </c>
      <c r="C39">
        <v>15</v>
      </c>
      <c r="D39">
        <v>405</v>
      </c>
    </row>
    <row r="40" spans="1:4" x14ac:dyDescent="0.35">
      <c r="A40" t="s">
        <v>193</v>
      </c>
      <c r="B40" t="s">
        <v>189</v>
      </c>
      <c r="C40">
        <v>15</v>
      </c>
      <c r="D40">
        <v>405</v>
      </c>
    </row>
    <row r="41" spans="1:4" x14ac:dyDescent="0.35">
      <c r="A41" t="s">
        <v>112</v>
      </c>
      <c r="B41" t="s">
        <v>190</v>
      </c>
      <c r="C41">
        <v>14</v>
      </c>
      <c r="D41">
        <v>336</v>
      </c>
    </row>
    <row r="42" spans="1:4" x14ac:dyDescent="0.35">
      <c r="A42" t="s">
        <v>126</v>
      </c>
      <c r="B42" t="s">
        <v>68</v>
      </c>
      <c r="C42">
        <v>13</v>
      </c>
      <c r="D42">
        <v>364</v>
      </c>
    </row>
    <row r="43" spans="1:4" x14ac:dyDescent="0.35">
      <c r="A43" t="s">
        <v>97</v>
      </c>
      <c r="B43" t="s">
        <v>189</v>
      </c>
      <c r="C43">
        <v>13</v>
      </c>
      <c r="D43">
        <v>351</v>
      </c>
    </row>
    <row r="44" spans="1:4" x14ac:dyDescent="0.35">
      <c r="A44" t="s">
        <v>127</v>
      </c>
      <c r="B44" t="s">
        <v>68</v>
      </c>
      <c r="C44">
        <v>11</v>
      </c>
      <c r="D44">
        <v>308</v>
      </c>
    </row>
    <row r="45" spans="1:4" x14ac:dyDescent="0.35">
      <c r="A45" t="s">
        <v>93</v>
      </c>
      <c r="B45" t="s">
        <v>189</v>
      </c>
      <c r="C45">
        <v>11</v>
      </c>
      <c r="D45">
        <v>297</v>
      </c>
    </row>
    <row r="46" spans="1:4" x14ac:dyDescent="0.35">
      <c r="A46" t="s">
        <v>111</v>
      </c>
      <c r="B46" t="s">
        <v>189</v>
      </c>
      <c r="C46">
        <v>10</v>
      </c>
      <c r="D46">
        <v>300</v>
      </c>
    </row>
    <row r="47" spans="1:4" x14ac:dyDescent="0.35">
      <c r="A47" t="s">
        <v>155</v>
      </c>
      <c r="B47" t="s">
        <v>192</v>
      </c>
      <c r="C47">
        <v>10</v>
      </c>
      <c r="D47">
        <v>60</v>
      </c>
    </row>
    <row r="48" spans="1:4" x14ac:dyDescent="0.35">
      <c r="A48" t="s">
        <v>145</v>
      </c>
      <c r="B48" t="s">
        <v>192</v>
      </c>
      <c r="C48">
        <v>10</v>
      </c>
      <c r="D48">
        <v>180</v>
      </c>
    </row>
    <row r="49" spans="1:4" x14ac:dyDescent="0.35">
      <c r="A49" t="s">
        <v>98</v>
      </c>
      <c r="B49" t="s">
        <v>189</v>
      </c>
      <c r="C49">
        <v>10</v>
      </c>
      <c r="D49">
        <v>270</v>
      </c>
    </row>
    <row r="50" spans="1:4" x14ac:dyDescent="0.35">
      <c r="A50" t="s">
        <v>342</v>
      </c>
      <c r="B50" t="s">
        <v>343</v>
      </c>
      <c r="C50">
        <v>5</v>
      </c>
      <c r="D50">
        <v>100</v>
      </c>
    </row>
    <row r="51" spans="1:4" x14ac:dyDescent="0.35">
      <c r="A51" t="s">
        <v>113</v>
      </c>
      <c r="B51" t="s">
        <v>190</v>
      </c>
      <c r="C51">
        <v>5</v>
      </c>
      <c r="D51">
        <v>120</v>
      </c>
    </row>
    <row r="52" spans="1:4" x14ac:dyDescent="0.35">
      <c r="A52" t="s">
        <v>96</v>
      </c>
      <c r="B52" t="s">
        <v>189</v>
      </c>
      <c r="C52">
        <v>5</v>
      </c>
      <c r="D52">
        <v>107</v>
      </c>
    </row>
    <row r="53" spans="1:4" x14ac:dyDescent="0.35">
      <c r="A53" t="s">
        <v>154</v>
      </c>
      <c r="B53" t="s">
        <v>192</v>
      </c>
      <c r="C53">
        <v>3</v>
      </c>
      <c r="D53">
        <v>18</v>
      </c>
    </row>
    <row r="54" spans="1:4" x14ac:dyDescent="0.35">
      <c r="A54" t="s">
        <v>125</v>
      </c>
      <c r="B54" t="s">
        <v>68</v>
      </c>
      <c r="C54">
        <v>1</v>
      </c>
      <c r="D54">
        <v>28</v>
      </c>
    </row>
    <row r="55" spans="1:4" x14ac:dyDescent="0.35">
      <c r="A55" t="s">
        <v>273</v>
      </c>
      <c r="B55" t="s">
        <v>189</v>
      </c>
      <c r="C55">
        <v>1</v>
      </c>
      <c r="D55">
        <v>30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C1467-8076-4D27-BDCC-8162A0F864BD}">
  <dimension ref="A1:D51"/>
  <sheetViews>
    <sheetView workbookViewId="0"/>
  </sheetViews>
  <sheetFormatPr baseColWidth="10" defaultRowHeight="14.5" x14ac:dyDescent="0.35"/>
  <cols>
    <col min="1" max="1" width="25.453125" bestFit="1" customWidth="1"/>
    <col min="2" max="2" width="13.1796875" bestFit="1" customWidth="1"/>
    <col min="3" max="3" width="8.1796875" bestFit="1" customWidth="1"/>
    <col min="4" max="4" width="16.453125" bestFit="1" customWidth="1"/>
  </cols>
  <sheetData>
    <row r="1" spans="1:4" x14ac:dyDescent="0.35">
      <c r="A1" t="s">
        <v>183</v>
      </c>
      <c r="B1" t="s">
        <v>186</v>
      </c>
      <c r="C1" t="s">
        <v>82</v>
      </c>
      <c r="D1" t="s">
        <v>187</v>
      </c>
    </row>
    <row r="2" spans="1:4" x14ac:dyDescent="0.35">
      <c r="A2" t="s">
        <v>132</v>
      </c>
      <c r="B2" t="s">
        <v>188</v>
      </c>
      <c r="C2">
        <v>91</v>
      </c>
      <c r="D2">
        <v>910</v>
      </c>
    </row>
    <row r="3" spans="1:4" x14ac:dyDescent="0.35">
      <c r="A3" t="s">
        <v>131</v>
      </c>
      <c r="B3" t="s">
        <v>188</v>
      </c>
      <c r="C3">
        <v>64</v>
      </c>
      <c r="D3">
        <v>1152</v>
      </c>
    </row>
    <row r="4" spans="1:4" x14ac:dyDescent="0.35">
      <c r="A4" t="s">
        <v>90</v>
      </c>
      <c r="B4" t="s">
        <v>189</v>
      </c>
      <c r="C4">
        <v>64</v>
      </c>
      <c r="D4">
        <v>1920</v>
      </c>
    </row>
    <row r="5" spans="1:4" x14ac:dyDescent="0.35">
      <c r="A5" t="s">
        <v>88</v>
      </c>
      <c r="B5" t="s">
        <v>189</v>
      </c>
      <c r="C5">
        <v>62</v>
      </c>
      <c r="D5">
        <v>1860</v>
      </c>
    </row>
    <row r="6" spans="1:4" x14ac:dyDescent="0.35">
      <c r="A6" t="s">
        <v>122</v>
      </c>
      <c r="B6" t="s">
        <v>68</v>
      </c>
      <c r="C6">
        <v>50</v>
      </c>
      <c r="D6">
        <v>1000</v>
      </c>
    </row>
    <row r="7" spans="1:4" x14ac:dyDescent="0.35">
      <c r="A7" t="s">
        <v>340</v>
      </c>
      <c r="B7" t="s">
        <v>68</v>
      </c>
      <c r="C7">
        <v>45</v>
      </c>
      <c r="D7">
        <v>900</v>
      </c>
    </row>
    <row r="8" spans="1:4" x14ac:dyDescent="0.35">
      <c r="A8" t="s">
        <v>89</v>
      </c>
      <c r="B8" t="s">
        <v>189</v>
      </c>
      <c r="C8">
        <v>44</v>
      </c>
      <c r="D8">
        <v>1320</v>
      </c>
    </row>
    <row r="9" spans="1:4" x14ac:dyDescent="0.35">
      <c r="A9" t="s">
        <v>107</v>
      </c>
      <c r="B9" t="s">
        <v>189</v>
      </c>
      <c r="C9">
        <v>36</v>
      </c>
      <c r="D9">
        <v>1008</v>
      </c>
    </row>
    <row r="10" spans="1:4" x14ac:dyDescent="0.35">
      <c r="A10" t="s">
        <v>151</v>
      </c>
      <c r="B10" t="s">
        <v>69</v>
      </c>
      <c r="C10">
        <v>36</v>
      </c>
      <c r="D10">
        <v>288</v>
      </c>
    </row>
    <row r="11" spans="1:4" x14ac:dyDescent="0.35">
      <c r="A11" t="s">
        <v>266</v>
      </c>
      <c r="B11" t="s">
        <v>188</v>
      </c>
      <c r="C11">
        <v>34</v>
      </c>
      <c r="D11">
        <v>1700</v>
      </c>
    </row>
    <row r="12" spans="1:4" x14ac:dyDescent="0.35">
      <c r="A12" t="s">
        <v>92</v>
      </c>
      <c r="B12" t="s">
        <v>189</v>
      </c>
      <c r="C12">
        <v>30</v>
      </c>
      <c r="D12">
        <v>900</v>
      </c>
    </row>
    <row r="13" spans="1:4" x14ac:dyDescent="0.35">
      <c r="A13" t="s">
        <v>103</v>
      </c>
      <c r="B13" t="s">
        <v>189</v>
      </c>
      <c r="C13">
        <v>29</v>
      </c>
      <c r="D13">
        <v>812</v>
      </c>
    </row>
    <row r="14" spans="1:4" x14ac:dyDescent="0.35">
      <c r="A14" t="s">
        <v>121</v>
      </c>
      <c r="B14" t="s">
        <v>68</v>
      </c>
      <c r="C14">
        <v>28</v>
      </c>
      <c r="D14">
        <v>784</v>
      </c>
    </row>
    <row r="15" spans="1:4" x14ac:dyDescent="0.35">
      <c r="A15" t="s">
        <v>101</v>
      </c>
      <c r="B15" t="s">
        <v>189</v>
      </c>
      <c r="C15">
        <v>25</v>
      </c>
      <c r="D15">
        <v>375</v>
      </c>
    </row>
    <row r="16" spans="1:4" x14ac:dyDescent="0.35">
      <c r="A16" t="s">
        <v>149</v>
      </c>
      <c r="B16" t="s">
        <v>69</v>
      </c>
      <c r="C16">
        <v>21</v>
      </c>
      <c r="D16">
        <v>378</v>
      </c>
    </row>
    <row r="17" spans="1:4" x14ac:dyDescent="0.35">
      <c r="A17" t="s">
        <v>118</v>
      </c>
      <c r="B17" t="s">
        <v>190</v>
      </c>
      <c r="C17">
        <v>21</v>
      </c>
      <c r="D17">
        <v>315</v>
      </c>
    </row>
    <row r="18" spans="1:4" x14ac:dyDescent="0.35">
      <c r="A18" t="s">
        <v>123</v>
      </c>
      <c r="B18" t="s">
        <v>68</v>
      </c>
      <c r="C18">
        <v>20</v>
      </c>
      <c r="D18">
        <v>400</v>
      </c>
    </row>
    <row r="19" spans="1:4" x14ac:dyDescent="0.35">
      <c r="A19" t="s">
        <v>141</v>
      </c>
      <c r="B19" t="s">
        <v>69</v>
      </c>
      <c r="C19">
        <v>20</v>
      </c>
      <c r="D19">
        <v>200</v>
      </c>
    </row>
    <row r="20" spans="1:4" x14ac:dyDescent="0.35">
      <c r="A20" t="s">
        <v>143</v>
      </c>
      <c r="B20" t="s">
        <v>69</v>
      </c>
      <c r="C20">
        <v>20</v>
      </c>
      <c r="D20">
        <v>400</v>
      </c>
    </row>
    <row r="21" spans="1:4" x14ac:dyDescent="0.35">
      <c r="A21" t="s">
        <v>102</v>
      </c>
      <c r="B21" t="s">
        <v>189</v>
      </c>
      <c r="C21">
        <v>19</v>
      </c>
      <c r="D21">
        <v>285</v>
      </c>
    </row>
    <row r="22" spans="1:4" x14ac:dyDescent="0.35">
      <c r="A22" t="s">
        <v>119</v>
      </c>
      <c r="B22" t="s">
        <v>68</v>
      </c>
      <c r="C22">
        <v>18</v>
      </c>
      <c r="D22">
        <v>504</v>
      </c>
    </row>
    <row r="23" spans="1:4" x14ac:dyDescent="0.35">
      <c r="A23" t="s">
        <v>115</v>
      </c>
      <c r="B23" t="s">
        <v>190</v>
      </c>
      <c r="C23">
        <v>16</v>
      </c>
      <c r="D23">
        <v>384</v>
      </c>
    </row>
    <row r="24" spans="1:4" x14ac:dyDescent="0.35">
      <c r="A24" t="s">
        <v>99</v>
      </c>
      <c r="B24" t="s">
        <v>189</v>
      </c>
      <c r="C24">
        <v>15</v>
      </c>
      <c r="D24">
        <v>405</v>
      </c>
    </row>
    <row r="25" spans="1:4" x14ac:dyDescent="0.35">
      <c r="A25" t="s">
        <v>146</v>
      </c>
      <c r="B25" t="s">
        <v>192</v>
      </c>
      <c r="C25">
        <v>14</v>
      </c>
      <c r="D25">
        <v>252</v>
      </c>
    </row>
    <row r="26" spans="1:4" x14ac:dyDescent="0.35">
      <c r="A26" t="s">
        <v>91</v>
      </c>
      <c r="B26" t="s">
        <v>189</v>
      </c>
      <c r="C26">
        <v>13</v>
      </c>
      <c r="D26">
        <v>390</v>
      </c>
    </row>
    <row r="27" spans="1:4" x14ac:dyDescent="0.35">
      <c r="A27" t="s">
        <v>105</v>
      </c>
      <c r="B27" t="s">
        <v>189</v>
      </c>
      <c r="C27">
        <v>12</v>
      </c>
      <c r="D27">
        <v>336</v>
      </c>
    </row>
    <row r="28" spans="1:4" x14ac:dyDescent="0.35">
      <c r="A28" t="s">
        <v>112</v>
      </c>
      <c r="B28" t="s">
        <v>190</v>
      </c>
      <c r="C28">
        <v>12</v>
      </c>
      <c r="D28">
        <v>288</v>
      </c>
    </row>
    <row r="29" spans="1:4" x14ac:dyDescent="0.35">
      <c r="A29" t="s">
        <v>114</v>
      </c>
      <c r="B29" t="s">
        <v>190</v>
      </c>
      <c r="C29">
        <v>12</v>
      </c>
      <c r="D29">
        <v>288</v>
      </c>
    </row>
    <row r="30" spans="1:4" x14ac:dyDescent="0.35">
      <c r="A30" t="s">
        <v>147</v>
      </c>
      <c r="B30" t="s">
        <v>192</v>
      </c>
      <c r="C30">
        <v>12</v>
      </c>
      <c r="D30">
        <v>216</v>
      </c>
    </row>
    <row r="31" spans="1:4" x14ac:dyDescent="0.35">
      <c r="A31" t="s">
        <v>144</v>
      </c>
      <c r="B31" t="s">
        <v>69</v>
      </c>
      <c r="C31">
        <v>11</v>
      </c>
      <c r="D31">
        <v>165</v>
      </c>
    </row>
    <row r="32" spans="1:4" x14ac:dyDescent="0.35">
      <c r="A32" t="s">
        <v>153</v>
      </c>
      <c r="B32" t="s">
        <v>69</v>
      </c>
      <c r="C32">
        <v>10</v>
      </c>
      <c r="D32">
        <v>80</v>
      </c>
    </row>
    <row r="33" spans="1:4" x14ac:dyDescent="0.35">
      <c r="A33" t="s">
        <v>111</v>
      </c>
      <c r="B33" t="s">
        <v>189</v>
      </c>
      <c r="C33">
        <v>7</v>
      </c>
      <c r="D33">
        <v>210</v>
      </c>
    </row>
    <row r="34" spans="1:4" x14ac:dyDescent="0.35">
      <c r="A34" t="s">
        <v>93</v>
      </c>
      <c r="B34" t="s">
        <v>189</v>
      </c>
      <c r="C34">
        <v>7</v>
      </c>
      <c r="D34">
        <v>189</v>
      </c>
    </row>
    <row r="35" spans="1:4" x14ac:dyDescent="0.35">
      <c r="A35" t="s">
        <v>145</v>
      </c>
      <c r="B35" t="s">
        <v>192</v>
      </c>
      <c r="C35">
        <v>6</v>
      </c>
      <c r="D35">
        <v>108</v>
      </c>
    </row>
    <row r="36" spans="1:4" x14ac:dyDescent="0.35">
      <c r="A36" t="s">
        <v>193</v>
      </c>
      <c r="B36" t="s">
        <v>189</v>
      </c>
      <c r="C36">
        <v>6</v>
      </c>
      <c r="D36">
        <v>162</v>
      </c>
    </row>
    <row r="37" spans="1:4" x14ac:dyDescent="0.35">
      <c r="A37" t="s">
        <v>124</v>
      </c>
      <c r="B37" t="s">
        <v>68</v>
      </c>
      <c r="C37">
        <v>5</v>
      </c>
      <c r="D37">
        <v>100</v>
      </c>
    </row>
    <row r="38" spans="1:4" x14ac:dyDescent="0.35">
      <c r="A38" t="s">
        <v>152</v>
      </c>
      <c r="B38" t="s">
        <v>192</v>
      </c>
      <c r="C38">
        <v>5</v>
      </c>
      <c r="D38">
        <v>75</v>
      </c>
    </row>
    <row r="39" spans="1:4" x14ac:dyDescent="0.35">
      <c r="A39" t="s">
        <v>113</v>
      </c>
      <c r="B39" t="s">
        <v>190</v>
      </c>
      <c r="C39">
        <v>5</v>
      </c>
      <c r="D39">
        <v>120</v>
      </c>
    </row>
    <row r="40" spans="1:4" x14ac:dyDescent="0.35">
      <c r="A40" t="s">
        <v>116</v>
      </c>
      <c r="B40" t="s">
        <v>190</v>
      </c>
      <c r="C40">
        <v>5</v>
      </c>
      <c r="D40">
        <v>120</v>
      </c>
    </row>
    <row r="41" spans="1:4" x14ac:dyDescent="0.35">
      <c r="A41" t="s">
        <v>345</v>
      </c>
      <c r="B41" t="s">
        <v>189</v>
      </c>
      <c r="C41">
        <v>5</v>
      </c>
      <c r="D41">
        <v>150</v>
      </c>
    </row>
    <row r="42" spans="1:4" x14ac:dyDescent="0.35">
      <c r="A42" t="s">
        <v>96</v>
      </c>
      <c r="B42" t="s">
        <v>189</v>
      </c>
      <c r="C42">
        <v>5</v>
      </c>
      <c r="D42">
        <v>100</v>
      </c>
    </row>
    <row r="43" spans="1:4" x14ac:dyDescent="0.35">
      <c r="A43" t="s">
        <v>127</v>
      </c>
      <c r="B43" t="s">
        <v>68</v>
      </c>
      <c r="C43">
        <v>4</v>
      </c>
      <c r="D43">
        <v>112</v>
      </c>
    </row>
    <row r="44" spans="1:4" x14ac:dyDescent="0.35">
      <c r="A44" t="s">
        <v>142</v>
      </c>
      <c r="B44" t="s">
        <v>69</v>
      </c>
      <c r="C44">
        <v>3</v>
      </c>
      <c r="D44">
        <v>30</v>
      </c>
    </row>
    <row r="45" spans="1:4" x14ac:dyDescent="0.35">
      <c r="A45" t="s">
        <v>126</v>
      </c>
      <c r="B45" t="s">
        <v>68</v>
      </c>
      <c r="C45">
        <v>3</v>
      </c>
      <c r="D45">
        <v>84</v>
      </c>
    </row>
    <row r="46" spans="1:4" x14ac:dyDescent="0.35">
      <c r="A46" t="s">
        <v>155</v>
      </c>
      <c r="B46" t="s">
        <v>192</v>
      </c>
      <c r="C46">
        <v>2</v>
      </c>
      <c r="D46">
        <v>12</v>
      </c>
    </row>
    <row r="47" spans="1:4" x14ac:dyDescent="0.35">
      <c r="A47" t="s">
        <v>150</v>
      </c>
      <c r="B47" t="s">
        <v>69</v>
      </c>
      <c r="C47">
        <v>1</v>
      </c>
      <c r="D47">
        <v>35</v>
      </c>
    </row>
    <row r="48" spans="1:4" x14ac:dyDescent="0.35">
      <c r="A48" t="s">
        <v>125</v>
      </c>
      <c r="B48" t="s">
        <v>68</v>
      </c>
      <c r="C48">
        <v>1</v>
      </c>
      <c r="D48">
        <v>28</v>
      </c>
    </row>
    <row r="49" spans="1:4" x14ac:dyDescent="0.35">
      <c r="A49" t="s">
        <v>120</v>
      </c>
      <c r="B49" t="s">
        <v>68</v>
      </c>
      <c r="C49">
        <v>1</v>
      </c>
      <c r="D49">
        <v>28</v>
      </c>
    </row>
    <row r="50" spans="1:4" x14ac:dyDescent="0.35">
      <c r="A50" t="s">
        <v>117</v>
      </c>
      <c r="B50" t="s">
        <v>190</v>
      </c>
      <c r="C50">
        <v>1</v>
      </c>
      <c r="D50">
        <v>24</v>
      </c>
    </row>
    <row r="51" spans="1:4" x14ac:dyDescent="0.35">
      <c r="A51" t="s">
        <v>97</v>
      </c>
      <c r="B51" t="s">
        <v>189</v>
      </c>
      <c r="C51">
        <v>1</v>
      </c>
      <c r="D51">
        <v>27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07D72-A06F-4954-A5EA-ADD4C1383B7E}">
  <dimension ref="A1:D34"/>
  <sheetViews>
    <sheetView workbookViewId="0"/>
  </sheetViews>
  <sheetFormatPr baseColWidth="10" defaultRowHeight="14.5" x14ac:dyDescent="0.35"/>
  <cols>
    <col min="1" max="1" width="18.54296875" bestFit="1" customWidth="1"/>
    <col min="2" max="2" width="13.1796875" bestFit="1" customWidth="1"/>
    <col min="3" max="3" width="8.1796875" bestFit="1" customWidth="1"/>
    <col min="4" max="4" width="16.453125" bestFit="1" customWidth="1"/>
  </cols>
  <sheetData>
    <row r="1" spans="1:4" x14ac:dyDescent="0.35">
      <c r="A1" t="s">
        <v>183</v>
      </c>
      <c r="B1" t="s">
        <v>186</v>
      </c>
      <c r="C1" t="s">
        <v>82</v>
      </c>
      <c r="D1" t="s">
        <v>187</v>
      </c>
    </row>
    <row r="2" spans="1:4" x14ac:dyDescent="0.35">
      <c r="A2" t="s">
        <v>132</v>
      </c>
      <c r="B2" t="s">
        <v>188</v>
      </c>
      <c r="C2">
        <v>46</v>
      </c>
      <c r="D2">
        <v>460</v>
      </c>
    </row>
    <row r="3" spans="1:4" x14ac:dyDescent="0.35">
      <c r="A3" t="s">
        <v>122</v>
      </c>
      <c r="B3" t="s">
        <v>68</v>
      </c>
      <c r="C3">
        <v>33</v>
      </c>
      <c r="D3">
        <v>660</v>
      </c>
    </row>
    <row r="4" spans="1:4" x14ac:dyDescent="0.35">
      <c r="A4" t="s">
        <v>90</v>
      </c>
      <c r="B4" t="s">
        <v>189</v>
      </c>
      <c r="C4">
        <v>23</v>
      </c>
      <c r="D4">
        <v>690</v>
      </c>
    </row>
    <row r="5" spans="1:4" x14ac:dyDescent="0.35">
      <c r="A5" t="s">
        <v>340</v>
      </c>
      <c r="B5" t="s">
        <v>68</v>
      </c>
      <c r="C5">
        <v>22</v>
      </c>
      <c r="D5">
        <v>440</v>
      </c>
    </row>
    <row r="6" spans="1:4" x14ac:dyDescent="0.35">
      <c r="A6" t="s">
        <v>88</v>
      </c>
      <c r="B6" t="s">
        <v>189</v>
      </c>
      <c r="C6">
        <v>21</v>
      </c>
      <c r="D6">
        <v>630</v>
      </c>
    </row>
    <row r="7" spans="1:4" x14ac:dyDescent="0.35">
      <c r="A7" t="s">
        <v>107</v>
      </c>
      <c r="B7" t="s">
        <v>189</v>
      </c>
      <c r="C7">
        <v>17</v>
      </c>
      <c r="D7">
        <v>476</v>
      </c>
    </row>
    <row r="8" spans="1:4" x14ac:dyDescent="0.35">
      <c r="A8" t="s">
        <v>89</v>
      </c>
      <c r="B8" t="s">
        <v>189</v>
      </c>
      <c r="C8">
        <v>13</v>
      </c>
      <c r="D8">
        <v>390</v>
      </c>
    </row>
    <row r="9" spans="1:4" x14ac:dyDescent="0.35">
      <c r="A9" t="s">
        <v>149</v>
      </c>
      <c r="B9" t="s">
        <v>69</v>
      </c>
      <c r="C9">
        <v>12</v>
      </c>
      <c r="D9">
        <v>216</v>
      </c>
    </row>
    <row r="10" spans="1:4" x14ac:dyDescent="0.35">
      <c r="A10" t="s">
        <v>123</v>
      </c>
      <c r="B10" t="s">
        <v>68</v>
      </c>
      <c r="C10">
        <v>11</v>
      </c>
      <c r="D10">
        <v>220</v>
      </c>
    </row>
    <row r="11" spans="1:4" x14ac:dyDescent="0.35">
      <c r="A11" t="s">
        <v>151</v>
      </c>
      <c r="B11" t="s">
        <v>69</v>
      </c>
      <c r="C11">
        <v>11</v>
      </c>
      <c r="D11">
        <v>88</v>
      </c>
    </row>
    <row r="12" spans="1:4" x14ac:dyDescent="0.35">
      <c r="A12" t="s">
        <v>92</v>
      </c>
      <c r="B12" t="s">
        <v>189</v>
      </c>
      <c r="C12">
        <v>11</v>
      </c>
      <c r="D12">
        <v>330</v>
      </c>
    </row>
    <row r="13" spans="1:4" x14ac:dyDescent="0.35">
      <c r="A13" t="s">
        <v>266</v>
      </c>
      <c r="B13" t="s">
        <v>188</v>
      </c>
      <c r="C13">
        <v>10</v>
      </c>
      <c r="D13">
        <v>500</v>
      </c>
    </row>
    <row r="14" spans="1:4" x14ac:dyDescent="0.35">
      <c r="A14" t="s">
        <v>119</v>
      </c>
      <c r="B14" t="s">
        <v>68</v>
      </c>
      <c r="C14">
        <v>8</v>
      </c>
      <c r="D14">
        <v>224</v>
      </c>
    </row>
    <row r="15" spans="1:4" x14ac:dyDescent="0.35">
      <c r="A15" t="s">
        <v>124</v>
      </c>
      <c r="B15" t="s">
        <v>68</v>
      </c>
      <c r="C15">
        <v>6</v>
      </c>
      <c r="D15">
        <v>120</v>
      </c>
    </row>
    <row r="16" spans="1:4" x14ac:dyDescent="0.35">
      <c r="A16" t="s">
        <v>102</v>
      </c>
      <c r="B16" t="s">
        <v>189</v>
      </c>
      <c r="C16">
        <v>6</v>
      </c>
      <c r="D16">
        <v>90</v>
      </c>
    </row>
    <row r="17" spans="1:4" x14ac:dyDescent="0.35">
      <c r="A17" t="s">
        <v>101</v>
      </c>
      <c r="B17" t="s">
        <v>189</v>
      </c>
      <c r="C17">
        <v>6</v>
      </c>
      <c r="D17">
        <v>90</v>
      </c>
    </row>
    <row r="18" spans="1:4" x14ac:dyDescent="0.35">
      <c r="A18" t="s">
        <v>152</v>
      </c>
      <c r="B18" t="s">
        <v>192</v>
      </c>
      <c r="C18">
        <v>5</v>
      </c>
      <c r="D18">
        <v>75</v>
      </c>
    </row>
    <row r="19" spans="1:4" x14ac:dyDescent="0.35">
      <c r="A19" t="s">
        <v>99</v>
      </c>
      <c r="B19" t="s">
        <v>189</v>
      </c>
      <c r="C19">
        <v>5</v>
      </c>
      <c r="D19">
        <v>135</v>
      </c>
    </row>
    <row r="20" spans="1:4" x14ac:dyDescent="0.35">
      <c r="A20" t="s">
        <v>141</v>
      </c>
      <c r="B20" t="s">
        <v>69</v>
      </c>
      <c r="C20">
        <v>5</v>
      </c>
      <c r="D20">
        <v>50</v>
      </c>
    </row>
    <row r="21" spans="1:4" x14ac:dyDescent="0.35">
      <c r="A21" t="s">
        <v>121</v>
      </c>
      <c r="B21" t="s">
        <v>68</v>
      </c>
      <c r="C21">
        <v>5</v>
      </c>
      <c r="D21">
        <v>140</v>
      </c>
    </row>
    <row r="22" spans="1:4" x14ac:dyDescent="0.35">
      <c r="A22" t="s">
        <v>103</v>
      </c>
      <c r="B22" t="s">
        <v>189</v>
      </c>
      <c r="C22">
        <v>4</v>
      </c>
      <c r="D22">
        <v>112</v>
      </c>
    </row>
    <row r="23" spans="1:4" x14ac:dyDescent="0.35">
      <c r="A23" t="s">
        <v>153</v>
      </c>
      <c r="B23" t="s">
        <v>69</v>
      </c>
      <c r="C23">
        <v>3</v>
      </c>
      <c r="D23">
        <v>24</v>
      </c>
    </row>
    <row r="24" spans="1:4" x14ac:dyDescent="0.35">
      <c r="A24" t="s">
        <v>114</v>
      </c>
      <c r="B24" t="s">
        <v>190</v>
      </c>
      <c r="C24">
        <v>3</v>
      </c>
      <c r="D24">
        <v>72</v>
      </c>
    </row>
    <row r="25" spans="1:4" x14ac:dyDescent="0.35">
      <c r="A25" t="s">
        <v>127</v>
      </c>
      <c r="B25" t="s">
        <v>68</v>
      </c>
      <c r="C25">
        <v>3</v>
      </c>
      <c r="D25">
        <v>84</v>
      </c>
    </row>
    <row r="26" spans="1:4" x14ac:dyDescent="0.35">
      <c r="A26" t="s">
        <v>146</v>
      </c>
      <c r="B26" t="s">
        <v>192</v>
      </c>
      <c r="C26">
        <v>3</v>
      </c>
      <c r="D26">
        <v>54</v>
      </c>
    </row>
    <row r="27" spans="1:4" x14ac:dyDescent="0.35">
      <c r="A27" t="s">
        <v>93</v>
      </c>
      <c r="B27" t="s">
        <v>189</v>
      </c>
      <c r="C27">
        <v>3</v>
      </c>
      <c r="D27">
        <v>81</v>
      </c>
    </row>
    <row r="28" spans="1:4" x14ac:dyDescent="0.35">
      <c r="A28" t="s">
        <v>105</v>
      </c>
      <c r="B28" t="s">
        <v>189</v>
      </c>
      <c r="C28">
        <v>2</v>
      </c>
      <c r="D28">
        <v>56</v>
      </c>
    </row>
    <row r="29" spans="1:4" x14ac:dyDescent="0.35">
      <c r="A29" t="s">
        <v>115</v>
      </c>
      <c r="B29" t="s">
        <v>190</v>
      </c>
      <c r="C29">
        <v>2</v>
      </c>
      <c r="D29">
        <v>48</v>
      </c>
    </row>
    <row r="30" spans="1:4" x14ac:dyDescent="0.35">
      <c r="A30" t="s">
        <v>126</v>
      </c>
      <c r="B30" t="s">
        <v>68</v>
      </c>
      <c r="C30">
        <v>2</v>
      </c>
      <c r="D30">
        <v>56</v>
      </c>
    </row>
    <row r="31" spans="1:4" x14ac:dyDescent="0.35">
      <c r="A31" t="s">
        <v>145</v>
      </c>
      <c r="B31" t="s">
        <v>192</v>
      </c>
      <c r="C31">
        <v>2</v>
      </c>
      <c r="D31">
        <v>36</v>
      </c>
    </row>
    <row r="32" spans="1:4" x14ac:dyDescent="0.35">
      <c r="A32" t="s">
        <v>147</v>
      </c>
      <c r="B32" t="s">
        <v>192</v>
      </c>
      <c r="C32">
        <v>2</v>
      </c>
      <c r="D32">
        <v>36</v>
      </c>
    </row>
    <row r="33" spans="1:4" x14ac:dyDescent="0.35">
      <c r="A33" t="s">
        <v>111</v>
      </c>
      <c r="B33" t="s">
        <v>189</v>
      </c>
      <c r="C33">
        <v>1</v>
      </c>
      <c r="D33">
        <v>30</v>
      </c>
    </row>
    <row r="34" spans="1:4" x14ac:dyDescent="0.35">
      <c r="A34" t="s">
        <v>144</v>
      </c>
      <c r="B34" t="s">
        <v>69</v>
      </c>
      <c r="C34">
        <v>1</v>
      </c>
      <c r="D34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BC10000"/>
  <sheetViews>
    <sheetView topLeftCell="A52" zoomScale="31" zoomScaleNormal="90" workbookViewId="0">
      <selection activeCell="B89" sqref="B89"/>
    </sheetView>
  </sheetViews>
  <sheetFormatPr baseColWidth="10" defaultColWidth="8.81640625" defaultRowHeight="14.5" x14ac:dyDescent="0.35"/>
  <cols>
    <col min="1" max="1" width="25.453125" bestFit="1" customWidth="1"/>
    <col min="2" max="2" width="22.453125" customWidth="1"/>
    <col min="3" max="3" width="9.1796875" customWidth="1"/>
    <col min="4" max="4" width="17.54296875" customWidth="1"/>
    <col min="5" max="5" width="8.81640625" customWidth="1"/>
    <col min="6" max="6" width="25.453125" customWidth="1"/>
    <col min="7" max="7" width="13.81640625" customWidth="1"/>
    <col min="8" max="8" width="17" customWidth="1"/>
    <col min="9" max="9" width="21" customWidth="1"/>
    <col min="10" max="10" width="12.54296875" customWidth="1"/>
    <col min="11" max="11" width="17.81640625" customWidth="1"/>
    <col min="12" max="12" width="13.54296875" customWidth="1"/>
    <col min="13" max="13" width="13.26953125" customWidth="1"/>
    <col min="14" max="14" width="24" customWidth="1"/>
    <col min="15" max="15" width="17.1796875" customWidth="1"/>
    <col min="16" max="16" width="19.7265625" customWidth="1"/>
    <col min="17" max="17" width="22.81640625" customWidth="1"/>
    <col min="18" max="18" width="16.453125" customWidth="1"/>
    <col min="19" max="19" width="21.54296875" customWidth="1"/>
    <col min="20" max="20" width="22.26953125" customWidth="1"/>
    <col min="21" max="21" width="8.81640625" customWidth="1"/>
    <col min="22" max="22" width="17.1796875" customWidth="1"/>
    <col min="23" max="23" width="10.1796875" customWidth="1"/>
    <col min="24" max="24" width="21.54296875" customWidth="1"/>
    <col min="26" max="26" width="20.453125" customWidth="1"/>
    <col min="27" max="27" width="18.1796875" customWidth="1"/>
    <col min="29" max="29" width="19.453125" customWidth="1"/>
    <col min="32" max="32" width="18.1796875" customWidth="1"/>
    <col min="33" max="33" width="13.81640625" customWidth="1"/>
    <col min="35" max="35" width="17.453125" customWidth="1"/>
    <col min="38" max="38" width="13.81640625" customWidth="1"/>
    <col min="40" max="40" width="17.453125" customWidth="1"/>
    <col min="42" max="42" width="16.6328125" customWidth="1"/>
    <col min="43" max="43" width="13.81640625" customWidth="1"/>
    <col min="45" max="45" width="17.453125" customWidth="1"/>
    <col min="47" max="47" width="19.08984375" customWidth="1"/>
    <col min="48" max="48" width="13.81640625" customWidth="1"/>
    <col min="50" max="50" width="17.453125" customWidth="1"/>
    <col min="53" max="53" width="13.81640625" customWidth="1"/>
    <col min="55" max="55" width="17.453125" customWidth="1"/>
  </cols>
  <sheetData>
    <row r="1" spans="1:55" ht="15.65" customHeight="1" x14ac:dyDescent="0.35">
      <c r="B1" s="128" t="s">
        <v>183</v>
      </c>
      <c r="C1" s="129" t="s">
        <v>82</v>
      </c>
      <c r="D1" s="130" t="s">
        <v>202</v>
      </c>
      <c r="E1" s="127"/>
      <c r="G1" s="135" t="s">
        <v>183</v>
      </c>
      <c r="H1" s="135" t="s">
        <v>82</v>
      </c>
      <c r="I1" s="135" t="s">
        <v>187</v>
      </c>
      <c r="J1" s="149" t="s">
        <v>185</v>
      </c>
      <c r="K1" s="130" t="s">
        <v>274</v>
      </c>
      <c r="L1" s="166" t="s">
        <v>183</v>
      </c>
      <c r="M1" s="166" t="s">
        <v>186</v>
      </c>
      <c r="N1" s="149" t="s">
        <v>82</v>
      </c>
      <c r="O1" s="149" t="s">
        <v>187</v>
      </c>
      <c r="P1" s="168" t="s">
        <v>185</v>
      </c>
      <c r="Q1" s="166" t="s">
        <v>183</v>
      </c>
      <c r="R1" s="166" t="s">
        <v>186</v>
      </c>
      <c r="S1" s="149" t="s">
        <v>82</v>
      </c>
      <c r="T1" s="149" t="s">
        <v>187</v>
      </c>
      <c r="U1" s="130" t="s">
        <v>185</v>
      </c>
      <c r="V1" s="10" t="s">
        <v>262</v>
      </c>
      <c r="W1" s="10" t="s">
        <v>263</v>
      </c>
      <c r="X1" s="11" t="s">
        <v>264</v>
      </c>
      <c r="Y1" s="11" t="s">
        <v>265</v>
      </c>
      <c r="Z1" s="123" t="s">
        <v>185</v>
      </c>
      <c r="AA1" s="10" t="s">
        <v>262</v>
      </c>
      <c r="AB1" s="10" t="s">
        <v>263</v>
      </c>
      <c r="AC1" s="11" t="s">
        <v>264</v>
      </c>
      <c r="AD1" s="11" t="s">
        <v>265</v>
      </c>
      <c r="AE1" s="129" t="s">
        <v>341</v>
      </c>
      <c r="AF1" s="123" t="s">
        <v>262</v>
      </c>
      <c r="AG1" s="123" t="s">
        <v>263</v>
      </c>
      <c r="AH1" s="217" t="s">
        <v>264</v>
      </c>
      <c r="AI1" s="217" t="s">
        <v>265</v>
      </c>
      <c r="AJ1" s="129" t="s">
        <v>341</v>
      </c>
      <c r="AK1" s="123" t="s">
        <v>262</v>
      </c>
      <c r="AL1" s="123" t="s">
        <v>263</v>
      </c>
      <c r="AM1" s="217" t="s">
        <v>264</v>
      </c>
      <c r="AN1" s="217" t="s">
        <v>265</v>
      </c>
      <c r="AO1" s="129" t="s">
        <v>341</v>
      </c>
      <c r="AP1" s="123" t="s">
        <v>262</v>
      </c>
      <c r="AQ1" s="123" t="s">
        <v>263</v>
      </c>
      <c r="AR1" s="217" t="s">
        <v>264</v>
      </c>
      <c r="AS1" s="217" t="s">
        <v>265</v>
      </c>
      <c r="AT1" s="129" t="s">
        <v>341</v>
      </c>
      <c r="AU1" s="123" t="s">
        <v>262</v>
      </c>
      <c r="AV1" s="123" t="s">
        <v>263</v>
      </c>
      <c r="AW1" s="217" t="s">
        <v>264</v>
      </c>
      <c r="AX1" s="217" t="s">
        <v>265</v>
      </c>
      <c r="AY1" s="129" t="s">
        <v>341</v>
      </c>
      <c r="AZ1" s="123" t="s">
        <v>262</v>
      </c>
      <c r="BA1" s="123" t="s">
        <v>263</v>
      </c>
      <c r="BB1" s="217" t="s">
        <v>264</v>
      </c>
      <c r="BC1" s="217" t="s">
        <v>265</v>
      </c>
    </row>
    <row r="2" spans="1:55" x14ac:dyDescent="0.35">
      <c r="A2" t="b">
        <f>COUNTIF(Inkjøp[],B2)&gt;0</f>
        <v>1</v>
      </c>
      <c r="B2" s="146" t="str" cm="1">
        <f t="array" ref="B2:B75">Vipps_Totalraport[Vare]</f>
        <v>Monster White</v>
      </c>
      <c r="C2" s="131">
        <f>IFERROR(VLOOKUP(B2,GammelVipps[],2,FALSE),0)+IFERROR(VLOOKUP(B2,Sept[],3,FALSE),0)+IFERROR(VLOOKUP(B2,Oktober[],3,FALSE),0)+IFERROR(VLOOKUP(B2,November[],3,FALSE),0)+IFERROR(VLOOKUP(B2,Desember[],3,FALSE),0)+IFERROR(VLOOKUP(B2,Januar[],3,FALSE),0)+IFERROR(VLOOKUP(B2,Februar[],3,FALSE),0)+IFERROR(VLOOKUP(B2,Mars[],3,FALSE),0)+IFERROR(VLOOKUP(B2,April[],3,FALSE),0)+IFERROR(VLOOKUP(B2,Mai[],3,FALSE),0)</f>
        <v>570</v>
      </c>
      <c r="D2" s="131">
        <f>IFERROR(VLOOKUP(B2,GammelVipps[],3,FALSE),0)+IFERROR(VLOOKUP(B2,Sept[],4,FALSE),0)+IFERROR(VLOOKUP(B2,Oktober[],4,FALSE),0)+IFERROR(VLOOKUP(B2,November[],4,FALSE),0)+IFERROR(VLOOKUP(B2,Desember[],4,FALSE),0)+IFERROR(VLOOKUP(B2,Januar[],4,FALSE),0)+IFERROR(VLOOKUP(B2,Februar[],4,FALSE),0)+IFERROR(VLOOKUP(B2,Mars[],4,FALSE),0)+IFERROR(VLOOKUP(B2,April[],4,FALSE),0)+IFERROR(VLOOKUP(B2,Mai[],4,FALSE),0)</f>
        <v>17100</v>
      </c>
      <c r="F2" t="b">
        <f t="shared" ref="F2:F33" si="0">COUNTIF(B:B,G2)&gt;0</f>
        <v>1</v>
      </c>
      <c r="G2" s="117" t="s">
        <v>88</v>
      </c>
      <c r="H2" s="131">
        <v>72</v>
      </c>
      <c r="I2" s="131">
        <v>2160</v>
      </c>
      <c r="J2" s="148">
        <f>IFERROR(Vippsutskrifter!$I2/Vippsutskrifter!$H2,0)</f>
        <v>30</v>
      </c>
      <c r="K2" s="132" t="b">
        <f t="shared" ref="K2:K33" si="1">COUNTIF($B:$B,L2)&gt;0</f>
        <v>1</v>
      </c>
      <c r="L2" s="157" t="s">
        <v>132</v>
      </c>
      <c r="M2" s="157" t="s">
        <v>188</v>
      </c>
      <c r="N2" s="157">
        <v>103</v>
      </c>
      <c r="O2" s="158">
        <v>1030</v>
      </c>
      <c r="P2" s="169" t="b">
        <f t="shared" ref="P2:P33" si="2">COUNTIF($B:$B,Q2)&gt;0</f>
        <v>1</v>
      </c>
      <c r="Q2" s="157" t="s">
        <v>132</v>
      </c>
      <c r="R2" s="157" t="s">
        <v>188</v>
      </c>
      <c r="S2" s="157">
        <v>249</v>
      </c>
      <c r="T2" s="158">
        <v>2490</v>
      </c>
      <c r="U2" s="159" t="b">
        <f>COUNTIF($B:$B,V2)&gt;0</f>
        <v>1</v>
      </c>
      <c r="V2" s="223" t="s">
        <v>122</v>
      </c>
      <c r="W2" s="69" t="s">
        <v>68</v>
      </c>
      <c r="X2" s="69">
        <v>106</v>
      </c>
      <c r="Y2" s="9">
        <v>2120</v>
      </c>
      <c r="Z2" s="69" t="b">
        <f>COUNTIF($B:$B,AA2)&gt;0</f>
        <v>1</v>
      </c>
      <c r="AA2" t="s">
        <v>122</v>
      </c>
      <c r="AB2" t="s">
        <v>68</v>
      </c>
      <c r="AC2">
        <v>76</v>
      </c>
      <c r="AD2" s="82">
        <v>1520</v>
      </c>
      <c r="AE2" s="157" t="b">
        <f>COUNTIF($B:$B,AF2)&gt;0</f>
        <v>1</v>
      </c>
      <c r="AF2" t="s">
        <v>132</v>
      </c>
      <c r="AG2" t="s">
        <v>188</v>
      </c>
      <c r="AH2">
        <v>247</v>
      </c>
      <c r="AI2" s="218">
        <v>2470</v>
      </c>
      <c r="AJ2" s="157" t="b">
        <f>COUNTIF($B:$B,AK2)&gt;0</f>
        <v>1</v>
      </c>
      <c r="AK2" t="s">
        <v>132</v>
      </c>
      <c r="AL2" t="s">
        <v>188</v>
      </c>
      <c r="AM2">
        <v>159</v>
      </c>
      <c r="AN2" s="218">
        <v>1590</v>
      </c>
      <c r="AO2" s="157" t="b">
        <f>COUNTIF($B:$B,AP2)&gt;0</f>
        <v>1</v>
      </c>
      <c r="AP2" t="s">
        <v>132</v>
      </c>
      <c r="AQ2" t="s">
        <v>188</v>
      </c>
      <c r="AR2">
        <v>164</v>
      </c>
      <c r="AS2" s="218">
        <v>1640</v>
      </c>
      <c r="AT2" s="157" t="b">
        <f>COUNTIF($B:$B,AU2)&gt;0</f>
        <v>1</v>
      </c>
      <c r="AU2" t="s">
        <v>132</v>
      </c>
      <c r="AV2" t="s">
        <v>188</v>
      </c>
      <c r="AW2">
        <v>91</v>
      </c>
      <c r="AX2" s="218">
        <v>910</v>
      </c>
      <c r="AY2" s="157" t="b">
        <f>COUNTIF($B:$B,AZ2)&gt;0</f>
        <v>1</v>
      </c>
      <c r="AZ2" t="s">
        <v>132</v>
      </c>
      <c r="BA2" t="s">
        <v>188</v>
      </c>
      <c r="BB2">
        <v>46</v>
      </c>
      <c r="BC2" s="218">
        <v>460</v>
      </c>
    </row>
    <row r="3" spans="1:55" x14ac:dyDescent="0.35">
      <c r="A3" t="b">
        <f>COUNTIF(Inkjøp[],B3)&gt;0</f>
        <v>1</v>
      </c>
      <c r="B3" s="147" t="str">
        <v>Monster Mango Loco</v>
      </c>
      <c r="C3" s="131">
        <f>IFERROR(VLOOKUP(B3,GammelVipps[],2,FALSE),0)+IFERROR(VLOOKUP(B3,Sept[],3,FALSE),0)+IFERROR(VLOOKUP(B3,Oktober[],3,FALSE),0)+IFERROR(VLOOKUP(B3,November[],3,FALSE),0)+IFERROR(VLOOKUP(B3,Desember[],3,FALSE),0)+IFERROR(VLOOKUP(B3,Januar[],3,FALSE),0)+IFERROR(VLOOKUP(B3,Februar[],3,FALSE),0)+IFERROR(VLOOKUP(B3,Mars[],3,FALSE),0)+IFERROR(VLOOKUP(B3,April[],3,FALSE),0)+IFERROR(VLOOKUP(B3,Mai[],3,FALSE),0)</f>
        <v>495</v>
      </c>
      <c r="D3" s="131">
        <f>IFERROR(VLOOKUP(B3,GammelVipps[],3,FALSE),0)+IFERROR(VLOOKUP(B3,Sept[],4,FALSE),0)+IFERROR(VLOOKUP(B3,Oktober[],4,FALSE),0)+IFERROR(VLOOKUP(B3,November[],4,FALSE),0)+IFERROR(VLOOKUP(B3,Desember[],4,FALSE),0)+IFERROR(VLOOKUP(B3,Januar[],4,FALSE),0)+IFERROR(VLOOKUP(B3,Februar[],4,FALSE),0)+IFERROR(VLOOKUP(B3,Mars[],4,FALSE),0)+IFERROR(VLOOKUP(B3,April[],4,FALSE),0)+IFERROR(VLOOKUP(B3,Mai[],4,FALSE),0)</f>
        <v>14850</v>
      </c>
      <c r="F3" t="b">
        <f t="shared" si="0"/>
        <v>1</v>
      </c>
      <c r="G3" s="118" t="s">
        <v>89</v>
      </c>
      <c r="H3" s="133">
        <v>48</v>
      </c>
      <c r="I3" s="133">
        <v>1440</v>
      </c>
      <c r="J3" s="133">
        <f>IFERROR(Vippsutskrifter!$I3/Vippsutskrifter!$H3,0)</f>
        <v>30</v>
      </c>
      <c r="K3" s="134" t="b">
        <f t="shared" si="1"/>
        <v>1</v>
      </c>
      <c r="L3" s="160" t="s">
        <v>151</v>
      </c>
      <c r="M3" s="160" t="s">
        <v>69</v>
      </c>
      <c r="N3" s="160">
        <v>82</v>
      </c>
      <c r="O3" s="161">
        <v>656</v>
      </c>
      <c r="P3" s="134" t="b">
        <f t="shared" si="2"/>
        <v>1</v>
      </c>
      <c r="Q3" s="160" t="s">
        <v>151</v>
      </c>
      <c r="R3" s="160" t="s">
        <v>69</v>
      </c>
      <c r="S3" s="160">
        <v>149</v>
      </c>
      <c r="T3" s="161">
        <v>1192</v>
      </c>
      <c r="U3" s="162" t="b">
        <f t="shared" ref="U3:U56" si="3">COUNTIF($B:$B,V3)&gt;0</f>
        <v>1</v>
      </c>
      <c r="V3" s="69" t="s">
        <v>89</v>
      </c>
      <c r="W3" s="69" t="s">
        <v>189</v>
      </c>
      <c r="X3" s="69">
        <v>99</v>
      </c>
      <c r="Y3" s="9">
        <v>2970</v>
      </c>
      <c r="Z3" s="69" t="b">
        <f t="shared" ref="Z3:Z56" si="4">COUNTIF($B:$B,AA3)&gt;0</f>
        <v>1</v>
      </c>
      <c r="AA3" t="s">
        <v>142</v>
      </c>
      <c r="AB3" t="s">
        <v>69</v>
      </c>
      <c r="AC3">
        <v>74</v>
      </c>
      <c r="AD3" s="82">
        <v>740</v>
      </c>
      <c r="AE3" s="157" t="b">
        <f t="shared" ref="AE3:AE55" si="5">COUNTIF($B:$B,AF3)&gt;0</f>
        <v>1</v>
      </c>
      <c r="AF3" t="s">
        <v>142</v>
      </c>
      <c r="AG3" t="s">
        <v>69</v>
      </c>
      <c r="AH3">
        <v>112</v>
      </c>
      <c r="AI3" s="218">
        <v>1120</v>
      </c>
      <c r="AJ3" s="157" t="b">
        <f t="shared" ref="AJ3:AJ50" si="6">COUNTIF($B:$B,AK3)&gt;0</f>
        <v>1</v>
      </c>
      <c r="AK3" t="s">
        <v>90</v>
      </c>
      <c r="AL3" t="s">
        <v>189</v>
      </c>
      <c r="AM3">
        <v>73</v>
      </c>
      <c r="AN3" s="218">
        <v>2190</v>
      </c>
      <c r="AO3" s="157" t="b">
        <f t="shared" ref="AO3:AO55" si="7">COUNTIF($B:$B,AP3)&gt;0</f>
        <v>1</v>
      </c>
      <c r="AP3" t="s">
        <v>122</v>
      </c>
      <c r="AQ3" t="s">
        <v>68</v>
      </c>
      <c r="AR3">
        <v>124</v>
      </c>
      <c r="AS3" s="218">
        <v>2480</v>
      </c>
      <c r="AT3" s="157" t="b">
        <f t="shared" ref="AT3:AT51" si="8">COUNTIF($B:$B,AU3)&gt;0</f>
        <v>1</v>
      </c>
      <c r="AU3" t="s">
        <v>131</v>
      </c>
      <c r="AV3" t="s">
        <v>188</v>
      </c>
      <c r="AW3">
        <v>64</v>
      </c>
      <c r="AX3" s="218">
        <v>1152</v>
      </c>
      <c r="AY3" s="157" t="b">
        <f t="shared" ref="AY3:AY34" si="9">COUNTIF($B:$B,AZ3)&gt;0</f>
        <v>1</v>
      </c>
      <c r="AZ3" t="s">
        <v>122</v>
      </c>
      <c r="BA3" t="s">
        <v>68</v>
      </c>
      <c r="BB3">
        <v>33</v>
      </c>
      <c r="BC3" s="218">
        <v>660</v>
      </c>
    </row>
    <row r="4" spans="1:55" x14ac:dyDescent="0.35">
      <c r="A4" t="b">
        <f>COUNTIF(Inkjøp[],B4)&gt;0</f>
        <v>1</v>
      </c>
      <c r="B4" s="146" t="str">
        <v>Monster Monarch</v>
      </c>
      <c r="C4" s="131">
        <f>IFERROR(VLOOKUP(B4,GammelVipps[],2,FALSE),0)+IFERROR(VLOOKUP(B4,Sept[],3,FALSE),0)+IFERROR(VLOOKUP(B4,Oktober[],3,FALSE),0)+IFERROR(VLOOKUP(B4,November[],3,FALSE),0)+IFERROR(VLOOKUP(B4,Desember[],3,FALSE),0)+IFERROR(VLOOKUP(B4,Januar[],3,FALSE),0)+IFERROR(VLOOKUP(B4,Februar[],3,FALSE),0)+IFERROR(VLOOKUP(B4,Mars[],3,FALSE),0)+IFERROR(VLOOKUP(B4,April[],3,FALSE),0)+IFERROR(VLOOKUP(B4,Mai[],3,FALSE),0)</f>
        <v>618</v>
      </c>
      <c r="D4" s="131">
        <f>IFERROR(VLOOKUP(B4,GammelVipps[],3,FALSE),0)+IFERROR(VLOOKUP(B4,Sept[],4,FALSE),0)+IFERROR(VLOOKUP(B4,Oktober[],4,FALSE),0)+IFERROR(VLOOKUP(B4,November[],4,FALSE),0)+IFERROR(VLOOKUP(B4,Desember[],4,FALSE),0)+IFERROR(VLOOKUP(B4,Januar[],4,FALSE),0)+IFERROR(VLOOKUP(B4,Februar[],4,FALSE),0)+IFERROR(VLOOKUP(B4,Mars[],4,FALSE),0)+IFERROR(VLOOKUP(B4,April[],4,FALSE),0)+IFERROR(VLOOKUP(B4,Mai[],4,FALSE),0)</f>
        <v>18540</v>
      </c>
      <c r="F4" t="b">
        <f t="shared" si="0"/>
        <v>1</v>
      </c>
      <c r="G4" s="117" t="s">
        <v>90</v>
      </c>
      <c r="H4" s="131">
        <v>72</v>
      </c>
      <c r="I4" s="131">
        <v>2160</v>
      </c>
      <c r="J4" s="131">
        <f>IFERROR(Vippsutskrifter!$I4/Vippsutskrifter!$H4,0)</f>
        <v>30</v>
      </c>
      <c r="K4" s="132" t="b">
        <f t="shared" si="1"/>
        <v>1</v>
      </c>
      <c r="L4" s="163" t="s">
        <v>122</v>
      </c>
      <c r="M4" s="163" t="s">
        <v>68</v>
      </c>
      <c r="N4" s="163">
        <v>72</v>
      </c>
      <c r="O4" s="164">
        <v>1440</v>
      </c>
      <c r="P4" s="132" t="b">
        <f t="shared" si="2"/>
        <v>1</v>
      </c>
      <c r="Q4" s="163" t="s">
        <v>122</v>
      </c>
      <c r="R4" s="163" t="s">
        <v>68</v>
      </c>
      <c r="S4" s="163">
        <v>130</v>
      </c>
      <c r="T4" s="164">
        <v>2600</v>
      </c>
      <c r="U4" s="165" t="b">
        <f t="shared" si="3"/>
        <v>1</v>
      </c>
      <c r="V4" s="69" t="s">
        <v>142</v>
      </c>
      <c r="W4" s="69" t="s">
        <v>69</v>
      </c>
      <c r="X4" s="69">
        <v>95</v>
      </c>
      <c r="Y4" s="9">
        <v>950</v>
      </c>
      <c r="Z4" s="69" t="b">
        <f t="shared" si="4"/>
        <v>1</v>
      </c>
      <c r="AA4" t="s">
        <v>132</v>
      </c>
      <c r="AB4" t="s">
        <v>188</v>
      </c>
      <c r="AC4">
        <v>73</v>
      </c>
      <c r="AD4" s="82">
        <v>730</v>
      </c>
      <c r="AE4" s="157" t="b">
        <f t="shared" si="5"/>
        <v>1</v>
      </c>
      <c r="AF4" t="s">
        <v>151</v>
      </c>
      <c r="AG4" t="s">
        <v>69</v>
      </c>
      <c r="AH4">
        <v>105</v>
      </c>
      <c r="AI4" s="218">
        <v>840</v>
      </c>
      <c r="AJ4" s="157" t="b">
        <f t="shared" si="6"/>
        <v>1</v>
      </c>
      <c r="AK4" t="s">
        <v>122</v>
      </c>
      <c r="AL4" t="s">
        <v>68</v>
      </c>
      <c r="AM4">
        <v>62</v>
      </c>
      <c r="AN4" s="218">
        <v>1240</v>
      </c>
      <c r="AO4" s="157" t="b">
        <f t="shared" si="7"/>
        <v>1</v>
      </c>
      <c r="AP4" t="s">
        <v>131</v>
      </c>
      <c r="AQ4" t="s">
        <v>188</v>
      </c>
      <c r="AR4">
        <v>109</v>
      </c>
      <c r="AS4" s="218">
        <v>1962</v>
      </c>
      <c r="AT4" s="157" t="b">
        <f t="shared" si="8"/>
        <v>1</v>
      </c>
      <c r="AU4" t="s">
        <v>90</v>
      </c>
      <c r="AV4" t="s">
        <v>189</v>
      </c>
      <c r="AW4">
        <v>64</v>
      </c>
      <c r="AX4" s="218">
        <v>1920</v>
      </c>
      <c r="AY4" s="157" t="b">
        <f t="shared" si="9"/>
        <v>1</v>
      </c>
      <c r="AZ4" t="s">
        <v>90</v>
      </c>
      <c r="BA4" t="s">
        <v>189</v>
      </c>
      <c r="BB4">
        <v>23</v>
      </c>
      <c r="BC4" s="218">
        <v>690</v>
      </c>
    </row>
    <row r="5" spans="1:55" x14ac:dyDescent="0.35">
      <c r="A5" t="b">
        <f>COUNTIF(Inkjøp[],B5)&gt;0</f>
        <v>1</v>
      </c>
      <c r="B5" s="146" t="str">
        <v>Monster Lewis Hamilton</v>
      </c>
      <c r="C5" s="131">
        <f>IFERROR(VLOOKUP(B5,GammelVipps[],2,FALSE),0)+IFERROR(VLOOKUP(B5,Sept[],3,FALSE),0)+IFERROR(VLOOKUP(B5,Oktober[],3,FALSE),0)+IFERROR(VLOOKUP(B5,November[],3,FALSE),0)+IFERROR(VLOOKUP(B5,Desember[],3,FALSE),0)+IFERROR(VLOOKUP(B5,Januar[],3,FALSE),0)+IFERROR(VLOOKUP(B5,Februar[],3,FALSE),0)+IFERROR(VLOOKUP(B5,Mars[],3,FALSE),0)+IFERROR(VLOOKUP(B5,April[],3,FALSE),0)+IFERROR(VLOOKUP(B5,Mai[],3,FALSE),0)</f>
        <v>226</v>
      </c>
      <c r="D5" s="131">
        <f>IFERROR(VLOOKUP(B5,GammelVipps[],3,FALSE),0)+IFERROR(VLOOKUP(B5,Sept[],4,FALSE),0)+IFERROR(VLOOKUP(B5,Oktober[],4,FALSE),0)+IFERROR(VLOOKUP(B5,November[],4,FALSE),0)+IFERROR(VLOOKUP(B5,Desember[],4,FALSE),0)+IFERROR(VLOOKUP(B5,Januar[],4,FALSE),0)+IFERROR(VLOOKUP(B5,Februar[],4,FALSE),0)+IFERROR(VLOOKUP(B5,Mars[],4,FALSE),0)+IFERROR(VLOOKUP(B5,April[],4,FALSE),0)+IFERROR(VLOOKUP(B5,Mai[],4,FALSE),0)</f>
        <v>6780</v>
      </c>
      <c r="F5" t="b">
        <f t="shared" si="0"/>
        <v>1</v>
      </c>
      <c r="G5" s="117" t="s">
        <v>91</v>
      </c>
      <c r="H5" s="133">
        <v>48</v>
      </c>
      <c r="I5" s="133">
        <v>1440</v>
      </c>
      <c r="J5" s="133">
        <f>IFERROR(Vippsutskrifter!$I5/Vippsutskrifter!$H5,0)</f>
        <v>30</v>
      </c>
      <c r="K5" s="134" t="b">
        <f t="shared" si="1"/>
        <v>1</v>
      </c>
      <c r="L5" s="160" t="s">
        <v>142</v>
      </c>
      <c r="M5" s="160" t="s">
        <v>69</v>
      </c>
      <c r="N5" s="160">
        <v>61</v>
      </c>
      <c r="O5" s="161">
        <v>610</v>
      </c>
      <c r="P5" s="134" t="b">
        <f t="shared" si="2"/>
        <v>1</v>
      </c>
      <c r="Q5" s="160" t="s">
        <v>107</v>
      </c>
      <c r="R5" s="160" t="s">
        <v>189</v>
      </c>
      <c r="S5" s="160">
        <v>122</v>
      </c>
      <c r="T5" s="161">
        <v>3416</v>
      </c>
      <c r="U5" s="162" t="b">
        <f t="shared" si="3"/>
        <v>1</v>
      </c>
      <c r="V5" s="69" t="s">
        <v>121</v>
      </c>
      <c r="W5" s="69" t="s">
        <v>68</v>
      </c>
      <c r="X5" s="69">
        <v>76</v>
      </c>
      <c r="Y5" s="9">
        <v>2128</v>
      </c>
      <c r="Z5" s="69" t="b">
        <f t="shared" si="4"/>
        <v>1</v>
      </c>
      <c r="AA5" t="s">
        <v>121</v>
      </c>
      <c r="AB5" t="s">
        <v>68</v>
      </c>
      <c r="AC5">
        <v>73</v>
      </c>
      <c r="AD5" s="82">
        <v>2044</v>
      </c>
      <c r="AE5" s="157" t="b">
        <f t="shared" si="5"/>
        <v>1</v>
      </c>
      <c r="AF5" t="s">
        <v>122</v>
      </c>
      <c r="AG5" t="s">
        <v>68</v>
      </c>
      <c r="AH5">
        <v>101</v>
      </c>
      <c r="AI5" s="218">
        <v>2020</v>
      </c>
      <c r="AJ5" s="157" t="b">
        <f t="shared" si="6"/>
        <v>1</v>
      </c>
      <c r="AK5" t="s">
        <v>143</v>
      </c>
      <c r="AL5" t="s">
        <v>69</v>
      </c>
      <c r="AM5">
        <v>58</v>
      </c>
      <c r="AN5" s="218">
        <v>1160</v>
      </c>
      <c r="AO5" s="157" t="b">
        <f t="shared" si="7"/>
        <v>1</v>
      </c>
      <c r="AP5" t="s">
        <v>142</v>
      </c>
      <c r="AQ5" t="s">
        <v>69</v>
      </c>
      <c r="AR5">
        <v>92</v>
      </c>
      <c r="AS5" s="218">
        <v>920</v>
      </c>
      <c r="AT5" s="157" t="b">
        <f t="shared" si="8"/>
        <v>1</v>
      </c>
      <c r="AU5" t="s">
        <v>88</v>
      </c>
      <c r="AV5" t="s">
        <v>189</v>
      </c>
      <c r="AW5">
        <v>62</v>
      </c>
      <c r="AX5" s="218">
        <v>1860</v>
      </c>
      <c r="AY5" s="157" t="b">
        <f t="shared" si="9"/>
        <v>1</v>
      </c>
      <c r="AZ5" t="s">
        <v>340</v>
      </c>
      <c r="BA5" t="s">
        <v>68</v>
      </c>
      <c r="BB5">
        <v>22</v>
      </c>
      <c r="BC5" s="218">
        <v>440</v>
      </c>
    </row>
    <row r="6" spans="1:55" x14ac:dyDescent="0.35">
      <c r="A6" t="b">
        <f>COUNTIF(Inkjøp[],B6)&gt;0</f>
        <v>1</v>
      </c>
      <c r="B6" s="146" t="str">
        <v>Monster Punch</v>
      </c>
      <c r="C6" s="131">
        <f>IFERROR(VLOOKUP(B6,GammelVipps[],2,FALSE),0)+IFERROR(VLOOKUP(B6,Sept[],3,FALSE),0)+IFERROR(VLOOKUP(B6,Oktober[],3,FALSE),0)+IFERROR(VLOOKUP(B6,November[],3,FALSE),0)+IFERROR(VLOOKUP(B6,Desember[],3,FALSE),0)+IFERROR(VLOOKUP(B6,Januar[],3,FALSE),0)+IFERROR(VLOOKUP(B6,Februar[],3,FALSE),0)+IFERROR(VLOOKUP(B6,Mars[],3,FALSE),0)+IFERROR(VLOOKUP(B6,April[],3,FALSE),0)+IFERROR(VLOOKUP(B6,Mai[],3,FALSE),0)</f>
        <v>430</v>
      </c>
      <c r="D6" s="131">
        <f>IFERROR(VLOOKUP(B6,GammelVipps[],3,FALSE),0)+IFERROR(VLOOKUP(B6,Sept[],4,FALSE),0)+IFERROR(VLOOKUP(B6,Oktober[],4,FALSE),0)+IFERROR(VLOOKUP(B6,November[],4,FALSE),0)+IFERROR(VLOOKUP(B6,Desember[],4,FALSE),0)+IFERROR(VLOOKUP(B6,Januar[],4,FALSE),0)+IFERROR(VLOOKUP(B6,Februar[],4,FALSE),0)+IFERROR(VLOOKUP(B6,Mars[],4,FALSE),0)+IFERROR(VLOOKUP(B6,April[],4,FALSE),0)+IFERROR(VLOOKUP(B6,Mai[],4,FALSE),0)</f>
        <v>12900</v>
      </c>
      <c r="F6" t="b">
        <f t="shared" si="0"/>
        <v>1</v>
      </c>
      <c r="G6" s="117" t="s">
        <v>92</v>
      </c>
      <c r="H6" s="131">
        <v>24</v>
      </c>
      <c r="I6" s="131">
        <v>720</v>
      </c>
      <c r="J6" s="131">
        <f>IFERROR(Vippsutskrifter!$I6/Vippsutskrifter!$H6,0)</f>
        <v>30</v>
      </c>
      <c r="K6" s="132" t="b">
        <f t="shared" si="1"/>
        <v>1</v>
      </c>
      <c r="L6" s="163" t="s">
        <v>131</v>
      </c>
      <c r="M6" s="163" t="s">
        <v>188</v>
      </c>
      <c r="N6" s="163">
        <v>60</v>
      </c>
      <c r="O6" s="164">
        <v>1080</v>
      </c>
      <c r="P6" s="132" t="b">
        <f t="shared" si="2"/>
        <v>1</v>
      </c>
      <c r="Q6" s="163" t="s">
        <v>131</v>
      </c>
      <c r="R6" s="163" t="s">
        <v>188</v>
      </c>
      <c r="S6" s="163">
        <v>118</v>
      </c>
      <c r="T6" s="164">
        <v>2124</v>
      </c>
      <c r="U6" s="165" t="b">
        <f t="shared" si="3"/>
        <v>1</v>
      </c>
      <c r="V6" s="69" t="s">
        <v>151</v>
      </c>
      <c r="W6" s="69" t="s">
        <v>69</v>
      </c>
      <c r="X6" s="69">
        <v>72</v>
      </c>
      <c r="Y6" s="9">
        <v>576</v>
      </c>
      <c r="Z6" s="69" t="b">
        <f t="shared" si="4"/>
        <v>1</v>
      </c>
      <c r="AA6" t="s">
        <v>143</v>
      </c>
      <c r="AB6" t="s">
        <v>69</v>
      </c>
      <c r="AC6">
        <v>72</v>
      </c>
      <c r="AD6" s="82">
        <v>1440</v>
      </c>
      <c r="AE6" s="157" t="b">
        <f t="shared" si="5"/>
        <v>1</v>
      </c>
      <c r="AF6" t="s">
        <v>131</v>
      </c>
      <c r="AG6" t="s">
        <v>188</v>
      </c>
      <c r="AH6">
        <v>86</v>
      </c>
      <c r="AI6" s="218">
        <v>1548</v>
      </c>
      <c r="AJ6" s="157" t="b">
        <f t="shared" si="6"/>
        <v>1</v>
      </c>
      <c r="AK6" t="s">
        <v>131</v>
      </c>
      <c r="AL6" t="s">
        <v>188</v>
      </c>
      <c r="AM6">
        <v>54</v>
      </c>
      <c r="AN6" s="218">
        <v>972</v>
      </c>
      <c r="AO6" s="157" t="b">
        <f t="shared" si="7"/>
        <v>1</v>
      </c>
      <c r="AP6" t="s">
        <v>340</v>
      </c>
      <c r="AQ6" t="s">
        <v>68</v>
      </c>
      <c r="AR6">
        <v>89</v>
      </c>
      <c r="AS6" s="218">
        <v>1780</v>
      </c>
      <c r="AT6" s="157" t="b">
        <f t="shared" si="8"/>
        <v>1</v>
      </c>
      <c r="AU6" t="s">
        <v>122</v>
      </c>
      <c r="AV6" t="s">
        <v>68</v>
      </c>
      <c r="AW6">
        <v>50</v>
      </c>
      <c r="AX6" s="218">
        <v>1000</v>
      </c>
      <c r="AY6" s="157" t="b">
        <f t="shared" si="9"/>
        <v>1</v>
      </c>
      <c r="AZ6" t="s">
        <v>88</v>
      </c>
      <c r="BA6" t="s">
        <v>189</v>
      </c>
      <c r="BB6">
        <v>21</v>
      </c>
      <c r="BC6" s="218">
        <v>630</v>
      </c>
    </row>
    <row r="7" spans="1:55" x14ac:dyDescent="0.35">
      <c r="A7" t="b">
        <f>COUNTIF(Inkjøp[],B7)&gt;0</f>
        <v>1</v>
      </c>
      <c r="B7" s="146" t="str">
        <v>Redbull Original</v>
      </c>
      <c r="C7" s="131">
        <f>IFERROR(VLOOKUP(B7,GammelVipps[],2,FALSE),0)+IFERROR(VLOOKUP(B7,Sept[],3,FALSE),0)+IFERROR(VLOOKUP(B7,Oktober[],3,FALSE),0)+IFERROR(VLOOKUP(B7,November[],3,FALSE),0)+IFERROR(VLOOKUP(B7,Desember[],3,FALSE),0)+IFERROR(VLOOKUP(B7,Januar[],3,FALSE),0)+IFERROR(VLOOKUP(B7,Februar[],3,FALSE),0)+IFERROR(VLOOKUP(B7,Mars[],3,FALSE),0)+IFERROR(VLOOKUP(B7,April[],3,FALSE),0)+IFERROR(VLOOKUP(B7,Mai[],3,FALSE),0)</f>
        <v>116</v>
      </c>
      <c r="D7" s="131">
        <f>IFERROR(VLOOKUP(B7,GammelVipps[],3,FALSE),0)+IFERROR(VLOOKUP(B7,Sept[],4,FALSE),0)+IFERROR(VLOOKUP(B7,Oktober[],4,FALSE),0)+IFERROR(VLOOKUP(B7,November[],4,FALSE),0)+IFERROR(VLOOKUP(B7,Desember[],4,FALSE),0)+IFERROR(VLOOKUP(B7,Januar[],4,FALSE),0)+IFERROR(VLOOKUP(B7,Februar[],4,FALSE),0)+IFERROR(VLOOKUP(B7,Mars[],4,FALSE),0)+IFERROR(VLOOKUP(B7,April[],4,FALSE),0)+IFERROR(VLOOKUP(B7,Mai[],4,FALSE),0)</f>
        <v>3132</v>
      </c>
      <c r="F7" t="b">
        <f t="shared" si="0"/>
        <v>1</v>
      </c>
      <c r="G7" s="117" t="s">
        <v>93</v>
      </c>
      <c r="H7" s="133">
        <v>5</v>
      </c>
      <c r="I7" s="133">
        <v>135</v>
      </c>
      <c r="J7" s="133">
        <f>IFERROR(Vippsutskrifter!$I7/Vippsutskrifter!$H7,0)</f>
        <v>27</v>
      </c>
      <c r="K7" s="134" t="b">
        <f t="shared" si="1"/>
        <v>1</v>
      </c>
      <c r="L7" s="160" t="s">
        <v>143</v>
      </c>
      <c r="M7" s="160" t="s">
        <v>69</v>
      </c>
      <c r="N7" s="160">
        <v>56</v>
      </c>
      <c r="O7" s="161">
        <v>1120</v>
      </c>
      <c r="P7" s="134" t="b">
        <f t="shared" si="2"/>
        <v>1</v>
      </c>
      <c r="Q7" s="160" t="s">
        <v>92</v>
      </c>
      <c r="R7" s="160" t="s">
        <v>189</v>
      </c>
      <c r="S7" s="160">
        <v>93</v>
      </c>
      <c r="T7" s="161">
        <v>2790</v>
      </c>
      <c r="U7" s="162" t="b">
        <f t="shared" si="3"/>
        <v>1</v>
      </c>
      <c r="V7" s="69" t="s">
        <v>90</v>
      </c>
      <c r="W7" s="69" t="s">
        <v>189</v>
      </c>
      <c r="X7" s="69">
        <v>69</v>
      </c>
      <c r="Y7" s="9">
        <v>2070</v>
      </c>
      <c r="Z7" s="69" t="b">
        <f t="shared" si="4"/>
        <v>1</v>
      </c>
      <c r="AA7" t="s">
        <v>266</v>
      </c>
      <c r="AB7" t="s">
        <v>188</v>
      </c>
      <c r="AC7">
        <v>69</v>
      </c>
      <c r="AD7" s="82">
        <v>3105</v>
      </c>
      <c r="AE7" s="157" t="b">
        <f t="shared" si="5"/>
        <v>1</v>
      </c>
      <c r="AF7" t="s">
        <v>90</v>
      </c>
      <c r="AG7" t="s">
        <v>189</v>
      </c>
      <c r="AH7">
        <v>81</v>
      </c>
      <c r="AI7" s="218">
        <v>2430</v>
      </c>
      <c r="AJ7" s="157" t="b">
        <f t="shared" si="6"/>
        <v>1</v>
      </c>
      <c r="AK7" t="s">
        <v>121</v>
      </c>
      <c r="AL7" t="s">
        <v>68</v>
      </c>
      <c r="AM7">
        <v>52</v>
      </c>
      <c r="AN7" s="218">
        <v>1456</v>
      </c>
      <c r="AO7" s="157" t="b">
        <f t="shared" si="7"/>
        <v>1</v>
      </c>
      <c r="AP7" t="s">
        <v>88</v>
      </c>
      <c r="AQ7" t="s">
        <v>189</v>
      </c>
      <c r="AR7">
        <v>67</v>
      </c>
      <c r="AS7" s="218">
        <v>2010</v>
      </c>
      <c r="AT7" s="157" t="b">
        <f t="shared" si="8"/>
        <v>1</v>
      </c>
      <c r="AU7" t="s">
        <v>340</v>
      </c>
      <c r="AV7" t="s">
        <v>68</v>
      </c>
      <c r="AW7">
        <v>45</v>
      </c>
      <c r="AX7" s="218">
        <v>900</v>
      </c>
      <c r="AY7" s="157" t="b">
        <f t="shared" si="9"/>
        <v>1</v>
      </c>
      <c r="AZ7" t="s">
        <v>107</v>
      </c>
      <c r="BA7" t="s">
        <v>189</v>
      </c>
      <c r="BB7">
        <v>17</v>
      </c>
      <c r="BC7" s="218">
        <v>476</v>
      </c>
    </row>
    <row r="8" spans="1:55" x14ac:dyDescent="0.35">
      <c r="A8" t="b">
        <f>COUNTIF(Inkjøp[],B8)&gt;0</f>
        <v>1</v>
      </c>
      <c r="B8" s="146" t="str">
        <v>Redbull 473ml</v>
      </c>
      <c r="C8" s="131">
        <f>IFERROR(VLOOKUP(B8,GammelVipps[],2,FALSE),0)+IFERROR(VLOOKUP(B8,Sept[],3,FALSE),0)+IFERROR(VLOOKUP(B8,Oktober[],3,FALSE),0)+IFERROR(VLOOKUP(B8,November[],3,FALSE),0)+IFERROR(VLOOKUP(B8,Desember[],3,FALSE),0)+IFERROR(VLOOKUP(B8,Januar[],3,FALSE),0)+IFERROR(VLOOKUP(B8,Februar[],3,FALSE),0)+IFERROR(VLOOKUP(B8,Mars[],3,FALSE),0)+IFERROR(VLOOKUP(B8,April[],3,FALSE),0)+IFERROR(VLOOKUP(B8,Mai[],3,FALSE),0)</f>
        <v>21</v>
      </c>
      <c r="D8" s="131">
        <f>IFERROR(VLOOKUP(B8,GammelVipps[],3,FALSE),0)+IFERROR(VLOOKUP(B8,Sept[],4,FALSE),0)+IFERROR(VLOOKUP(B8,Oktober[],4,FALSE),0)+IFERROR(VLOOKUP(B8,November[],4,FALSE),0)+IFERROR(VLOOKUP(B8,Desember[],4,FALSE),0)+IFERROR(VLOOKUP(B8,Januar[],4,FALSE),0)+IFERROR(VLOOKUP(B8,Februar[],4,FALSE),0)+IFERROR(VLOOKUP(B8,Mars[],4,FALSE),0)+IFERROR(VLOOKUP(B8,April[],4,FALSE),0)+IFERROR(VLOOKUP(B8,Mai[],4,FALSE),0)</f>
        <v>840</v>
      </c>
      <c r="F8" t="b">
        <f t="shared" si="0"/>
        <v>1</v>
      </c>
      <c r="G8" s="117" t="s">
        <v>94</v>
      </c>
      <c r="H8" s="131">
        <v>12</v>
      </c>
      <c r="I8" s="131">
        <v>480</v>
      </c>
      <c r="J8" s="131">
        <f>IFERROR(Vippsutskrifter!$I8/Vippsutskrifter!$H8,0)</f>
        <v>40</v>
      </c>
      <c r="K8" s="132" t="b">
        <f t="shared" si="1"/>
        <v>1</v>
      </c>
      <c r="L8" s="163" t="s">
        <v>118</v>
      </c>
      <c r="M8" s="163" t="s">
        <v>190</v>
      </c>
      <c r="N8" s="163">
        <v>51</v>
      </c>
      <c r="O8" s="164">
        <v>765</v>
      </c>
      <c r="P8" s="132" t="b">
        <f t="shared" si="2"/>
        <v>1</v>
      </c>
      <c r="Q8" s="163" t="s">
        <v>90</v>
      </c>
      <c r="R8" s="163" t="s">
        <v>189</v>
      </c>
      <c r="S8" s="163">
        <v>91</v>
      </c>
      <c r="T8" s="164">
        <v>2730</v>
      </c>
      <c r="U8" s="165" t="b">
        <f t="shared" si="3"/>
        <v>1</v>
      </c>
      <c r="V8" s="69" t="s">
        <v>88</v>
      </c>
      <c r="W8" s="69" t="s">
        <v>189</v>
      </c>
      <c r="X8" s="69">
        <v>68</v>
      </c>
      <c r="Y8" s="9">
        <v>2040</v>
      </c>
      <c r="Z8" s="69" t="b">
        <f t="shared" si="4"/>
        <v>1</v>
      </c>
      <c r="AA8" t="s">
        <v>131</v>
      </c>
      <c r="AB8" t="s">
        <v>188</v>
      </c>
      <c r="AC8">
        <v>56</v>
      </c>
      <c r="AD8" s="82">
        <v>1008</v>
      </c>
      <c r="AE8" s="157" t="b">
        <f t="shared" si="5"/>
        <v>1</v>
      </c>
      <c r="AF8" t="s">
        <v>266</v>
      </c>
      <c r="AG8" t="s">
        <v>188</v>
      </c>
      <c r="AH8">
        <v>78</v>
      </c>
      <c r="AI8" s="218">
        <v>3890</v>
      </c>
      <c r="AJ8" s="157" t="b">
        <f t="shared" si="6"/>
        <v>1</v>
      </c>
      <c r="AK8" t="s">
        <v>88</v>
      </c>
      <c r="AL8" t="s">
        <v>189</v>
      </c>
      <c r="AM8">
        <v>50</v>
      </c>
      <c r="AN8" s="218">
        <v>1500</v>
      </c>
      <c r="AO8" s="157" t="b">
        <f t="shared" si="7"/>
        <v>1</v>
      </c>
      <c r="AP8" t="s">
        <v>90</v>
      </c>
      <c r="AQ8" t="s">
        <v>189</v>
      </c>
      <c r="AR8">
        <v>66</v>
      </c>
      <c r="AS8" s="218">
        <v>1980</v>
      </c>
      <c r="AT8" s="157" t="b">
        <f t="shared" si="8"/>
        <v>1</v>
      </c>
      <c r="AU8" t="s">
        <v>89</v>
      </c>
      <c r="AV8" t="s">
        <v>189</v>
      </c>
      <c r="AW8">
        <v>44</v>
      </c>
      <c r="AX8" s="218">
        <v>1320</v>
      </c>
      <c r="AY8" s="157" t="b">
        <f t="shared" si="9"/>
        <v>1</v>
      </c>
      <c r="AZ8" t="s">
        <v>89</v>
      </c>
      <c r="BA8" t="s">
        <v>189</v>
      </c>
      <c r="BB8">
        <v>13</v>
      </c>
      <c r="BC8" s="218">
        <v>390</v>
      </c>
    </row>
    <row r="9" spans="1:55" x14ac:dyDescent="0.35">
      <c r="A9" t="b">
        <f>COUNTIF(Inkjøp[],B9)&gt;0</f>
        <v>1</v>
      </c>
      <c r="B9" s="146" t="str">
        <v>Redbull Sukkerfri</v>
      </c>
      <c r="C9" s="131">
        <f>IFERROR(VLOOKUP(B9,GammelVipps[],2,FALSE),0)+IFERROR(VLOOKUP(B9,Sept[],3,FALSE),0)+IFERROR(VLOOKUP(B9,Oktober[],3,FALSE),0)+IFERROR(VLOOKUP(B9,November[],3,FALSE),0)+IFERROR(VLOOKUP(B9,Desember[],3,FALSE),0)+IFERROR(VLOOKUP(B9,Januar[],3,FALSE),0)+IFERROR(VLOOKUP(B9,Februar[],3,FALSE),0)+IFERROR(VLOOKUP(B9,Mars[],3,FALSE),0)+IFERROR(VLOOKUP(B9,April[],3,FALSE),0)+IFERROR(VLOOKUP(B9,Mai[],3,FALSE),0)</f>
        <v>84</v>
      </c>
      <c r="D9" s="131">
        <f>IFERROR(VLOOKUP(B9,GammelVipps[],3,FALSE),0)+IFERROR(VLOOKUP(B9,Sept[],4,FALSE),0)+IFERROR(VLOOKUP(B9,Oktober[],4,FALSE),0)+IFERROR(VLOOKUP(B9,November[],4,FALSE),0)+IFERROR(VLOOKUP(B9,Desember[],4,FALSE),0)+IFERROR(VLOOKUP(B9,Januar[],4,FALSE),0)+IFERROR(VLOOKUP(B9,Februar[],4,FALSE),0)+IFERROR(VLOOKUP(B9,Mars[],4,FALSE),0)+IFERROR(VLOOKUP(B9,April[],4,FALSE),0)+IFERROR(VLOOKUP(B9,Mai[],4,FALSE),0)</f>
        <v>2232</v>
      </c>
      <c r="F9" t="b">
        <f t="shared" si="0"/>
        <v>1</v>
      </c>
      <c r="G9" s="117" t="s">
        <v>95</v>
      </c>
      <c r="H9" s="133">
        <v>17</v>
      </c>
      <c r="I9" s="133">
        <v>425</v>
      </c>
      <c r="J9" s="133">
        <f>IFERROR(Vippsutskrifter!$I9/Vippsutskrifter!$H9,0)</f>
        <v>25</v>
      </c>
      <c r="K9" s="134" t="b">
        <f t="shared" si="1"/>
        <v>1</v>
      </c>
      <c r="L9" s="160" t="s">
        <v>92</v>
      </c>
      <c r="M9" s="160" t="s">
        <v>189</v>
      </c>
      <c r="N9" s="160">
        <v>50</v>
      </c>
      <c r="O9" s="161">
        <v>1500</v>
      </c>
      <c r="P9" s="134" t="b">
        <f t="shared" si="2"/>
        <v>1</v>
      </c>
      <c r="Q9" s="160" t="s">
        <v>89</v>
      </c>
      <c r="R9" s="160" t="s">
        <v>189</v>
      </c>
      <c r="S9" s="160">
        <v>78</v>
      </c>
      <c r="T9" s="161">
        <v>2340</v>
      </c>
      <c r="U9" s="162" t="b">
        <f t="shared" si="3"/>
        <v>1</v>
      </c>
      <c r="V9" s="69" t="s">
        <v>101</v>
      </c>
      <c r="W9" s="69" t="s">
        <v>189</v>
      </c>
      <c r="X9" s="69">
        <v>60</v>
      </c>
      <c r="Y9" s="9">
        <v>900</v>
      </c>
      <c r="Z9" s="69" t="b">
        <f t="shared" si="4"/>
        <v>1</v>
      </c>
      <c r="AA9" t="s">
        <v>88</v>
      </c>
      <c r="AB9" t="s">
        <v>189</v>
      </c>
      <c r="AC9">
        <v>53</v>
      </c>
      <c r="AD9" s="82">
        <v>1590</v>
      </c>
      <c r="AE9" s="157" t="b">
        <f t="shared" si="5"/>
        <v>1</v>
      </c>
      <c r="AF9" t="s">
        <v>123</v>
      </c>
      <c r="AG9" t="s">
        <v>68</v>
      </c>
      <c r="AH9">
        <v>76</v>
      </c>
      <c r="AI9" s="218">
        <v>1520</v>
      </c>
      <c r="AJ9" s="157" t="b">
        <f t="shared" si="6"/>
        <v>1</v>
      </c>
      <c r="AK9" t="s">
        <v>142</v>
      </c>
      <c r="AL9" t="s">
        <v>69</v>
      </c>
      <c r="AM9">
        <v>47</v>
      </c>
      <c r="AN9" s="218">
        <v>470</v>
      </c>
      <c r="AO9" s="157" t="b">
        <f t="shared" si="7"/>
        <v>1</v>
      </c>
      <c r="AP9" t="s">
        <v>92</v>
      </c>
      <c r="AQ9" t="s">
        <v>189</v>
      </c>
      <c r="AR9">
        <v>64</v>
      </c>
      <c r="AS9" s="218">
        <v>1920</v>
      </c>
      <c r="AT9" s="157" t="b">
        <f t="shared" si="8"/>
        <v>1</v>
      </c>
      <c r="AU9" t="s">
        <v>107</v>
      </c>
      <c r="AV9" t="s">
        <v>189</v>
      </c>
      <c r="AW9">
        <v>36</v>
      </c>
      <c r="AX9" s="218">
        <v>1008</v>
      </c>
      <c r="AY9" s="157" t="b">
        <f t="shared" si="9"/>
        <v>1</v>
      </c>
      <c r="AZ9" t="s">
        <v>149</v>
      </c>
      <c r="BA9" t="s">
        <v>69</v>
      </c>
      <c r="BB9">
        <v>12</v>
      </c>
      <c r="BC9" s="218">
        <v>216</v>
      </c>
    </row>
    <row r="10" spans="1:55" x14ac:dyDescent="0.35">
      <c r="A10" t="b">
        <f>COUNTIF(Inkjøp[],B10)&gt;0</f>
        <v>1</v>
      </c>
      <c r="B10" s="146" t="str">
        <v>Redbull ZERO Cal</v>
      </c>
      <c r="C10" s="131">
        <f>IFERROR(VLOOKUP(B10,GammelVipps[],2,FALSE),0)+IFERROR(VLOOKUP(B10,Sept[],3,FALSE),0)+IFERROR(VLOOKUP(B10,Oktober[],3,FALSE),0)+IFERROR(VLOOKUP(B10,November[],3,FALSE),0)+IFERROR(VLOOKUP(B10,Desember[],3,FALSE),0)+IFERROR(VLOOKUP(B10,Januar[],3,FALSE),0)+IFERROR(VLOOKUP(B10,Februar[],3,FALSE),0)+IFERROR(VLOOKUP(B10,Mars[],3,FALSE),0)+IFERROR(VLOOKUP(B10,April[],3,FALSE),0)+IFERROR(VLOOKUP(B10,Mai[],3,FALSE),0)</f>
        <v>40</v>
      </c>
      <c r="D10" s="131">
        <f>IFERROR(VLOOKUP(B10,GammelVipps[],3,FALSE),0)+IFERROR(VLOOKUP(B10,Sept[],4,FALSE),0)+IFERROR(VLOOKUP(B10,Oktober[],4,FALSE),0)+IFERROR(VLOOKUP(B10,November[],4,FALSE),0)+IFERROR(VLOOKUP(B10,Desember[],4,FALSE),0)+IFERROR(VLOOKUP(B10,Januar[],4,FALSE),0)+IFERROR(VLOOKUP(B10,Februar[],4,FALSE),0)+IFERROR(VLOOKUP(B10,Mars[],4,FALSE),0)+IFERROR(VLOOKUP(B10,April[],4,FALSE),0)+IFERROR(VLOOKUP(B10,Mai[],4,FALSE),0)</f>
        <v>1017</v>
      </c>
      <c r="F10" t="b">
        <f t="shared" si="0"/>
        <v>1</v>
      </c>
      <c r="G10" s="117" t="s">
        <v>96</v>
      </c>
      <c r="H10" s="131">
        <v>0</v>
      </c>
      <c r="I10" s="131">
        <v>0</v>
      </c>
      <c r="J10" s="131">
        <f>IFERROR(Vippsutskrifter!$I10/Vippsutskrifter!$H10,0)</f>
        <v>0</v>
      </c>
      <c r="K10" s="132" t="b">
        <f t="shared" si="1"/>
        <v>1</v>
      </c>
      <c r="L10" s="163" t="s">
        <v>133</v>
      </c>
      <c r="M10" s="163" t="s">
        <v>188</v>
      </c>
      <c r="N10" s="163">
        <v>50</v>
      </c>
      <c r="O10" s="164">
        <v>1250</v>
      </c>
      <c r="P10" s="132" t="b">
        <f t="shared" si="2"/>
        <v>1</v>
      </c>
      <c r="Q10" s="163" t="s">
        <v>142</v>
      </c>
      <c r="R10" s="163" t="s">
        <v>69</v>
      </c>
      <c r="S10" s="163">
        <v>77</v>
      </c>
      <c r="T10" s="164">
        <v>770</v>
      </c>
      <c r="U10" s="165" t="b">
        <f t="shared" si="3"/>
        <v>1</v>
      </c>
      <c r="V10" s="69" t="s">
        <v>266</v>
      </c>
      <c r="W10" s="69" t="s">
        <v>188</v>
      </c>
      <c r="X10" s="69">
        <v>58</v>
      </c>
      <c r="Y10" s="9">
        <v>2610</v>
      </c>
      <c r="Z10" s="69" t="b">
        <f t="shared" si="4"/>
        <v>1</v>
      </c>
      <c r="AA10" t="s">
        <v>107</v>
      </c>
      <c r="AB10" t="s">
        <v>189</v>
      </c>
      <c r="AC10">
        <v>48</v>
      </c>
      <c r="AD10" s="82">
        <v>1344</v>
      </c>
      <c r="AE10" s="157" t="b">
        <f t="shared" si="5"/>
        <v>1</v>
      </c>
      <c r="AF10" t="s">
        <v>107</v>
      </c>
      <c r="AG10" t="s">
        <v>189</v>
      </c>
      <c r="AH10">
        <v>74</v>
      </c>
      <c r="AI10" s="218">
        <v>2072</v>
      </c>
      <c r="AJ10" s="157" t="b">
        <f t="shared" si="6"/>
        <v>1</v>
      </c>
      <c r="AK10" t="s">
        <v>123</v>
      </c>
      <c r="AL10" t="s">
        <v>68</v>
      </c>
      <c r="AM10">
        <v>46</v>
      </c>
      <c r="AN10" s="218">
        <v>920</v>
      </c>
      <c r="AO10" s="157" t="b">
        <f t="shared" si="7"/>
        <v>1</v>
      </c>
      <c r="AP10" t="s">
        <v>89</v>
      </c>
      <c r="AQ10" t="s">
        <v>189</v>
      </c>
      <c r="AR10">
        <v>57</v>
      </c>
      <c r="AS10" s="218">
        <v>1710</v>
      </c>
      <c r="AT10" s="157" t="b">
        <f t="shared" si="8"/>
        <v>1</v>
      </c>
      <c r="AU10" t="s">
        <v>151</v>
      </c>
      <c r="AV10" t="s">
        <v>69</v>
      </c>
      <c r="AW10">
        <v>36</v>
      </c>
      <c r="AX10" s="218">
        <v>288</v>
      </c>
      <c r="AY10" s="157" t="b">
        <f t="shared" si="9"/>
        <v>1</v>
      </c>
      <c r="AZ10" t="s">
        <v>123</v>
      </c>
      <c r="BA10" t="s">
        <v>68</v>
      </c>
      <c r="BB10">
        <v>11</v>
      </c>
      <c r="BC10" s="218">
        <v>220</v>
      </c>
    </row>
    <row r="11" spans="1:55" x14ac:dyDescent="0.35">
      <c r="A11" t="b">
        <f>COUNTIF(Inkjøp[],B11)&gt;0</f>
        <v>1</v>
      </c>
      <c r="B11" s="146" t="str">
        <v>Redbull Yellow</v>
      </c>
      <c r="C11" s="131">
        <f>IFERROR(VLOOKUP(B11,GammelVipps[],2,FALSE),0)+IFERROR(VLOOKUP(B11,Sept[],3,FALSE),0)+IFERROR(VLOOKUP(B11,Oktober[],3,FALSE),0)+IFERROR(VLOOKUP(B11,November[],3,FALSE),0)+IFERROR(VLOOKUP(B11,Desember[],3,FALSE),0)+IFERROR(VLOOKUP(B11,Januar[],3,FALSE),0)+IFERROR(VLOOKUP(B11,Februar[],3,FALSE),0)+IFERROR(VLOOKUP(B11,Mars[],3,FALSE),0)+IFERROR(VLOOKUP(B11,April[],3,FALSE),0)+IFERROR(VLOOKUP(B11,Mai[],3,FALSE),0)</f>
        <v>101</v>
      </c>
      <c r="D11" s="131">
        <f>IFERROR(VLOOKUP(B11,GammelVipps[],3,FALSE),0)+IFERROR(VLOOKUP(B11,Sept[],4,FALSE),0)+IFERROR(VLOOKUP(B11,Oktober[],4,FALSE),0)+IFERROR(VLOOKUP(B11,November[],4,FALSE),0)+IFERROR(VLOOKUP(B11,Desember[],4,FALSE),0)+IFERROR(VLOOKUP(B11,Januar[],4,FALSE),0)+IFERROR(VLOOKUP(B11,Februar[],4,FALSE),0)+IFERROR(VLOOKUP(B11,Mars[],4,FALSE),0)+IFERROR(VLOOKUP(B11,April[],4,FALSE),0)+IFERROR(VLOOKUP(B11,Mai[],4,FALSE),0)</f>
        <v>2727</v>
      </c>
      <c r="F11" t="b">
        <f t="shared" si="0"/>
        <v>1</v>
      </c>
      <c r="G11" s="117" t="s">
        <v>97</v>
      </c>
      <c r="H11" s="133">
        <v>17</v>
      </c>
      <c r="I11" s="133">
        <v>459</v>
      </c>
      <c r="J11" s="133">
        <f>IFERROR(Vippsutskrifter!$I11/Vippsutskrifter!$H11,0)</f>
        <v>27</v>
      </c>
      <c r="K11" s="134" t="b">
        <f t="shared" si="1"/>
        <v>1</v>
      </c>
      <c r="L11" s="160" t="s">
        <v>88</v>
      </c>
      <c r="M11" s="160" t="s">
        <v>189</v>
      </c>
      <c r="N11" s="160">
        <v>48</v>
      </c>
      <c r="O11" s="161">
        <v>1440</v>
      </c>
      <c r="P11" s="134" t="b">
        <f t="shared" si="2"/>
        <v>1</v>
      </c>
      <c r="Q11" s="160" t="s">
        <v>88</v>
      </c>
      <c r="R11" s="160" t="s">
        <v>189</v>
      </c>
      <c r="S11" s="160">
        <v>76</v>
      </c>
      <c r="T11" s="161">
        <v>2280</v>
      </c>
      <c r="U11" s="162" t="b">
        <f t="shared" si="3"/>
        <v>1</v>
      </c>
      <c r="V11" s="69" t="s">
        <v>135</v>
      </c>
      <c r="W11" s="69" t="s">
        <v>188</v>
      </c>
      <c r="X11" s="69">
        <v>58</v>
      </c>
      <c r="Y11" s="9">
        <v>1160</v>
      </c>
      <c r="Z11" s="69" t="b">
        <f t="shared" si="4"/>
        <v>1</v>
      </c>
      <c r="AA11" t="s">
        <v>289</v>
      </c>
      <c r="AB11" t="s">
        <v>68</v>
      </c>
      <c r="AC11">
        <v>48</v>
      </c>
      <c r="AD11" s="82">
        <v>1440</v>
      </c>
      <c r="AE11" s="157" t="b">
        <f t="shared" si="5"/>
        <v>1</v>
      </c>
      <c r="AF11" t="s">
        <v>119</v>
      </c>
      <c r="AG11" t="s">
        <v>68</v>
      </c>
      <c r="AH11">
        <v>73</v>
      </c>
      <c r="AI11" s="218">
        <v>2044</v>
      </c>
      <c r="AJ11" s="157" t="b">
        <f t="shared" si="6"/>
        <v>1</v>
      </c>
      <c r="AK11" t="s">
        <v>89</v>
      </c>
      <c r="AL11" t="s">
        <v>189</v>
      </c>
      <c r="AM11">
        <v>45</v>
      </c>
      <c r="AN11" s="218">
        <v>1350</v>
      </c>
      <c r="AO11" s="157" t="b">
        <f t="shared" si="7"/>
        <v>1</v>
      </c>
      <c r="AP11" t="s">
        <v>102</v>
      </c>
      <c r="AQ11" t="s">
        <v>189</v>
      </c>
      <c r="AR11">
        <v>57</v>
      </c>
      <c r="AS11" s="218">
        <v>855</v>
      </c>
      <c r="AT11" s="157" t="b">
        <f t="shared" si="8"/>
        <v>1</v>
      </c>
      <c r="AU11" t="s">
        <v>266</v>
      </c>
      <c r="AV11" t="s">
        <v>188</v>
      </c>
      <c r="AW11">
        <v>34</v>
      </c>
      <c r="AX11" s="218">
        <v>1700</v>
      </c>
      <c r="AY11" s="157" t="b">
        <f t="shared" si="9"/>
        <v>1</v>
      </c>
      <c r="AZ11" t="s">
        <v>151</v>
      </c>
      <c r="BA11" t="s">
        <v>69</v>
      </c>
      <c r="BB11">
        <v>11</v>
      </c>
      <c r="BC11" s="218">
        <v>88</v>
      </c>
    </row>
    <row r="12" spans="1:55" x14ac:dyDescent="0.35">
      <c r="A12" t="b">
        <f>COUNTIF(Inkjøp[],B12)&gt;0</f>
        <v>1</v>
      </c>
      <c r="B12" s="146" t="str">
        <v>Redbull Peach</v>
      </c>
      <c r="C12" s="131">
        <f>IFERROR(VLOOKUP(B12,GammelVipps[],2,FALSE),0)+IFERROR(VLOOKUP(B12,Sept[],3,FALSE),0)+IFERROR(VLOOKUP(B12,Oktober[],3,FALSE),0)+IFERROR(VLOOKUP(B12,November[],3,FALSE),0)+IFERROR(VLOOKUP(B12,Desember[],3,FALSE),0)+IFERROR(VLOOKUP(B12,Januar[],3,FALSE),0)+IFERROR(VLOOKUP(B12,Februar[],3,FALSE),0)+IFERROR(VLOOKUP(B12,Mars[],3,FALSE),0)+IFERROR(VLOOKUP(B12,April[],3,FALSE),0)+IFERROR(VLOOKUP(B12,Mai[],3,FALSE),0)</f>
        <v>262</v>
      </c>
      <c r="D12" s="131">
        <f>IFERROR(VLOOKUP(B12,GammelVipps[],3,FALSE),0)+IFERROR(VLOOKUP(B12,Sept[],4,FALSE),0)+IFERROR(VLOOKUP(B12,Oktober[],4,FALSE),0)+IFERROR(VLOOKUP(B12,November[],4,FALSE),0)+IFERROR(VLOOKUP(B12,Desember[],4,FALSE),0)+IFERROR(VLOOKUP(B12,Januar[],4,FALSE),0)+IFERROR(VLOOKUP(B12,Februar[],4,FALSE),0)+IFERROR(VLOOKUP(B12,Mars[],4,FALSE),0)+IFERROR(VLOOKUP(B12,April[],4,FALSE),0)+IFERROR(VLOOKUP(B12,Mai[],4,FALSE),0)</f>
        <v>7074</v>
      </c>
      <c r="F12" t="b">
        <f t="shared" si="0"/>
        <v>1</v>
      </c>
      <c r="G12" s="117" t="s">
        <v>98</v>
      </c>
      <c r="H12" s="131">
        <v>46</v>
      </c>
      <c r="I12" s="131">
        <v>1242</v>
      </c>
      <c r="J12" s="131">
        <f>IFERROR(Vippsutskrifter!$I12/Vippsutskrifter!$H12,0)</f>
        <v>27</v>
      </c>
      <c r="K12" s="132" t="b">
        <f t="shared" si="1"/>
        <v>1</v>
      </c>
      <c r="L12" s="163" t="s">
        <v>140</v>
      </c>
      <c r="M12" s="163" t="s">
        <v>188</v>
      </c>
      <c r="N12" s="163">
        <v>47</v>
      </c>
      <c r="O12" s="164">
        <v>940</v>
      </c>
      <c r="P12" s="132" t="b">
        <f t="shared" si="2"/>
        <v>1</v>
      </c>
      <c r="Q12" s="163" t="s">
        <v>137</v>
      </c>
      <c r="R12" s="163" t="s">
        <v>188</v>
      </c>
      <c r="S12" s="163">
        <v>70</v>
      </c>
      <c r="T12" s="164">
        <v>1960</v>
      </c>
      <c r="U12" s="165" t="b">
        <f t="shared" si="3"/>
        <v>1</v>
      </c>
      <c r="V12" s="69" t="s">
        <v>131</v>
      </c>
      <c r="W12" s="69" t="s">
        <v>188</v>
      </c>
      <c r="X12" s="69">
        <v>57</v>
      </c>
      <c r="Y12" s="9">
        <v>1026</v>
      </c>
      <c r="Z12" s="69" t="b">
        <f t="shared" si="4"/>
        <v>1</v>
      </c>
      <c r="AA12" t="s">
        <v>103</v>
      </c>
      <c r="AB12" t="s">
        <v>189</v>
      </c>
      <c r="AC12">
        <v>47</v>
      </c>
      <c r="AD12" s="82">
        <v>1316</v>
      </c>
      <c r="AE12" s="157" t="b">
        <f t="shared" si="5"/>
        <v>1</v>
      </c>
      <c r="AF12" t="s">
        <v>92</v>
      </c>
      <c r="AG12" t="s">
        <v>189</v>
      </c>
      <c r="AH12">
        <v>65</v>
      </c>
      <c r="AI12" s="218">
        <v>1950</v>
      </c>
      <c r="AJ12" s="157" t="b">
        <f t="shared" si="6"/>
        <v>1</v>
      </c>
      <c r="AK12" t="s">
        <v>151</v>
      </c>
      <c r="AL12" t="s">
        <v>69</v>
      </c>
      <c r="AM12">
        <v>41</v>
      </c>
      <c r="AN12" s="218">
        <v>328</v>
      </c>
      <c r="AO12" s="157" t="b">
        <f t="shared" si="7"/>
        <v>1</v>
      </c>
      <c r="AP12" t="s">
        <v>151</v>
      </c>
      <c r="AQ12" t="s">
        <v>69</v>
      </c>
      <c r="AR12">
        <v>53</v>
      </c>
      <c r="AS12" s="218">
        <v>424</v>
      </c>
      <c r="AT12" s="157" t="b">
        <f t="shared" si="8"/>
        <v>1</v>
      </c>
      <c r="AU12" t="s">
        <v>92</v>
      </c>
      <c r="AV12" t="s">
        <v>189</v>
      </c>
      <c r="AW12">
        <v>30</v>
      </c>
      <c r="AX12" s="218">
        <v>900</v>
      </c>
      <c r="AY12" s="157" t="b">
        <f t="shared" si="9"/>
        <v>1</v>
      </c>
      <c r="AZ12" t="s">
        <v>92</v>
      </c>
      <c r="BA12" t="s">
        <v>189</v>
      </c>
      <c r="BB12">
        <v>11</v>
      </c>
      <c r="BC12" s="218">
        <v>330</v>
      </c>
    </row>
    <row r="13" spans="1:55" x14ac:dyDescent="0.35">
      <c r="A13" t="b">
        <f>COUNTIF(Inkjøp[],B13)&gt;0</f>
        <v>1</v>
      </c>
      <c r="B13" s="146" t="str">
        <v>Redbull Blue</v>
      </c>
      <c r="C13" s="131">
        <f>IFERROR(VLOOKUP(B13,GammelVipps[],2,FALSE),0)+IFERROR(VLOOKUP(B13,Sept[],3,FALSE),0)+IFERROR(VLOOKUP(B13,Oktober[],3,FALSE),0)+IFERROR(VLOOKUP(B13,November[],3,FALSE),0)+IFERROR(VLOOKUP(B13,Desember[],3,FALSE),0)+IFERROR(VLOOKUP(B13,Januar[],3,FALSE),0)+IFERROR(VLOOKUP(B13,Februar[],3,FALSE),0)+IFERROR(VLOOKUP(B13,Mars[],3,FALSE),0)+IFERROR(VLOOKUP(B13,April[],3,FALSE),0)+IFERROR(VLOOKUP(B13,Mai[],3,FALSE),0)</f>
        <v>124</v>
      </c>
      <c r="D13" s="131">
        <f>IFERROR(VLOOKUP(B13,GammelVipps[],3,FALSE),0)+IFERROR(VLOOKUP(B13,Sept[],4,FALSE),0)+IFERROR(VLOOKUP(B13,Oktober[],4,FALSE),0)+IFERROR(VLOOKUP(B13,November[],4,FALSE),0)+IFERROR(VLOOKUP(B13,Desember[],4,FALSE),0)+IFERROR(VLOOKUP(B13,Januar[],4,FALSE),0)+IFERROR(VLOOKUP(B13,Februar[],4,FALSE),0)+IFERROR(VLOOKUP(B13,Mars[],4,FALSE),0)+IFERROR(VLOOKUP(B13,April[],4,FALSE),0)+IFERROR(VLOOKUP(B13,Mai[],4,FALSE),0)</f>
        <v>3348</v>
      </c>
      <c r="F13" t="b">
        <f t="shared" si="0"/>
        <v>1</v>
      </c>
      <c r="G13" s="117" t="s">
        <v>99</v>
      </c>
      <c r="H13" s="133">
        <v>16</v>
      </c>
      <c r="I13" s="133">
        <v>432</v>
      </c>
      <c r="J13" s="133">
        <f>IFERROR(Vippsutskrifter!$I13/Vippsutskrifter!$H13,0)</f>
        <v>27</v>
      </c>
      <c r="K13" s="134" t="b">
        <f t="shared" si="1"/>
        <v>1</v>
      </c>
      <c r="L13" s="160" t="s">
        <v>139</v>
      </c>
      <c r="M13" s="160" t="s">
        <v>188</v>
      </c>
      <c r="N13" s="160">
        <v>45</v>
      </c>
      <c r="O13" s="161">
        <v>900</v>
      </c>
      <c r="P13" s="134" t="b">
        <f t="shared" si="2"/>
        <v>1</v>
      </c>
      <c r="Q13" s="160" t="s">
        <v>121</v>
      </c>
      <c r="R13" s="160" t="s">
        <v>68</v>
      </c>
      <c r="S13" s="160">
        <v>70</v>
      </c>
      <c r="T13" s="161">
        <v>1960</v>
      </c>
      <c r="U13" s="162" t="b">
        <f t="shared" si="3"/>
        <v>1</v>
      </c>
      <c r="V13" s="69" t="s">
        <v>129</v>
      </c>
      <c r="W13" s="69" t="s">
        <v>188</v>
      </c>
      <c r="X13" s="69">
        <v>57</v>
      </c>
      <c r="Y13" s="9">
        <v>1710</v>
      </c>
      <c r="Z13" s="69" t="b">
        <f t="shared" si="4"/>
        <v>1</v>
      </c>
      <c r="AA13" t="s">
        <v>102</v>
      </c>
      <c r="AB13" t="s">
        <v>189</v>
      </c>
      <c r="AC13">
        <v>45</v>
      </c>
      <c r="AD13" s="82">
        <v>675</v>
      </c>
      <c r="AE13" s="157" t="b">
        <f t="shared" si="5"/>
        <v>1</v>
      </c>
      <c r="AF13" t="s">
        <v>121</v>
      </c>
      <c r="AG13" t="s">
        <v>68</v>
      </c>
      <c r="AH13">
        <v>60</v>
      </c>
      <c r="AI13" s="218">
        <v>1680</v>
      </c>
      <c r="AJ13" s="157" t="b">
        <f t="shared" si="6"/>
        <v>1</v>
      </c>
      <c r="AK13" t="s">
        <v>92</v>
      </c>
      <c r="AL13" t="s">
        <v>189</v>
      </c>
      <c r="AM13">
        <v>41</v>
      </c>
      <c r="AN13" s="218">
        <v>1230</v>
      </c>
      <c r="AO13" s="157" t="b">
        <f t="shared" si="7"/>
        <v>1</v>
      </c>
      <c r="AP13" t="s">
        <v>266</v>
      </c>
      <c r="AQ13" t="s">
        <v>188</v>
      </c>
      <c r="AR13">
        <v>46</v>
      </c>
      <c r="AS13" s="218">
        <v>2300</v>
      </c>
      <c r="AT13" s="157" t="b">
        <f t="shared" si="8"/>
        <v>1</v>
      </c>
      <c r="AU13" t="s">
        <v>103</v>
      </c>
      <c r="AV13" t="s">
        <v>189</v>
      </c>
      <c r="AW13">
        <v>29</v>
      </c>
      <c r="AX13" s="218">
        <v>812</v>
      </c>
      <c r="AY13" s="157" t="b">
        <f t="shared" si="9"/>
        <v>1</v>
      </c>
      <c r="AZ13" t="s">
        <v>266</v>
      </c>
      <c r="BA13" t="s">
        <v>188</v>
      </c>
      <c r="BB13">
        <v>10</v>
      </c>
      <c r="BC13" s="218">
        <v>500</v>
      </c>
    </row>
    <row r="14" spans="1:55" x14ac:dyDescent="0.35">
      <c r="A14" t="b">
        <f>COUNTIF(Inkjøp[],B14)&gt;0</f>
        <v>1</v>
      </c>
      <c r="B14" s="146" t="str">
        <v>Redbull Purple</v>
      </c>
      <c r="C14" s="131">
        <f>IFERROR(VLOOKUP(B14,GammelVipps[],2,FALSE),0)+IFERROR(VLOOKUP(B14,Sept[],3,FALSE),0)+IFERROR(VLOOKUP(B14,Oktober[],3,FALSE),0)+IFERROR(VLOOKUP(B14,November[],3,FALSE),0)+IFERROR(VLOOKUP(B14,Desember[],3,FALSE),0)+IFERROR(VLOOKUP(B14,Januar[],3,FALSE),0)+IFERROR(VLOOKUP(B14,Februar[],3,FALSE),0)+IFERROR(VLOOKUP(B14,Mars[],3,FALSE),0)+IFERROR(VLOOKUP(B14,April[],3,FALSE),0)+IFERROR(VLOOKUP(B14,Mai[],3,FALSE),0)</f>
        <v>49</v>
      </c>
      <c r="D14" s="131">
        <f>IFERROR(VLOOKUP(B14,GammelVipps[],3,FALSE),0)+IFERROR(VLOOKUP(B14,Sept[],4,FALSE),0)+IFERROR(VLOOKUP(B14,Oktober[],4,FALSE),0)+IFERROR(VLOOKUP(B14,November[],4,FALSE),0)+IFERROR(VLOOKUP(B14,Desember[],4,FALSE),0)+IFERROR(VLOOKUP(B14,Januar[],4,FALSE),0)+IFERROR(VLOOKUP(B14,Februar[],4,FALSE),0)+IFERROR(VLOOKUP(B14,Mars[],4,FALSE),0)+IFERROR(VLOOKUP(B14,April[],4,FALSE),0)+IFERROR(VLOOKUP(B14,Mai[],4,FALSE),0)</f>
        <v>1218</v>
      </c>
      <c r="F14" t="b">
        <f t="shared" si="0"/>
        <v>1</v>
      </c>
      <c r="G14" s="117" t="s">
        <v>100</v>
      </c>
      <c r="H14" s="131">
        <v>4</v>
      </c>
      <c r="I14" s="131">
        <v>108</v>
      </c>
      <c r="J14" s="131">
        <f>IFERROR(Vippsutskrifter!$I14/Vippsutskrifter!$H14,0)</f>
        <v>27</v>
      </c>
      <c r="K14" s="132" t="b">
        <f t="shared" si="1"/>
        <v>1</v>
      </c>
      <c r="L14" s="163" t="s">
        <v>136</v>
      </c>
      <c r="M14" s="163" t="s">
        <v>188</v>
      </c>
      <c r="N14" s="163">
        <v>44</v>
      </c>
      <c r="O14" s="164">
        <v>1100</v>
      </c>
      <c r="P14" s="132" t="b">
        <f t="shared" si="2"/>
        <v>1</v>
      </c>
      <c r="Q14" s="163" t="s">
        <v>123</v>
      </c>
      <c r="R14" s="163" t="s">
        <v>68</v>
      </c>
      <c r="S14" s="163">
        <v>68</v>
      </c>
      <c r="T14" s="164">
        <v>1360</v>
      </c>
      <c r="U14" s="165" t="b">
        <f t="shared" si="3"/>
        <v>1</v>
      </c>
      <c r="V14" s="69" t="s">
        <v>118</v>
      </c>
      <c r="W14" s="69" t="s">
        <v>190</v>
      </c>
      <c r="X14" s="69">
        <v>53</v>
      </c>
      <c r="Y14" s="9">
        <v>795</v>
      </c>
      <c r="Z14" s="69" t="b">
        <f t="shared" si="4"/>
        <v>1</v>
      </c>
      <c r="AA14" t="s">
        <v>90</v>
      </c>
      <c r="AB14" t="s">
        <v>189</v>
      </c>
      <c r="AC14">
        <v>38</v>
      </c>
      <c r="AD14" s="82">
        <v>1140</v>
      </c>
      <c r="AE14" s="157" t="b">
        <f t="shared" si="5"/>
        <v>1</v>
      </c>
      <c r="AF14" t="s">
        <v>88</v>
      </c>
      <c r="AG14" t="s">
        <v>189</v>
      </c>
      <c r="AH14">
        <v>53</v>
      </c>
      <c r="AI14" s="218">
        <v>1590</v>
      </c>
      <c r="AJ14" s="157" t="b">
        <f t="shared" si="6"/>
        <v>1</v>
      </c>
      <c r="AK14" t="s">
        <v>149</v>
      </c>
      <c r="AL14" t="s">
        <v>69</v>
      </c>
      <c r="AM14">
        <v>40</v>
      </c>
      <c r="AN14" s="218">
        <v>720</v>
      </c>
      <c r="AO14" s="157" t="b">
        <f t="shared" si="7"/>
        <v>1</v>
      </c>
      <c r="AP14" t="s">
        <v>101</v>
      </c>
      <c r="AQ14" t="s">
        <v>189</v>
      </c>
      <c r="AR14">
        <v>44</v>
      </c>
      <c r="AS14" s="218">
        <v>660</v>
      </c>
      <c r="AT14" s="157" t="b">
        <f t="shared" si="8"/>
        <v>1</v>
      </c>
      <c r="AU14" t="s">
        <v>121</v>
      </c>
      <c r="AV14" t="s">
        <v>68</v>
      </c>
      <c r="AW14">
        <v>28</v>
      </c>
      <c r="AX14" s="218">
        <v>784</v>
      </c>
      <c r="AY14" s="157" t="b">
        <f t="shared" si="9"/>
        <v>1</v>
      </c>
      <c r="AZ14" t="s">
        <v>119</v>
      </c>
      <c r="BA14" t="s">
        <v>68</v>
      </c>
      <c r="BB14">
        <v>8</v>
      </c>
      <c r="BC14" s="218">
        <v>224</v>
      </c>
    </row>
    <row r="15" spans="1:55" x14ac:dyDescent="0.35">
      <c r="A15" t="b">
        <f>COUNTIF(Inkjøp[],B15)&gt;0</f>
        <v>1</v>
      </c>
      <c r="B15" s="146" t="str">
        <v>Powerking Svart</v>
      </c>
      <c r="C15" s="131">
        <f>IFERROR(VLOOKUP(B15,GammelVipps[],2,FALSE),0)+IFERROR(VLOOKUP(B15,Sept[],3,FALSE),0)+IFERROR(VLOOKUP(B15,Oktober[],3,FALSE),0)+IFERROR(VLOOKUP(B15,November[],3,FALSE),0)+IFERROR(VLOOKUP(B15,Desember[],3,FALSE),0)+IFERROR(VLOOKUP(B15,Januar[],3,FALSE),0)+IFERROR(VLOOKUP(B15,Februar[],3,FALSE),0)+IFERROR(VLOOKUP(B15,Mars[],3,FALSE),0)+IFERROR(VLOOKUP(B15,April[],3,FALSE),0)+IFERROR(VLOOKUP(B15,Mai[],3,FALSE),0)</f>
        <v>291</v>
      </c>
      <c r="D15" s="131">
        <f>IFERROR(VLOOKUP(B15,GammelVipps[],3,FALSE),0)+IFERROR(VLOOKUP(B15,Sept[],4,FALSE),0)+IFERROR(VLOOKUP(B15,Oktober[],4,FALSE),0)+IFERROR(VLOOKUP(B15,November[],4,FALSE),0)+IFERROR(VLOOKUP(B15,Desember[],4,FALSE),0)+IFERROR(VLOOKUP(B15,Januar[],4,FALSE),0)+IFERROR(VLOOKUP(B15,Februar[],4,FALSE),0)+IFERROR(VLOOKUP(B15,Mars[],4,FALSE),0)+IFERROR(VLOOKUP(B15,April[],4,FALSE),0)+IFERROR(VLOOKUP(B15,Mai[],4,FALSE),0)</f>
        <v>4365</v>
      </c>
      <c r="F15" t="b">
        <f t="shared" si="0"/>
        <v>1</v>
      </c>
      <c r="G15" s="117" t="s">
        <v>101</v>
      </c>
      <c r="H15" s="133">
        <v>32</v>
      </c>
      <c r="I15" s="133">
        <v>480</v>
      </c>
      <c r="J15" s="133">
        <f>IFERROR(Vippsutskrifter!$I15/Vippsutskrifter!$H15,0)</f>
        <v>15</v>
      </c>
      <c r="K15" s="134" t="b">
        <f t="shared" si="1"/>
        <v>1</v>
      </c>
      <c r="L15" s="160" t="s">
        <v>98</v>
      </c>
      <c r="M15" s="160" t="s">
        <v>189</v>
      </c>
      <c r="N15" s="160">
        <v>43</v>
      </c>
      <c r="O15" s="161">
        <v>1161</v>
      </c>
      <c r="P15" s="134" t="b">
        <f t="shared" si="2"/>
        <v>1</v>
      </c>
      <c r="Q15" s="160" t="s">
        <v>118</v>
      </c>
      <c r="R15" s="160" t="s">
        <v>190</v>
      </c>
      <c r="S15" s="160">
        <v>60</v>
      </c>
      <c r="T15" s="161">
        <v>900</v>
      </c>
      <c r="U15" s="162" t="b">
        <f t="shared" si="3"/>
        <v>1</v>
      </c>
      <c r="V15" s="69" t="s">
        <v>119</v>
      </c>
      <c r="W15" s="69" t="s">
        <v>68</v>
      </c>
      <c r="X15" s="69">
        <v>49</v>
      </c>
      <c r="Y15" s="9">
        <v>1372</v>
      </c>
      <c r="Z15" s="69" t="b">
        <f t="shared" si="4"/>
        <v>1</v>
      </c>
      <c r="AA15" t="s">
        <v>123</v>
      </c>
      <c r="AB15" t="s">
        <v>68</v>
      </c>
      <c r="AC15">
        <v>37</v>
      </c>
      <c r="AD15" s="82">
        <v>740</v>
      </c>
      <c r="AE15" s="157" t="b">
        <f t="shared" si="5"/>
        <v>1</v>
      </c>
      <c r="AF15" t="s">
        <v>89</v>
      </c>
      <c r="AG15" t="s">
        <v>189</v>
      </c>
      <c r="AH15">
        <v>47</v>
      </c>
      <c r="AI15" s="218">
        <v>1410</v>
      </c>
      <c r="AJ15" s="157" t="b">
        <f t="shared" si="6"/>
        <v>1</v>
      </c>
      <c r="AK15" t="s">
        <v>103</v>
      </c>
      <c r="AL15" t="s">
        <v>189</v>
      </c>
      <c r="AM15">
        <v>34</v>
      </c>
      <c r="AN15" s="218">
        <v>952</v>
      </c>
      <c r="AO15" s="157" t="b">
        <f t="shared" si="7"/>
        <v>1</v>
      </c>
      <c r="AP15" t="s">
        <v>123</v>
      </c>
      <c r="AQ15" t="s">
        <v>68</v>
      </c>
      <c r="AR15">
        <v>40</v>
      </c>
      <c r="AS15" s="218">
        <v>800</v>
      </c>
      <c r="AT15" s="157" t="b">
        <f t="shared" si="8"/>
        <v>1</v>
      </c>
      <c r="AU15" t="s">
        <v>101</v>
      </c>
      <c r="AV15" t="s">
        <v>189</v>
      </c>
      <c r="AW15">
        <v>25</v>
      </c>
      <c r="AX15" s="218">
        <v>375</v>
      </c>
      <c r="AY15" s="157" t="b">
        <f t="shared" si="9"/>
        <v>1</v>
      </c>
      <c r="AZ15" t="s">
        <v>124</v>
      </c>
      <c r="BA15" t="s">
        <v>68</v>
      </c>
      <c r="BB15">
        <v>6</v>
      </c>
      <c r="BC15" s="218">
        <v>120</v>
      </c>
    </row>
    <row r="16" spans="1:55" x14ac:dyDescent="0.35">
      <c r="A16" t="b">
        <f>COUNTIF(Inkjøp[],B16)&gt;0</f>
        <v>1</v>
      </c>
      <c r="B16" s="146" t="str">
        <v>Powerking Hvit</v>
      </c>
      <c r="C16" s="131">
        <f>IFERROR(VLOOKUP(B16,GammelVipps[],2,FALSE),0)+IFERROR(VLOOKUP(B16,Sept[],3,FALSE),0)+IFERROR(VLOOKUP(B16,Oktober[],3,FALSE),0)+IFERROR(VLOOKUP(B16,November[],3,FALSE),0)+IFERROR(VLOOKUP(B16,Desember[],3,FALSE),0)+IFERROR(VLOOKUP(B16,Januar[],3,FALSE),0)+IFERROR(VLOOKUP(B16,Februar[],3,FALSE),0)+IFERROR(VLOOKUP(B16,Mars[],3,FALSE),0)+IFERROR(VLOOKUP(B16,April[],3,FALSE),0)+IFERROR(VLOOKUP(B16,Mai[],3,FALSE),0)</f>
        <v>343</v>
      </c>
      <c r="D16" s="131">
        <f>IFERROR(VLOOKUP(B16,GammelVipps[],3,FALSE),0)+IFERROR(VLOOKUP(B16,Sept[],4,FALSE),0)+IFERROR(VLOOKUP(B16,Oktober[],4,FALSE),0)+IFERROR(VLOOKUP(B16,November[],4,FALSE),0)+IFERROR(VLOOKUP(B16,Desember[],4,FALSE),0)+IFERROR(VLOOKUP(B16,Januar[],4,FALSE),0)+IFERROR(VLOOKUP(B16,Februar[],4,FALSE),0)+IFERROR(VLOOKUP(B16,Mars[],4,FALSE),0)+IFERROR(VLOOKUP(B16,April[],4,FALSE),0)+IFERROR(VLOOKUP(B16,Mai[],4,FALSE),0)</f>
        <v>5145</v>
      </c>
      <c r="F16" t="b">
        <f t="shared" si="0"/>
        <v>1</v>
      </c>
      <c r="G16" s="117" t="s">
        <v>102</v>
      </c>
      <c r="H16" s="131">
        <v>52</v>
      </c>
      <c r="I16" s="131">
        <v>780</v>
      </c>
      <c r="J16" s="131">
        <f>IFERROR(Vippsutskrifter!$I16/Vippsutskrifter!$H16,0)</f>
        <v>15</v>
      </c>
      <c r="K16" s="132" t="b">
        <f t="shared" si="1"/>
        <v>1</v>
      </c>
      <c r="L16" s="163" t="s">
        <v>90</v>
      </c>
      <c r="M16" s="163" t="s">
        <v>189</v>
      </c>
      <c r="N16" s="163">
        <v>41</v>
      </c>
      <c r="O16" s="164">
        <v>1230</v>
      </c>
      <c r="P16" s="132" t="b">
        <f t="shared" si="2"/>
        <v>1</v>
      </c>
      <c r="Q16" s="163" t="s">
        <v>101</v>
      </c>
      <c r="R16" s="163" t="s">
        <v>189</v>
      </c>
      <c r="S16" s="163">
        <v>51</v>
      </c>
      <c r="T16" s="164">
        <v>765</v>
      </c>
      <c r="U16" s="165" t="b">
        <f t="shared" si="3"/>
        <v>1</v>
      </c>
      <c r="V16" s="69" t="s">
        <v>98</v>
      </c>
      <c r="W16" s="69" t="s">
        <v>189</v>
      </c>
      <c r="X16" s="69">
        <v>46</v>
      </c>
      <c r="Y16" s="9">
        <v>1242</v>
      </c>
      <c r="Z16" s="69" t="b">
        <f t="shared" si="4"/>
        <v>1</v>
      </c>
      <c r="AA16" t="s">
        <v>119</v>
      </c>
      <c r="AB16" t="s">
        <v>68</v>
      </c>
      <c r="AC16">
        <v>37</v>
      </c>
      <c r="AD16" s="82">
        <v>1036</v>
      </c>
      <c r="AE16" s="157" t="b">
        <f t="shared" si="5"/>
        <v>1</v>
      </c>
      <c r="AF16" t="s">
        <v>118</v>
      </c>
      <c r="AG16" t="s">
        <v>190</v>
      </c>
      <c r="AH16">
        <v>45</v>
      </c>
      <c r="AI16" s="218">
        <v>675</v>
      </c>
      <c r="AJ16" s="157" t="b">
        <f t="shared" si="6"/>
        <v>1</v>
      </c>
      <c r="AK16" t="s">
        <v>118</v>
      </c>
      <c r="AL16" t="s">
        <v>190</v>
      </c>
      <c r="AM16">
        <v>33</v>
      </c>
      <c r="AN16" s="218">
        <v>495</v>
      </c>
      <c r="AO16" s="157" t="b">
        <f t="shared" si="7"/>
        <v>1</v>
      </c>
      <c r="AP16" t="s">
        <v>143</v>
      </c>
      <c r="AQ16" t="s">
        <v>69</v>
      </c>
      <c r="AR16">
        <v>39</v>
      </c>
      <c r="AS16" s="218">
        <v>780</v>
      </c>
      <c r="AT16" s="157" t="b">
        <f t="shared" si="8"/>
        <v>1</v>
      </c>
      <c r="AU16" t="s">
        <v>149</v>
      </c>
      <c r="AV16" t="s">
        <v>69</v>
      </c>
      <c r="AW16">
        <v>21</v>
      </c>
      <c r="AX16" s="218">
        <v>378</v>
      </c>
      <c r="AY16" s="157" t="b">
        <f t="shared" si="9"/>
        <v>1</v>
      </c>
      <c r="AZ16" t="s">
        <v>102</v>
      </c>
      <c r="BA16" t="s">
        <v>189</v>
      </c>
      <c r="BB16">
        <v>6</v>
      </c>
      <c r="BC16" s="218">
        <v>90</v>
      </c>
    </row>
    <row r="17" spans="1:55" x14ac:dyDescent="0.35">
      <c r="A17" t="b">
        <f>COUNTIF(Inkjøp[],B17)&gt;0</f>
        <v>1</v>
      </c>
      <c r="B17" s="146" t="str">
        <v>Battery Fresh</v>
      </c>
      <c r="C17" s="131">
        <f>IFERROR(VLOOKUP(B17,GammelVipps[],2,FALSE),0)+IFERROR(VLOOKUP(B17,Sept[],3,FALSE),0)+IFERROR(VLOOKUP(B17,Oktober[],3,FALSE),0)+IFERROR(VLOOKUP(B17,November[],3,FALSE),0)+IFERROR(VLOOKUP(B17,Desember[],3,FALSE),0)+IFERROR(VLOOKUP(B17,Januar[],3,FALSE),0)+IFERROR(VLOOKUP(B17,Februar[],3,FALSE),0)+IFERROR(VLOOKUP(B17,Mars[],3,FALSE),0)+IFERROR(VLOOKUP(B17,April[],3,FALSE),0)+IFERROR(VLOOKUP(B17,Mai[],3,FALSE),0)</f>
        <v>278</v>
      </c>
      <c r="D17" s="131">
        <f>IFERROR(VLOOKUP(B17,GammelVipps[],3,FALSE),0)+IFERROR(VLOOKUP(B17,Sept[],4,FALSE),0)+IFERROR(VLOOKUP(B17,Oktober[],4,FALSE),0)+IFERROR(VLOOKUP(B17,November[],4,FALSE),0)+IFERROR(VLOOKUP(B17,Desember[],4,FALSE),0)+IFERROR(VLOOKUP(B17,Januar[],4,FALSE),0)+IFERROR(VLOOKUP(B17,Februar[],4,FALSE),0)+IFERROR(VLOOKUP(B17,Mars[],4,FALSE),0)+IFERROR(VLOOKUP(B17,April[],4,FALSE),0)+IFERROR(VLOOKUP(B17,Mai[],4,FALSE),0)</f>
        <v>7784</v>
      </c>
      <c r="F17" t="b">
        <f t="shared" si="0"/>
        <v>1</v>
      </c>
      <c r="G17" s="117" t="s">
        <v>103</v>
      </c>
      <c r="H17" s="133">
        <v>24</v>
      </c>
      <c r="I17" s="133">
        <v>672</v>
      </c>
      <c r="J17" s="133">
        <f>IFERROR(Vippsutskrifter!$I17/Vippsutskrifter!$H17,0)</f>
        <v>28</v>
      </c>
      <c r="K17" s="134" t="b">
        <f t="shared" si="1"/>
        <v>1</v>
      </c>
      <c r="L17" s="160" t="s">
        <v>121</v>
      </c>
      <c r="M17" s="160" t="s">
        <v>68</v>
      </c>
      <c r="N17" s="160">
        <v>41</v>
      </c>
      <c r="O17" s="161">
        <v>1148</v>
      </c>
      <c r="P17" s="134" t="b">
        <f t="shared" si="2"/>
        <v>1</v>
      </c>
      <c r="Q17" s="160" t="s">
        <v>102</v>
      </c>
      <c r="R17" s="160" t="s">
        <v>189</v>
      </c>
      <c r="S17" s="160">
        <v>47</v>
      </c>
      <c r="T17" s="161">
        <v>705</v>
      </c>
      <c r="U17" s="162" t="b">
        <f t="shared" si="3"/>
        <v>1</v>
      </c>
      <c r="V17" s="69" t="s">
        <v>102</v>
      </c>
      <c r="W17" s="69" t="s">
        <v>189</v>
      </c>
      <c r="X17" s="69">
        <v>44</v>
      </c>
      <c r="Y17" s="9">
        <v>660</v>
      </c>
      <c r="Z17" s="69" t="b">
        <f t="shared" si="4"/>
        <v>1</v>
      </c>
      <c r="AA17" t="s">
        <v>89</v>
      </c>
      <c r="AB17" t="s">
        <v>189</v>
      </c>
      <c r="AC17">
        <v>37</v>
      </c>
      <c r="AD17" s="82">
        <v>1110</v>
      </c>
      <c r="AE17" s="157" t="b">
        <f t="shared" si="5"/>
        <v>1</v>
      </c>
      <c r="AF17" t="s">
        <v>149</v>
      </c>
      <c r="AG17" t="s">
        <v>69</v>
      </c>
      <c r="AH17">
        <v>40</v>
      </c>
      <c r="AI17" s="218">
        <v>720</v>
      </c>
      <c r="AJ17" s="157" t="b">
        <f t="shared" si="6"/>
        <v>1</v>
      </c>
      <c r="AK17" t="s">
        <v>266</v>
      </c>
      <c r="AL17" t="s">
        <v>188</v>
      </c>
      <c r="AM17">
        <v>29</v>
      </c>
      <c r="AN17" s="218">
        <v>1450</v>
      </c>
      <c r="AO17" s="157" t="b">
        <f t="shared" si="7"/>
        <v>1</v>
      </c>
      <c r="AP17" t="s">
        <v>107</v>
      </c>
      <c r="AQ17" t="s">
        <v>189</v>
      </c>
      <c r="AR17">
        <v>38</v>
      </c>
      <c r="AS17" s="218">
        <v>1064</v>
      </c>
      <c r="AT17" s="157" t="b">
        <f t="shared" si="8"/>
        <v>1</v>
      </c>
      <c r="AU17" t="s">
        <v>118</v>
      </c>
      <c r="AV17" t="s">
        <v>190</v>
      </c>
      <c r="AW17">
        <v>21</v>
      </c>
      <c r="AX17" s="218">
        <v>315</v>
      </c>
      <c r="AY17" s="157" t="b">
        <f t="shared" si="9"/>
        <v>1</v>
      </c>
      <c r="AZ17" t="s">
        <v>101</v>
      </c>
      <c r="BA17" t="s">
        <v>189</v>
      </c>
      <c r="BB17">
        <v>6</v>
      </c>
      <c r="BC17" s="218">
        <v>90</v>
      </c>
    </row>
    <row r="18" spans="1:55" x14ac:dyDescent="0.35">
      <c r="A18" t="b">
        <f>COUNTIF(Inkjøp[],B18)&gt;0</f>
        <v>1</v>
      </c>
      <c r="B18" s="146" t="str">
        <v>Battery Original</v>
      </c>
      <c r="C18" s="131">
        <f>IFERROR(VLOOKUP(B18,GammelVipps[],2,FALSE),0)+IFERROR(VLOOKUP(B18,Sept[],3,FALSE),0)+IFERROR(VLOOKUP(B18,Oktober[],3,FALSE),0)+IFERROR(VLOOKUP(B18,November[],3,FALSE),0)+IFERROR(VLOOKUP(B18,Desember[],3,FALSE),0)+IFERROR(VLOOKUP(B18,Januar[],3,FALSE),0)+IFERROR(VLOOKUP(B18,Februar[],3,FALSE),0)+IFERROR(VLOOKUP(B18,Mars[],3,FALSE),0)+IFERROR(VLOOKUP(B18,April[],3,FALSE),0)+IFERROR(VLOOKUP(B18,Mai[],3,FALSE),0)</f>
        <v>189</v>
      </c>
      <c r="D18" s="131">
        <f>IFERROR(VLOOKUP(B18,GammelVipps[],3,FALSE),0)+IFERROR(VLOOKUP(B18,Sept[],4,FALSE),0)+IFERROR(VLOOKUP(B18,Oktober[],4,FALSE),0)+IFERROR(VLOOKUP(B18,November[],4,FALSE),0)+IFERROR(VLOOKUP(B18,Desember[],4,FALSE),0)+IFERROR(VLOOKUP(B18,Januar[],4,FALSE),0)+IFERROR(VLOOKUP(B18,Februar[],4,FALSE),0)+IFERROR(VLOOKUP(B18,Mars[],4,FALSE),0)+IFERROR(VLOOKUP(B18,April[],4,FALSE),0)+IFERROR(VLOOKUP(B18,Mai[],4,FALSE),0)</f>
        <v>5292</v>
      </c>
      <c r="F18" t="b">
        <f t="shared" si="0"/>
        <v>1</v>
      </c>
      <c r="G18" s="117" t="s">
        <v>105</v>
      </c>
      <c r="H18" s="131">
        <v>39</v>
      </c>
      <c r="I18" s="131">
        <v>1092</v>
      </c>
      <c r="J18" s="131">
        <f>IFERROR(Vippsutskrifter!$I18/Vippsutskrifter!$H18,0)</f>
        <v>28</v>
      </c>
      <c r="K18" s="132" t="b">
        <f t="shared" si="1"/>
        <v>1</v>
      </c>
      <c r="L18" s="163" t="s">
        <v>141</v>
      </c>
      <c r="M18" s="163" t="s">
        <v>69</v>
      </c>
      <c r="N18" s="163">
        <v>40</v>
      </c>
      <c r="O18" s="164">
        <v>400</v>
      </c>
      <c r="P18" s="132" t="b">
        <f t="shared" si="2"/>
        <v>1</v>
      </c>
      <c r="Q18" s="163" t="s">
        <v>136</v>
      </c>
      <c r="R18" s="163" t="s">
        <v>188</v>
      </c>
      <c r="S18" s="163">
        <v>46</v>
      </c>
      <c r="T18" s="164">
        <v>1150</v>
      </c>
      <c r="U18" s="165" t="b">
        <f t="shared" si="3"/>
        <v>1</v>
      </c>
      <c r="V18" s="69" t="s">
        <v>149</v>
      </c>
      <c r="W18" s="69" t="s">
        <v>69</v>
      </c>
      <c r="X18" s="69">
        <v>43</v>
      </c>
      <c r="Y18" s="9">
        <v>816</v>
      </c>
      <c r="Z18" s="69" t="b">
        <f t="shared" si="4"/>
        <v>1</v>
      </c>
      <c r="AA18" t="s">
        <v>98</v>
      </c>
      <c r="AB18" t="s">
        <v>189</v>
      </c>
      <c r="AC18">
        <v>37</v>
      </c>
      <c r="AD18" s="82">
        <v>999</v>
      </c>
      <c r="AE18" s="157" t="b">
        <f t="shared" si="5"/>
        <v>1</v>
      </c>
      <c r="AF18" t="s">
        <v>103</v>
      </c>
      <c r="AG18" t="s">
        <v>189</v>
      </c>
      <c r="AH18">
        <v>31</v>
      </c>
      <c r="AI18" s="218">
        <v>868</v>
      </c>
      <c r="AJ18" s="157" t="b">
        <f t="shared" si="6"/>
        <v>1</v>
      </c>
      <c r="AK18" t="s">
        <v>102</v>
      </c>
      <c r="AL18" t="s">
        <v>189</v>
      </c>
      <c r="AM18">
        <v>28</v>
      </c>
      <c r="AN18" s="218">
        <v>420</v>
      </c>
      <c r="AO18" s="157" t="b">
        <f t="shared" si="7"/>
        <v>1</v>
      </c>
      <c r="AP18" t="s">
        <v>119</v>
      </c>
      <c r="AQ18" t="s">
        <v>68</v>
      </c>
      <c r="AR18">
        <v>38</v>
      </c>
      <c r="AS18" s="218">
        <v>1064</v>
      </c>
      <c r="AT18" s="157" t="b">
        <f t="shared" si="8"/>
        <v>1</v>
      </c>
      <c r="AU18" t="s">
        <v>123</v>
      </c>
      <c r="AV18" t="s">
        <v>68</v>
      </c>
      <c r="AW18">
        <v>20</v>
      </c>
      <c r="AX18" s="218">
        <v>400</v>
      </c>
      <c r="AY18" s="157" t="b">
        <f t="shared" si="9"/>
        <v>1</v>
      </c>
      <c r="AZ18" t="s">
        <v>152</v>
      </c>
      <c r="BA18" t="s">
        <v>192</v>
      </c>
      <c r="BB18">
        <v>5</v>
      </c>
      <c r="BC18" s="218">
        <v>75</v>
      </c>
    </row>
    <row r="19" spans="1:55" x14ac:dyDescent="0.35">
      <c r="A19" t="b">
        <f>COUNTIF(Inkjøp[],B19)&gt;0</f>
        <v>1</v>
      </c>
      <c r="B19" s="146" t="str">
        <v>Battery Peachberry</v>
      </c>
      <c r="C19" s="131">
        <f>IFERROR(VLOOKUP(B19,GammelVipps[],2,FALSE),0)+IFERROR(VLOOKUP(B19,Sept[],3,FALSE),0)+IFERROR(VLOOKUP(B19,Oktober[],3,FALSE),0)+IFERROR(VLOOKUP(B19,November[],3,FALSE),0)+IFERROR(VLOOKUP(B19,Desember[],3,FALSE),0)+IFERROR(VLOOKUP(B19,Januar[],3,FALSE),0)+IFERROR(VLOOKUP(B19,Februar[],3,FALSE),0)+IFERROR(VLOOKUP(B19,Mars[],3,FALSE),0)+IFERROR(VLOOKUP(B19,April[],3,FALSE),0)+IFERROR(VLOOKUP(B19,Mai[],3,FALSE),0)</f>
        <v>476</v>
      </c>
      <c r="D19" s="131">
        <f>IFERROR(VLOOKUP(B19,GammelVipps[],3,FALSE),0)+IFERROR(VLOOKUP(B19,Sept[],4,FALSE),0)+IFERROR(VLOOKUP(B19,Oktober[],4,FALSE),0)+IFERROR(VLOOKUP(B19,November[],4,FALSE),0)+IFERROR(VLOOKUP(B19,Desember[],4,FALSE),0)+IFERROR(VLOOKUP(B19,Januar[],4,FALSE),0)+IFERROR(VLOOKUP(B19,Februar[],4,FALSE),0)+IFERROR(VLOOKUP(B19,Mars[],4,FALSE),0)+IFERROR(VLOOKUP(B19,April[],4,FALSE),0)+IFERROR(VLOOKUP(B19,Mai[],4,FALSE),0)</f>
        <v>13328</v>
      </c>
      <c r="F19" t="b">
        <f t="shared" si="0"/>
        <v>1</v>
      </c>
      <c r="G19" s="117" t="s">
        <v>107</v>
      </c>
      <c r="H19" s="133">
        <v>72</v>
      </c>
      <c r="I19" s="133">
        <v>2016</v>
      </c>
      <c r="J19" s="133">
        <f>IFERROR(Vippsutskrifter!$I19/Vippsutskrifter!$H19,0)</f>
        <v>28</v>
      </c>
      <c r="K19" s="134" t="b">
        <f t="shared" si="1"/>
        <v>1</v>
      </c>
      <c r="L19" s="160" t="s">
        <v>149</v>
      </c>
      <c r="M19" s="160" t="s">
        <v>69</v>
      </c>
      <c r="N19" s="160">
        <v>35</v>
      </c>
      <c r="O19" s="161">
        <v>700</v>
      </c>
      <c r="P19" s="134" t="b">
        <f t="shared" si="2"/>
        <v>1</v>
      </c>
      <c r="Q19" s="160" t="s">
        <v>149</v>
      </c>
      <c r="R19" s="160" t="s">
        <v>69</v>
      </c>
      <c r="S19" s="160">
        <v>46</v>
      </c>
      <c r="T19" s="161">
        <v>920</v>
      </c>
      <c r="U19" s="162" t="b">
        <f t="shared" si="3"/>
        <v>1</v>
      </c>
      <c r="V19" s="69" t="s">
        <v>103</v>
      </c>
      <c r="W19" s="69" t="s">
        <v>189</v>
      </c>
      <c r="X19" s="69">
        <v>40</v>
      </c>
      <c r="Y19" s="9">
        <v>1120</v>
      </c>
      <c r="Z19" s="69" t="b">
        <f t="shared" si="4"/>
        <v>1</v>
      </c>
      <c r="AA19" t="s">
        <v>92</v>
      </c>
      <c r="AB19" t="s">
        <v>189</v>
      </c>
      <c r="AC19">
        <v>34</v>
      </c>
      <c r="AD19" s="82">
        <v>1020</v>
      </c>
      <c r="AE19" s="157" t="b">
        <f t="shared" si="5"/>
        <v>1</v>
      </c>
      <c r="AF19" t="s">
        <v>152</v>
      </c>
      <c r="AG19" t="s">
        <v>192</v>
      </c>
      <c r="AH19">
        <v>28</v>
      </c>
      <c r="AI19" s="218">
        <v>420</v>
      </c>
      <c r="AJ19" s="157" t="b">
        <f t="shared" si="6"/>
        <v>1</v>
      </c>
      <c r="AK19" t="s">
        <v>101</v>
      </c>
      <c r="AL19" t="s">
        <v>189</v>
      </c>
      <c r="AM19">
        <v>26</v>
      </c>
      <c r="AN19" s="218">
        <v>390</v>
      </c>
      <c r="AO19" s="157" t="b">
        <f t="shared" si="7"/>
        <v>1</v>
      </c>
      <c r="AP19" t="s">
        <v>150</v>
      </c>
      <c r="AQ19" t="s">
        <v>69</v>
      </c>
      <c r="AR19">
        <v>33</v>
      </c>
      <c r="AS19" s="218">
        <v>1155</v>
      </c>
      <c r="AT19" s="157" t="b">
        <f t="shared" si="8"/>
        <v>1</v>
      </c>
      <c r="AU19" t="s">
        <v>141</v>
      </c>
      <c r="AV19" t="s">
        <v>69</v>
      </c>
      <c r="AW19">
        <v>20</v>
      </c>
      <c r="AX19" s="218">
        <v>200</v>
      </c>
      <c r="AY19" s="157" t="b">
        <f t="shared" si="9"/>
        <v>1</v>
      </c>
      <c r="AZ19" t="s">
        <v>99</v>
      </c>
      <c r="BA19" t="s">
        <v>189</v>
      </c>
      <c r="BB19">
        <v>5</v>
      </c>
      <c r="BC19" s="218">
        <v>135</v>
      </c>
    </row>
    <row r="20" spans="1:55" x14ac:dyDescent="0.35">
      <c r="A20" t="b">
        <f>COUNTIF(Inkjøp[],B20)&gt;0</f>
        <v>1</v>
      </c>
      <c r="B20" s="146" t="str">
        <v>Burn</v>
      </c>
      <c r="C20" s="131">
        <f>IFERROR(VLOOKUP(B20,GammelVipps[],2,FALSE),0)+IFERROR(VLOOKUP(B20,Sept[],3,FALSE),0)+IFERROR(VLOOKUP(B20,Oktober[],3,FALSE),0)+IFERROR(VLOOKUP(B20,November[],3,FALSE),0)+IFERROR(VLOOKUP(B20,Desember[],3,FALSE),0)+IFERROR(VLOOKUP(B20,Januar[],3,FALSE),0)+IFERROR(VLOOKUP(B20,Februar[],3,FALSE),0)+IFERROR(VLOOKUP(B20,Mars[],3,FALSE),0)+IFERROR(VLOOKUP(B20,April[],3,FALSE),0)+IFERROR(VLOOKUP(B20,Mai[],3,FALSE),0)</f>
        <v>67</v>
      </c>
      <c r="D20" s="131">
        <f>IFERROR(VLOOKUP(B20,GammelVipps[],3,FALSE),0)+IFERROR(VLOOKUP(B20,Sept[],4,FALSE),0)+IFERROR(VLOOKUP(B20,Oktober[],4,FALSE),0)+IFERROR(VLOOKUP(B20,November[],4,FALSE),0)+IFERROR(VLOOKUP(B20,Desember[],4,FALSE),0)+IFERROR(VLOOKUP(B20,Januar[],4,FALSE),0)+IFERROR(VLOOKUP(B20,Februar[],4,FALSE),0)+IFERROR(VLOOKUP(B20,Mars[],4,FALSE),0)+IFERROR(VLOOKUP(B20,April[],4,FALSE),0)+IFERROR(VLOOKUP(B20,Mai[],4,FALSE),0)</f>
        <v>2010</v>
      </c>
      <c r="F20" t="b">
        <f t="shared" si="0"/>
        <v>1</v>
      </c>
      <c r="G20" s="117" t="s">
        <v>111</v>
      </c>
      <c r="H20" s="131">
        <v>0</v>
      </c>
      <c r="I20" s="131">
        <v>0</v>
      </c>
      <c r="J20" s="131">
        <f>IFERROR(Vippsutskrifter!$I20/Vippsutskrifter!$H20,0)</f>
        <v>0</v>
      </c>
      <c r="K20" s="132" t="b">
        <f t="shared" si="1"/>
        <v>1</v>
      </c>
      <c r="L20" s="163" t="s">
        <v>103</v>
      </c>
      <c r="M20" s="163" t="s">
        <v>189</v>
      </c>
      <c r="N20" s="163">
        <v>31</v>
      </c>
      <c r="O20" s="164">
        <v>868</v>
      </c>
      <c r="P20" s="132" t="b">
        <f t="shared" si="2"/>
        <v>1</v>
      </c>
      <c r="Q20" s="163" t="s">
        <v>119</v>
      </c>
      <c r="R20" s="163" t="s">
        <v>68</v>
      </c>
      <c r="S20" s="163">
        <v>42</v>
      </c>
      <c r="T20" s="164">
        <v>1176</v>
      </c>
      <c r="U20" s="165" t="b">
        <f t="shared" si="3"/>
        <v>1</v>
      </c>
      <c r="V20" s="69" t="s">
        <v>107</v>
      </c>
      <c r="W20" s="69" t="s">
        <v>189</v>
      </c>
      <c r="X20" s="69">
        <v>39</v>
      </c>
      <c r="Y20" s="9">
        <v>1092</v>
      </c>
      <c r="Z20" s="69" t="b">
        <f t="shared" si="4"/>
        <v>1</v>
      </c>
      <c r="AA20" t="s">
        <v>91</v>
      </c>
      <c r="AB20" t="s">
        <v>189</v>
      </c>
      <c r="AC20">
        <v>32</v>
      </c>
      <c r="AD20" s="82">
        <v>960</v>
      </c>
      <c r="AE20" s="157" t="b">
        <f t="shared" si="5"/>
        <v>1</v>
      </c>
      <c r="AF20" t="s">
        <v>144</v>
      </c>
      <c r="AG20" t="s">
        <v>69</v>
      </c>
      <c r="AH20">
        <v>28</v>
      </c>
      <c r="AI20" s="218">
        <v>420</v>
      </c>
      <c r="AJ20" s="157" t="b">
        <f t="shared" si="6"/>
        <v>1</v>
      </c>
      <c r="AK20" t="s">
        <v>141</v>
      </c>
      <c r="AL20" t="s">
        <v>69</v>
      </c>
      <c r="AM20">
        <v>26</v>
      </c>
      <c r="AN20" s="218">
        <v>260</v>
      </c>
      <c r="AO20" s="157" t="b">
        <f t="shared" si="7"/>
        <v>1</v>
      </c>
      <c r="AP20" t="s">
        <v>121</v>
      </c>
      <c r="AQ20" t="s">
        <v>68</v>
      </c>
      <c r="AR20">
        <v>32</v>
      </c>
      <c r="AS20" s="218">
        <v>896</v>
      </c>
      <c r="AT20" s="157" t="b">
        <f t="shared" si="8"/>
        <v>1</v>
      </c>
      <c r="AU20" t="s">
        <v>143</v>
      </c>
      <c r="AV20" t="s">
        <v>69</v>
      </c>
      <c r="AW20">
        <v>20</v>
      </c>
      <c r="AX20" s="218">
        <v>400</v>
      </c>
      <c r="AY20" s="157" t="b">
        <f t="shared" si="9"/>
        <v>1</v>
      </c>
      <c r="AZ20" t="s">
        <v>141</v>
      </c>
      <c r="BA20" t="s">
        <v>69</v>
      </c>
      <c r="BB20">
        <v>5</v>
      </c>
      <c r="BC20" s="218">
        <v>50</v>
      </c>
    </row>
    <row r="21" spans="1:55" x14ac:dyDescent="0.35">
      <c r="A21" t="b">
        <f>COUNTIF(Inkjøp[],B21)&gt;0</f>
        <v>1</v>
      </c>
      <c r="B21" s="146" t="str">
        <v>Iskaffe Cappuccino</v>
      </c>
      <c r="C21" s="131">
        <f>IFERROR(VLOOKUP(B21,GammelVipps[],2,FALSE),0)+IFERROR(VLOOKUP(B21,Sept[],3,FALSE),0)+IFERROR(VLOOKUP(B21,Oktober[],3,FALSE),0)+IFERROR(VLOOKUP(B21,November[],3,FALSE),0)+IFERROR(VLOOKUP(B21,Desember[],3,FALSE),0)+IFERROR(VLOOKUP(B21,Januar[],3,FALSE),0)+IFERROR(VLOOKUP(B21,Februar[],3,FALSE),0)+IFERROR(VLOOKUP(B21,Mars[],3,FALSE),0)+IFERROR(VLOOKUP(B21,April[],3,FALSE),0)+IFERROR(VLOOKUP(B21,Mai[],3,FALSE),0)</f>
        <v>110</v>
      </c>
      <c r="D21" s="131">
        <f>IFERROR(VLOOKUP(B21,GammelVipps[],3,FALSE),0)+IFERROR(VLOOKUP(B21,Sept[],4,FALSE),0)+IFERROR(VLOOKUP(B21,Oktober[],4,FALSE),0)+IFERROR(VLOOKUP(B21,November[],4,FALSE),0)+IFERROR(VLOOKUP(B21,Desember[],4,FALSE),0)+IFERROR(VLOOKUP(B21,Januar[],4,FALSE),0)+IFERROR(VLOOKUP(B21,Februar[],4,FALSE),0)+IFERROR(VLOOKUP(B21,Mars[],4,FALSE),0)+IFERROR(VLOOKUP(B21,April[],4,FALSE),0)+IFERROR(VLOOKUP(B21,Mai[],4,FALSE),0)</f>
        <v>2640</v>
      </c>
      <c r="F21" t="b">
        <f t="shared" si="0"/>
        <v>1</v>
      </c>
      <c r="G21" s="117" t="s">
        <v>112</v>
      </c>
      <c r="H21" s="133">
        <v>12</v>
      </c>
      <c r="I21" s="133">
        <v>288</v>
      </c>
      <c r="J21" s="133">
        <f>IFERROR(Vippsutskrifter!$I21/Vippsutskrifter!$H21,0)</f>
        <v>24</v>
      </c>
      <c r="K21" s="134" t="b">
        <f t="shared" si="1"/>
        <v>1</v>
      </c>
      <c r="L21" s="160" t="s">
        <v>153</v>
      </c>
      <c r="M21" s="160" t="s">
        <v>69</v>
      </c>
      <c r="N21" s="160">
        <v>29</v>
      </c>
      <c r="O21" s="161">
        <v>232</v>
      </c>
      <c r="P21" s="134" t="b">
        <f t="shared" si="2"/>
        <v>1</v>
      </c>
      <c r="Q21" s="160" t="s">
        <v>141</v>
      </c>
      <c r="R21" s="160" t="s">
        <v>69</v>
      </c>
      <c r="S21" s="160">
        <v>40</v>
      </c>
      <c r="T21" s="161">
        <v>400</v>
      </c>
      <c r="U21" s="162" t="b">
        <f t="shared" si="3"/>
        <v>1</v>
      </c>
      <c r="V21" s="69" t="s">
        <v>124</v>
      </c>
      <c r="W21" s="69" t="s">
        <v>68</v>
      </c>
      <c r="X21" s="69">
        <v>31</v>
      </c>
      <c r="Y21" s="9">
        <v>620</v>
      </c>
      <c r="Z21" s="69" t="b">
        <f t="shared" si="4"/>
        <v>1</v>
      </c>
      <c r="AA21" t="s">
        <v>151</v>
      </c>
      <c r="AB21" t="s">
        <v>69</v>
      </c>
      <c r="AC21">
        <v>30</v>
      </c>
      <c r="AD21" s="82">
        <v>240</v>
      </c>
      <c r="AE21" s="157" t="b">
        <f t="shared" si="5"/>
        <v>1</v>
      </c>
      <c r="AF21" t="s">
        <v>102</v>
      </c>
      <c r="AG21" t="s">
        <v>189</v>
      </c>
      <c r="AH21">
        <v>27</v>
      </c>
      <c r="AI21" s="218">
        <v>405</v>
      </c>
      <c r="AJ21" s="157" t="b">
        <f t="shared" si="6"/>
        <v>1</v>
      </c>
      <c r="AK21" t="s">
        <v>91</v>
      </c>
      <c r="AL21" t="s">
        <v>189</v>
      </c>
      <c r="AM21">
        <v>25</v>
      </c>
      <c r="AN21" s="218">
        <v>750</v>
      </c>
      <c r="AO21" s="157" t="b">
        <f t="shared" si="7"/>
        <v>1</v>
      </c>
      <c r="AP21" t="s">
        <v>124</v>
      </c>
      <c r="AQ21" t="s">
        <v>68</v>
      </c>
      <c r="AR21">
        <v>29</v>
      </c>
      <c r="AS21" s="218">
        <v>580</v>
      </c>
      <c r="AT21" s="157" t="b">
        <f t="shared" si="8"/>
        <v>1</v>
      </c>
      <c r="AU21" t="s">
        <v>102</v>
      </c>
      <c r="AV21" t="s">
        <v>189</v>
      </c>
      <c r="AW21">
        <v>19</v>
      </c>
      <c r="AX21" s="218">
        <v>285</v>
      </c>
      <c r="AY21" s="157" t="b">
        <f t="shared" si="9"/>
        <v>1</v>
      </c>
      <c r="AZ21" t="s">
        <v>121</v>
      </c>
      <c r="BA21" t="s">
        <v>68</v>
      </c>
      <c r="BB21">
        <v>5</v>
      </c>
      <c r="BC21" s="218">
        <v>140</v>
      </c>
    </row>
    <row r="22" spans="1:55" x14ac:dyDescent="0.35">
      <c r="A22" t="b">
        <f>COUNTIF(Inkjøp[],B22)&gt;0</f>
        <v>1</v>
      </c>
      <c r="B22" s="146" t="str">
        <v>Iskaffe Cappuccino U/sukker</v>
      </c>
      <c r="C22" s="131">
        <f>IFERROR(VLOOKUP(B22,GammelVipps[],2,FALSE),0)+IFERROR(VLOOKUP(B22,Sept[],3,FALSE),0)+IFERROR(VLOOKUP(B22,Oktober[],3,FALSE),0)+IFERROR(VLOOKUP(B22,November[],3,FALSE),0)+IFERROR(VLOOKUP(B22,Desember[],3,FALSE),0)+IFERROR(VLOOKUP(B22,Januar[],3,FALSE),0)+IFERROR(VLOOKUP(B22,Februar[],3,FALSE),0)+IFERROR(VLOOKUP(B22,Mars[],3,FALSE),0)+IFERROR(VLOOKUP(B22,April[],3,FALSE),0)+IFERROR(VLOOKUP(B22,Mai[],3,FALSE),0)</f>
        <v>73</v>
      </c>
      <c r="D22" s="131">
        <f>IFERROR(VLOOKUP(B22,GammelVipps[],3,FALSE),0)+IFERROR(VLOOKUP(B22,Sept[],4,FALSE),0)+IFERROR(VLOOKUP(B22,Oktober[],4,FALSE),0)+IFERROR(VLOOKUP(B22,November[],4,FALSE),0)+IFERROR(VLOOKUP(B22,Desember[],4,FALSE),0)+IFERROR(VLOOKUP(B22,Januar[],4,FALSE),0)+IFERROR(VLOOKUP(B22,Februar[],4,FALSE),0)+IFERROR(VLOOKUP(B22,Mars[],4,FALSE),0)+IFERROR(VLOOKUP(B22,April[],4,FALSE),0)+IFERROR(VLOOKUP(B22,Mai[],4,FALSE),0)</f>
        <v>1752</v>
      </c>
      <c r="F22" t="b">
        <f t="shared" si="0"/>
        <v>1</v>
      </c>
      <c r="G22" s="117" t="s">
        <v>113</v>
      </c>
      <c r="H22" s="131">
        <v>12</v>
      </c>
      <c r="I22" s="131">
        <v>288</v>
      </c>
      <c r="J22" s="131">
        <f>IFERROR(Vippsutskrifter!$I22/Vippsutskrifter!$H22,0)</f>
        <v>24</v>
      </c>
      <c r="K22" s="132" t="b">
        <f t="shared" si="1"/>
        <v>1</v>
      </c>
      <c r="L22" s="163" t="s">
        <v>137</v>
      </c>
      <c r="M22" s="163" t="s">
        <v>188</v>
      </c>
      <c r="N22" s="163">
        <v>29</v>
      </c>
      <c r="O22" s="164">
        <v>812</v>
      </c>
      <c r="P22" s="132" t="b">
        <f t="shared" si="2"/>
        <v>1</v>
      </c>
      <c r="Q22" s="163" t="s">
        <v>91</v>
      </c>
      <c r="R22" s="163" t="s">
        <v>189</v>
      </c>
      <c r="S22" s="163">
        <v>39</v>
      </c>
      <c r="T22" s="164">
        <v>1170</v>
      </c>
      <c r="U22" s="165" t="b">
        <f t="shared" si="3"/>
        <v>1</v>
      </c>
      <c r="V22" s="69" t="s">
        <v>141</v>
      </c>
      <c r="W22" s="69" t="s">
        <v>69</v>
      </c>
      <c r="X22" s="69">
        <v>27</v>
      </c>
      <c r="Y22" s="9">
        <v>270</v>
      </c>
      <c r="Z22" s="69" t="b">
        <f t="shared" si="4"/>
        <v>1</v>
      </c>
      <c r="AA22" t="s">
        <v>135</v>
      </c>
      <c r="AB22" t="s">
        <v>188</v>
      </c>
      <c r="AC22">
        <v>28</v>
      </c>
      <c r="AD22" s="82">
        <v>560</v>
      </c>
      <c r="AE22" s="157" t="b">
        <f t="shared" si="5"/>
        <v>1</v>
      </c>
      <c r="AF22" t="s">
        <v>98</v>
      </c>
      <c r="AG22" t="s">
        <v>189</v>
      </c>
      <c r="AH22">
        <v>27</v>
      </c>
      <c r="AI22" s="218">
        <v>729</v>
      </c>
      <c r="AJ22" s="157" t="b">
        <f t="shared" si="6"/>
        <v>1</v>
      </c>
      <c r="AK22" t="s">
        <v>144</v>
      </c>
      <c r="AL22" t="s">
        <v>69</v>
      </c>
      <c r="AM22">
        <v>23</v>
      </c>
      <c r="AN22" s="218">
        <v>345</v>
      </c>
      <c r="AO22" s="157" t="b">
        <f t="shared" si="7"/>
        <v>1</v>
      </c>
      <c r="AP22" t="s">
        <v>146</v>
      </c>
      <c r="AQ22" t="s">
        <v>192</v>
      </c>
      <c r="AR22">
        <v>26</v>
      </c>
      <c r="AS22" s="218">
        <v>468</v>
      </c>
      <c r="AT22" s="157" t="b">
        <f t="shared" si="8"/>
        <v>1</v>
      </c>
      <c r="AU22" t="s">
        <v>119</v>
      </c>
      <c r="AV22" t="s">
        <v>68</v>
      </c>
      <c r="AW22">
        <v>18</v>
      </c>
      <c r="AX22" s="218">
        <v>504</v>
      </c>
      <c r="AY22" s="157" t="b">
        <f t="shared" si="9"/>
        <v>1</v>
      </c>
      <c r="AZ22" t="s">
        <v>103</v>
      </c>
      <c r="BA22" t="s">
        <v>189</v>
      </c>
      <c r="BB22">
        <v>4</v>
      </c>
      <c r="BC22" s="218">
        <v>112</v>
      </c>
    </row>
    <row r="23" spans="1:55" x14ac:dyDescent="0.35">
      <c r="A23" t="b">
        <f>COUNTIF(Inkjøp[],B23)&gt;0</f>
        <v>1</v>
      </c>
      <c r="B23" s="146" t="str">
        <v>Iskaffe Latte U/sugar</v>
      </c>
      <c r="C23" s="131">
        <f>IFERROR(VLOOKUP(B23,GammelVipps[],2,FALSE),0)+IFERROR(VLOOKUP(B23,Sept[],3,FALSE),0)+IFERROR(VLOOKUP(B23,Oktober[],3,FALSE),0)+IFERROR(VLOOKUP(B23,November[],3,FALSE),0)+IFERROR(VLOOKUP(B23,Desember[],3,FALSE),0)+IFERROR(VLOOKUP(B23,Januar[],3,FALSE),0)+IFERROR(VLOOKUP(B23,Februar[],3,FALSE),0)+IFERROR(VLOOKUP(B23,Mars[],3,FALSE),0)+IFERROR(VLOOKUP(B23,April[],3,FALSE),0)+IFERROR(VLOOKUP(B23,Mai[],3,FALSE),0)</f>
        <v>130</v>
      </c>
      <c r="D23" s="131">
        <f>IFERROR(VLOOKUP(B23,GammelVipps[],3,FALSE),0)+IFERROR(VLOOKUP(B23,Sept[],4,FALSE),0)+IFERROR(VLOOKUP(B23,Oktober[],4,FALSE),0)+IFERROR(VLOOKUP(B23,November[],4,FALSE),0)+IFERROR(VLOOKUP(B23,Desember[],4,FALSE),0)+IFERROR(VLOOKUP(B23,Januar[],4,FALSE),0)+IFERROR(VLOOKUP(B23,Februar[],4,FALSE),0)+IFERROR(VLOOKUP(B23,Mars[],4,FALSE),0)+IFERROR(VLOOKUP(B23,April[],4,FALSE),0)+IFERROR(VLOOKUP(B23,Mai[],4,FALSE),0)</f>
        <v>3120</v>
      </c>
      <c r="F23" t="b">
        <f t="shared" si="0"/>
        <v>1</v>
      </c>
      <c r="G23" s="117" t="s">
        <v>114</v>
      </c>
      <c r="H23" s="133">
        <v>12</v>
      </c>
      <c r="I23" s="133">
        <v>288</v>
      </c>
      <c r="J23" s="133">
        <f>IFERROR(Vippsutskrifter!$I23/Vippsutskrifter!$H23,0)</f>
        <v>24</v>
      </c>
      <c r="K23" s="134" t="b">
        <f t="shared" si="1"/>
        <v>1</v>
      </c>
      <c r="L23" s="160" t="s">
        <v>107</v>
      </c>
      <c r="M23" s="160" t="s">
        <v>189</v>
      </c>
      <c r="N23" s="160">
        <v>27</v>
      </c>
      <c r="O23" s="161">
        <v>756</v>
      </c>
      <c r="P23" s="134" t="b">
        <f t="shared" si="2"/>
        <v>1</v>
      </c>
      <c r="Q23" s="160" t="s">
        <v>98</v>
      </c>
      <c r="R23" s="160" t="s">
        <v>189</v>
      </c>
      <c r="S23" s="160">
        <v>37</v>
      </c>
      <c r="T23" s="161">
        <v>999</v>
      </c>
      <c r="U23" s="162" t="b">
        <f t="shared" si="3"/>
        <v>1</v>
      </c>
      <c r="V23" s="69" t="s">
        <v>105</v>
      </c>
      <c r="W23" s="69" t="s">
        <v>189</v>
      </c>
      <c r="X23" s="69">
        <v>23</v>
      </c>
      <c r="Y23" s="9">
        <v>644</v>
      </c>
      <c r="Z23" s="69" t="b">
        <f t="shared" si="4"/>
        <v>1</v>
      </c>
      <c r="AA23" t="s">
        <v>149</v>
      </c>
      <c r="AB23" t="s">
        <v>69</v>
      </c>
      <c r="AC23">
        <v>26</v>
      </c>
      <c r="AD23" s="82">
        <v>468</v>
      </c>
      <c r="AE23" s="157" t="b">
        <f t="shared" si="5"/>
        <v>1</v>
      </c>
      <c r="AF23" t="s">
        <v>110</v>
      </c>
      <c r="AG23" t="s">
        <v>189</v>
      </c>
      <c r="AH23">
        <v>26</v>
      </c>
      <c r="AI23" s="218">
        <v>728</v>
      </c>
      <c r="AJ23" s="157" t="b">
        <f t="shared" si="6"/>
        <v>1</v>
      </c>
      <c r="AK23" t="s">
        <v>119</v>
      </c>
      <c r="AL23" t="s">
        <v>68</v>
      </c>
      <c r="AM23">
        <v>17</v>
      </c>
      <c r="AN23" s="218">
        <v>476</v>
      </c>
      <c r="AO23" s="157" t="b">
        <f t="shared" si="7"/>
        <v>1</v>
      </c>
      <c r="AP23" t="s">
        <v>91</v>
      </c>
      <c r="AQ23" t="s">
        <v>189</v>
      </c>
      <c r="AR23">
        <v>23</v>
      </c>
      <c r="AS23" s="218">
        <v>690</v>
      </c>
      <c r="AT23" s="157" t="b">
        <f t="shared" si="8"/>
        <v>1</v>
      </c>
      <c r="AU23" t="s">
        <v>115</v>
      </c>
      <c r="AV23" t="s">
        <v>190</v>
      </c>
      <c r="AW23">
        <v>16</v>
      </c>
      <c r="AX23" s="218">
        <v>384</v>
      </c>
      <c r="AY23" s="157" t="b">
        <f t="shared" si="9"/>
        <v>1</v>
      </c>
      <c r="AZ23" t="s">
        <v>153</v>
      </c>
      <c r="BA23" t="s">
        <v>69</v>
      </c>
      <c r="BB23">
        <v>3</v>
      </c>
      <c r="BC23" s="218">
        <v>24</v>
      </c>
    </row>
    <row r="24" spans="1:55" x14ac:dyDescent="0.35">
      <c r="A24" t="b">
        <f>COUNTIF(Inkjøp[],B24)&gt;0</f>
        <v>1</v>
      </c>
      <c r="B24" s="146" t="str">
        <v>Iskaffe Salty Caramel</v>
      </c>
      <c r="C24" s="131">
        <f>IFERROR(VLOOKUP(B24,GammelVipps[],2,FALSE),0)+IFERROR(VLOOKUP(B24,Sept[],3,FALSE),0)+IFERROR(VLOOKUP(B24,Oktober[],3,FALSE),0)+IFERROR(VLOOKUP(B24,November[],3,FALSE),0)+IFERROR(VLOOKUP(B24,Desember[],3,FALSE),0)+IFERROR(VLOOKUP(B24,Januar[],3,FALSE),0)+IFERROR(VLOOKUP(B24,Februar[],3,FALSE),0)+IFERROR(VLOOKUP(B24,Mars[],3,FALSE),0)+IFERROR(VLOOKUP(B24,April[],3,FALSE),0)+IFERROR(VLOOKUP(B24,Mai[],3,FALSE),0)</f>
        <v>140</v>
      </c>
      <c r="D24" s="131">
        <f>IFERROR(VLOOKUP(B24,GammelVipps[],3,FALSE),0)+IFERROR(VLOOKUP(B24,Sept[],4,FALSE),0)+IFERROR(VLOOKUP(B24,Oktober[],4,FALSE),0)+IFERROR(VLOOKUP(B24,November[],4,FALSE),0)+IFERROR(VLOOKUP(B24,Desember[],4,FALSE),0)+IFERROR(VLOOKUP(B24,Januar[],4,FALSE),0)+IFERROR(VLOOKUP(B24,Februar[],4,FALSE),0)+IFERROR(VLOOKUP(B24,Mars[],4,FALSE),0)+IFERROR(VLOOKUP(B24,April[],4,FALSE),0)+IFERROR(VLOOKUP(B24,Mai[],4,FALSE),0)</f>
        <v>3360</v>
      </c>
      <c r="F24" t="b">
        <f t="shared" si="0"/>
        <v>1</v>
      </c>
      <c r="G24" s="117" t="s">
        <v>115</v>
      </c>
      <c r="H24" s="131">
        <v>0</v>
      </c>
      <c r="I24" s="131">
        <v>0</v>
      </c>
      <c r="J24" s="131">
        <f>IFERROR(Vippsutskrifter!$I24/Vippsutskrifter!$H24,0)</f>
        <v>0</v>
      </c>
      <c r="K24" s="132" t="b">
        <f t="shared" si="1"/>
        <v>1</v>
      </c>
      <c r="L24" s="163" t="s">
        <v>123</v>
      </c>
      <c r="M24" s="163" t="s">
        <v>68</v>
      </c>
      <c r="N24" s="163">
        <v>27</v>
      </c>
      <c r="O24" s="164">
        <v>540</v>
      </c>
      <c r="P24" s="132" t="b">
        <f t="shared" si="2"/>
        <v>1</v>
      </c>
      <c r="Q24" s="163" t="s">
        <v>99</v>
      </c>
      <c r="R24" s="163" t="s">
        <v>189</v>
      </c>
      <c r="S24" s="163">
        <v>35</v>
      </c>
      <c r="T24" s="164">
        <v>945</v>
      </c>
      <c r="U24" s="165" t="b">
        <f t="shared" si="3"/>
        <v>1</v>
      </c>
      <c r="V24" s="69" t="s">
        <v>145</v>
      </c>
      <c r="W24" s="69" t="s">
        <v>192</v>
      </c>
      <c r="X24" s="69">
        <v>23</v>
      </c>
      <c r="Y24" s="9">
        <v>414</v>
      </c>
      <c r="Z24" s="69" t="b">
        <f t="shared" si="4"/>
        <v>1</v>
      </c>
      <c r="AA24" t="s">
        <v>118</v>
      </c>
      <c r="AB24" t="s">
        <v>190</v>
      </c>
      <c r="AC24">
        <v>25</v>
      </c>
      <c r="AD24" s="82">
        <v>375</v>
      </c>
      <c r="AE24" s="157" t="b">
        <f t="shared" si="5"/>
        <v>1</v>
      </c>
      <c r="AF24" t="s">
        <v>105</v>
      </c>
      <c r="AG24" t="s">
        <v>189</v>
      </c>
      <c r="AH24">
        <v>22</v>
      </c>
      <c r="AI24" s="218">
        <v>616</v>
      </c>
      <c r="AJ24" s="157" t="b">
        <f t="shared" si="6"/>
        <v>1</v>
      </c>
      <c r="AK24" t="s">
        <v>110</v>
      </c>
      <c r="AL24" t="s">
        <v>189</v>
      </c>
      <c r="AM24">
        <v>16</v>
      </c>
      <c r="AN24" s="218">
        <v>448</v>
      </c>
      <c r="AO24" s="157" t="b">
        <f t="shared" si="7"/>
        <v>1</v>
      </c>
      <c r="AP24" t="s">
        <v>118</v>
      </c>
      <c r="AQ24" t="s">
        <v>190</v>
      </c>
      <c r="AR24">
        <v>23</v>
      </c>
      <c r="AS24" s="218">
        <v>345</v>
      </c>
      <c r="AT24" s="157" t="b">
        <f t="shared" si="8"/>
        <v>1</v>
      </c>
      <c r="AU24" t="s">
        <v>99</v>
      </c>
      <c r="AV24" t="s">
        <v>189</v>
      </c>
      <c r="AW24">
        <v>15</v>
      </c>
      <c r="AX24" s="218">
        <v>405</v>
      </c>
      <c r="AY24" s="157" t="b">
        <f t="shared" si="9"/>
        <v>1</v>
      </c>
      <c r="AZ24" t="s">
        <v>114</v>
      </c>
      <c r="BA24" t="s">
        <v>190</v>
      </c>
      <c r="BB24">
        <v>3</v>
      </c>
      <c r="BC24" s="218">
        <v>72</v>
      </c>
    </row>
    <row r="25" spans="1:55" x14ac:dyDescent="0.35">
      <c r="A25" t="b">
        <f>COUNTIF(Inkjøp[],B25)&gt;0</f>
        <v>1</v>
      </c>
      <c r="B25" s="146" t="str">
        <v>Iskaffe Mocha</v>
      </c>
      <c r="C25" s="131">
        <f>IFERROR(VLOOKUP(B25,GammelVipps[],2,FALSE),0)+IFERROR(VLOOKUP(B25,Sept[],3,FALSE),0)+IFERROR(VLOOKUP(B25,Oktober[],3,FALSE),0)+IFERROR(VLOOKUP(B25,November[],3,FALSE),0)+IFERROR(VLOOKUP(B25,Desember[],3,FALSE),0)+IFERROR(VLOOKUP(B25,Januar[],3,FALSE),0)+IFERROR(VLOOKUP(B25,Februar[],3,FALSE),0)+IFERROR(VLOOKUP(B25,Mars[],3,FALSE),0)+IFERROR(VLOOKUP(B25,April[],3,FALSE),0)+IFERROR(VLOOKUP(B25,Mai[],3,FALSE),0)</f>
        <v>81</v>
      </c>
      <c r="D25" s="131">
        <f>IFERROR(VLOOKUP(B25,GammelVipps[],3,FALSE),0)+IFERROR(VLOOKUP(B25,Sept[],4,FALSE),0)+IFERROR(VLOOKUP(B25,Oktober[],4,FALSE),0)+IFERROR(VLOOKUP(B25,November[],4,FALSE),0)+IFERROR(VLOOKUP(B25,Desember[],4,FALSE),0)+IFERROR(VLOOKUP(B25,Januar[],4,FALSE),0)+IFERROR(VLOOKUP(B25,Februar[],4,FALSE),0)+IFERROR(VLOOKUP(B25,Mars[],4,FALSE),0)+IFERROR(VLOOKUP(B25,April[],4,FALSE),0)+IFERROR(VLOOKUP(B25,Mai[],4,FALSE),0)</f>
        <v>1944</v>
      </c>
      <c r="F25" t="b">
        <f t="shared" si="0"/>
        <v>1</v>
      </c>
      <c r="G25" s="117" t="s">
        <v>116</v>
      </c>
      <c r="H25" s="133">
        <v>12</v>
      </c>
      <c r="I25" s="133">
        <v>288</v>
      </c>
      <c r="J25" s="133">
        <f>IFERROR(Vippsutskrifter!$I25/Vippsutskrifter!$H25,0)</f>
        <v>24</v>
      </c>
      <c r="K25" s="134" t="b">
        <f t="shared" si="1"/>
        <v>1</v>
      </c>
      <c r="L25" s="160" t="s">
        <v>89</v>
      </c>
      <c r="M25" s="160" t="s">
        <v>189</v>
      </c>
      <c r="N25" s="160">
        <v>27</v>
      </c>
      <c r="O25" s="161">
        <v>810</v>
      </c>
      <c r="P25" s="134" t="b">
        <f t="shared" si="2"/>
        <v>1</v>
      </c>
      <c r="Q25" s="160" t="s">
        <v>115</v>
      </c>
      <c r="R25" s="160" t="s">
        <v>190</v>
      </c>
      <c r="S25" s="160">
        <v>34</v>
      </c>
      <c r="T25" s="161">
        <v>816</v>
      </c>
      <c r="U25" s="162" t="b">
        <f t="shared" si="3"/>
        <v>1</v>
      </c>
      <c r="V25" s="69" t="s">
        <v>123</v>
      </c>
      <c r="W25" s="69" t="s">
        <v>68</v>
      </c>
      <c r="X25" s="69">
        <v>21</v>
      </c>
      <c r="Y25" s="9">
        <v>420</v>
      </c>
      <c r="Z25" s="69" t="b">
        <f t="shared" si="4"/>
        <v>1</v>
      </c>
      <c r="AA25" t="s">
        <v>101</v>
      </c>
      <c r="AB25" t="s">
        <v>189</v>
      </c>
      <c r="AC25">
        <v>24</v>
      </c>
      <c r="AD25" s="82">
        <v>360</v>
      </c>
      <c r="AE25" s="157" t="b">
        <f t="shared" si="5"/>
        <v>1</v>
      </c>
      <c r="AF25" t="s">
        <v>125</v>
      </c>
      <c r="AG25" t="s">
        <v>68</v>
      </c>
      <c r="AH25">
        <v>17</v>
      </c>
      <c r="AI25" s="218">
        <v>476</v>
      </c>
      <c r="AJ25" s="157" t="b">
        <f t="shared" si="6"/>
        <v>1</v>
      </c>
      <c r="AK25" t="s">
        <v>98</v>
      </c>
      <c r="AL25" t="s">
        <v>189</v>
      </c>
      <c r="AM25">
        <v>16</v>
      </c>
      <c r="AN25" s="218">
        <v>432</v>
      </c>
      <c r="AO25" s="157" t="b">
        <f t="shared" si="7"/>
        <v>1</v>
      </c>
      <c r="AP25" t="s">
        <v>147</v>
      </c>
      <c r="AQ25" t="s">
        <v>192</v>
      </c>
      <c r="AR25">
        <v>21</v>
      </c>
      <c r="AS25" s="218">
        <v>378</v>
      </c>
      <c r="AT25" s="157" t="b">
        <f t="shared" si="8"/>
        <v>1</v>
      </c>
      <c r="AU25" t="s">
        <v>146</v>
      </c>
      <c r="AV25" t="s">
        <v>192</v>
      </c>
      <c r="AW25">
        <v>14</v>
      </c>
      <c r="AX25" s="218">
        <v>252</v>
      </c>
      <c r="AY25" s="157" t="b">
        <f t="shared" si="9"/>
        <v>1</v>
      </c>
      <c r="AZ25" t="s">
        <v>127</v>
      </c>
      <c r="BA25" t="s">
        <v>68</v>
      </c>
      <c r="BB25">
        <v>3</v>
      </c>
      <c r="BC25" s="218">
        <v>84</v>
      </c>
    </row>
    <row r="26" spans="1:55" x14ac:dyDescent="0.35">
      <c r="A26" t="b">
        <f>COUNTIF(Inkjøp[],B26)&gt;0</f>
        <v>1</v>
      </c>
      <c r="B26" s="146" t="str">
        <v>Iskaffe Pumpkin Spice</v>
      </c>
      <c r="C26" s="131">
        <f>IFERROR(VLOOKUP(B26,GammelVipps[],2,FALSE),0)+IFERROR(VLOOKUP(B26,Sept[],3,FALSE),0)+IFERROR(VLOOKUP(B26,Oktober[],3,FALSE),0)+IFERROR(VLOOKUP(B26,November[],3,FALSE),0)+IFERROR(VLOOKUP(B26,Desember[],3,FALSE),0)+IFERROR(VLOOKUP(B26,Januar[],3,FALSE),0)+IFERROR(VLOOKUP(B26,Februar[],3,FALSE),0)+IFERROR(VLOOKUP(B26,Mars[],3,FALSE),0)+IFERROR(VLOOKUP(B26,April[],3,FALSE),0)+IFERROR(VLOOKUP(B26,Mai[],3,FALSE),0)</f>
        <v>35</v>
      </c>
      <c r="D26" s="131">
        <f>IFERROR(VLOOKUP(B26,GammelVipps[],3,FALSE),0)+IFERROR(VLOOKUP(B26,Sept[],4,FALSE),0)+IFERROR(VLOOKUP(B26,Oktober[],4,FALSE),0)+IFERROR(VLOOKUP(B26,November[],4,FALSE),0)+IFERROR(VLOOKUP(B26,Desember[],4,FALSE),0)+IFERROR(VLOOKUP(B26,Januar[],4,FALSE),0)+IFERROR(VLOOKUP(B26,Februar[],4,FALSE),0)+IFERROR(VLOOKUP(B26,Mars[],4,FALSE),0)+IFERROR(VLOOKUP(B26,April[],4,FALSE),0)+IFERROR(VLOOKUP(B26,Mai[],4,FALSE),0)</f>
        <v>840</v>
      </c>
      <c r="F26" t="b">
        <f t="shared" si="0"/>
        <v>1</v>
      </c>
      <c r="G26" s="117" t="s">
        <v>117</v>
      </c>
      <c r="H26" s="131">
        <v>0</v>
      </c>
      <c r="I26" s="131">
        <v>0</v>
      </c>
      <c r="J26" s="131">
        <f>IFERROR(Vippsutskrifter!$I26/Vippsutskrifter!$H26,0)</f>
        <v>0</v>
      </c>
      <c r="K26" s="132" t="b">
        <f t="shared" si="1"/>
        <v>1</v>
      </c>
      <c r="L26" s="163" t="s">
        <v>130</v>
      </c>
      <c r="M26" s="163" t="s">
        <v>188</v>
      </c>
      <c r="N26" s="163">
        <v>26</v>
      </c>
      <c r="O26" s="164">
        <v>910</v>
      </c>
      <c r="P26" s="132" t="b">
        <f t="shared" si="2"/>
        <v>1</v>
      </c>
      <c r="Q26" s="163" t="s">
        <v>144</v>
      </c>
      <c r="R26" s="163" t="s">
        <v>69</v>
      </c>
      <c r="S26" s="163">
        <v>34</v>
      </c>
      <c r="T26" s="164">
        <v>510</v>
      </c>
      <c r="U26" s="165" t="b">
        <f t="shared" si="3"/>
        <v>1</v>
      </c>
      <c r="V26" s="69" t="s">
        <v>147</v>
      </c>
      <c r="W26" s="69" t="s">
        <v>192</v>
      </c>
      <c r="X26" s="69">
        <v>21</v>
      </c>
      <c r="Y26" s="9">
        <v>378</v>
      </c>
      <c r="Z26" s="69" t="b">
        <f t="shared" si="4"/>
        <v>1</v>
      </c>
      <c r="AA26" t="s">
        <v>93</v>
      </c>
      <c r="AB26" t="s">
        <v>189</v>
      </c>
      <c r="AC26">
        <v>23</v>
      </c>
      <c r="AD26" s="82">
        <v>621</v>
      </c>
      <c r="AE26" s="157" t="b">
        <f t="shared" si="5"/>
        <v>1</v>
      </c>
      <c r="AF26" t="s">
        <v>91</v>
      </c>
      <c r="AG26" t="s">
        <v>189</v>
      </c>
      <c r="AH26">
        <v>17</v>
      </c>
      <c r="AI26" s="218">
        <v>510</v>
      </c>
      <c r="AJ26" s="157" t="b">
        <f t="shared" si="6"/>
        <v>1</v>
      </c>
      <c r="AK26" t="s">
        <v>105</v>
      </c>
      <c r="AL26" t="s">
        <v>189</v>
      </c>
      <c r="AM26">
        <v>14</v>
      </c>
      <c r="AN26" s="218">
        <v>392</v>
      </c>
      <c r="AO26" s="157" t="b">
        <f t="shared" si="7"/>
        <v>1</v>
      </c>
      <c r="AP26" t="s">
        <v>105</v>
      </c>
      <c r="AQ26" t="s">
        <v>189</v>
      </c>
      <c r="AR26">
        <v>20</v>
      </c>
      <c r="AS26" s="218">
        <v>560</v>
      </c>
      <c r="AT26" s="157" t="b">
        <f t="shared" si="8"/>
        <v>1</v>
      </c>
      <c r="AU26" t="s">
        <v>91</v>
      </c>
      <c r="AV26" t="s">
        <v>189</v>
      </c>
      <c r="AW26">
        <v>13</v>
      </c>
      <c r="AX26" s="218">
        <v>390</v>
      </c>
      <c r="AY26" s="157" t="b">
        <f t="shared" si="9"/>
        <v>1</v>
      </c>
      <c r="AZ26" t="s">
        <v>146</v>
      </c>
      <c r="BA26" t="s">
        <v>192</v>
      </c>
      <c r="BB26">
        <v>3</v>
      </c>
      <c r="BC26" s="218">
        <v>54</v>
      </c>
    </row>
    <row r="27" spans="1:55" x14ac:dyDescent="0.35">
      <c r="A27" t="b">
        <f>COUNTIF(Inkjøp[],B27)&gt;0</f>
        <v>1</v>
      </c>
      <c r="B27" s="146" t="str">
        <v>Sjokomelk</v>
      </c>
      <c r="C27" s="131">
        <f>IFERROR(VLOOKUP(B27,GammelVipps[],2,FALSE),0)+IFERROR(VLOOKUP(B27,Sept[],3,FALSE),0)+IFERROR(VLOOKUP(B27,Oktober[],3,FALSE),0)+IFERROR(VLOOKUP(B27,November[],3,FALSE),0)+IFERROR(VLOOKUP(B27,Desember[],3,FALSE),0)+IFERROR(VLOOKUP(B27,Januar[],3,FALSE),0)+IFERROR(VLOOKUP(B27,Februar[],3,FALSE),0)+IFERROR(VLOOKUP(B27,Mars[],3,FALSE),0)+IFERROR(VLOOKUP(B27,April[],3,FALSE),0)+IFERROR(VLOOKUP(B27,Mai[],3,FALSE),0)</f>
        <v>359</v>
      </c>
      <c r="D27" s="131">
        <f>IFERROR(VLOOKUP(B27,GammelVipps[],3,FALSE),0)+IFERROR(VLOOKUP(B27,Sept[],4,FALSE),0)+IFERROR(VLOOKUP(B27,Oktober[],4,FALSE),0)+IFERROR(VLOOKUP(B27,November[],4,FALSE),0)+IFERROR(VLOOKUP(B27,Desember[],4,FALSE),0)+IFERROR(VLOOKUP(B27,Januar[],4,FALSE),0)+IFERROR(VLOOKUP(B27,Februar[],4,FALSE),0)+IFERROR(VLOOKUP(B27,Mars[],4,FALSE),0)+IFERROR(VLOOKUP(B27,April[],4,FALSE),0)+IFERROR(VLOOKUP(B27,Mai[],4,FALSE),0)</f>
        <v>5385</v>
      </c>
      <c r="F27" t="b">
        <f t="shared" si="0"/>
        <v>1</v>
      </c>
      <c r="G27" s="117" t="s">
        <v>118</v>
      </c>
      <c r="H27" s="133">
        <v>48</v>
      </c>
      <c r="I27" s="133">
        <v>720</v>
      </c>
      <c r="J27" s="133">
        <f>IFERROR(Vippsutskrifter!$I27/Vippsutskrifter!$H27,0)</f>
        <v>15</v>
      </c>
      <c r="K27" s="134" t="b">
        <f t="shared" si="1"/>
        <v>1</v>
      </c>
      <c r="L27" s="160" t="s">
        <v>144</v>
      </c>
      <c r="M27" s="160" t="s">
        <v>69</v>
      </c>
      <c r="N27" s="160">
        <v>25</v>
      </c>
      <c r="O27" s="161">
        <v>375</v>
      </c>
      <c r="P27" s="134" t="b">
        <f t="shared" si="2"/>
        <v>1</v>
      </c>
      <c r="Q27" s="160" t="s">
        <v>114</v>
      </c>
      <c r="R27" s="160" t="s">
        <v>190</v>
      </c>
      <c r="S27" s="160">
        <v>26</v>
      </c>
      <c r="T27" s="161">
        <v>624</v>
      </c>
      <c r="U27" s="162" t="b">
        <f t="shared" si="3"/>
        <v>1</v>
      </c>
      <c r="V27" s="69" t="s">
        <v>110</v>
      </c>
      <c r="W27" s="69" t="s">
        <v>189</v>
      </c>
      <c r="X27" s="69">
        <v>20</v>
      </c>
      <c r="Y27" s="9">
        <v>560</v>
      </c>
      <c r="Z27" s="69" t="b">
        <f t="shared" si="4"/>
        <v>1</v>
      </c>
      <c r="AA27" t="s">
        <v>105</v>
      </c>
      <c r="AB27" t="s">
        <v>189</v>
      </c>
      <c r="AC27">
        <v>22</v>
      </c>
      <c r="AD27" s="82">
        <v>616</v>
      </c>
      <c r="AE27" s="157" t="b">
        <f t="shared" si="5"/>
        <v>1</v>
      </c>
      <c r="AF27" t="s">
        <v>145</v>
      </c>
      <c r="AG27" t="s">
        <v>192</v>
      </c>
      <c r="AH27">
        <v>17</v>
      </c>
      <c r="AI27" s="218">
        <v>306</v>
      </c>
      <c r="AJ27" s="157" t="b">
        <f t="shared" si="6"/>
        <v>1</v>
      </c>
      <c r="AK27" t="s">
        <v>113</v>
      </c>
      <c r="AL27" t="s">
        <v>190</v>
      </c>
      <c r="AM27">
        <v>13</v>
      </c>
      <c r="AN27" s="218">
        <v>312</v>
      </c>
      <c r="AO27" s="157" t="b">
        <f t="shared" si="7"/>
        <v>1</v>
      </c>
      <c r="AP27" t="s">
        <v>344</v>
      </c>
      <c r="AQ27" t="s">
        <v>68</v>
      </c>
      <c r="AR27">
        <v>20</v>
      </c>
      <c r="AS27" s="218">
        <v>400</v>
      </c>
      <c r="AT27" s="157" t="b">
        <f t="shared" si="8"/>
        <v>1</v>
      </c>
      <c r="AU27" t="s">
        <v>105</v>
      </c>
      <c r="AV27" t="s">
        <v>189</v>
      </c>
      <c r="AW27">
        <v>12</v>
      </c>
      <c r="AX27" s="218">
        <v>336</v>
      </c>
      <c r="AY27" s="157" t="b">
        <f t="shared" si="9"/>
        <v>1</v>
      </c>
      <c r="AZ27" t="s">
        <v>93</v>
      </c>
      <c r="BA27" t="s">
        <v>189</v>
      </c>
      <c r="BB27">
        <v>3</v>
      </c>
      <c r="BC27" s="218">
        <v>81</v>
      </c>
    </row>
    <row r="28" spans="1:55" x14ac:dyDescent="0.35">
      <c r="A28" t="b">
        <f>COUNTIF(Inkjøp[],B28)&gt;0</f>
        <v>1</v>
      </c>
      <c r="B28" s="146" t="str">
        <v>Fanta Exotic</v>
      </c>
      <c r="C28" s="131">
        <f>IFERROR(VLOOKUP(B28,GammelVipps[],2,FALSE),0)+IFERROR(VLOOKUP(B28,Sept[],3,FALSE),0)+IFERROR(VLOOKUP(B28,Oktober[],3,FALSE),0)+IFERROR(VLOOKUP(B28,November[],3,FALSE),0)+IFERROR(VLOOKUP(B28,Desember[],3,FALSE),0)+IFERROR(VLOOKUP(B28,Januar[],3,FALSE),0)+IFERROR(VLOOKUP(B28,Februar[],3,FALSE),0)+IFERROR(VLOOKUP(B28,Mars[],3,FALSE),0)+IFERROR(VLOOKUP(B28,April[],3,FALSE),0)+IFERROR(VLOOKUP(B28,Mai[],3,FALSE),0)</f>
        <v>330</v>
      </c>
      <c r="D28" s="131">
        <f>IFERROR(VLOOKUP(B28,GammelVipps[],3,FALSE),0)+IFERROR(VLOOKUP(B28,Sept[],4,FALSE),0)+IFERROR(VLOOKUP(B28,Oktober[],4,FALSE),0)+IFERROR(VLOOKUP(B28,November[],4,FALSE),0)+IFERROR(VLOOKUP(B28,Desember[],4,FALSE),0)+IFERROR(VLOOKUP(B28,Januar[],4,FALSE),0)+IFERROR(VLOOKUP(B28,Februar[],4,FALSE),0)+IFERROR(VLOOKUP(B28,Mars[],4,FALSE),0)+IFERROR(VLOOKUP(B28,April[],4,FALSE),0)+IFERROR(VLOOKUP(B28,Mai[],4,FALSE),0)</f>
        <v>9240</v>
      </c>
      <c r="F28" t="b">
        <f t="shared" si="0"/>
        <v>1</v>
      </c>
      <c r="G28" s="117" t="s">
        <v>119</v>
      </c>
      <c r="H28" s="131">
        <v>33</v>
      </c>
      <c r="I28" s="131">
        <v>924</v>
      </c>
      <c r="J28" s="131">
        <f>IFERROR(Vippsutskrifter!$I28/Vippsutskrifter!$H28,0)</f>
        <v>28</v>
      </c>
      <c r="K28" s="132" t="b">
        <f t="shared" si="1"/>
        <v>1</v>
      </c>
      <c r="L28" s="163" t="s">
        <v>115</v>
      </c>
      <c r="M28" s="163" t="s">
        <v>190</v>
      </c>
      <c r="N28" s="163">
        <v>24</v>
      </c>
      <c r="O28" s="164">
        <v>576</v>
      </c>
      <c r="P28" s="132" t="b">
        <f t="shared" si="2"/>
        <v>1</v>
      </c>
      <c r="Q28" s="163" t="s">
        <v>126</v>
      </c>
      <c r="R28" s="163" t="s">
        <v>68</v>
      </c>
      <c r="S28" s="163">
        <v>26</v>
      </c>
      <c r="T28" s="164">
        <v>728</v>
      </c>
      <c r="U28" s="165" t="b">
        <f t="shared" si="3"/>
        <v>1</v>
      </c>
      <c r="V28" s="69" t="s">
        <v>125</v>
      </c>
      <c r="W28" s="69" t="s">
        <v>68</v>
      </c>
      <c r="X28" s="69">
        <v>19</v>
      </c>
      <c r="Y28" s="9">
        <v>532</v>
      </c>
      <c r="Z28" s="69" t="b">
        <f t="shared" si="4"/>
        <v>1</v>
      </c>
      <c r="AA28" t="s">
        <v>144</v>
      </c>
      <c r="AB28" t="s">
        <v>69</v>
      </c>
      <c r="AC28">
        <v>19</v>
      </c>
      <c r="AD28" s="82">
        <v>285</v>
      </c>
      <c r="AE28" s="157" t="b">
        <f t="shared" si="5"/>
        <v>1</v>
      </c>
      <c r="AF28" t="s">
        <v>112</v>
      </c>
      <c r="AG28" t="s">
        <v>190</v>
      </c>
      <c r="AH28">
        <v>15</v>
      </c>
      <c r="AI28" s="218">
        <v>360</v>
      </c>
      <c r="AJ28" s="157" t="b">
        <f t="shared" si="6"/>
        <v>1</v>
      </c>
      <c r="AK28" t="s">
        <v>154</v>
      </c>
      <c r="AL28" t="s">
        <v>192</v>
      </c>
      <c r="AM28">
        <v>13</v>
      </c>
      <c r="AN28" s="218">
        <v>78</v>
      </c>
      <c r="AO28" s="157" t="b">
        <f t="shared" si="7"/>
        <v>1</v>
      </c>
      <c r="AP28" t="s">
        <v>114</v>
      </c>
      <c r="AQ28" t="s">
        <v>190</v>
      </c>
      <c r="AR28">
        <v>18</v>
      </c>
      <c r="AS28" s="218">
        <v>432</v>
      </c>
      <c r="AT28" s="157" t="b">
        <f t="shared" si="8"/>
        <v>1</v>
      </c>
      <c r="AU28" t="s">
        <v>112</v>
      </c>
      <c r="AV28" t="s">
        <v>190</v>
      </c>
      <c r="AW28">
        <v>12</v>
      </c>
      <c r="AX28" s="218">
        <v>288</v>
      </c>
      <c r="AY28" s="157" t="b">
        <f t="shared" si="9"/>
        <v>1</v>
      </c>
      <c r="AZ28" t="s">
        <v>105</v>
      </c>
      <c r="BA28" t="s">
        <v>189</v>
      </c>
      <c r="BB28">
        <v>2</v>
      </c>
      <c r="BC28" s="218">
        <v>56</v>
      </c>
    </row>
    <row r="29" spans="1:55" x14ac:dyDescent="0.35">
      <c r="A29" t="b">
        <f>COUNTIF(Inkjøp[],B29)&gt;0</f>
        <v>1</v>
      </c>
      <c r="B29" s="146" t="str">
        <v>Fanta Orange</v>
      </c>
      <c r="C29" s="131">
        <f>IFERROR(VLOOKUP(B29,GammelVipps[],2,FALSE),0)+IFERROR(VLOOKUP(B29,Sept[],3,FALSE),0)+IFERROR(VLOOKUP(B29,Oktober[],3,FALSE),0)+IFERROR(VLOOKUP(B29,November[],3,FALSE),0)+IFERROR(VLOOKUP(B29,Desember[],3,FALSE),0)+IFERROR(VLOOKUP(B29,Januar[],3,FALSE),0)+IFERROR(VLOOKUP(B29,Februar[],3,FALSE),0)+IFERROR(VLOOKUP(B29,Mars[],3,FALSE),0)+IFERROR(VLOOKUP(B29,April[],3,FALSE),0)+IFERROR(VLOOKUP(B29,Mai[],3,FALSE),0)</f>
        <v>72</v>
      </c>
      <c r="D29" s="131">
        <f>IFERROR(VLOOKUP(B29,GammelVipps[],3,FALSE),0)+IFERROR(VLOOKUP(B29,Sept[],4,FALSE),0)+IFERROR(VLOOKUP(B29,Oktober[],4,FALSE),0)+IFERROR(VLOOKUP(B29,November[],4,FALSE),0)+IFERROR(VLOOKUP(B29,Desember[],4,FALSE),0)+IFERROR(VLOOKUP(B29,Januar[],4,FALSE),0)+IFERROR(VLOOKUP(B29,Februar[],4,FALSE),0)+IFERROR(VLOOKUP(B29,Mars[],4,FALSE),0)+IFERROR(VLOOKUP(B29,April[],4,FALSE),0)+IFERROR(VLOOKUP(B29,Mai[],4,FALSE),0)</f>
        <v>2016</v>
      </c>
      <c r="F29" t="b">
        <f t="shared" si="0"/>
        <v>1</v>
      </c>
      <c r="G29" s="117" t="s">
        <v>120</v>
      </c>
      <c r="H29" s="133">
        <v>15</v>
      </c>
      <c r="I29" s="133">
        <v>420</v>
      </c>
      <c r="J29" s="133">
        <f>IFERROR(Vippsutskrifter!$I29/Vippsutskrifter!$H29,0)</f>
        <v>28</v>
      </c>
      <c r="K29" s="134" t="b">
        <f t="shared" si="1"/>
        <v>1</v>
      </c>
      <c r="L29" s="160" t="s">
        <v>128</v>
      </c>
      <c r="M29" s="160" t="s">
        <v>188</v>
      </c>
      <c r="N29" s="160">
        <v>24</v>
      </c>
      <c r="O29" s="161">
        <v>840</v>
      </c>
      <c r="P29" s="134" t="b">
        <f t="shared" si="2"/>
        <v>1</v>
      </c>
      <c r="Q29" s="160" t="s">
        <v>156</v>
      </c>
      <c r="R29" s="160" t="s">
        <v>192</v>
      </c>
      <c r="S29" s="160">
        <v>25</v>
      </c>
      <c r="T29" s="161">
        <v>625</v>
      </c>
      <c r="U29" s="162" t="b">
        <f t="shared" si="3"/>
        <v>1</v>
      </c>
      <c r="V29" s="69" t="s">
        <v>152</v>
      </c>
      <c r="W29" s="69" t="s">
        <v>192</v>
      </c>
      <c r="X29" s="69">
        <v>19</v>
      </c>
      <c r="Y29" s="9">
        <v>285</v>
      </c>
      <c r="Z29" s="69" t="b">
        <f t="shared" si="4"/>
        <v>1</v>
      </c>
      <c r="AA29" t="s">
        <v>125</v>
      </c>
      <c r="AB29" t="s">
        <v>68</v>
      </c>
      <c r="AC29">
        <v>18</v>
      </c>
      <c r="AD29" s="82">
        <v>504</v>
      </c>
      <c r="AE29" s="157" t="b">
        <f t="shared" si="5"/>
        <v>1</v>
      </c>
      <c r="AF29" t="s">
        <v>116</v>
      </c>
      <c r="AG29" t="s">
        <v>190</v>
      </c>
      <c r="AH29">
        <v>15</v>
      </c>
      <c r="AI29" s="218">
        <v>360</v>
      </c>
      <c r="AJ29" s="157" t="b">
        <f t="shared" si="6"/>
        <v>1</v>
      </c>
      <c r="AK29" t="s">
        <v>115</v>
      </c>
      <c r="AL29" t="s">
        <v>190</v>
      </c>
      <c r="AM29">
        <v>12</v>
      </c>
      <c r="AN29" s="218">
        <v>288</v>
      </c>
      <c r="AO29" s="157" t="b">
        <f t="shared" si="7"/>
        <v>1</v>
      </c>
      <c r="AP29" t="s">
        <v>116</v>
      </c>
      <c r="AQ29" t="s">
        <v>190</v>
      </c>
      <c r="AR29">
        <v>18</v>
      </c>
      <c r="AS29" s="218">
        <v>432</v>
      </c>
      <c r="AT29" s="157" t="b">
        <f t="shared" si="8"/>
        <v>1</v>
      </c>
      <c r="AU29" t="s">
        <v>114</v>
      </c>
      <c r="AV29" t="s">
        <v>190</v>
      </c>
      <c r="AW29">
        <v>12</v>
      </c>
      <c r="AX29" s="218">
        <v>288</v>
      </c>
      <c r="AY29" s="157" t="b">
        <f t="shared" si="9"/>
        <v>1</v>
      </c>
      <c r="AZ29" t="s">
        <v>115</v>
      </c>
      <c r="BA29" t="s">
        <v>190</v>
      </c>
      <c r="BB29">
        <v>2</v>
      </c>
      <c r="BC29" s="218">
        <v>48</v>
      </c>
    </row>
    <row r="30" spans="1:55" x14ac:dyDescent="0.35">
      <c r="A30" t="b">
        <f>COUNTIF(Inkjøp[],B30)&gt;0</f>
        <v>1</v>
      </c>
      <c r="B30" s="146" t="str">
        <v>Urge</v>
      </c>
      <c r="C30" s="131">
        <f>IFERROR(VLOOKUP(B30,GammelVipps[],2,FALSE),0)+IFERROR(VLOOKUP(B30,Sept[],3,FALSE),0)+IFERROR(VLOOKUP(B30,Oktober[],3,FALSE),0)+IFERROR(VLOOKUP(B30,November[],3,FALSE),0)+IFERROR(VLOOKUP(B30,Desember[],3,FALSE),0)+IFERROR(VLOOKUP(B30,Januar[],3,FALSE),0)+IFERROR(VLOOKUP(B30,Februar[],3,FALSE),0)+IFERROR(VLOOKUP(B30,Mars[],3,FALSE),0)+IFERROR(VLOOKUP(B30,April[],3,FALSE),0)+IFERROR(VLOOKUP(B30,Mai[],3,FALSE),0)</f>
        <v>485</v>
      </c>
      <c r="D30" s="131">
        <f>IFERROR(VLOOKUP(B30,GammelVipps[],3,FALSE),0)+IFERROR(VLOOKUP(B30,Sept[],4,FALSE),0)+IFERROR(VLOOKUP(B30,Oktober[],4,FALSE),0)+IFERROR(VLOOKUP(B30,November[],4,FALSE),0)+IFERROR(VLOOKUP(B30,Desember[],4,FALSE),0)+IFERROR(VLOOKUP(B30,Januar[],4,FALSE),0)+IFERROR(VLOOKUP(B30,Februar[],4,FALSE),0)+IFERROR(VLOOKUP(B30,Mars[],4,FALSE),0)+IFERROR(VLOOKUP(B30,April[],4,FALSE),0)+IFERROR(VLOOKUP(B30,Mai[],4,FALSE),0)</f>
        <v>13580</v>
      </c>
      <c r="F30" t="b">
        <f t="shared" si="0"/>
        <v>1</v>
      </c>
      <c r="G30" s="117" t="s">
        <v>121</v>
      </c>
      <c r="H30" s="131">
        <v>48</v>
      </c>
      <c r="I30" s="131">
        <v>1344</v>
      </c>
      <c r="J30" s="131">
        <f>IFERROR(Vippsutskrifter!$I30/Vippsutskrifter!$H30,0)</f>
        <v>28</v>
      </c>
      <c r="K30" s="132" t="b">
        <f t="shared" si="1"/>
        <v>1</v>
      </c>
      <c r="L30" s="163" t="s">
        <v>147</v>
      </c>
      <c r="M30" s="163" t="s">
        <v>192</v>
      </c>
      <c r="N30" s="163">
        <v>23</v>
      </c>
      <c r="O30" s="164">
        <v>414</v>
      </c>
      <c r="P30" s="132" t="b">
        <f t="shared" si="2"/>
        <v>1</v>
      </c>
      <c r="Q30" s="163" t="s">
        <v>97</v>
      </c>
      <c r="R30" s="163" t="s">
        <v>189</v>
      </c>
      <c r="S30" s="163">
        <v>25</v>
      </c>
      <c r="T30" s="164">
        <v>675</v>
      </c>
      <c r="U30" s="165" t="b">
        <f t="shared" si="3"/>
        <v>1</v>
      </c>
      <c r="V30" s="69" t="s">
        <v>91</v>
      </c>
      <c r="W30" s="69" t="s">
        <v>189</v>
      </c>
      <c r="X30" s="69">
        <v>19</v>
      </c>
      <c r="Y30" s="9">
        <v>570</v>
      </c>
      <c r="Z30" s="69" t="b">
        <f t="shared" si="4"/>
        <v>1</v>
      </c>
      <c r="AA30" t="s">
        <v>152</v>
      </c>
      <c r="AB30" t="s">
        <v>192</v>
      </c>
      <c r="AC30">
        <v>18</v>
      </c>
      <c r="AD30" s="82">
        <v>270</v>
      </c>
      <c r="AE30" s="157" t="b">
        <f t="shared" si="5"/>
        <v>1</v>
      </c>
      <c r="AF30" t="s">
        <v>93</v>
      </c>
      <c r="AG30" t="s">
        <v>189</v>
      </c>
      <c r="AH30">
        <v>15</v>
      </c>
      <c r="AI30" s="218">
        <v>405</v>
      </c>
      <c r="AJ30" s="157" t="b">
        <f t="shared" si="6"/>
        <v>1</v>
      </c>
      <c r="AK30" t="s">
        <v>146</v>
      </c>
      <c r="AL30" t="s">
        <v>192</v>
      </c>
      <c r="AM30">
        <v>12</v>
      </c>
      <c r="AN30" s="218">
        <v>216</v>
      </c>
      <c r="AO30" s="157" t="b">
        <f t="shared" si="7"/>
        <v>1</v>
      </c>
      <c r="AP30" t="s">
        <v>115</v>
      </c>
      <c r="AQ30" t="s">
        <v>190</v>
      </c>
      <c r="AR30">
        <v>18</v>
      </c>
      <c r="AS30" s="218">
        <v>432</v>
      </c>
      <c r="AT30" s="157" t="b">
        <f t="shared" si="8"/>
        <v>1</v>
      </c>
      <c r="AU30" t="s">
        <v>147</v>
      </c>
      <c r="AV30" t="s">
        <v>192</v>
      </c>
      <c r="AW30">
        <v>12</v>
      </c>
      <c r="AX30" s="218">
        <v>216</v>
      </c>
      <c r="AY30" s="157" t="b">
        <f t="shared" si="9"/>
        <v>1</v>
      </c>
      <c r="AZ30" t="s">
        <v>126</v>
      </c>
      <c r="BA30" t="s">
        <v>68</v>
      </c>
      <c r="BB30">
        <v>2</v>
      </c>
      <c r="BC30" s="218">
        <v>56</v>
      </c>
    </row>
    <row r="31" spans="1:55" x14ac:dyDescent="0.35">
      <c r="A31" t="b">
        <f>COUNTIF(Inkjøp[],B31)&gt;0</f>
        <v>1</v>
      </c>
      <c r="B31" s="146" t="str">
        <v>Pepsi Max</v>
      </c>
      <c r="C31" s="131">
        <f>IFERROR(VLOOKUP(B31,GammelVipps[],2,FALSE),0)+IFERROR(VLOOKUP(B31,Sept[],3,FALSE),0)+IFERROR(VLOOKUP(B31,Oktober[],3,FALSE),0)+IFERROR(VLOOKUP(B31,November[],3,FALSE),0)+IFERROR(VLOOKUP(B31,Desember[],3,FALSE),0)+IFERROR(VLOOKUP(B31,Januar[],3,FALSE),0)+IFERROR(VLOOKUP(B31,Februar[],3,FALSE),0)+IFERROR(VLOOKUP(B31,Mars[],3,FALSE),0)+IFERROR(VLOOKUP(B31,April[],3,FALSE),0)+IFERROR(VLOOKUP(B31,Mai[],3,FALSE),0)</f>
        <v>834</v>
      </c>
      <c r="D31" s="131">
        <f>IFERROR(VLOOKUP(B31,GammelVipps[],3,FALSE),0)+IFERROR(VLOOKUP(B31,Sept[],4,FALSE),0)+IFERROR(VLOOKUP(B31,Oktober[],4,FALSE),0)+IFERROR(VLOOKUP(B31,November[],4,FALSE),0)+IFERROR(VLOOKUP(B31,Desember[],4,FALSE),0)+IFERROR(VLOOKUP(B31,Januar[],4,FALSE),0)+IFERROR(VLOOKUP(B31,Februar[],4,FALSE),0)+IFERROR(VLOOKUP(B31,Mars[],4,FALSE),0)+IFERROR(VLOOKUP(B31,April[],4,FALSE),0)+IFERROR(VLOOKUP(B31,Mai[],4,FALSE),0)</f>
        <v>16680</v>
      </c>
      <c r="F31" t="b">
        <f t="shared" si="0"/>
        <v>1</v>
      </c>
      <c r="G31" s="117" t="s">
        <v>122</v>
      </c>
      <c r="H31" s="133">
        <v>80</v>
      </c>
      <c r="I31" s="133">
        <v>1600</v>
      </c>
      <c r="J31" s="133">
        <f>IFERROR(Vippsutskrifter!$I31/Vippsutskrifter!$H31,0)</f>
        <v>20</v>
      </c>
      <c r="K31" s="134" t="b">
        <f t="shared" si="1"/>
        <v>1</v>
      </c>
      <c r="L31" s="160" t="s">
        <v>113</v>
      </c>
      <c r="M31" s="160" t="s">
        <v>190</v>
      </c>
      <c r="N31" s="160">
        <v>22</v>
      </c>
      <c r="O31" s="161">
        <v>528</v>
      </c>
      <c r="P31" s="134" t="b">
        <f t="shared" si="2"/>
        <v>1</v>
      </c>
      <c r="Q31" s="160" t="s">
        <v>103</v>
      </c>
      <c r="R31" s="160" t="s">
        <v>189</v>
      </c>
      <c r="S31" s="160">
        <v>23</v>
      </c>
      <c r="T31" s="161">
        <v>644</v>
      </c>
      <c r="U31" s="162" t="b">
        <f t="shared" si="3"/>
        <v>1</v>
      </c>
      <c r="V31" s="69" t="s">
        <v>92</v>
      </c>
      <c r="W31" s="69" t="s">
        <v>189</v>
      </c>
      <c r="X31" s="69">
        <v>18</v>
      </c>
      <c r="Y31" s="9">
        <v>540</v>
      </c>
      <c r="Z31" s="69" t="b">
        <f t="shared" si="4"/>
        <v>1</v>
      </c>
      <c r="AA31" t="s">
        <v>115</v>
      </c>
      <c r="AB31" t="s">
        <v>190</v>
      </c>
      <c r="AC31">
        <v>15</v>
      </c>
      <c r="AD31" s="82">
        <v>360</v>
      </c>
      <c r="AE31" s="157" t="b">
        <f t="shared" si="5"/>
        <v>1</v>
      </c>
      <c r="AF31" t="s">
        <v>120</v>
      </c>
      <c r="AG31" t="s">
        <v>68</v>
      </c>
      <c r="AH31">
        <v>13</v>
      </c>
      <c r="AI31" s="218">
        <v>364</v>
      </c>
      <c r="AJ31" s="157" t="b">
        <f t="shared" si="6"/>
        <v>1</v>
      </c>
      <c r="AK31" t="s">
        <v>93</v>
      </c>
      <c r="AL31" t="s">
        <v>189</v>
      </c>
      <c r="AM31">
        <v>12</v>
      </c>
      <c r="AN31" s="218">
        <v>324</v>
      </c>
      <c r="AO31" s="157" t="b">
        <f t="shared" si="7"/>
        <v>1</v>
      </c>
      <c r="AP31" t="s">
        <v>149</v>
      </c>
      <c r="AQ31" t="s">
        <v>69</v>
      </c>
      <c r="AR31">
        <v>18</v>
      </c>
      <c r="AS31" s="218">
        <v>324</v>
      </c>
      <c r="AT31" s="157" t="b">
        <f t="shared" si="8"/>
        <v>1</v>
      </c>
      <c r="AU31" t="s">
        <v>144</v>
      </c>
      <c r="AV31" t="s">
        <v>69</v>
      </c>
      <c r="AW31">
        <v>11</v>
      </c>
      <c r="AX31" s="218">
        <v>165</v>
      </c>
      <c r="AY31" s="157" t="b">
        <f t="shared" si="9"/>
        <v>1</v>
      </c>
      <c r="AZ31" t="s">
        <v>145</v>
      </c>
      <c r="BA31" t="s">
        <v>192</v>
      </c>
      <c r="BB31">
        <v>2</v>
      </c>
      <c r="BC31" s="218">
        <v>36</v>
      </c>
    </row>
    <row r="32" spans="1:55" x14ac:dyDescent="0.35">
      <c r="A32" t="b">
        <f>COUNTIF(Inkjøp[],B32)&gt;0</f>
        <v>1</v>
      </c>
      <c r="B32" s="146" t="str">
        <v>Coca Cola</v>
      </c>
      <c r="C32" s="131">
        <f>IFERROR(VLOOKUP(B32,GammelVipps[],2,FALSE),0)+IFERROR(VLOOKUP(B32,Sept[],3,FALSE),0)+IFERROR(VLOOKUP(B32,Oktober[],3,FALSE),0)+IFERROR(VLOOKUP(B32,November[],3,FALSE),0)+IFERROR(VLOOKUP(B32,Desember[],3,FALSE),0)+IFERROR(VLOOKUP(B32,Januar[],3,FALSE),0)+IFERROR(VLOOKUP(B32,Februar[],3,FALSE),0)+IFERROR(VLOOKUP(B32,Mars[],3,FALSE),0)+IFERROR(VLOOKUP(B32,April[],3,FALSE),0)+IFERROR(VLOOKUP(B32,Mai[],3,FALSE),0)</f>
        <v>346</v>
      </c>
      <c r="D32" s="131">
        <f>IFERROR(VLOOKUP(B32,GammelVipps[],3,FALSE),0)+IFERROR(VLOOKUP(B32,Sept[],4,FALSE),0)+IFERROR(VLOOKUP(B32,Oktober[],4,FALSE),0)+IFERROR(VLOOKUP(B32,November[],4,FALSE),0)+IFERROR(VLOOKUP(B32,Desember[],4,FALSE),0)+IFERROR(VLOOKUP(B32,Januar[],4,FALSE),0)+IFERROR(VLOOKUP(B32,Februar[],4,FALSE),0)+IFERROR(VLOOKUP(B32,Mars[],4,FALSE),0)+IFERROR(VLOOKUP(B32,April[],4,FALSE),0)+IFERROR(VLOOKUP(B32,Mai[],4,FALSE),0)</f>
        <v>6920</v>
      </c>
      <c r="F32" t="b">
        <f t="shared" si="0"/>
        <v>1</v>
      </c>
      <c r="G32" s="117" t="s">
        <v>123</v>
      </c>
      <c r="H32" s="131">
        <v>0</v>
      </c>
      <c r="I32" s="131">
        <v>0</v>
      </c>
      <c r="J32" s="131">
        <f>IFERROR(Vippsutskrifter!$I32/Vippsutskrifter!$H32,0)</f>
        <v>0</v>
      </c>
      <c r="K32" s="132" t="b">
        <f t="shared" si="1"/>
        <v>1</v>
      </c>
      <c r="L32" s="163" t="s">
        <v>146</v>
      </c>
      <c r="M32" s="163" t="s">
        <v>192</v>
      </c>
      <c r="N32" s="163">
        <v>20</v>
      </c>
      <c r="O32" s="164">
        <v>360</v>
      </c>
      <c r="P32" s="132" t="b">
        <f t="shared" si="2"/>
        <v>1</v>
      </c>
      <c r="Q32" s="163" t="s">
        <v>152</v>
      </c>
      <c r="R32" s="163" t="s">
        <v>192</v>
      </c>
      <c r="S32" s="163">
        <v>23</v>
      </c>
      <c r="T32" s="164">
        <v>345</v>
      </c>
      <c r="U32" s="165" t="b">
        <f t="shared" si="3"/>
        <v>1</v>
      </c>
      <c r="V32" s="69" t="s">
        <v>146</v>
      </c>
      <c r="W32" s="69" t="s">
        <v>192</v>
      </c>
      <c r="X32" s="69">
        <v>17</v>
      </c>
      <c r="Y32" s="9">
        <v>306</v>
      </c>
      <c r="Z32" s="69" t="b">
        <f t="shared" si="4"/>
        <v>1</v>
      </c>
      <c r="AA32" t="s">
        <v>110</v>
      </c>
      <c r="AB32" t="s">
        <v>189</v>
      </c>
      <c r="AC32">
        <v>14</v>
      </c>
      <c r="AD32" s="82">
        <v>392</v>
      </c>
      <c r="AE32" s="157" t="b">
        <f t="shared" si="5"/>
        <v>1</v>
      </c>
      <c r="AF32" t="s">
        <v>114</v>
      </c>
      <c r="AG32" t="s">
        <v>190</v>
      </c>
      <c r="AH32">
        <v>13</v>
      </c>
      <c r="AI32" s="218">
        <v>312</v>
      </c>
      <c r="AJ32" s="157" t="b">
        <f t="shared" si="6"/>
        <v>1</v>
      </c>
      <c r="AK32" t="s">
        <v>125</v>
      </c>
      <c r="AL32" t="s">
        <v>68</v>
      </c>
      <c r="AM32">
        <v>11</v>
      </c>
      <c r="AN32" s="218">
        <v>308</v>
      </c>
      <c r="AO32" s="157" t="b">
        <f t="shared" si="7"/>
        <v>1</v>
      </c>
      <c r="AP32" t="s">
        <v>100</v>
      </c>
      <c r="AQ32" t="s">
        <v>189</v>
      </c>
      <c r="AR32">
        <v>17</v>
      </c>
      <c r="AS32" s="218">
        <v>354</v>
      </c>
      <c r="AT32" s="157" t="b">
        <f t="shared" si="8"/>
        <v>1</v>
      </c>
      <c r="AU32" t="s">
        <v>153</v>
      </c>
      <c r="AV32" t="s">
        <v>69</v>
      </c>
      <c r="AW32">
        <v>10</v>
      </c>
      <c r="AX32" s="218">
        <v>80</v>
      </c>
      <c r="AY32" s="157" t="b">
        <f t="shared" si="9"/>
        <v>1</v>
      </c>
      <c r="AZ32" t="s">
        <v>147</v>
      </c>
      <c r="BA32" t="s">
        <v>192</v>
      </c>
      <c r="BB32">
        <v>2</v>
      </c>
      <c r="BC32" s="218">
        <v>36</v>
      </c>
    </row>
    <row r="33" spans="1:55" x14ac:dyDescent="0.35">
      <c r="A33" t="b">
        <f>COUNTIF(Inkjøp[],B33)&gt;0</f>
        <v>1</v>
      </c>
      <c r="B33" s="147" t="str">
        <v>Coca Cola Zero</v>
      </c>
      <c r="C33" s="131">
        <f>IFERROR(VLOOKUP(B33,GammelVipps[],2,FALSE),0)+IFERROR(VLOOKUP(B33,Sept[],3,FALSE),0)+IFERROR(VLOOKUP(B33,Oktober[],3,FALSE),0)+IFERROR(VLOOKUP(B33,November[],3,FALSE),0)+IFERROR(VLOOKUP(B33,Desember[],3,FALSE),0)+IFERROR(VLOOKUP(B33,Januar[],3,FALSE),0)+IFERROR(VLOOKUP(B33,Februar[],3,FALSE),0)+IFERROR(VLOOKUP(B33,Mars[],3,FALSE),0)+IFERROR(VLOOKUP(B33,April[],3,FALSE),0)+IFERROR(VLOOKUP(B33,Mai[],3,FALSE),0)</f>
        <v>117</v>
      </c>
      <c r="D33" s="131">
        <f>IFERROR(VLOOKUP(B33,GammelVipps[],3,FALSE),0)+IFERROR(VLOOKUP(B33,Sept[],4,FALSE),0)+IFERROR(VLOOKUP(B33,Oktober[],4,FALSE),0)+IFERROR(VLOOKUP(B33,November[],4,FALSE),0)+IFERROR(VLOOKUP(B33,Desember[],4,FALSE),0)+IFERROR(VLOOKUP(B33,Januar[],4,FALSE),0)+IFERROR(VLOOKUP(B33,Februar[],4,FALSE),0)+IFERROR(VLOOKUP(B33,Mars[],4,FALSE),0)+IFERROR(VLOOKUP(B33,April[],4,FALSE),0)+IFERROR(VLOOKUP(B33,Mai[],4,FALSE),0)</f>
        <v>2340</v>
      </c>
      <c r="F33" t="b">
        <f t="shared" si="0"/>
        <v>1</v>
      </c>
      <c r="G33" s="118" t="s">
        <v>124</v>
      </c>
      <c r="H33" s="133">
        <v>0</v>
      </c>
      <c r="I33" s="133">
        <v>0</v>
      </c>
      <c r="J33" s="133">
        <f>IFERROR(Vippsutskrifter!$I33/Vippsutskrifter!$H33,0)</f>
        <v>0</v>
      </c>
      <c r="K33" s="134" t="b">
        <f t="shared" si="1"/>
        <v>1</v>
      </c>
      <c r="L33" s="160" t="s">
        <v>156</v>
      </c>
      <c r="M33" s="160" t="s">
        <v>192</v>
      </c>
      <c r="N33" s="160">
        <v>19</v>
      </c>
      <c r="O33" s="161">
        <v>475</v>
      </c>
      <c r="P33" s="134" t="b">
        <f t="shared" si="2"/>
        <v>1</v>
      </c>
      <c r="Q33" s="160" t="s">
        <v>111</v>
      </c>
      <c r="R33" s="160" t="s">
        <v>189</v>
      </c>
      <c r="S33" s="160">
        <v>22</v>
      </c>
      <c r="T33" s="161">
        <v>660</v>
      </c>
      <c r="U33" s="162" t="b">
        <f t="shared" si="3"/>
        <v>1</v>
      </c>
      <c r="V33" s="69" t="s">
        <v>112</v>
      </c>
      <c r="W33" s="69" t="s">
        <v>190</v>
      </c>
      <c r="X33" s="69">
        <v>16</v>
      </c>
      <c r="Y33" s="9">
        <v>384</v>
      </c>
      <c r="Z33" s="69" t="b">
        <f t="shared" si="4"/>
        <v>1</v>
      </c>
      <c r="AA33" t="s">
        <v>147</v>
      </c>
      <c r="AB33" t="s">
        <v>192</v>
      </c>
      <c r="AC33">
        <v>14</v>
      </c>
      <c r="AD33" s="82">
        <v>252</v>
      </c>
      <c r="AE33" s="157" t="b">
        <f t="shared" si="5"/>
        <v>1</v>
      </c>
      <c r="AF33" t="s">
        <v>141</v>
      </c>
      <c r="AG33" t="s">
        <v>69</v>
      </c>
      <c r="AH33">
        <v>13</v>
      </c>
      <c r="AI33" s="218">
        <v>130</v>
      </c>
      <c r="AJ33" s="157" t="b">
        <f t="shared" si="6"/>
        <v>1</v>
      </c>
      <c r="AK33" t="s">
        <v>112</v>
      </c>
      <c r="AL33" t="s">
        <v>190</v>
      </c>
      <c r="AM33">
        <v>11</v>
      </c>
      <c r="AN33" s="218">
        <v>264</v>
      </c>
      <c r="AO33" s="157" t="b">
        <f t="shared" si="7"/>
        <v>1</v>
      </c>
      <c r="AP33" t="s">
        <v>141</v>
      </c>
      <c r="AQ33" t="s">
        <v>69</v>
      </c>
      <c r="AR33">
        <v>17</v>
      </c>
      <c r="AS33" s="218">
        <v>170</v>
      </c>
      <c r="AT33" s="157" t="b">
        <f t="shared" si="8"/>
        <v>1</v>
      </c>
      <c r="AU33" t="s">
        <v>111</v>
      </c>
      <c r="AV33" t="s">
        <v>189</v>
      </c>
      <c r="AW33">
        <v>7</v>
      </c>
      <c r="AX33" s="218">
        <v>210</v>
      </c>
      <c r="AY33" s="157" t="b">
        <f t="shared" si="9"/>
        <v>1</v>
      </c>
      <c r="AZ33" t="s">
        <v>111</v>
      </c>
      <c r="BA33" t="s">
        <v>189</v>
      </c>
      <c r="BB33">
        <v>1</v>
      </c>
      <c r="BC33" s="218">
        <v>30</v>
      </c>
    </row>
    <row r="34" spans="1:55" x14ac:dyDescent="0.35">
      <c r="A34" t="b">
        <f>COUNTIF(Inkjøp[],B34)&gt;0</f>
        <v>1</v>
      </c>
      <c r="B34" s="147" t="str">
        <v>Iste</v>
      </c>
      <c r="C34" s="131">
        <f>IFERROR(VLOOKUP(B34,GammelVipps[],2,FALSE),0)+IFERROR(VLOOKUP(B34,Sept[],3,FALSE),0)+IFERROR(VLOOKUP(B34,Oktober[],3,FALSE),0)+IFERROR(VLOOKUP(B34,November[],3,FALSE),0)+IFERROR(VLOOKUP(B34,Desember[],3,FALSE),0)+IFERROR(VLOOKUP(B34,Januar[],3,FALSE),0)+IFERROR(VLOOKUP(B34,Februar[],3,FALSE),0)+IFERROR(VLOOKUP(B34,Mars[],3,FALSE),0)+IFERROR(VLOOKUP(B34,April[],3,FALSE),0)+IFERROR(VLOOKUP(B34,Mai[],3,FALSE),0)</f>
        <v>90</v>
      </c>
      <c r="D34" s="131">
        <f>IFERROR(VLOOKUP(B34,GammelVipps[],3,FALSE),0)+IFERROR(VLOOKUP(B34,Sept[],4,FALSE),0)+IFERROR(VLOOKUP(B34,Oktober[],4,FALSE),0)+IFERROR(VLOOKUP(B34,November[],4,FALSE),0)+IFERROR(VLOOKUP(B34,Desember[],4,FALSE),0)+IFERROR(VLOOKUP(B34,Januar[],4,FALSE),0)+IFERROR(VLOOKUP(B34,Februar[],4,FALSE),0)+IFERROR(VLOOKUP(B34,Mars[],4,FALSE),0)+IFERROR(VLOOKUP(B34,April[],4,FALSE),0)+IFERROR(VLOOKUP(B34,Mai[],4,FALSE),0)</f>
        <v>2520</v>
      </c>
      <c r="F34" t="b">
        <f t="shared" ref="F34:F61" si="10">COUNTIF(B:B,G34)&gt;0</f>
        <v>1</v>
      </c>
      <c r="G34" s="118" t="s">
        <v>126</v>
      </c>
      <c r="H34" s="131">
        <v>0</v>
      </c>
      <c r="I34" s="131">
        <v>0</v>
      </c>
      <c r="J34" s="131">
        <f>IFERROR(Vippsutskrifter!$I34/Vippsutskrifter!$H34,0)</f>
        <v>0</v>
      </c>
      <c r="K34" s="132" t="b">
        <f t="shared" ref="K34:K58" si="11">COUNTIF($B:$B,L34)&gt;0</f>
        <v>1</v>
      </c>
      <c r="L34" s="163" t="s">
        <v>102</v>
      </c>
      <c r="M34" s="163" t="s">
        <v>189</v>
      </c>
      <c r="N34" s="163">
        <v>18</v>
      </c>
      <c r="O34" s="164">
        <v>270</v>
      </c>
      <c r="P34" s="132" t="b">
        <f t="shared" ref="P34:P59" si="12">COUNTIF($B:$B,Q34)&gt;0</f>
        <v>1</v>
      </c>
      <c r="Q34" s="163" t="s">
        <v>124</v>
      </c>
      <c r="R34" s="163" t="s">
        <v>68</v>
      </c>
      <c r="S34" s="163">
        <v>21</v>
      </c>
      <c r="T34" s="164">
        <v>420</v>
      </c>
      <c r="U34" s="165" t="b">
        <f t="shared" si="3"/>
        <v>1</v>
      </c>
      <c r="V34" s="69" t="s">
        <v>97</v>
      </c>
      <c r="W34" s="69" t="s">
        <v>189</v>
      </c>
      <c r="X34" s="69">
        <v>16</v>
      </c>
      <c r="Y34" s="9">
        <v>432</v>
      </c>
      <c r="Z34" s="69" t="b">
        <f t="shared" si="4"/>
        <v>1</v>
      </c>
      <c r="AA34" t="s">
        <v>146</v>
      </c>
      <c r="AB34" t="s">
        <v>192</v>
      </c>
      <c r="AC34">
        <v>14</v>
      </c>
      <c r="AD34" s="82">
        <v>252</v>
      </c>
      <c r="AE34" s="157" t="b">
        <f t="shared" si="5"/>
        <v>1</v>
      </c>
      <c r="AF34" t="s">
        <v>126</v>
      </c>
      <c r="AG34" t="s">
        <v>68</v>
      </c>
      <c r="AH34">
        <v>12</v>
      </c>
      <c r="AI34" s="218">
        <v>336</v>
      </c>
      <c r="AJ34" s="157" t="b">
        <f t="shared" si="6"/>
        <v>1</v>
      </c>
      <c r="AK34" t="s">
        <v>114</v>
      </c>
      <c r="AL34" t="s">
        <v>190</v>
      </c>
      <c r="AM34">
        <v>11</v>
      </c>
      <c r="AN34" s="218">
        <v>264</v>
      </c>
      <c r="AO34" s="157" t="b">
        <f t="shared" si="7"/>
        <v>1</v>
      </c>
      <c r="AP34" t="s">
        <v>144</v>
      </c>
      <c r="AQ34" t="s">
        <v>69</v>
      </c>
      <c r="AR34">
        <v>16</v>
      </c>
      <c r="AS34" s="218">
        <v>240</v>
      </c>
      <c r="AT34" s="157" t="b">
        <f t="shared" si="8"/>
        <v>1</v>
      </c>
      <c r="AU34" t="s">
        <v>93</v>
      </c>
      <c r="AV34" t="s">
        <v>189</v>
      </c>
      <c r="AW34">
        <v>7</v>
      </c>
      <c r="AX34" s="218">
        <v>189</v>
      </c>
      <c r="AY34" s="157" t="b">
        <f t="shared" si="9"/>
        <v>1</v>
      </c>
      <c r="AZ34" t="s">
        <v>144</v>
      </c>
      <c r="BA34" t="s">
        <v>69</v>
      </c>
      <c r="BB34">
        <v>1</v>
      </c>
      <c r="BC34" s="218">
        <v>15</v>
      </c>
    </row>
    <row r="35" spans="1:55" x14ac:dyDescent="0.35">
      <c r="A35" t="b">
        <f>COUNTIF(Inkjøp[],B35)&gt;0</f>
        <v>1</v>
      </c>
      <c r="B35" s="147" t="str">
        <v>Iste U/sukker</v>
      </c>
      <c r="C35" s="131">
        <f>IFERROR(VLOOKUP(B35,GammelVipps[],2,FALSE),0)+IFERROR(VLOOKUP(B35,Sept[],3,FALSE),0)+IFERROR(VLOOKUP(B35,Oktober[],3,FALSE),0)+IFERROR(VLOOKUP(B35,November[],3,FALSE),0)+IFERROR(VLOOKUP(B35,Desember[],3,FALSE),0)+IFERROR(VLOOKUP(B35,Januar[],3,FALSE),0)+IFERROR(VLOOKUP(B35,Februar[],3,FALSE),0)+IFERROR(VLOOKUP(B35,Mars[],3,FALSE),0)+IFERROR(VLOOKUP(B35,April[],3,FALSE),0)+IFERROR(VLOOKUP(B35,Mai[],3,FALSE),0)</f>
        <v>62</v>
      </c>
      <c r="D35" s="131">
        <f>IFERROR(VLOOKUP(B35,GammelVipps[],3,FALSE),0)+IFERROR(VLOOKUP(B35,Sept[],4,FALSE),0)+IFERROR(VLOOKUP(B35,Oktober[],4,FALSE),0)+IFERROR(VLOOKUP(B35,November[],4,FALSE),0)+IFERROR(VLOOKUP(B35,Desember[],4,FALSE),0)+IFERROR(VLOOKUP(B35,Januar[],4,FALSE),0)+IFERROR(VLOOKUP(B35,Februar[],4,FALSE),0)+IFERROR(VLOOKUP(B35,Mars[],4,FALSE),0)+IFERROR(VLOOKUP(B35,April[],4,FALSE),0)+IFERROR(VLOOKUP(B35,Mai[],4,FALSE),0)</f>
        <v>1736</v>
      </c>
      <c r="F35" t="b">
        <f t="shared" si="10"/>
        <v>1</v>
      </c>
      <c r="G35" s="118" t="s">
        <v>127</v>
      </c>
      <c r="H35" s="133">
        <v>0</v>
      </c>
      <c r="I35" s="133">
        <v>0</v>
      </c>
      <c r="J35" s="133">
        <f>IFERROR(Vippsutskrifter!$I35/Vippsutskrifter!$H35,0)</f>
        <v>0</v>
      </c>
      <c r="K35" s="134" t="b">
        <f t="shared" si="11"/>
        <v>1</v>
      </c>
      <c r="L35" s="160" t="s">
        <v>111</v>
      </c>
      <c r="M35" s="160" t="s">
        <v>189</v>
      </c>
      <c r="N35" s="160">
        <v>17</v>
      </c>
      <c r="O35" s="161">
        <v>510</v>
      </c>
      <c r="P35" s="134" t="b">
        <f t="shared" si="12"/>
        <v>1</v>
      </c>
      <c r="Q35" s="160" t="s">
        <v>105</v>
      </c>
      <c r="R35" s="160" t="s">
        <v>189</v>
      </c>
      <c r="S35" s="160">
        <v>20</v>
      </c>
      <c r="T35" s="161">
        <v>560</v>
      </c>
      <c r="U35" s="162" t="b">
        <f t="shared" si="3"/>
        <v>1</v>
      </c>
      <c r="V35" s="69" t="s">
        <v>93</v>
      </c>
      <c r="W35" s="69" t="s">
        <v>189</v>
      </c>
      <c r="X35" s="69">
        <v>15</v>
      </c>
      <c r="Y35" s="9">
        <v>405</v>
      </c>
      <c r="Z35" s="69" t="b">
        <f t="shared" si="4"/>
        <v>1</v>
      </c>
      <c r="AA35" t="s">
        <v>141</v>
      </c>
      <c r="AB35" t="s">
        <v>69</v>
      </c>
      <c r="AC35">
        <v>12</v>
      </c>
      <c r="AD35" s="82">
        <v>120</v>
      </c>
      <c r="AE35" s="157" t="b">
        <f t="shared" si="5"/>
        <v>1</v>
      </c>
      <c r="AF35" t="s">
        <v>273</v>
      </c>
      <c r="AG35" t="s">
        <v>189</v>
      </c>
      <c r="AH35">
        <v>12</v>
      </c>
      <c r="AI35" s="218">
        <v>360</v>
      </c>
      <c r="AJ35" s="157" t="b">
        <f t="shared" si="6"/>
        <v>1</v>
      </c>
      <c r="AK35" t="s">
        <v>147</v>
      </c>
      <c r="AL35" t="s">
        <v>192</v>
      </c>
      <c r="AM35">
        <v>11</v>
      </c>
      <c r="AN35" s="218">
        <v>198</v>
      </c>
      <c r="AO35" s="157" t="b">
        <f t="shared" si="7"/>
        <v>1</v>
      </c>
      <c r="AP35" t="s">
        <v>103</v>
      </c>
      <c r="AQ35" t="s">
        <v>189</v>
      </c>
      <c r="AR35">
        <v>15</v>
      </c>
      <c r="AS35" s="218">
        <v>420</v>
      </c>
      <c r="AT35" s="157" t="b">
        <f t="shared" si="8"/>
        <v>1</v>
      </c>
      <c r="AU35" t="s">
        <v>145</v>
      </c>
      <c r="AV35" t="s">
        <v>192</v>
      </c>
      <c r="AW35">
        <v>6</v>
      </c>
      <c r="AX35" s="218">
        <v>108</v>
      </c>
      <c r="AY35" s="69"/>
    </row>
    <row r="36" spans="1:55" x14ac:dyDescent="0.35">
      <c r="A36" t="b">
        <f>COUNTIF(Inkjøp[],B36)&gt;0</f>
        <v>1</v>
      </c>
      <c r="B36" s="146" t="str">
        <v>Smil</v>
      </c>
      <c r="C36" s="131">
        <f>IFERROR(VLOOKUP(B36,GammelVipps[],2,FALSE),0)+IFERROR(VLOOKUP(B36,Sept[],3,FALSE),0)+IFERROR(VLOOKUP(B36,Oktober[],3,FALSE),0)+IFERROR(VLOOKUP(B36,November[],3,FALSE),0)+IFERROR(VLOOKUP(B36,Desember[],3,FALSE),0)+IFERROR(VLOOKUP(B36,Januar[],3,FALSE),0)+IFERROR(VLOOKUP(B36,Februar[],3,FALSE),0)+IFERROR(VLOOKUP(B36,Mars[],3,FALSE),0)+IFERROR(VLOOKUP(B36,April[],3,FALSE),0)+IFERROR(VLOOKUP(B36,Mai[],3,FALSE),0)</f>
        <v>52</v>
      </c>
      <c r="D36" s="131">
        <f>IFERROR(VLOOKUP(B36,GammelVipps[],3,FALSE),0)+IFERROR(VLOOKUP(B36,Sept[],4,FALSE),0)+IFERROR(VLOOKUP(B36,Oktober[],4,FALSE),0)+IFERROR(VLOOKUP(B36,November[],4,FALSE),0)+IFERROR(VLOOKUP(B36,Desember[],4,FALSE),0)+IFERROR(VLOOKUP(B36,Januar[],4,FALSE),0)+IFERROR(VLOOKUP(B36,Februar[],4,FALSE),0)+IFERROR(VLOOKUP(B36,Mars[],4,FALSE),0)+IFERROR(VLOOKUP(B36,April[],4,FALSE),0)+IFERROR(VLOOKUP(B36,Mai[],4,FALSE),0)</f>
        <v>1820</v>
      </c>
      <c r="F36" t="b">
        <f t="shared" si="10"/>
        <v>1</v>
      </c>
      <c r="G36" s="117" t="s">
        <v>128</v>
      </c>
      <c r="H36" s="131">
        <v>28</v>
      </c>
      <c r="I36" s="131">
        <v>980</v>
      </c>
      <c r="J36" s="131">
        <f>IFERROR(Vippsutskrifter!$I36/Vippsutskrifter!$H36,0)</f>
        <v>35</v>
      </c>
      <c r="K36" s="132" t="b">
        <f t="shared" si="11"/>
        <v>1</v>
      </c>
      <c r="L36" s="163" t="s">
        <v>145</v>
      </c>
      <c r="M36" s="163" t="s">
        <v>192</v>
      </c>
      <c r="N36" s="163">
        <v>17</v>
      </c>
      <c r="O36" s="164">
        <v>306</v>
      </c>
      <c r="P36" s="132" t="b">
        <f t="shared" si="12"/>
        <v>1</v>
      </c>
      <c r="Q36" s="163" t="s">
        <v>93</v>
      </c>
      <c r="R36" s="163" t="s">
        <v>189</v>
      </c>
      <c r="S36" s="163">
        <v>20</v>
      </c>
      <c r="T36" s="164">
        <v>540</v>
      </c>
      <c r="U36" s="165" t="b">
        <f t="shared" si="3"/>
        <v>1</v>
      </c>
      <c r="V36" s="69" t="s">
        <v>144</v>
      </c>
      <c r="W36" s="69" t="s">
        <v>69</v>
      </c>
      <c r="X36" s="69">
        <v>15</v>
      </c>
      <c r="Y36" s="9">
        <v>225</v>
      </c>
      <c r="Z36" s="69" t="b">
        <f t="shared" si="4"/>
        <v>1</v>
      </c>
      <c r="AA36" t="s">
        <v>120</v>
      </c>
      <c r="AB36" t="s">
        <v>68</v>
      </c>
      <c r="AC36">
        <v>11</v>
      </c>
      <c r="AD36" s="82">
        <v>308</v>
      </c>
      <c r="AE36" s="157" t="b">
        <f t="shared" si="5"/>
        <v>1</v>
      </c>
      <c r="AF36" t="s">
        <v>147</v>
      </c>
      <c r="AG36" t="s">
        <v>192</v>
      </c>
      <c r="AH36">
        <v>12</v>
      </c>
      <c r="AI36" s="218">
        <v>216</v>
      </c>
      <c r="AJ36" s="157" t="b">
        <f t="shared" si="6"/>
        <v>1</v>
      </c>
      <c r="AK36" t="s">
        <v>99</v>
      </c>
      <c r="AL36" t="s">
        <v>189</v>
      </c>
      <c r="AM36">
        <v>11</v>
      </c>
      <c r="AN36" s="218">
        <v>297</v>
      </c>
      <c r="AO36" s="157" t="b">
        <f t="shared" si="7"/>
        <v>1</v>
      </c>
      <c r="AP36" t="s">
        <v>153</v>
      </c>
      <c r="AQ36" t="s">
        <v>69</v>
      </c>
      <c r="AR36">
        <v>15</v>
      </c>
      <c r="AS36" s="218">
        <v>120</v>
      </c>
      <c r="AT36" s="157" t="b">
        <f t="shared" si="8"/>
        <v>1</v>
      </c>
      <c r="AU36" t="s">
        <v>193</v>
      </c>
      <c r="AV36" t="s">
        <v>189</v>
      </c>
      <c r="AW36">
        <v>6</v>
      </c>
      <c r="AX36" s="218">
        <v>162</v>
      </c>
      <c r="AY36" s="69"/>
      <c r="BC36" s="69"/>
    </row>
    <row r="37" spans="1:55" x14ac:dyDescent="0.35">
      <c r="A37" t="b">
        <f>COUNTIF(Inkjøp[],B37)&gt;0</f>
        <v>1</v>
      </c>
      <c r="B37" s="146" t="str">
        <v>Melkerull</v>
      </c>
      <c r="C37" s="131">
        <f>IFERROR(VLOOKUP(B37,GammelVipps[],2,FALSE),0)+IFERROR(VLOOKUP(B37,Sept[],3,FALSE),0)+IFERROR(VLOOKUP(B37,Oktober[],3,FALSE),0)+IFERROR(VLOOKUP(B37,November[],3,FALSE),0)+IFERROR(VLOOKUP(B37,Desember[],3,FALSE),0)+IFERROR(VLOOKUP(B37,Januar[],3,FALSE),0)+IFERROR(VLOOKUP(B37,Februar[],3,FALSE),0)+IFERROR(VLOOKUP(B37,Mars[],3,FALSE),0)+IFERROR(VLOOKUP(B37,April[],3,FALSE),0)+IFERROR(VLOOKUP(B37,Mai[],3,FALSE),0)</f>
        <v>55</v>
      </c>
      <c r="D37" s="131">
        <f>IFERROR(VLOOKUP(B37,GammelVipps[],3,FALSE),0)+IFERROR(VLOOKUP(B37,Sept[],4,FALSE),0)+IFERROR(VLOOKUP(B37,Oktober[],4,FALSE),0)+IFERROR(VLOOKUP(B37,November[],4,FALSE),0)+IFERROR(VLOOKUP(B37,Desember[],4,FALSE),0)+IFERROR(VLOOKUP(B37,Januar[],4,FALSE),0)+IFERROR(VLOOKUP(B37,Februar[],4,FALSE),0)+IFERROR(VLOOKUP(B37,Mars[],4,FALSE),0)+IFERROR(VLOOKUP(B37,April[],4,FALSE),0)+IFERROR(VLOOKUP(B37,Mai[],4,FALSE),0)</f>
        <v>1925</v>
      </c>
      <c r="F37" t="b">
        <f t="shared" si="10"/>
        <v>1</v>
      </c>
      <c r="G37" s="117" t="s">
        <v>130</v>
      </c>
      <c r="H37" s="133">
        <v>29</v>
      </c>
      <c r="I37" s="133">
        <v>1015</v>
      </c>
      <c r="J37" s="133">
        <f>IFERROR(Vippsutskrifter!$I37/Vippsutskrifter!$H37,0)</f>
        <v>35</v>
      </c>
      <c r="K37" s="134" t="b">
        <f t="shared" si="11"/>
        <v>1</v>
      </c>
      <c r="L37" s="160" t="s">
        <v>105</v>
      </c>
      <c r="M37" s="160" t="s">
        <v>189</v>
      </c>
      <c r="N37" s="160">
        <v>15</v>
      </c>
      <c r="O37" s="161">
        <v>420</v>
      </c>
      <c r="P37" s="134" t="b">
        <f t="shared" si="12"/>
        <v>1</v>
      </c>
      <c r="Q37" s="160" t="s">
        <v>146</v>
      </c>
      <c r="R37" s="160" t="s">
        <v>192</v>
      </c>
      <c r="S37" s="160">
        <v>19</v>
      </c>
      <c r="T37" s="161">
        <v>342</v>
      </c>
      <c r="U37" s="162" t="b">
        <f t="shared" si="3"/>
        <v>1</v>
      </c>
      <c r="V37" s="69" t="s">
        <v>137</v>
      </c>
      <c r="W37" s="69" t="s">
        <v>188</v>
      </c>
      <c r="X37" s="69">
        <v>12</v>
      </c>
      <c r="Y37" s="9">
        <v>336</v>
      </c>
      <c r="Z37" s="69" t="b">
        <f t="shared" si="4"/>
        <v>1</v>
      </c>
      <c r="AA37" t="s">
        <v>114</v>
      </c>
      <c r="AB37" t="s">
        <v>190</v>
      </c>
      <c r="AC37">
        <v>11</v>
      </c>
      <c r="AD37" s="82">
        <v>264</v>
      </c>
      <c r="AE37" s="157" t="b">
        <f t="shared" si="5"/>
        <v>1</v>
      </c>
      <c r="AF37" t="s">
        <v>143</v>
      </c>
      <c r="AG37" t="s">
        <v>69</v>
      </c>
      <c r="AH37">
        <v>12</v>
      </c>
      <c r="AI37" s="218">
        <v>240</v>
      </c>
      <c r="AJ37" s="157" t="b">
        <f t="shared" si="6"/>
        <v>1</v>
      </c>
      <c r="AK37" t="s">
        <v>152</v>
      </c>
      <c r="AL37" t="s">
        <v>192</v>
      </c>
      <c r="AM37">
        <v>10</v>
      </c>
      <c r="AN37" s="218">
        <v>150</v>
      </c>
      <c r="AO37" s="157" t="b">
        <f t="shared" si="7"/>
        <v>1</v>
      </c>
      <c r="AP37" t="s">
        <v>152</v>
      </c>
      <c r="AQ37" t="s">
        <v>192</v>
      </c>
      <c r="AR37">
        <v>15</v>
      </c>
      <c r="AS37" s="218">
        <v>225</v>
      </c>
      <c r="AT37" s="157" t="b">
        <f t="shared" si="8"/>
        <v>1</v>
      </c>
      <c r="AU37" t="s">
        <v>124</v>
      </c>
      <c r="AV37" t="s">
        <v>68</v>
      </c>
      <c r="AW37">
        <v>5</v>
      </c>
      <c r="AX37" s="218">
        <v>100</v>
      </c>
      <c r="AY37" s="69"/>
      <c r="BC37" s="69"/>
    </row>
    <row r="38" spans="1:55" x14ac:dyDescent="0.35">
      <c r="A38" t="b">
        <f>COUNTIF(Inkjøp[],B38)&gt;0</f>
        <v>1</v>
      </c>
      <c r="B38" s="146" t="str">
        <v>Kinder Bueno</v>
      </c>
      <c r="C38" s="131">
        <f>IFERROR(VLOOKUP(B38,GammelVipps[],2,FALSE),0)+IFERROR(VLOOKUP(B38,Sept[],3,FALSE),0)+IFERROR(VLOOKUP(B38,Oktober[],3,FALSE),0)+IFERROR(VLOOKUP(B38,November[],3,FALSE),0)+IFERROR(VLOOKUP(B38,Desember[],3,FALSE),0)+IFERROR(VLOOKUP(B38,Januar[],3,FALSE),0)+IFERROR(VLOOKUP(B38,Februar[],3,FALSE),0)+IFERROR(VLOOKUP(B38,Mars[],3,FALSE),0)+IFERROR(VLOOKUP(B38,April[],3,FALSE),0)+IFERROR(VLOOKUP(B38,Mai[],3,FALSE),0)</f>
        <v>664</v>
      </c>
      <c r="D38" s="131">
        <f>IFERROR(VLOOKUP(B38,GammelVipps[],3,FALSE),0)+IFERROR(VLOOKUP(B38,Sept[],4,FALSE),0)+IFERROR(VLOOKUP(B38,Oktober[],4,FALSE),0)+IFERROR(VLOOKUP(B38,November[],4,FALSE),0)+IFERROR(VLOOKUP(B38,Desember[],4,FALSE),0)+IFERROR(VLOOKUP(B38,Januar[],4,FALSE),0)+IFERROR(VLOOKUP(B38,Februar[],4,FALSE),0)+IFERROR(VLOOKUP(B38,Mars[],4,FALSE),0)+IFERROR(VLOOKUP(B38,April[],4,FALSE),0)+IFERROR(VLOOKUP(B38,Mai[],4,FALSE),0)</f>
        <v>11952</v>
      </c>
      <c r="F38" t="b">
        <f t="shared" si="10"/>
        <v>1</v>
      </c>
      <c r="G38" s="117" t="s">
        <v>131</v>
      </c>
      <c r="H38" s="131">
        <v>60</v>
      </c>
      <c r="I38" s="131">
        <v>1080</v>
      </c>
      <c r="J38" s="131">
        <f>IFERROR(Vippsutskrifter!$I38/Vippsutskrifter!$H38,0)</f>
        <v>18</v>
      </c>
      <c r="K38" s="132" t="b">
        <f t="shared" si="11"/>
        <v>1</v>
      </c>
      <c r="L38" s="163" t="s">
        <v>119</v>
      </c>
      <c r="M38" s="163" t="s">
        <v>68</v>
      </c>
      <c r="N38" s="163">
        <v>15</v>
      </c>
      <c r="O38" s="164">
        <v>420</v>
      </c>
      <c r="P38" s="132" t="b">
        <f t="shared" si="12"/>
        <v>1</v>
      </c>
      <c r="Q38" s="163" t="s">
        <v>193</v>
      </c>
      <c r="R38" s="163" t="s">
        <v>189</v>
      </c>
      <c r="S38" s="163">
        <v>16</v>
      </c>
      <c r="T38" s="164">
        <v>432</v>
      </c>
      <c r="U38" s="165" t="b">
        <f t="shared" si="3"/>
        <v>1</v>
      </c>
      <c r="V38" s="69" t="s">
        <v>120</v>
      </c>
      <c r="W38" s="69" t="s">
        <v>68</v>
      </c>
      <c r="X38" s="69">
        <v>11</v>
      </c>
      <c r="Y38" s="9">
        <v>308</v>
      </c>
      <c r="Z38" s="69" t="b">
        <f t="shared" si="4"/>
        <v>1</v>
      </c>
      <c r="AA38" t="s">
        <v>273</v>
      </c>
      <c r="AB38" t="s">
        <v>189</v>
      </c>
      <c r="AC38">
        <v>9</v>
      </c>
      <c r="AD38" s="82">
        <v>270</v>
      </c>
      <c r="AE38" s="157" t="b">
        <f t="shared" si="5"/>
        <v>1</v>
      </c>
      <c r="AF38" t="s">
        <v>115</v>
      </c>
      <c r="AG38" t="s">
        <v>190</v>
      </c>
      <c r="AH38">
        <v>11</v>
      </c>
      <c r="AI38" s="218">
        <v>264</v>
      </c>
      <c r="AJ38" s="157" t="b">
        <f t="shared" si="6"/>
        <v>1</v>
      </c>
      <c r="AK38" t="s">
        <v>155</v>
      </c>
      <c r="AL38" t="s">
        <v>192</v>
      </c>
      <c r="AM38">
        <v>10</v>
      </c>
      <c r="AN38" s="218">
        <v>60</v>
      </c>
      <c r="AO38" s="157" t="b">
        <f t="shared" si="7"/>
        <v>1</v>
      </c>
      <c r="AP38" t="s">
        <v>345</v>
      </c>
      <c r="AQ38" t="s">
        <v>189</v>
      </c>
      <c r="AR38">
        <v>15</v>
      </c>
      <c r="AS38" s="218">
        <v>450</v>
      </c>
      <c r="AT38" s="157" t="b">
        <f t="shared" si="8"/>
        <v>1</v>
      </c>
      <c r="AU38" t="s">
        <v>152</v>
      </c>
      <c r="AV38" t="s">
        <v>192</v>
      </c>
      <c r="AW38">
        <v>5</v>
      </c>
      <c r="AX38" s="218">
        <v>75</v>
      </c>
      <c r="AY38" s="69"/>
      <c r="BC38" s="69"/>
    </row>
    <row r="39" spans="1:55" x14ac:dyDescent="0.35">
      <c r="A39" t="b">
        <f>COUNTIF(Inkjøp[],B39)&gt;0</f>
        <v>1</v>
      </c>
      <c r="B39" s="146" t="str">
        <v>Kinder Maxi</v>
      </c>
      <c r="C39" s="131">
        <f>IFERROR(VLOOKUP(B39,GammelVipps[],2,FALSE),0)+IFERROR(VLOOKUP(B39,Sept[],3,FALSE),0)+IFERROR(VLOOKUP(B39,Oktober[],3,FALSE),0)+IFERROR(VLOOKUP(B39,November[],3,FALSE),0)+IFERROR(VLOOKUP(B39,Desember[],3,FALSE),0)+IFERROR(VLOOKUP(B39,Januar[],3,FALSE),0)+IFERROR(VLOOKUP(B39,Februar[],3,FALSE),0)+IFERROR(VLOOKUP(B39,Mars[],3,FALSE),0)+IFERROR(VLOOKUP(B39,April[],3,FALSE),0)+IFERROR(VLOOKUP(B39,Mai[],3,FALSE),0)</f>
        <v>1241</v>
      </c>
      <c r="D39" s="131">
        <f>IFERROR(VLOOKUP(B39,GammelVipps[],3,FALSE),0)+IFERROR(VLOOKUP(B39,Sept[],4,FALSE),0)+IFERROR(VLOOKUP(B39,Oktober[],4,FALSE),0)+IFERROR(VLOOKUP(B39,November[],4,FALSE),0)+IFERROR(VLOOKUP(B39,Desember[],4,FALSE),0)+IFERROR(VLOOKUP(B39,Januar[],4,FALSE),0)+IFERROR(VLOOKUP(B39,Februar[],4,FALSE),0)+IFERROR(VLOOKUP(B39,Mars[],4,FALSE),0)+IFERROR(VLOOKUP(B39,April[],4,FALSE),0)+IFERROR(VLOOKUP(B39,Mai[],4,FALSE),0)</f>
        <v>12410</v>
      </c>
      <c r="F39" t="b">
        <f t="shared" si="10"/>
        <v>1</v>
      </c>
      <c r="G39" s="117" t="s">
        <v>132</v>
      </c>
      <c r="H39" s="133">
        <v>108</v>
      </c>
      <c r="I39" s="133">
        <v>1080</v>
      </c>
      <c r="J39" s="133">
        <f>IFERROR(Vippsutskrifter!$I39/Vippsutskrifter!$H39,0)</f>
        <v>10</v>
      </c>
      <c r="K39" s="134" t="b">
        <f t="shared" si="11"/>
        <v>1</v>
      </c>
      <c r="L39" s="160" t="s">
        <v>112</v>
      </c>
      <c r="M39" s="160" t="s">
        <v>190</v>
      </c>
      <c r="N39" s="160">
        <v>15</v>
      </c>
      <c r="O39" s="161">
        <v>360</v>
      </c>
      <c r="P39" s="134" t="b">
        <f t="shared" si="12"/>
        <v>1</v>
      </c>
      <c r="Q39" s="160" t="s">
        <v>133</v>
      </c>
      <c r="R39" s="160" t="s">
        <v>188</v>
      </c>
      <c r="S39" s="160">
        <v>16</v>
      </c>
      <c r="T39" s="161">
        <v>400</v>
      </c>
      <c r="U39" s="162" t="b">
        <f t="shared" si="3"/>
        <v>1</v>
      </c>
      <c r="V39" s="69" t="s">
        <v>116</v>
      </c>
      <c r="W39" s="69" t="s">
        <v>190</v>
      </c>
      <c r="X39" s="69">
        <v>11</v>
      </c>
      <c r="Y39" s="9">
        <v>264</v>
      </c>
      <c r="Z39" s="69" t="b">
        <f t="shared" si="4"/>
        <v>1</v>
      </c>
      <c r="AA39" t="s">
        <v>99</v>
      </c>
      <c r="AB39" t="s">
        <v>189</v>
      </c>
      <c r="AC39">
        <v>9</v>
      </c>
      <c r="AD39" s="82">
        <v>243</v>
      </c>
      <c r="AE39" s="157" t="b">
        <f t="shared" si="5"/>
        <v>1</v>
      </c>
      <c r="AF39" t="s">
        <v>193</v>
      </c>
      <c r="AG39" t="s">
        <v>189</v>
      </c>
      <c r="AH39">
        <v>11</v>
      </c>
      <c r="AI39" s="218">
        <v>297</v>
      </c>
      <c r="AJ39" s="157" t="b">
        <f t="shared" si="6"/>
        <v>1</v>
      </c>
      <c r="AK39" t="s">
        <v>342</v>
      </c>
      <c r="AL39" t="s">
        <v>343</v>
      </c>
      <c r="AM39">
        <v>9</v>
      </c>
      <c r="AN39" s="218">
        <v>180</v>
      </c>
      <c r="AO39" s="157" t="b">
        <f t="shared" si="7"/>
        <v>1</v>
      </c>
      <c r="AP39" t="s">
        <v>99</v>
      </c>
      <c r="AQ39" t="s">
        <v>189</v>
      </c>
      <c r="AR39">
        <v>15</v>
      </c>
      <c r="AS39" s="218">
        <v>405</v>
      </c>
      <c r="AT39" s="157" t="b">
        <f t="shared" si="8"/>
        <v>1</v>
      </c>
      <c r="AU39" t="s">
        <v>113</v>
      </c>
      <c r="AV39" t="s">
        <v>190</v>
      </c>
      <c r="AW39">
        <v>5</v>
      </c>
      <c r="AX39" s="218">
        <v>120</v>
      </c>
      <c r="AY39" s="69"/>
      <c r="BC39" s="69"/>
    </row>
    <row r="40" spans="1:55" x14ac:dyDescent="0.35">
      <c r="A40" t="b">
        <f>COUNTIF(Inkjøp[],B40)&gt;0</f>
        <v>1</v>
      </c>
      <c r="B40" s="146" t="str">
        <v>Snickers</v>
      </c>
      <c r="C40" s="131">
        <f>IFERROR(VLOOKUP(B40,GammelVipps[],2,FALSE),0)+IFERROR(VLOOKUP(B40,Sept[],3,FALSE),0)+IFERROR(VLOOKUP(B40,Oktober[],3,FALSE),0)+IFERROR(VLOOKUP(B40,November[],3,FALSE),0)+IFERROR(VLOOKUP(B40,Desember[],3,FALSE),0)+IFERROR(VLOOKUP(B40,Januar[],3,FALSE),0)+IFERROR(VLOOKUP(B40,Februar[],3,FALSE),0)+IFERROR(VLOOKUP(B40,Mars[],3,FALSE),0)+IFERROR(VLOOKUP(B40,April[],3,FALSE),0)+IFERROR(VLOOKUP(B40,Mai[],3,FALSE),0)</f>
        <v>104</v>
      </c>
      <c r="D40" s="131">
        <f>IFERROR(VLOOKUP(B40,GammelVipps[],3,FALSE),0)+IFERROR(VLOOKUP(B40,Sept[],4,FALSE),0)+IFERROR(VLOOKUP(B40,Oktober[],4,FALSE),0)+IFERROR(VLOOKUP(B40,November[],4,FALSE),0)+IFERROR(VLOOKUP(B40,Desember[],4,FALSE),0)+IFERROR(VLOOKUP(B40,Januar[],4,FALSE),0)+IFERROR(VLOOKUP(B40,Februar[],4,FALSE),0)+IFERROR(VLOOKUP(B40,Mars[],4,FALSE),0)+IFERROR(VLOOKUP(B40,April[],4,FALSE),0)+IFERROR(VLOOKUP(B40,Mai[],4,FALSE),0)</f>
        <v>2600</v>
      </c>
      <c r="F40" t="b">
        <f t="shared" si="10"/>
        <v>1</v>
      </c>
      <c r="G40" s="117" t="s">
        <v>133</v>
      </c>
      <c r="H40" s="131">
        <v>38</v>
      </c>
      <c r="I40" s="131">
        <v>950</v>
      </c>
      <c r="J40" s="131">
        <f>IFERROR(Vippsutskrifter!$I40/Vippsutskrifter!$H40,0)</f>
        <v>25</v>
      </c>
      <c r="K40" s="132" t="b">
        <f t="shared" si="11"/>
        <v>1</v>
      </c>
      <c r="L40" s="163" t="s">
        <v>114</v>
      </c>
      <c r="M40" s="163" t="s">
        <v>190</v>
      </c>
      <c r="N40" s="163">
        <v>15</v>
      </c>
      <c r="O40" s="164">
        <v>360</v>
      </c>
      <c r="P40" s="132" t="b">
        <f t="shared" si="12"/>
        <v>1</v>
      </c>
      <c r="Q40" s="163" t="s">
        <v>110</v>
      </c>
      <c r="R40" s="163" t="s">
        <v>189</v>
      </c>
      <c r="S40" s="163">
        <v>15</v>
      </c>
      <c r="T40" s="164">
        <v>420</v>
      </c>
      <c r="U40" s="165" t="b">
        <f t="shared" si="3"/>
        <v>1</v>
      </c>
      <c r="V40" s="69" t="s">
        <v>111</v>
      </c>
      <c r="W40" s="69" t="s">
        <v>189</v>
      </c>
      <c r="X40" s="69">
        <v>9</v>
      </c>
      <c r="Y40" s="9">
        <v>270</v>
      </c>
      <c r="Z40" s="69" t="b">
        <f t="shared" si="4"/>
        <v>1</v>
      </c>
      <c r="AA40" t="s">
        <v>97</v>
      </c>
      <c r="AB40" t="s">
        <v>189</v>
      </c>
      <c r="AC40">
        <v>9</v>
      </c>
      <c r="AD40" s="82">
        <v>243</v>
      </c>
      <c r="AE40" s="157" t="b">
        <f t="shared" si="5"/>
        <v>1</v>
      </c>
      <c r="AF40" t="s">
        <v>153</v>
      </c>
      <c r="AG40" t="s">
        <v>69</v>
      </c>
      <c r="AH40">
        <v>10</v>
      </c>
      <c r="AI40" s="218">
        <v>80</v>
      </c>
      <c r="AJ40" s="157" t="b">
        <f t="shared" si="6"/>
        <v>1</v>
      </c>
      <c r="AK40" t="s">
        <v>126</v>
      </c>
      <c r="AL40" t="s">
        <v>68</v>
      </c>
      <c r="AM40">
        <v>9</v>
      </c>
      <c r="AN40" s="218">
        <v>252</v>
      </c>
      <c r="AO40" s="157" t="b">
        <f t="shared" si="7"/>
        <v>1</v>
      </c>
      <c r="AP40" t="s">
        <v>193</v>
      </c>
      <c r="AQ40" t="s">
        <v>189</v>
      </c>
      <c r="AR40">
        <v>15</v>
      </c>
      <c r="AS40" s="218">
        <v>405</v>
      </c>
      <c r="AT40" s="157" t="b">
        <f t="shared" si="8"/>
        <v>1</v>
      </c>
      <c r="AU40" t="s">
        <v>116</v>
      </c>
      <c r="AV40" t="s">
        <v>190</v>
      </c>
      <c r="AW40">
        <v>5</v>
      </c>
      <c r="AX40" s="218">
        <v>120</v>
      </c>
      <c r="AY40" s="69"/>
      <c r="BC40" s="69"/>
    </row>
    <row r="41" spans="1:55" x14ac:dyDescent="0.35">
      <c r="A41" t="b">
        <f>COUNTIF(Inkjøp[],B41)&gt;0</f>
        <v>1</v>
      </c>
      <c r="B41" s="146" t="str">
        <v>Mars</v>
      </c>
      <c r="C41" s="131">
        <f>IFERROR(VLOOKUP(B41,GammelVipps[],2,FALSE),0)+IFERROR(VLOOKUP(B41,Sept[],3,FALSE),0)+IFERROR(VLOOKUP(B41,Oktober[],3,FALSE),0)+IFERROR(VLOOKUP(B41,November[],3,FALSE),0)+IFERROR(VLOOKUP(B41,Desember[],3,FALSE),0)+IFERROR(VLOOKUP(B41,Januar[],3,FALSE),0)+IFERROR(VLOOKUP(B41,Februar[],3,FALSE),0)+IFERROR(VLOOKUP(B41,Mars[],3,FALSE),0)+IFERROR(VLOOKUP(B41,April[],3,FALSE),0)+IFERROR(VLOOKUP(B41,Mai[],3,FALSE),0)</f>
        <v>114</v>
      </c>
      <c r="D41" s="131">
        <f>IFERROR(VLOOKUP(B41,GammelVipps[],3,FALSE),0)+IFERROR(VLOOKUP(B41,Sept[],4,FALSE),0)+IFERROR(VLOOKUP(B41,Oktober[],4,FALSE),0)+IFERROR(VLOOKUP(B41,November[],4,FALSE),0)+IFERROR(VLOOKUP(B41,Desember[],4,FALSE),0)+IFERROR(VLOOKUP(B41,Januar[],4,FALSE),0)+IFERROR(VLOOKUP(B41,Februar[],4,FALSE),0)+IFERROR(VLOOKUP(B41,Mars[],4,FALSE),0)+IFERROR(VLOOKUP(B41,April[],4,FALSE),0)+IFERROR(VLOOKUP(B41,Mai[],4,FALSE),0)</f>
        <v>2850</v>
      </c>
      <c r="F41" t="b">
        <f t="shared" si="10"/>
        <v>1</v>
      </c>
      <c r="G41" s="117" t="s">
        <v>136</v>
      </c>
      <c r="H41" s="133">
        <v>24</v>
      </c>
      <c r="I41" s="133">
        <v>600</v>
      </c>
      <c r="J41" s="133">
        <f>IFERROR(Vippsutskrifter!$I41/Vippsutskrifter!$H41,0)</f>
        <v>25</v>
      </c>
      <c r="K41" s="134" t="b">
        <f t="shared" si="11"/>
        <v>1</v>
      </c>
      <c r="L41" s="160" t="s">
        <v>126</v>
      </c>
      <c r="M41" s="160" t="s">
        <v>68</v>
      </c>
      <c r="N41" s="160">
        <v>15</v>
      </c>
      <c r="O41" s="161">
        <v>420</v>
      </c>
      <c r="P41" s="134" t="b">
        <f t="shared" si="12"/>
        <v>1</v>
      </c>
      <c r="Q41" s="160" t="s">
        <v>147</v>
      </c>
      <c r="R41" s="160" t="s">
        <v>192</v>
      </c>
      <c r="S41" s="160">
        <v>15</v>
      </c>
      <c r="T41" s="161">
        <v>270</v>
      </c>
      <c r="U41" s="162" t="b">
        <f t="shared" si="3"/>
        <v>1</v>
      </c>
      <c r="V41" s="69" t="s">
        <v>114</v>
      </c>
      <c r="W41" s="69" t="s">
        <v>190</v>
      </c>
      <c r="X41" s="69">
        <v>9</v>
      </c>
      <c r="Y41" s="9">
        <v>216</v>
      </c>
      <c r="Z41" s="69" t="b">
        <f t="shared" si="4"/>
        <v>1</v>
      </c>
      <c r="AA41" t="s">
        <v>112</v>
      </c>
      <c r="AB41" t="s">
        <v>190</v>
      </c>
      <c r="AC41">
        <v>8</v>
      </c>
      <c r="AD41" s="222">
        <v>192</v>
      </c>
      <c r="AE41" s="157" t="b">
        <f t="shared" si="5"/>
        <v>1</v>
      </c>
      <c r="AF41" t="s">
        <v>97</v>
      </c>
      <c r="AG41" t="s">
        <v>189</v>
      </c>
      <c r="AH41">
        <v>10</v>
      </c>
      <c r="AI41" s="218">
        <v>270</v>
      </c>
      <c r="AJ41" s="157" t="b">
        <f t="shared" si="6"/>
        <v>1</v>
      </c>
      <c r="AK41" t="s">
        <v>145</v>
      </c>
      <c r="AL41" t="s">
        <v>192</v>
      </c>
      <c r="AM41">
        <v>7</v>
      </c>
      <c r="AN41" s="218">
        <v>126</v>
      </c>
      <c r="AO41" s="157" t="b">
        <f t="shared" si="7"/>
        <v>1</v>
      </c>
      <c r="AP41" t="s">
        <v>112</v>
      </c>
      <c r="AQ41" t="s">
        <v>190</v>
      </c>
      <c r="AR41">
        <v>14</v>
      </c>
      <c r="AS41" s="218">
        <v>336</v>
      </c>
      <c r="AT41" s="157" t="b">
        <f t="shared" si="8"/>
        <v>1</v>
      </c>
      <c r="AU41" t="s">
        <v>345</v>
      </c>
      <c r="AV41" t="s">
        <v>189</v>
      </c>
      <c r="AW41">
        <v>5</v>
      </c>
      <c r="AX41" s="218">
        <v>150</v>
      </c>
      <c r="AY41" s="69"/>
      <c r="BC41" s="69"/>
    </row>
    <row r="42" spans="1:55" x14ac:dyDescent="0.35">
      <c r="A42" t="b">
        <f>COUNTIF(Inkjøp[],B42)&gt;0</f>
        <v>1</v>
      </c>
      <c r="B42" s="146" t="str">
        <v>Twix</v>
      </c>
      <c r="C42" s="131">
        <f>IFERROR(VLOOKUP(B42,GammelVipps[],2,FALSE),0)+IFERROR(VLOOKUP(B42,Sept[],3,FALSE),0)+IFERROR(VLOOKUP(B42,Oktober[],3,FALSE),0)+IFERROR(VLOOKUP(B42,November[],3,FALSE),0)+IFERROR(VLOOKUP(B42,Desember[],3,FALSE),0)+IFERROR(VLOOKUP(B42,Januar[],3,FALSE),0)+IFERROR(VLOOKUP(B42,Februar[],3,FALSE),0)+IFERROR(VLOOKUP(B42,Mars[],3,FALSE),0)+IFERROR(VLOOKUP(B42,April[],3,FALSE),0)+IFERROR(VLOOKUP(B42,Mai[],3,FALSE),0)</f>
        <v>142</v>
      </c>
      <c r="D42" s="131">
        <f>IFERROR(VLOOKUP(B42,GammelVipps[],3,FALSE),0)+IFERROR(VLOOKUP(B42,Sept[],4,FALSE),0)+IFERROR(VLOOKUP(B42,Oktober[],4,FALSE),0)+IFERROR(VLOOKUP(B42,November[],4,FALSE),0)+IFERROR(VLOOKUP(B42,Desember[],4,FALSE),0)+IFERROR(VLOOKUP(B42,Januar[],4,FALSE),0)+IFERROR(VLOOKUP(B42,Februar[],4,FALSE),0)+IFERROR(VLOOKUP(B42,Mars[],4,FALSE),0)+IFERROR(VLOOKUP(B42,April[],4,FALSE),0)+IFERROR(VLOOKUP(B42,Mai[],4,FALSE),0)</f>
        <v>3976</v>
      </c>
      <c r="F42" t="b">
        <f t="shared" si="10"/>
        <v>1</v>
      </c>
      <c r="G42" s="117" t="s">
        <v>137</v>
      </c>
      <c r="H42" s="131">
        <v>30</v>
      </c>
      <c r="I42" s="131">
        <v>840</v>
      </c>
      <c r="J42" s="131">
        <f>IFERROR(Vippsutskrifter!$I42/Vippsutskrifter!$H42,0)</f>
        <v>28</v>
      </c>
      <c r="K42" s="132" t="b">
        <f t="shared" si="11"/>
        <v>1</v>
      </c>
      <c r="L42" s="163" t="s">
        <v>127</v>
      </c>
      <c r="M42" s="163" t="s">
        <v>68</v>
      </c>
      <c r="N42" s="163">
        <v>15</v>
      </c>
      <c r="O42" s="164">
        <v>420</v>
      </c>
      <c r="P42" s="132" t="b">
        <f t="shared" si="12"/>
        <v>1</v>
      </c>
      <c r="Q42" s="163" t="s">
        <v>117</v>
      </c>
      <c r="R42" s="163" t="s">
        <v>190</v>
      </c>
      <c r="S42" s="163">
        <v>14</v>
      </c>
      <c r="T42" s="164">
        <v>336</v>
      </c>
      <c r="U42" s="165" t="b">
        <f t="shared" si="3"/>
        <v>1</v>
      </c>
      <c r="V42" s="69" t="s">
        <v>154</v>
      </c>
      <c r="W42" s="69" t="s">
        <v>192</v>
      </c>
      <c r="X42" s="69">
        <v>9</v>
      </c>
      <c r="Y42" s="9">
        <v>90</v>
      </c>
      <c r="Z42" s="69" t="b">
        <f t="shared" si="4"/>
        <v>1</v>
      </c>
      <c r="AA42" t="s">
        <v>145</v>
      </c>
      <c r="AB42" t="s">
        <v>192</v>
      </c>
      <c r="AC42">
        <v>8</v>
      </c>
      <c r="AD42" s="82">
        <v>144</v>
      </c>
      <c r="AE42" s="157" t="b">
        <f t="shared" si="5"/>
        <v>1</v>
      </c>
      <c r="AF42" t="s">
        <v>96</v>
      </c>
      <c r="AG42" t="s">
        <v>189</v>
      </c>
      <c r="AH42">
        <v>10</v>
      </c>
      <c r="AI42" s="218">
        <v>270</v>
      </c>
      <c r="AJ42" s="157" t="b">
        <f t="shared" si="6"/>
        <v>1</v>
      </c>
      <c r="AK42" t="s">
        <v>97</v>
      </c>
      <c r="AL42" t="s">
        <v>189</v>
      </c>
      <c r="AM42">
        <v>7</v>
      </c>
      <c r="AN42" s="218">
        <v>189</v>
      </c>
      <c r="AO42" s="157" t="b">
        <f t="shared" si="7"/>
        <v>1</v>
      </c>
      <c r="AP42" t="s">
        <v>126</v>
      </c>
      <c r="AQ42" t="s">
        <v>68</v>
      </c>
      <c r="AR42">
        <v>13</v>
      </c>
      <c r="AS42" s="218">
        <v>364</v>
      </c>
      <c r="AT42" s="157" t="b">
        <f t="shared" si="8"/>
        <v>1</v>
      </c>
      <c r="AU42" t="s">
        <v>96</v>
      </c>
      <c r="AV42" t="s">
        <v>189</v>
      </c>
      <c r="AW42">
        <v>5</v>
      </c>
      <c r="AX42" s="218">
        <v>100</v>
      </c>
      <c r="AY42" s="69"/>
      <c r="BC42" s="69"/>
    </row>
    <row r="43" spans="1:55" x14ac:dyDescent="0.35">
      <c r="A43" t="b">
        <f>COUNTIF(Inkjøp[],B43)&gt;0</f>
        <v>1</v>
      </c>
      <c r="B43" s="146" t="str">
        <v>Japp</v>
      </c>
      <c r="C43" s="131">
        <f>IFERROR(VLOOKUP(B43,GammelVipps[],2,FALSE),0)+IFERROR(VLOOKUP(B43,Sept[],3,FALSE),0)+IFERROR(VLOOKUP(B43,Oktober[],3,FALSE),0)+IFERROR(VLOOKUP(B43,November[],3,FALSE),0)+IFERROR(VLOOKUP(B43,Desember[],3,FALSE),0)+IFERROR(VLOOKUP(B43,Januar[],3,FALSE),0)+IFERROR(VLOOKUP(B43,Februar[],3,FALSE),0)+IFERROR(VLOOKUP(B43,Mars[],3,FALSE),0)+IFERROR(VLOOKUP(B43,April[],3,FALSE),0)+IFERROR(VLOOKUP(B43,Mai[],3,FALSE),0)</f>
        <v>35</v>
      </c>
      <c r="D43" s="131">
        <f>IFERROR(VLOOKUP(B43,GammelVipps[],3,FALSE),0)+IFERROR(VLOOKUP(B43,Sept[],4,FALSE),0)+IFERROR(VLOOKUP(B43,Oktober[],4,FALSE),0)+IFERROR(VLOOKUP(B43,November[],4,FALSE),0)+IFERROR(VLOOKUP(B43,Desember[],4,FALSE),0)+IFERROR(VLOOKUP(B43,Januar[],4,FALSE),0)+IFERROR(VLOOKUP(B43,Februar[],4,FALSE),0)+IFERROR(VLOOKUP(B43,Mars[],4,FALSE),0)+IFERROR(VLOOKUP(B43,April[],4,FALSE),0)+IFERROR(VLOOKUP(B43,Mai[],4,FALSE),0)</f>
        <v>980</v>
      </c>
      <c r="F43" t="b">
        <f t="shared" si="10"/>
        <v>1</v>
      </c>
      <c r="G43" s="117" t="s">
        <v>138</v>
      </c>
      <c r="H43" s="133">
        <v>20</v>
      </c>
      <c r="I43" s="133">
        <v>560</v>
      </c>
      <c r="J43" s="133">
        <f>IFERROR(Vippsutskrifter!$I43/Vippsutskrifter!$H43,0)</f>
        <v>28</v>
      </c>
      <c r="K43" s="134" t="b">
        <f t="shared" si="11"/>
        <v>1</v>
      </c>
      <c r="L43" s="160" t="s">
        <v>138</v>
      </c>
      <c r="M43" s="160" t="s">
        <v>188</v>
      </c>
      <c r="N43" s="160">
        <v>15</v>
      </c>
      <c r="O43" s="161">
        <v>420</v>
      </c>
      <c r="P43" s="134" t="b">
        <f t="shared" si="12"/>
        <v>1</v>
      </c>
      <c r="Q43" s="160" t="s">
        <v>116</v>
      </c>
      <c r="R43" s="160" t="s">
        <v>190</v>
      </c>
      <c r="S43" s="160">
        <v>13</v>
      </c>
      <c r="T43" s="161">
        <v>312</v>
      </c>
      <c r="U43" s="162" t="b">
        <f t="shared" si="3"/>
        <v>1</v>
      </c>
      <c r="V43" s="69" t="s">
        <v>108</v>
      </c>
      <c r="W43" s="69" t="s">
        <v>189</v>
      </c>
      <c r="X43" s="69">
        <v>8</v>
      </c>
      <c r="Y43" s="9">
        <v>224</v>
      </c>
      <c r="Z43" s="69" t="b">
        <f t="shared" si="4"/>
        <v>1</v>
      </c>
      <c r="AA43" t="s">
        <v>116</v>
      </c>
      <c r="AB43" t="s">
        <v>190</v>
      </c>
      <c r="AC43">
        <v>6</v>
      </c>
      <c r="AD43" s="82">
        <v>144</v>
      </c>
      <c r="AE43" s="157" t="b">
        <f t="shared" si="5"/>
        <v>1</v>
      </c>
      <c r="AF43" t="s">
        <v>101</v>
      </c>
      <c r="AG43" t="s">
        <v>189</v>
      </c>
      <c r="AH43">
        <v>8</v>
      </c>
      <c r="AI43" s="218">
        <v>120</v>
      </c>
      <c r="AJ43" s="157" t="b">
        <f t="shared" si="6"/>
        <v>1</v>
      </c>
      <c r="AK43" t="s">
        <v>124</v>
      </c>
      <c r="AL43" t="s">
        <v>68</v>
      </c>
      <c r="AM43">
        <v>6</v>
      </c>
      <c r="AN43" s="218">
        <v>120</v>
      </c>
      <c r="AO43" s="157" t="b">
        <f t="shared" si="7"/>
        <v>1</v>
      </c>
      <c r="AP43" t="s">
        <v>97</v>
      </c>
      <c r="AQ43" t="s">
        <v>189</v>
      </c>
      <c r="AR43">
        <v>13</v>
      </c>
      <c r="AS43" s="218">
        <v>351</v>
      </c>
      <c r="AT43" s="157" t="b">
        <f t="shared" si="8"/>
        <v>1</v>
      </c>
      <c r="AU43" t="s">
        <v>127</v>
      </c>
      <c r="AV43" t="s">
        <v>68</v>
      </c>
      <c r="AW43">
        <v>4</v>
      </c>
      <c r="AX43" s="218">
        <v>112</v>
      </c>
      <c r="AY43" s="69"/>
      <c r="BC43" s="69"/>
    </row>
    <row r="44" spans="1:55" x14ac:dyDescent="0.35">
      <c r="A44" t="b">
        <f>COUNTIF(Inkjøp[],B44)&gt;0</f>
        <v>1</v>
      </c>
      <c r="B44" s="146" t="str">
        <v>Lion</v>
      </c>
      <c r="C44" s="131">
        <f>IFERROR(VLOOKUP(B44,GammelVipps[],2,FALSE),0)+IFERROR(VLOOKUP(B44,Sept[],3,FALSE),0)+IFERROR(VLOOKUP(B44,Oktober[],3,FALSE),0)+IFERROR(VLOOKUP(B44,November[],3,FALSE),0)+IFERROR(VLOOKUP(B44,Desember[],3,FALSE),0)+IFERROR(VLOOKUP(B44,Januar[],3,FALSE),0)+IFERROR(VLOOKUP(B44,Februar[],3,FALSE),0)+IFERROR(VLOOKUP(B44,Mars[],3,FALSE),0)+IFERROR(VLOOKUP(B44,April[],3,FALSE),0)+IFERROR(VLOOKUP(B44,Mai[],3,FALSE),0)</f>
        <v>45</v>
      </c>
      <c r="D44" s="131">
        <f>IFERROR(VLOOKUP(B44,GammelVipps[],3,FALSE),0)+IFERROR(VLOOKUP(B44,Sept[],4,FALSE),0)+IFERROR(VLOOKUP(B44,Oktober[],4,FALSE),0)+IFERROR(VLOOKUP(B44,November[],4,FALSE),0)+IFERROR(VLOOKUP(B44,Desember[],4,FALSE),0)+IFERROR(VLOOKUP(B44,Januar[],4,FALSE),0)+IFERROR(VLOOKUP(B44,Februar[],4,FALSE),0)+IFERROR(VLOOKUP(B44,Mars[],4,FALSE),0)+IFERROR(VLOOKUP(B44,April[],4,FALSE),0)+IFERROR(VLOOKUP(B44,Mai[],4,FALSE),0)</f>
        <v>900</v>
      </c>
      <c r="F44" t="b">
        <f t="shared" si="10"/>
        <v>1</v>
      </c>
      <c r="G44" s="117" t="s">
        <v>139</v>
      </c>
      <c r="H44" s="131">
        <v>0</v>
      </c>
      <c r="I44" s="131">
        <v>0</v>
      </c>
      <c r="J44" s="131">
        <f>IFERROR(Vippsutskrifter!$I44/Vippsutskrifter!$H44,0)</f>
        <v>0</v>
      </c>
      <c r="K44" s="132" t="b">
        <f t="shared" si="11"/>
        <v>1</v>
      </c>
      <c r="L44" s="163" t="s">
        <v>101</v>
      </c>
      <c r="M44" s="163" t="s">
        <v>189</v>
      </c>
      <c r="N44" s="163">
        <v>15</v>
      </c>
      <c r="O44" s="164">
        <v>225</v>
      </c>
      <c r="P44" s="132" t="b">
        <f t="shared" si="12"/>
        <v>1</v>
      </c>
      <c r="Q44" s="163" t="s">
        <v>127</v>
      </c>
      <c r="R44" s="163" t="s">
        <v>68</v>
      </c>
      <c r="S44" s="163">
        <v>13</v>
      </c>
      <c r="T44" s="164">
        <v>364</v>
      </c>
      <c r="U44" s="165" t="b">
        <f t="shared" si="3"/>
        <v>1</v>
      </c>
      <c r="V44" s="69" t="s">
        <v>115</v>
      </c>
      <c r="W44" s="69" t="s">
        <v>190</v>
      </c>
      <c r="X44" s="69">
        <v>8</v>
      </c>
      <c r="Y44" s="9">
        <v>192</v>
      </c>
      <c r="Z44" s="69" t="b">
        <f t="shared" si="4"/>
        <v>1</v>
      </c>
      <c r="AA44" t="s">
        <v>126</v>
      </c>
      <c r="AB44" t="s">
        <v>68</v>
      </c>
      <c r="AC44">
        <v>6</v>
      </c>
      <c r="AD44" s="82">
        <v>168</v>
      </c>
      <c r="AE44" s="157" t="b">
        <f t="shared" si="5"/>
        <v>1</v>
      </c>
      <c r="AF44" t="s">
        <v>146</v>
      </c>
      <c r="AG44" t="s">
        <v>192</v>
      </c>
      <c r="AH44">
        <v>8</v>
      </c>
      <c r="AI44" s="218">
        <v>144</v>
      </c>
      <c r="AJ44" s="157" t="b">
        <f t="shared" si="6"/>
        <v>1</v>
      </c>
      <c r="AK44" t="s">
        <v>120</v>
      </c>
      <c r="AL44" t="s">
        <v>68</v>
      </c>
      <c r="AM44">
        <v>6</v>
      </c>
      <c r="AN44" s="218">
        <v>168</v>
      </c>
      <c r="AO44" s="157" t="b">
        <f t="shared" si="7"/>
        <v>1</v>
      </c>
      <c r="AP44" t="s">
        <v>127</v>
      </c>
      <c r="AQ44" t="s">
        <v>68</v>
      </c>
      <c r="AR44">
        <v>11</v>
      </c>
      <c r="AS44" s="218">
        <v>308</v>
      </c>
      <c r="AT44" s="157" t="b">
        <f t="shared" si="8"/>
        <v>1</v>
      </c>
      <c r="AU44" t="s">
        <v>142</v>
      </c>
      <c r="AV44" t="s">
        <v>69</v>
      </c>
      <c r="AW44">
        <v>3</v>
      </c>
      <c r="AX44" s="218">
        <v>30</v>
      </c>
      <c r="AY44" s="69"/>
      <c r="BC44" s="69"/>
    </row>
    <row r="45" spans="1:55" x14ac:dyDescent="0.35">
      <c r="A45" t="b">
        <f>COUNTIF(Inkjøp[],B45)&gt;0</f>
        <v>1</v>
      </c>
      <c r="B45" s="147" t="str">
        <v>Smarties</v>
      </c>
      <c r="C45" s="131">
        <f>IFERROR(VLOOKUP(B45,GammelVipps[],2,FALSE),0)+IFERROR(VLOOKUP(B45,Sept[],3,FALSE),0)+IFERROR(VLOOKUP(B45,Oktober[],3,FALSE),0)+IFERROR(VLOOKUP(B45,November[],3,FALSE),0)+IFERROR(VLOOKUP(B45,Desember[],3,FALSE),0)+IFERROR(VLOOKUP(B45,Januar[],3,FALSE),0)+IFERROR(VLOOKUP(B45,Februar[],3,FALSE),0)+IFERROR(VLOOKUP(B45,Mars[],3,FALSE),0)+IFERROR(VLOOKUP(B45,April[],3,FALSE),0)+IFERROR(VLOOKUP(B45,Mai[],3,FALSE),0)</f>
        <v>50</v>
      </c>
      <c r="D45" s="131">
        <f>IFERROR(VLOOKUP(B45,GammelVipps[],3,FALSE),0)+IFERROR(VLOOKUP(B45,Sept[],4,FALSE),0)+IFERROR(VLOOKUP(B45,Oktober[],4,FALSE),0)+IFERROR(VLOOKUP(B45,November[],4,FALSE),0)+IFERROR(VLOOKUP(B45,Desember[],4,FALSE),0)+IFERROR(VLOOKUP(B45,Januar[],4,FALSE),0)+IFERROR(VLOOKUP(B45,Februar[],4,FALSE),0)+IFERROR(VLOOKUP(B45,Mars[],4,FALSE),0)+IFERROR(VLOOKUP(B45,April[],4,FALSE),0)+IFERROR(VLOOKUP(B45,Mai[],4,FALSE),0)</f>
        <v>1000</v>
      </c>
      <c r="F45" t="b">
        <f t="shared" si="10"/>
        <v>1</v>
      </c>
      <c r="G45" s="118" t="s">
        <v>140</v>
      </c>
      <c r="H45" s="133">
        <v>0</v>
      </c>
      <c r="I45" s="133">
        <v>0</v>
      </c>
      <c r="J45" s="133">
        <f>IFERROR(Vippsutskrifter!$I45/Vippsutskrifter!$H45,0)</f>
        <v>0</v>
      </c>
      <c r="K45" s="134" t="b">
        <f t="shared" si="11"/>
        <v>1</v>
      </c>
      <c r="L45" s="160" t="s">
        <v>124</v>
      </c>
      <c r="M45" s="160" t="s">
        <v>68</v>
      </c>
      <c r="N45" s="160">
        <v>13</v>
      </c>
      <c r="O45" s="161">
        <v>260</v>
      </c>
      <c r="P45" s="134" t="b">
        <f t="shared" si="12"/>
        <v>1</v>
      </c>
      <c r="Q45" s="160" t="s">
        <v>155</v>
      </c>
      <c r="R45" s="160" t="s">
        <v>192</v>
      </c>
      <c r="S45" s="160">
        <v>13</v>
      </c>
      <c r="T45" s="161">
        <v>130</v>
      </c>
      <c r="U45" s="162" t="b">
        <f t="shared" si="3"/>
        <v>1</v>
      </c>
      <c r="V45" s="69" t="s">
        <v>156</v>
      </c>
      <c r="W45" s="69" t="s">
        <v>192</v>
      </c>
      <c r="X45" s="69">
        <v>7</v>
      </c>
      <c r="Y45" s="9">
        <v>175</v>
      </c>
      <c r="Z45" s="69" t="b">
        <f t="shared" si="4"/>
        <v>1</v>
      </c>
      <c r="AA45" t="s">
        <v>193</v>
      </c>
      <c r="AB45" t="s">
        <v>189</v>
      </c>
      <c r="AC45">
        <v>5</v>
      </c>
      <c r="AD45" s="82">
        <v>135</v>
      </c>
      <c r="AE45" s="157" t="b">
        <f t="shared" si="5"/>
        <v>1</v>
      </c>
      <c r="AF45" t="s">
        <v>127</v>
      </c>
      <c r="AG45" t="s">
        <v>68</v>
      </c>
      <c r="AH45">
        <v>7</v>
      </c>
      <c r="AI45" s="218">
        <v>196</v>
      </c>
      <c r="AJ45" s="157" t="b">
        <f t="shared" si="6"/>
        <v>1</v>
      </c>
      <c r="AK45" t="s">
        <v>193</v>
      </c>
      <c r="AL45" t="s">
        <v>189</v>
      </c>
      <c r="AM45">
        <v>6</v>
      </c>
      <c r="AN45" s="218">
        <v>162</v>
      </c>
      <c r="AO45" s="157" t="b">
        <f t="shared" si="7"/>
        <v>1</v>
      </c>
      <c r="AP45" t="s">
        <v>93</v>
      </c>
      <c r="AQ45" t="s">
        <v>189</v>
      </c>
      <c r="AR45">
        <v>11</v>
      </c>
      <c r="AS45" s="218">
        <v>297</v>
      </c>
      <c r="AT45" s="157" t="b">
        <f t="shared" si="8"/>
        <v>1</v>
      </c>
      <c r="AU45" t="s">
        <v>126</v>
      </c>
      <c r="AV45" t="s">
        <v>68</v>
      </c>
      <c r="AW45">
        <v>3</v>
      </c>
      <c r="AX45" s="218">
        <v>84</v>
      </c>
      <c r="AY45" s="69"/>
      <c r="BC45" s="69"/>
    </row>
    <row r="46" spans="1:55" x14ac:dyDescent="0.35">
      <c r="A46" t="b">
        <f>COUNTIF(Inkjøp[],B46)&gt;0</f>
        <v>1</v>
      </c>
      <c r="B46" s="146" t="str">
        <v>Snap n´crackle</v>
      </c>
      <c r="C46" s="131">
        <f>IFERROR(VLOOKUP(B46,GammelVipps[],2,FALSE),0)+IFERROR(VLOOKUP(B46,Sept[],3,FALSE),0)+IFERROR(VLOOKUP(B46,Oktober[],3,FALSE),0)+IFERROR(VLOOKUP(B46,November[],3,FALSE),0)+IFERROR(VLOOKUP(B46,Desember[],3,FALSE),0)+IFERROR(VLOOKUP(B46,Januar[],3,FALSE),0)+IFERROR(VLOOKUP(B46,Februar[],3,FALSE),0)+IFERROR(VLOOKUP(B46,Mars[],3,FALSE),0)+IFERROR(VLOOKUP(B46,April[],3,FALSE),0)+IFERROR(VLOOKUP(B46,Mai[],3,FALSE),0)</f>
        <v>264</v>
      </c>
      <c r="D46" s="131">
        <f>IFERROR(VLOOKUP(B46,GammelVipps[],3,FALSE),0)+IFERROR(VLOOKUP(B46,Sept[],4,FALSE),0)+IFERROR(VLOOKUP(B46,Oktober[],4,FALSE),0)+IFERROR(VLOOKUP(B46,November[],4,FALSE),0)+IFERROR(VLOOKUP(B46,Desember[],4,FALSE),0)+IFERROR(VLOOKUP(B46,Januar[],4,FALSE),0)+IFERROR(VLOOKUP(B46,Februar[],4,FALSE),0)+IFERROR(VLOOKUP(B46,Mars[],4,FALSE),0)+IFERROR(VLOOKUP(B46,April[],4,FALSE),0)+IFERROR(VLOOKUP(B46,Mai[],4,FALSE),0)</f>
        <v>2640</v>
      </c>
      <c r="F46" t="b">
        <f t="shared" si="10"/>
        <v>1</v>
      </c>
      <c r="G46" s="117" t="s">
        <v>141</v>
      </c>
      <c r="H46" s="131">
        <v>64</v>
      </c>
      <c r="I46" s="131">
        <v>640</v>
      </c>
      <c r="J46" s="131">
        <f>IFERROR(Vippsutskrifter!$I46/Vippsutskrifter!$H46,0)</f>
        <v>10</v>
      </c>
      <c r="K46" s="132" t="b">
        <f t="shared" si="11"/>
        <v>1</v>
      </c>
      <c r="L46" s="163" t="s">
        <v>152</v>
      </c>
      <c r="M46" s="163" t="s">
        <v>192</v>
      </c>
      <c r="N46" s="163">
        <v>12</v>
      </c>
      <c r="O46" s="164">
        <v>180</v>
      </c>
      <c r="P46" s="132" t="b">
        <f t="shared" si="12"/>
        <v>1</v>
      </c>
      <c r="Q46" s="163" t="s">
        <v>108</v>
      </c>
      <c r="R46" s="163" t="s">
        <v>189</v>
      </c>
      <c r="S46" s="163">
        <v>12</v>
      </c>
      <c r="T46" s="164">
        <v>336</v>
      </c>
      <c r="U46" s="165" t="b">
        <f t="shared" si="3"/>
        <v>1</v>
      </c>
      <c r="V46" s="69" t="s">
        <v>155</v>
      </c>
      <c r="W46" s="69" t="s">
        <v>192</v>
      </c>
      <c r="X46" s="69">
        <v>7</v>
      </c>
      <c r="Y46" s="9">
        <v>70</v>
      </c>
      <c r="Z46" s="69" t="b">
        <f t="shared" si="4"/>
        <v>1</v>
      </c>
      <c r="AA46" t="s">
        <v>127</v>
      </c>
      <c r="AB46" t="s">
        <v>68</v>
      </c>
      <c r="AC46">
        <v>4</v>
      </c>
      <c r="AD46" s="82">
        <v>112</v>
      </c>
      <c r="AE46" s="157" t="b">
        <f t="shared" si="5"/>
        <v>1</v>
      </c>
      <c r="AF46" t="s">
        <v>99</v>
      </c>
      <c r="AG46" t="s">
        <v>189</v>
      </c>
      <c r="AH46">
        <v>7</v>
      </c>
      <c r="AI46" s="218">
        <v>189</v>
      </c>
      <c r="AJ46" s="157" t="b">
        <f t="shared" si="6"/>
        <v>1</v>
      </c>
      <c r="AK46" t="s">
        <v>153</v>
      </c>
      <c r="AL46" t="s">
        <v>69</v>
      </c>
      <c r="AM46">
        <v>5</v>
      </c>
      <c r="AN46" s="218">
        <v>40</v>
      </c>
      <c r="AO46" s="157" t="b">
        <f t="shared" si="7"/>
        <v>1</v>
      </c>
      <c r="AP46" t="s">
        <v>111</v>
      </c>
      <c r="AQ46" t="s">
        <v>189</v>
      </c>
      <c r="AR46">
        <v>10</v>
      </c>
      <c r="AS46" s="218">
        <v>300</v>
      </c>
      <c r="AT46" s="157" t="b">
        <f t="shared" si="8"/>
        <v>1</v>
      </c>
      <c r="AU46" t="s">
        <v>155</v>
      </c>
      <c r="AV46" t="s">
        <v>192</v>
      </c>
      <c r="AW46">
        <v>2</v>
      </c>
      <c r="AX46" s="218">
        <v>12</v>
      </c>
      <c r="AY46" s="69"/>
      <c r="BC46" s="69"/>
    </row>
    <row r="47" spans="1:55" x14ac:dyDescent="0.35">
      <c r="A47" t="b">
        <f>COUNTIF(Inkjøp[],B47)&gt;0</f>
        <v>1</v>
      </c>
      <c r="B47" s="146" t="str">
        <v>Drumstick</v>
      </c>
      <c r="C47" s="131">
        <f>IFERROR(VLOOKUP(B47,GammelVipps[],2,FALSE),0)+IFERROR(VLOOKUP(B47,Sept[],3,FALSE),0)+IFERROR(VLOOKUP(B47,Oktober[],3,FALSE),0)+IFERROR(VLOOKUP(B47,November[],3,FALSE),0)+IFERROR(VLOOKUP(B47,Desember[],3,FALSE),0)+IFERROR(VLOOKUP(B47,Januar[],3,FALSE),0)+IFERROR(VLOOKUP(B47,Februar[],3,FALSE),0)+IFERROR(VLOOKUP(B47,Mars[],3,FALSE),0)+IFERROR(VLOOKUP(B47,April[],3,FALSE),0)+IFERROR(VLOOKUP(B47,Mai[],3,FALSE),0)</f>
        <v>704</v>
      </c>
      <c r="D47" s="131">
        <f>IFERROR(VLOOKUP(B47,GammelVipps[],3,FALSE),0)+IFERROR(VLOOKUP(B47,Sept[],4,FALSE),0)+IFERROR(VLOOKUP(B47,Oktober[],4,FALSE),0)+IFERROR(VLOOKUP(B47,November[],4,FALSE),0)+IFERROR(VLOOKUP(B47,Desember[],4,FALSE),0)+IFERROR(VLOOKUP(B47,Januar[],4,FALSE),0)+IFERROR(VLOOKUP(B47,Februar[],4,FALSE),0)+IFERROR(VLOOKUP(B47,Mars[],4,FALSE),0)+IFERROR(VLOOKUP(B47,April[],4,FALSE),0)+IFERROR(VLOOKUP(B47,Mai[],4,FALSE),0)</f>
        <v>7040</v>
      </c>
      <c r="F47" t="b">
        <f t="shared" si="10"/>
        <v>1</v>
      </c>
      <c r="G47" s="117" t="s">
        <v>142</v>
      </c>
      <c r="H47" s="133">
        <v>143</v>
      </c>
      <c r="I47" s="133">
        <v>1430</v>
      </c>
      <c r="J47" s="133">
        <f>IFERROR(Vippsutskrifter!$I47/Vippsutskrifter!$H47,0)</f>
        <v>10</v>
      </c>
      <c r="K47" s="134" t="b">
        <f t="shared" si="11"/>
        <v>1</v>
      </c>
      <c r="L47" s="160" t="s">
        <v>117</v>
      </c>
      <c r="M47" s="160" t="s">
        <v>190</v>
      </c>
      <c r="N47" s="160">
        <v>12</v>
      </c>
      <c r="O47" s="161">
        <v>288</v>
      </c>
      <c r="P47" s="134" t="b">
        <f t="shared" si="12"/>
        <v>1</v>
      </c>
      <c r="Q47" s="160" t="s">
        <v>153</v>
      </c>
      <c r="R47" s="160" t="s">
        <v>69</v>
      </c>
      <c r="S47" s="160">
        <v>12</v>
      </c>
      <c r="T47" s="161">
        <v>96</v>
      </c>
      <c r="U47" s="162" t="b">
        <f t="shared" si="3"/>
        <v>1</v>
      </c>
      <c r="V47" s="69" t="s">
        <v>193</v>
      </c>
      <c r="W47" s="69" t="s">
        <v>189</v>
      </c>
      <c r="X47" s="69">
        <v>7</v>
      </c>
      <c r="Y47" s="9">
        <v>189</v>
      </c>
      <c r="Z47" s="69" t="b">
        <f t="shared" si="4"/>
        <v>1</v>
      </c>
      <c r="AA47" t="s">
        <v>100</v>
      </c>
      <c r="AB47" t="s">
        <v>189</v>
      </c>
      <c r="AC47">
        <v>4</v>
      </c>
      <c r="AD47" s="82">
        <v>108</v>
      </c>
      <c r="AE47" s="157" t="b">
        <f t="shared" si="5"/>
        <v>1</v>
      </c>
      <c r="AF47" t="s">
        <v>124</v>
      </c>
      <c r="AG47" t="s">
        <v>68</v>
      </c>
      <c r="AH47">
        <v>6</v>
      </c>
      <c r="AI47" s="218">
        <v>120</v>
      </c>
      <c r="AJ47" s="157" t="b">
        <f t="shared" si="6"/>
        <v>1</v>
      </c>
      <c r="AK47" t="s">
        <v>127</v>
      </c>
      <c r="AL47" t="s">
        <v>68</v>
      </c>
      <c r="AM47">
        <v>5</v>
      </c>
      <c r="AN47" s="218">
        <v>140</v>
      </c>
      <c r="AO47" s="157" t="b">
        <f t="shared" si="7"/>
        <v>1</v>
      </c>
      <c r="AP47" t="s">
        <v>155</v>
      </c>
      <c r="AQ47" t="s">
        <v>192</v>
      </c>
      <c r="AR47">
        <v>10</v>
      </c>
      <c r="AS47" s="218">
        <v>60</v>
      </c>
      <c r="AT47" s="157" t="b">
        <f t="shared" si="8"/>
        <v>1</v>
      </c>
      <c r="AU47" t="s">
        <v>150</v>
      </c>
      <c r="AV47" t="s">
        <v>69</v>
      </c>
      <c r="AW47">
        <v>1</v>
      </c>
      <c r="AX47" s="218">
        <v>35</v>
      </c>
      <c r="AY47" s="69"/>
      <c r="BC47" s="69"/>
    </row>
    <row r="48" spans="1:55" x14ac:dyDescent="0.35">
      <c r="A48" t="b">
        <f>COUNTIF(Inkjøp[],B48)&gt;0</f>
        <v>1</v>
      </c>
      <c r="B48" s="146" t="str">
        <v>Squashies</v>
      </c>
      <c r="C48" s="131">
        <f>IFERROR(VLOOKUP(B48,GammelVipps[],2,FALSE),0)+IFERROR(VLOOKUP(B48,Sept[],3,FALSE),0)+IFERROR(VLOOKUP(B48,Oktober[],3,FALSE),0)+IFERROR(VLOOKUP(B48,November[],3,FALSE),0)+IFERROR(VLOOKUP(B48,Desember[],3,FALSE),0)+IFERROR(VLOOKUP(B48,Januar[],3,FALSE),0)+IFERROR(VLOOKUP(B48,Februar[],3,FALSE),0)+IFERROR(VLOOKUP(B48,Mars[],3,FALSE),0)+IFERROR(VLOOKUP(B48,April[],3,FALSE),0)+IFERROR(VLOOKUP(B48,Mai[],3,FALSE),0)</f>
        <v>287</v>
      </c>
      <c r="D48" s="131">
        <f>IFERROR(VLOOKUP(B48,GammelVipps[],3,FALSE),0)+IFERROR(VLOOKUP(B48,Sept[],4,FALSE),0)+IFERROR(VLOOKUP(B48,Oktober[],4,FALSE),0)+IFERROR(VLOOKUP(B48,November[],4,FALSE),0)+IFERROR(VLOOKUP(B48,Desember[],4,FALSE),0)+IFERROR(VLOOKUP(B48,Januar[],4,FALSE),0)+IFERROR(VLOOKUP(B48,Februar[],4,FALSE),0)+IFERROR(VLOOKUP(B48,Mars[],4,FALSE),0)+IFERROR(VLOOKUP(B48,April[],4,FALSE),0)+IFERROR(VLOOKUP(B48,Mai[],4,FALSE),0)</f>
        <v>5740</v>
      </c>
      <c r="F48" t="b">
        <f t="shared" si="10"/>
        <v>1</v>
      </c>
      <c r="G48" s="117" t="s">
        <v>143</v>
      </c>
      <c r="H48" s="131">
        <v>30</v>
      </c>
      <c r="I48" s="131">
        <v>600</v>
      </c>
      <c r="J48" s="131">
        <f>IFERROR(Vippsutskrifter!$I48/Vippsutskrifter!$H48,0)</f>
        <v>20</v>
      </c>
      <c r="K48" s="132" t="b">
        <f t="shared" si="11"/>
        <v>1</v>
      </c>
      <c r="L48" s="163" t="s">
        <v>91</v>
      </c>
      <c r="M48" s="163" t="s">
        <v>189</v>
      </c>
      <c r="N48" s="163">
        <v>10</v>
      </c>
      <c r="O48" s="164">
        <v>300</v>
      </c>
      <c r="P48" s="132" t="b">
        <f t="shared" si="12"/>
        <v>1</v>
      </c>
      <c r="Q48" s="163" t="s">
        <v>100</v>
      </c>
      <c r="R48" s="163" t="s">
        <v>189</v>
      </c>
      <c r="S48" s="163">
        <v>11</v>
      </c>
      <c r="T48" s="164">
        <v>297</v>
      </c>
      <c r="U48" s="165" t="b">
        <f t="shared" si="3"/>
        <v>1</v>
      </c>
      <c r="V48" s="69" t="s">
        <v>117</v>
      </c>
      <c r="W48" s="69" t="s">
        <v>190</v>
      </c>
      <c r="X48" s="69">
        <v>6</v>
      </c>
      <c r="Y48" s="9">
        <v>144</v>
      </c>
      <c r="Z48" s="69" t="b">
        <f t="shared" si="4"/>
        <v>1</v>
      </c>
      <c r="AA48" t="s">
        <v>156</v>
      </c>
      <c r="AB48" t="s">
        <v>192</v>
      </c>
      <c r="AC48">
        <v>3</v>
      </c>
      <c r="AD48" s="82">
        <v>75</v>
      </c>
      <c r="AE48" s="157" t="b">
        <f t="shared" si="5"/>
        <v>1</v>
      </c>
      <c r="AF48" t="s">
        <v>155</v>
      </c>
      <c r="AG48" t="s">
        <v>192</v>
      </c>
      <c r="AH48">
        <v>6</v>
      </c>
      <c r="AI48" s="218">
        <v>52</v>
      </c>
      <c r="AJ48" s="157" t="b">
        <f t="shared" si="6"/>
        <v>1</v>
      </c>
      <c r="AK48" t="s">
        <v>100</v>
      </c>
      <c r="AL48" t="s">
        <v>189</v>
      </c>
      <c r="AM48">
        <v>4</v>
      </c>
      <c r="AN48" s="218">
        <v>108</v>
      </c>
      <c r="AO48" s="157" t="b">
        <f t="shared" si="7"/>
        <v>1</v>
      </c>
      <c r="AP48" t="s">
        <v>145</v>
      </c>
      <c r="AQ48" t="s">
        <v>192</v>
      </c>
      <c r="AR48">
        <v>10</v>
      </c>
      <c r="AS48" s="218">
        <v>180</v>
      </c>
      <c r="AT48" s="157" t="b">
        <f t="shared" si="8"/>
        <v>1</v>
      </c>
      <c r="AU48" t="s">
        <v>125</v>
      </c>
      <c r="AV48" t="s">
        <v>68</v>
      </c>
      <c r="AW48">
        <v>1</v>
      </c>
      <c r="AX48" s="218">
        <v>28</v>
      </c>
      <c r="AY48" s="69"/>
      <c r="BC48" s="69"/>
    </row>
    <row r="49" spans="1:55" x14ac:dyDescent="0.35">
      <c r="A49" t="b">
        <f>COUNTIF(Inkjøp[],B49)&gt;0</f>
        <v>1</v>
      </c>
      <c r="B49" s="146" t="str">
        <v>Vepsebol</v>
      </c>
      <c r="C49" s="131">
        <f>IFERROR(VLOOKUP(B49,GammelVipps[],2,FALSE),0)+IFERROR(VLOOKUP(B49,Sept[],3,FALSE),0)+IFERROR(VLOOKUP(B49,Oktober[],3,FALSE),0)+IFERROR(VLOOKUP(B49,November[],3,FALSE),0)+IFERROR(VLOOKUP(B49,Desember[],3,FALSE),0)+IFERROR(VLOOKUP(B49,Januar[],3,FALSE),0)+IFERROR(VLOOKUP(B49,Februar[],3,FALSE),0)+IFERROR(VLOOKUP(B49,Mars[],3,FALSE),0)+IFERROR(VLOOKUP(B49,April[],3,FALSE),0)+IFERROR(VLOOKUP(B49,Mai[],3,FALSE),0)</f>
        <v>187</v>
      </c>
      <c r="D49" s="131">
        <f>IFERROR(VLOOKUP(B49,GammelVipps[],3,FALSE),0)+IFERROR(VLOOKUP(B49,Sept[],4,FALSE),0)+IFERROR(VLOOKUP(B49,Oktober[],4,FALSE),0)+IFERROR(VLOOKUP(B49,November[],4,FALSE),0)+IFERROR(VLOOKUP(B49,Desember[],4,FALSE),0)+IFERROR(VLOOKUP(B49,Januar[],4,FALSE),0)+IFERROR(VLOOKUP(B49,Februar[],4,FALSE),0)+IFERROR(VLOOKUP(B49,Mars[],4,FALSE),0)+IFERROR(VLOOKUP(B49,April[],4,FALSE),0)+IFERROR(VLOOKUP(B49,Mai[],4,FALSE),0)</f>
        <v>2805</v>
      </c>
      <c r="F49" t="b">
        <f t="shared" si="10"/>
        <v>1</v>
      </c>
      <c r="G49" s="117" t="s">
        <v>144</v>
      </c>
      <c r="H49" s="133">
        <v>15</v>
      </c>
      <c r="I49" s="133">
        <v>225</v>
      </c>
      <c r="J49" s="133">
        <f>IFERROR(Vippsutskrifter!$I49/Vippsutskrifter!$H49,0)</f>
        <v>15</v>
      </c>
      <c r="K49" s="134" t="b">
        <f t="shared" si="11"/>
        <v>1</v>
      </c>
      <c r="L49" s="160" t="s">
        <v>99</v>
      </c>
      <c r="M49" s="160" t="s">
        <v>189</v>
      </c>
      <c r="N49" s="160">
        <v>7</v>
      </c>
      <c r="O49" s="161">
        <v>189</v>
      </c>
      <c r="P49" s="134" t="b">
        <f t="shared" si="12"/>
        <v>1</v>
      </c>
      <c r="Q49" s="160" t="s">
        <v>120</v>
      </c>
      <c r="R49" s="160" t="s">
        <v>68</v>
      </c>
      <c r="S49" s="160">
        <v>9</v>
      </c>
      <c r="T49" s="161">
        <v>252</v>
      </c>
      <c r="U49" s="162" t="b">
        <f t="shared" si="3"/>
        <v>1</v>
      </c>
      <c r="V49" s="69" t="s">
        <v>153</v>
      </c>
      <c r="W49" s="69" t="s">
        <v>69</v>
      </c>
      <c r="X49" s="69">
        <v>4</v>
      </c>
      <c r="Y49" s="9">
        <v>32</v>
      </c>
      <c r="Z49" s="69" t="b">
        <f t="shared" si="4"/>
        <v>1</v>
      </c>
      <c r="AA49" t="s">
        <v>153</v>
      </c>
      <c r="AB49" t="s">
        <v>69</v>
      </c>
      <c r="AC49">
        <v>3</v>
      </c>
      <c r="AD49" s="82">
        <v>24</v>
      </c>
      <c r="AE49" s="157" t="b">
        <f t="shared" si="5"/>
        <v>1</v>
      </c>
      <c r="AF49" t="s">
        <v>154</v>
      </c>
      <c r="AG49" t="s">
        <v>192</v>
      </c>
      <c r="AH49">
        <v>6</v>
      </c>
      <c r="AI49" s="218">
        <v>52</v>
      </c>
      <c r="AJ49" s="157" t="b">
        <f t="shared" si="6"/>
        <v>1</v>
      </c>
      <c r="AK49" t="s">
        <v>96</v>
      </c>
      <c r="AL49" t="s">
        <v>189</v>
      </c>
      <c r="AM49">
        <v>4</v>
      </c>
      <c r="AN49" s="218">
        <v>108</v>
      </c>
      <c r="AO49" s="157" t="b">
        <f t="shared" si="7"/>
        <v>1</v>
      </c>
      <c r="AP49" t="s">
        <v>98</v>
      </c>
      <c r="AQ49" t="s">
        <v>189</v>
      </c>
      <c r="AR49">
        <v>10</v>
      </c>
      <c r="AS49" s="218">
        <v>270</v>
      </c>
      <c r="AT49" s="157" t="b">
        <f t="shared" si="8"/>
        <v>1</v>
      </c>
      <c r="AU49" t="s">
        <v>120</v>
      </c>
      <c r="AV49" t="s">
        <v>68</v>
      </c>
      <c r="AW49">
        <v>1</v>
      </c>
      <c r="AX49" s="218">
        <v>28</v>
      </c>
      <c r="AY49" s="69"/>
      <c r="BC49" s="69"/>
    </row>
    <row r="50" spans="1:55" x14ac:dyDescent="0.35">
      <c r="A50" t="b">
        <f>COUNTIF(Inkjøp[],B50)&gt;0</f>
        <v>1</v>
      </c>
      <c r="B50" s="146" t="str">
        <v>Pringles Original</v>
      </c>
      <c r="C50" s="131">
        <f>IFERROR(VLOOKUP(B50,GammelVipps[],2,FALSE),0)+IFERROR(VLOOKUP(B50,Sept[],3,FALSE),0)+IFERROR(VLOOKUP(B50,Oktober[],3,FALSE),0)+IFERROR(VLOOKUP(B50,November[],3,FALSE),0)+IFERROR(VLOOKUP(B50,Desember[],3,FALSE),0)+IFERROR(VLOOKUP(B50,Januar[],3,FALSE),0)+IFERROR(VLOOKUP(B50,Februar[],3,FALSE),0)+IFERROR(VLOOKUP(B50,Mars[],3,FALSE),0)+IFERROR(VLOOKUP(B50,April[],3,FALSE),0)+IFERROR(VLOOKUP(B50,Mai[],3,FALSE),0)</f>
        <v>111</v>
      </c>
      <c r="D50" s="131">
        <f>IFERROR(VLOOKUP(B50,GammelVipps[],3,FALSE),0)+IFERROR(VLOOKUP(B50,Sept[],4,FALSE),0)+IFERROR(VLOOKUP(B50,Oktober[],4,FALSE),0)+IFERROR(VLOOKUP(B50,November[],4,FALSE),0)+IFERROR(VLOOKUP(B50,Desember[],4,FALSE),0)+IFERROR(VLOOKUP(B50,Januar[],4,FALSE),0)+IFERROR(VLOOKUP(B50,Februar[],4,FALSE),0)+IFERROR(VLOOKUP(B50,Mars[],4,FALSE),0)+IFERROR(VLOOKUP(B50,April[],4,FALSE),0)+IFERROR(VLOOKUP(B50,Mai[],4,FALSE),0)</f>
        <v>1998</v>
      </c>
      <c r="F50" t="b">
        <f t="shared" si="10"/>
        <v>1</v>
      </c>
      <c r="G50" s="117" t="s">
        <v>145</v>
      </c>
      <c r="H50" s="131">
        <v>12</v>
      </c>
      <c r="I50" s="131">
        <v>216</v>
      </c>
      <c r="J50" s="131">
        <f>IFERROR(Vippsutskrifter!$I50/Vippsutskrifter!$H50,0)</f>
        <v>18</v>
      </c>
      <c r="K50" s="132" t="b">
        <f t="shared" si="11"/>
        <v>1</v>
      </c>
      <c r="L50" s="163" t="s">
        <v>120</v>
      </c>
      <c r="M50" s="163" t="s">
        <v>68</v>
      </c>
      <c r="N50" s="163">
        <v>6</v>
      </c>
      <c r="O50" s="164">
        <v>168</v>
      </c>
      <c r="P50" s="132" t="b">
        <f t="shared" si="12"/>
        <v>1</v>
      </c>
      <c r="Q50" s="163" t="s">
        <v>113</v>
      </c>
      <c r="R50" s="163" t="s">
        <v>190</v>
      </c>
      <c r="S50" s="163">
        <v>9</v>
      </c>
      <c r="T50" s="164">
        <v>216</v>
      </c>
      <c r="U50" s="165" t="b">
        <f t="shared" si="3"/>
        <v>1</v>
      </c>
      <c r="V50" s="69" t="s">
        <v>126</v>
      </c>
      <c r="W50" s="69" t="s">
        <v>68</v>
      </c>
      <c r="X50" s="69">
        <v>4</v>
      </c>
      <c r="Y50" s="9">
        <v>112</v>
      </c>
      <c r="Z50" s="69" t="b">
        <f t="shared" si="4"/>
        <v>1</v>
      </c>
      <c r="AA50" t="s">
        <v>154</v>
      </c>
      <c r="AB50" t="s">
        <v>192</v>
      </c>
      <c r="AC50">
        <v>3</v>
      </c>
      <c r="AD50" s="82">
        <v>30</v>
      </c>
      <c r="AE50" s="157" t="b">
        <f t="shared" si="5"/>
        <v>1</v>
      </c>
      <c r="AF50" t="s">
        <v>100</v>
      </c>
      <c r="AG50" t="s">
        <v>189</v>
      </c>
      <c r="AH50">
        <v>5</v>
      </c>
      <c r="AI50" s="218">
        <v>135</v>
      </c>
      <c r="AJ50" s="157" t="b">
        <f t="shared" si="6"/>
        <v>1</v>
      </c>
      <c r="AK50" t="s">
        <v>107</v>
      </c>
      <c r="AL50" t="s">
        <v>189</v>
      </c>
      <c r="AM50">
        <v>3</v>
      </c>
      <c r="AN50" s="218">
        <v>84</v>
      </c>
      <c r="AO50" s="157" t="b">
        <f t="shared" si="7"/>
        <v>1</v>
      </c>
      <c r="AP50" t="s">
        <v>342</v>
      </c>
      <c r="AQ50" t="s">
        <v>343</v>
      </c>
      <c r="AR50">
        <v>5</v>
      </c>
      <c r="AS50" s="218">
        <v>100</v>
      </c>
      <c r="AT50" s="157" t="b">
        <f t="shared" si="8"/>
        <v>1</v>
      </c>
      <c r="AU50" t="s">
        <v>117</v>
      </c>
      <c r="AV50" t="s">
        <v>190</v>
      </c>
      <c r="AW50">
        <v>1</v>
      </c>
      <c r="AX50" s="218">
        <v>24</v>
      </c>
      <c r="AY50" s="69"/>
      <c r="BC50" s="69"/>
    </row>
    <row r="51" spans="1:55" x14ac:dyDescent="0.35">
      <c r="A51" t="b">
        <f>COUNTIF(Inkjøp[],B51)&gt;0</f>
        <v>1</v>
      </c>
      <c r="B51" s="146" t="str">
        <v>Pringles Sour Cream</v>
      </c>
      <c r="C51" s="131">
        <f>IFERROR(VLOOKUP(B51,GammelVipps[],2,FALSE),0)+IFERROR(VLOOKUP(B51,Sept[],3,FALSE),0)+IFERROR(VLOOKUP(B51,Oktober[],3,FALSE),0)+IFERROR(VLOOKUP(B51,November[],3,FALSE),0)+IFERROR(VLOOKUP(B51,Desember[],3,FALSE),0)+IFERROR(VLOOKUP(B51,Januar[],3,FALSE),0)+IFERROR(VLOOKUP(B51,Februar[],3,FALSE),0)+IFERROR(VLOOKUP(B51,Mars[],3,FALSE),0)+IFERROR(VLOOKUP(B51,April[],3,FALSE),0)+IFERROR(VLOOKUP(B51,Mai[],3,FALSE),0)</f>
        <v>145</v>
      </c>
      <c r="D51" s="131">
        <f>IFERROR(VLOOKUP(B51,GammelVipps[],3,FALSE),0)+IFERROR(VLOOKUP(B51,Sept[],4,FALSE),0)+IFERROR(VLOOKUP(B51,Oktober[],4,FALSE),0)+IFERROR(VLOOKUP(B51,November[],4,FALSE),0)+IFERROR(VLOOKUP(B51,Desember[],4,FALSE),0)+IFERROR(VLOOKUP(B51,Januar[],4,FALSE),0)+IFERROR(VLOOKUP(B51,Februar[],4,FALSE),0)+IFERROR(VLOOKUP(B51,Mars[],4,FALSE),0)+IFERROR(VLOOKUP(B51,April[],4,FALSE),0)+IFERROR(VLOOKUP(B51,Mai[],4,FALSE),0)</f>
        <v>2610</v>
      </c>
      <c r="F51" t="b">
        <f t="shared" si="10"/>
        <v>1</v>
      </c>
      <c r="G51" s="117" t="s">
        <v>146</v>
      </c>
      <c r="H51" s="133">
        <v>12</v>
      </c>
      <c r="I51" s="133">
        <v>216</v>
      </c>
      <c r="J51" s="133">
        <f>IFERROR(Vippsutskrifter!$I51/Vippsutskrifter!$H51,0)</f>
        <v>18</v>
      </c>
      <c r="K51" s="134" t="b">
        <f t="shared" si="11"/>
        <v>1</v>
      </c>
      <c r="L51" s="160" t="s">
        <v>154</v>
      </c>
      <c r="M51" s="160" t="s">
        <v>192</v>
      </c>
      <c r="N51" s="160">
        <v>6</v>
      </c>
      <c r="O51" s="161">
        <v>60</v>
      </c>
      <c r="P51" s="134" t="b">
        <f t="shared" si="12"/>
        <v>1</v>
      </c>
      <c r="Q51" s="160" t="s">
        <v>154</v>
      </c>
      <c r="R51" s="160" t="s">
        <v>192</v>
      </c>
      <c r="S51" s="160">
        <v>9</v>
      </c>
      <c r="T51" s="161">
        <v>90</v>
      </c>
      <c r="U51" s="162" t="b">
        <f t="shared" si="3"/>
        <v>1</v>
      </c>
      <c r="V51" s="69" t="s">
        <v>99</v>
      </c>
      <c r="W51" s="69" t="s">
        <v>189</v>
      </c>
      <c r="X51" s="69">
        <v>4</v>
      </c>
      <c r="Y51" s="9">
        <v>108</v>
      </c>
      <c r="Z51" s="69" t="b">
        <f t="shared" si="4"/>
        <v>1</v>
      </c>
      <c r="AA51" t="s">
        <v>96</v>
      </c>
      <c r="AB51" t="s">
        <v>189</v>
      </c>
      <c r="AC51">
        <v>3</v>
      </c>
      <c r="AD51" s="82">
        <v>81</v>
      </c>
      <c r="AE51" s="157" t="b">
        <f t="shared" si="5"/>
        <v>1</v>
      </c>
      <c r="AF51" t="s">
        <v>113</v>
      </c>
      <c r="AG51" t="s">
        <v>190</v>
      </c>
      <c r="AH51">
        <v>2</v>
      </c>
      <c r="AI51" s="218">
        <v>48</v>
      </c>
      <c r="AJ51" s="69"/>
      <c r="AO51" s="157" t="b">
        <f t="shared" si="7"/>
        <v>1</v>
      </c>
      <c r="AP51" t="s">
        <v>113</v>
      </c>
      <c r="AQ51" t="s">
        <v>190</v>
      </c>
      <c r="AR51">
        <v>5</v>
      </c>
      <c r="AS51" s="218">
        <v>120</v>
      </c>
      <c r="AT51" s="157" t="b">
        <f t="shared" si="8"/>
        <v>1</v>
      </c>
      <c r="AU51" t="s">
        <v>97</v>
      </c>
      <c r="AV51" t="s">
        <v>189</v>
      </c>
      <c r="AW51">
        <v>1</v>
      </c>
      <c r="AX51" s="218">
        <v>27</v>
      </c>
      <c r="AY51" s="69"/>
      <c r="BC51" s="69"/>
    </row>
    <row r="52" spans="1:55" x14ac:dyDescent="0.35">
      <c r="A52" t="b">
        <f>COUNTIF(Inkjøp[],B52)&gt;0</f>
        <v>1</v>
      </c>
      <c r="B52" s="146" t="str">
        <v>Pringles Paprika</v>
      </c>
      <c r="C52" s="131">
        <f>IFERROR(VLOOKUP(B52,GammelVipps[],2,FALSE),0)+IFERROR(VLOOKUP(B52,Sept[],3,FALSE),0)+IFERROR(VLOOKUP(B52,Oktober[],3,FALSE),0)+IFERROR(VLOOKUP(B52,November[],3,FALSE),0)+IFERROR(VLOOKUP(B52,Desember[],3,FALSE),0)+IFERROR(VLOOKUP(B52,Januar[],3,FALSE),0)+IFERROR(VLOOKUP(B52,Februar[],3,FALSE),0)+IFERROR(VLOOKUP(B52,Mars[],3,FALSE),0)+IFERROR(VLOOKUP(B52,April[],3,FALSE),0)+IFERROR(VLOOKUP(B52,Mai[],3,FALSE),0)</f>
        <v>143</v>
      </c>
      <c r="D52" s="131">
        <f>IFERROR(VLOOKUP(B52,GammelVipps[],3,FALSE),0)+IFERROR(VLOOKUP(B52,Sept[],4,FALSE),0)+IFERROR(VLOOKUP(B52,Oktober[],4,FALSE),0)+IFERROR(VLOOKUP(B52,November[],4,FALSE),0)+IFERROR(VLOOKUP(B52,Desember[],4,FALSE),0)+IFERROR(VLOOKUP(B52,Januar[],4,FALSE),0)+IFERROR(VLOOKUP(B52,Februar[],4,FALSE),0)+IFERROR(VLOOKUP(B52,Mars[],4,FALSE),0)+IFERROR(VLOOKUP(B52,April[],4,FALSE),0)+IFERROR(VLOOKUP(B52,Mai[],4,FALSE),0)</f>
        <v>2574</v>
      </c>
      <c r="F52" t="b">
        <f t="shared" si="10"/>
        <v>1</v>
      </c>
      <c r="G52" s="117" t="s">
        <v>147</v>
      </c>
      <c r="H52" s="131">
        <v>12</v>
      </c>
      <c r="I52" s="131">
        <v>216</v>
      </c>
      <c r="J52" s="131">
        <f>IFERROR(Vippsutskrifter!$I52/Vippsutskrifter!$H52,0)</f>
        <v>18</v>
      </c>
      <c r="K52" s="132" t="b">
        <f t="shared" si="11"/>
        <v>1</v>
      </c>
      <c r="L52" s="163" t="s">
        <v>96</v>
      </c>
      <c r="M52" s="163" t="s">
        <v>189</v>
      </c>
      <c r="N52" s="163">
        <v>6</v>
      </c>
      <c r="O52" s="164">
        <v>162</v>
      </c>
      <c r="P52" s="132" t="b">
        <f t="shared" si="12"/>
        <v>1</v>
      </c>
      <c r="Q52" s="163" t="s">
        <v>145</v>
      </c>
      <c r="R52" s="163" t="s">
        <v>192</v>
      </c>
      <c r="S52" s="163">
        <v>9</v>
      </c>
      <c r="T52" s="164">
        <v>162</v>
      </c>
      <c r="U52" s="165" t="b">
        <f t="shared" si="3"/>
        <v>1</v>
      </c>
      <c r="V52" s="69" t="s">
        <v>100</v>
      </c>
      <c r="W52" s="69" t="s">
        <v>189</v>
      </c>
      <c r="X52" s="69">
        <v>4</v>
      </c>
      <c r="Y52" s="9">
        <v>108</v>
      </c>
      <c r="Z52" s="69" t="b">
        <f t="shared" si="4"/>
        <v>1</v>
      </c>
      <c r="AA52" t="s">
        <v>113</v>
      </c>
      <c r="AB52" t="s">
        <v>190</v>
      </c>
      <c r="AC52">
        <v>2</v>
      </c>
      <c r="AD52" s="82">
        <v>48</v>
      </c>
      <c r="AE52" s="157" t="b">
        <f t="shared" si="5"/>
        <v>1</v>
      </c>
      <c r="AF52" t="s">
        <v>108</v>
      </c>
      <c r="AG52" t="s">
        <v>189</v>
      </c>
      <c r="AH52">
        <v>1</v>
      </c>
      <c r="AI52" s="218">
        <v>28</v>
      </c>
      <c r="AJ52" s="69"/>
      <c r="AO52" s="157" t="b">
        <f t="shared" si="7"/>
        <v>1</v>
      </c>
      <c r="AP52" t="s">
        <v>96</v>
      </c>
      <c r="AQ52" t="s">
        <v>189</v>
      </c>
      <c r="AR52">
        <v>5</v>
      </c>
      <c r="AS52" s="218">
        <v>107</v>
      </c>
      <c r="AT52" s="69"/>
      <c r="AY52" s="69"/>
      <c r="BC52" s="69"/>
    </row>
    <row r="53" spans="1:55" x14ac:dyDescent="0.35">
      <c r="A53" t="b">
        <f>COUNTIF(Inkjøp[],B53)&gt;0</f>
        <v>1</v>
      </c>
      <c r="B53" s="146" t="str">
        <v>Skittles</v>
      </c>
      <c r="C53" s="131">
        <f>IFERROR(VLOOKUP(B53,GammelVipps[],2,FALSE),0)+IFERROR(VLOOKUP(B53,Sept[],3,FALSE),0)+IFERROR(VLOOKUP(B53,Oktober[],3,FALSE),0)+IFERROR(VLOOKUP(B53,November[],3,FALSE),0)+IFERROR(VLOOKUP(B53,Desember[],3,FALSE),0)+IFERROR(VLOOKUP(B53,Januar[],3,FALSE),0)+IFERROR(VLOOKUP(B53,Februar[],3,FALSE),0)+IFERROR(VLOOKUP(B53,Mars[],3,FALSE),0)+IFERROR(VLOOKUP(B53,April[],3,FALSE),0)+IFERROR(VLOOKUP(B53,Mai[],3,FALSE),0)</f>
        <v>15</v>
      </c>
      <c r="D53" s="131">
        <f>IFERROR(VLOOKUP(B53,GammelVipps[],3,FALSE),0)+IFERROR(VLOOKUP(B53,Sept[],4,FALSE),0)+IFERROR(VLOOKUP(B53,Oktober[],4,FALSE),0)+IFERROR(VLOOKUP(B53,November[],4,FALSE),0)+IFERROR(VLOOKUP(B53,Desember[],4,FALSE),0)+IFERROR(VLOOKUP(B53,Januar[],4,FALSE),0)+IFERROR(VLOOKUP(B53,Februar[],4,FALSE),0)+IFERROR(VLOOKUP(B53,Mars[],4,FALSE),0)+IFERROR(VLOOKUP(B53,April[],4,FALSE),0)+IFERROR(VLOOKUP(B53,Mai[],4,FALSE),0)</f>
        <v>375</v>
      </c>
      <c r="F53" t="b">
        <f t="shared" si="10"/>
        <v>1</v>
      </c>
      <c r="G53" s="117" t="s">
        <v>148</v>
      </c>
      <c r="H53" s="133">
        <v>15</v>
      </c>
      <c r="I53" s="133">
        <v>375</v>
      </c>
      <c r="J53" s="133">
        <f>IFERROR(Vippsutskrifter!$I53/Vippsutskrifter!$H53,0)</f>
        <v>25</v>
      </c>
      <c r="K53" s="134" t="b">
        <f t="shared" si="11"/>
        <v>1</v>
      </c>
      <c r="L53" s="160" t="s">
        <v>93</v>
      </c>
      <c r="M53" s="160" t="s">
        <v>189</v>
      </c>
      <c r="N53" s="160">
        <v>5</v>
      </c>
      <c r="O53" s="161">
        <v>135</v>
      </c>
      <c r="P53" s="134" t="b">
        <f t="shared" si="12"/>
        <v>1</v>
      </c>
      <c r="Q53" s="160" t="s">
        <v>112</v>
      </c>
      <c r="R53" s="160" t="s">
        <v>190</v>
      </c>
      <c r="S53" s="160">
        <v>7</v>
      </c>
      <c r="T53" s="161">
        <v>168</v>
      </c>
      <c r="U53" s="162" t="b">
        <f t="shared" si="3"/>
        <v>1</v>
      </c>
      <c r="V53" s="69" t="s">
        <v>96</v>
      </c>
      <c r="W53" s="69" t="s">
        <v>189</v>
      </c>
      <c r="X53" s="69">
        <v>4</v>
      </c>
      <c r="Y53" s="9">
        <v>108</v>
      </c>
      <c r="Z53" s="69" t="b">
        <f t="shared" si="4"/>
        <v>1</v>
      </c>
      <c r="AA53" t="s">
        <v>155</v>
      </c>
      <c r="AB53" t="s">
        <v>192</v>
      </c>
      <c r="AC53">
        <v>2</v>
      </c>
      <c r="AD53" s="82">
        <v>20</v>
      </c>
      <c r="AE53" s="157" t="b">
        <f t="shared" si="5"/>
        <v>1</v>
      </c>
      <c r="AF53" t="s">
        <v>150</v>
      </c>
      <c r="AG53" t="s">
        <v>69</v>
      </c>
      <c r="AH53">
        <v>1</v>
      </c>
      <c r="AI53" s="218">
        <v>35</v>
      </c>
      <c r="AJ53" s="69"/>
      <c r="AO53" s="157" t="b">
        <f t="shared" si="7"/>
        <v>1</v>
      </c>
      <c r="AP53" t="s">
        <v>154</v>
      </c>
      <c r="AQ53" t="s">
        <v>192</v>
      </c>
      <c r="AR53">
        <v>3</v>
      </c>
      <c r="AS53" s="218">
        <v>18</v>
      </c>
      <c r="AT53" s="69"/>
      <c r="AY53" s="69"/>
      <c r="BC53" s="69"/>
    </row>
    <row r="54" spans="1:55" x14ac:dyDescent="0.35">
      <c r="A54" t="b">
        <f>COUNTIF(Inkjøp[],B54)&gt;0</f>
        <v>1</v>
      </c>
      <c r="B54" s="146" t="str">
        <v>Mentos</v>
      </c>
      <c r="C54" s="131">
        <f>IFERROR(VLOOKUP(B54,GammelVipps[],2,FALSE),0)+IFERROR(VLOOKUP(B54,Sept[],3,FALSE),0)+IFERROR(VLOOKUP(B54,Oktober[],3,FALSE),0)+IFERROR(VLOOKUP(B54,November[],3,FALSE),0)+IFERROR(VLOOKUP(B54,Desember[],3,FALSE),0)+IFERROR(VLOOKUP(B54,Januar[],3,FALSE),0)+IFERROR(VLOOKUP(B54,Februar[],3,FALSE),0)+IFERROR(VLOOKUP(B54,Mars[],3,FALSE),0)+IFERROR(VLOOKUP(B54,April[],3,FALSE),0)+IFERROR(VLOOKUP(B54,Mai[],3,FALSE),0)</f>
        <v>301</v>
      </c>
      <c r="D54" s="131">
        <f>IFERROR(VLOOKUP(B54,GammelVipps[],3,FALSE),0)+IFERROR(VLOOKUP(B54,Sept[],4,FALSE),0)+IFERROR(VLOOKUP(B54,Oktober[],4,FALSE),0)+IFERROR(VLOOKUP(B54,November[],4,FALSE),0)+IFERROR(VLOOKUP(B54,Desember[],4,FALSE),0)+IFERROR(VLOOKUP(B54,Januar[],4,FALSE),0)+IFERROR(VLOOKUP(B54,Februar[],4,FALSE),0)+IFERROR(VLOOKUP(B54,Mars[],4,FALSE),0)+IFERROR(VLOOKUP(B54,April[],4,FALSE),0)+IFERROR(VLOOKUP(B54,Mai[],4,FALSE),0)</f>
        <v>5662</v>
      </c>
      <c r="F54" t="b">
        <f t="shared" si="10"/>
        <v>1</v>
      </c>
      <c r="G54" s="117" t="s">
        <v>149</v>
      </c>
      <c r="H54" s="131">
        <v>20</v>
      </c>
      <c r="I54" s="131">
        <v>400</v>
      </c>
      <c r="J54" s="131">
        <f>IFERROR(Vippsutskrifter!$I54/Vippsutskrifter!$H54,0)</f>
        <v>20</v>
      </c>
      <c r="K54" s="132" t="b">
        <f t="shared" si="11"/>
        <v>1</v>
      </c>
      <c r="L54" s="163" t="s">
        <v>94</v>
      </c>
      <c r="M54" s="163" t="s">
        <v>189</v>
      </c>
      <c r="N54" s="163">
        <v>3</v>
      </c>
      <c r="O54" s="164">
        <v>120</v>
      </c>
      <c r="P54" s="132" t="b">
        <f t="shared" si="12"/>
        <v>1</v>
      </c>
      <c r="Q54" s="163" t="s">
        <v>94</v>
      </c>
      <c r="R54" s="163" t="s">
        <v>189</v>
      </c>
      <c r="S54" s="163">
        <v>6</v>
      </c>
      <c r="T54" s="164">
        <v>240</v>
      </c>
      <c r="U54" s="165" t="b">
        <f t="shared" si="3"/>
        <v>1</v>
      </c>
      <c r="V54" s="69" t="s">
        <v>113</v>
      </c>
      <c r="W54" s="69" t="s">
        <v>190</v>
      </c>
      <c r="X54" s="69">
        <v>3</v>
      </c>
      <c r="Y54" s="9">
        <v>72</v>
      </c>
      <c r="Z54" s="69" t="b">
        <f t="shared" si="4"/>
        <v>1</v>
      </c>
      <c r="AA54" t="s">
        <v>108</v>
      </c>
      <c r="AB54" t="s">
        <v>189</v>
      </c>
      <c r="AC54">
        <v>1</v>
      </c>
      <c r="AD54" s="82">
        <v>28</v>
      </c>
      <c r="AE54" s="157" t="b">
        <f t="shared" si="5"/>
        <v>1</v>
      </c>
      <c r="AF54" t="s">
        <v>117</v>
      </c>
      <c r="AG54" t="s">
        <v>190</v>
      </c>
      <c r="AH54">
        <v>1</v>
      </c>
      <c r="AI54" s="218">
        <v>24</v>
      </c>
      <c r="AJ54" s="69"/>
      <c r="AO54" s="157" t="b">
        <f t="shared" si="7"/>
        <v>1</v>
      </c>
      <c r="AP54" t="s">
        <v>125</v>
      </c>
      <c r="AQ54" t="s">
        <v>68</v>
      </c>
      <c r="AR54">
        <v>1</v>
      </c>
      <c r="AS54" s="218">
        <v>28</v>
      </c>
      <c r="AT54" s="69"/>
      <c r="AY54" s="69"/>
      <c r="BC54" s="69"/>
    </row>
    <row r="55" spans="1:55" x14ac:dyDescent="0.35">
      <c r="A55" t="b">
        <f>COUNTIF(Inkjøp[],B55)&gt;0</f>
        <v>1</v>
      </c>
      <c r="B55" s="146" t="str">
        <v>Bilar</v>
      </c>
      <c r="C55" s="131">
        <f>IFERROR(VLOOKUP(B55,GammelVipps[],2,FALSE),0)+IFERROR(VLOOKUP(B55,Sept[],3,FALSE),0)+IFERROR(VLOOKUP(B55,Oktober[],3,FALSE),0)+IFERROR(VLOOKUP(B55,November[],3,FALSE),0)+IFERROR(VLOOKUP(B55,Desember[],3,FALSE),0)+IFERROR(VLOOKUP(B55,Januar[],3,FALSE),0)+IFERROR(VLOOKUP(B55,Februar[],3,FALSE),0)+IFERROR(VLOOKUP(B55,Mars[],3,FALSE),0)+IFERROR(VLOOKUP(B55,April[],3,FALSE),0)+IFERROR(VLOOKUP(B55,Mai[],3,FALSE),0)</f>
        <v>61</v>
      </c>
      <c r="D55" s="131">
        <f>IFERROR(VLOOKUP(B55,GammelVipps[],3,FALSE),0)+IFERROR(VLOOKUP(B55,Sept[],4,FALSE),0)+IFERROR(VLOOKUP(B55,Oktober[],4,FALSE),0)+IFERROR(VLOOKUP(B55,November[],4,FALSE),0)+IFERROR(VLOOKUP(B55,Desember[],4,FALSE),0)+IFERROR(VLOOKUP(B55,Januar[],4,FALSE),0)+IFERROR(VLOOKUP(B55,Februar[],4,FALSE),0)+IFERROR(VLOOKUP(B55,Mars[],4,FALSE),0)+IFERROR(VLOOKUP(B55,April[],4,FALSE),0)+IFERROR(VLOOKUP(B55,Mai[],4,FALSE),0)</f>
        <v>2135</v>
      </c>
      <c r="F55" t="b">
        <f t="shared" si="10"/>
        <v>1</v>
      </c>
      <c r="G55" s="117" t="s">
        <v>150</v>
      </c>
      <c r="H55" s="133">
        <v>26</v>
      </c>
      <c r="I55" s="133">
        <v>910</v>
      </c>
      <c r="J55" s="133">
        <f>IFERROR(Vippsutskrifter!$I55/Vippsutskrifter!$H55,0)</f>
        <v>35</v>
      </c>
      <c r="K55" s="134" t="b">
        <f t="shared" si="11"/>
        <v>1</v>
      </c>
      <c r="L55" s="160" t="s">
        <v>97</v>
      </c>
      <c r="M55" s="160" t="s">
        <v>189</v>
      </c>
      <c r="N55" s="160">
        <v>3</v>
      </c>
      <c r="O55" s="161">
        <v>81</v>
      </c>
      <c r="P55" s="134" t="b">
        <f t="shared" si="12"/>
        <v>1</v>
      </c>
      <c r="Q55" s="160" t="s">
        <v>125</v>
      </c>
      <c r="R55" s="160" t="s">
        <v>68</v>
      </c>
      <c r="S55" s="160">
        <v>5</v>
      </c>
      <c r="T55" s="161">
        <v>140</v>
      </c>
      <c r="U55" s="162" t="b">
        <f t="shared" si="3"/>
        <v>1</v>
      </c>
      <c r="V55" s="69" t="s">
        <v>109</v>
      </c>
      <c r="W55" s="69" t="s">
        <v>189</v>
      </c>
      <c r="X55" s="69">
        <v>2</v>
      </c>
      <c r="Y55" s="9">
        <v>56</v>
      </c>
      <c r="Z55" s="69" t="b">
        <f t="shared" si="4"/>
        <v>1</v>
      </c>
      <c r="AA55" t="s">
        <v>111</v>
      </c>
      <c r="AB55" t="s">
        <v>189</v>
      </c>
      <c r="AC55">
        <v>1</v>
      </c>
      <c r="AD55" s="82">
        <v>30</v>
      </c>
      <c r="AE55" s="157" t="b">
        <f t="shared" si="5"/>
        <v>1</v>
      </c>
      <c r="AJ55" s="69"/>
      <c r="AO55" s="157" t="b">
        <f t="shared" si="7"/>
        <v>1</v>
      </c>
      <c r="AP55" t="s">
        <v>273</v>
      </c>
      <c r="AQ55" t="s">
        <v>189</v>
      </c>
      <c r="AR55">
        <v>1</v>
      </c>
      <c r="AS55" s="218">
        <v>30</v>
      </c>
      <c r="AT55" s="69"/>
      <c r="AY55" s="69"/>
      <c r="BC55" s="69"/>
    </row>
    <row r="56" spans="1:55" x14ac:dyDescent="0.35">
      <c r="A56" t="b">
        <f>COUNTIF(Inkjøp[],B56)&gt;0</f>
        <v>1</v>
      </c>
      <c r="B56" s="146" t="str">
        <v>Hockey Pulver</v>
      </c>
      <c r="C56" s="131">
        <f>IFERROR(VLOOKUP(B56,GammelVipps[],2,FALSE),0)+IFERROR(VLOOKUP(B56,Sept[],3,FALSE),0)+IFERROR(VLOOKUP(B56,Oktober[],3,FALSE),0)+IFERROR(VLOOKUP(B56,November[],3,FALSE),0)+IFERROR(VLOOKUP(B56,Desember[],3,FALSE),0)+IFERROR(VLOOKUP(B56,Januar[],3,FALSE),0)+IFERROR(VLOOKUP(B56,Februar[],3,FALSE),0)+IFERROR(VLOOKUP(B56,Mars[],3,FALSE),0)+IFERROR(VLOOKUP(B56,April[],3,FALSE),0)+IFERROR(VLOOKUP(B56,Mai[],3,FALSE),0)</f>
        <v>609</v>
      </c>
      <c r="D56" s="131">
        <f>IFERROR(VLOOKUP(B56,GammelVipps[],3,FALSE),0)+IFERROR(VLOOKUP(B56,Sept[],4,FALSE),0)+IFERROR(VLOOKUP(B56,Oktober[],4,FALSE),0)+IFERROR(VLOOKUP(B56,November[],4,FALSE),0)+IFERROR(VLOOKUP(B56,Desember[],4,FALSE),0)+IFERROR(VLOOKUP(B56,Januar[],4,FALSE),0)+IFERROR(VLOOKUP(B56,Februar[],4,FALSE),0)+IFERROR(VLOOKUP(B56,Mars[],4,FALSE),0)+IFERROR(VLOOKUP(B56,April[],4,FALSE),0)+IFERROR(VLOOKUP(B56,Mai[],4,FALSE),0)</f>
        <v>4872</v>
      </c>
      <c r="F56" t="b">
        <f t="shared" si="10"/>
        <v>1</v>
      </c>
      <c r="G56" s="117" t="s">
        <v>151</v>
      </c>
      <c r="H56" s="131">
        <v>30</v>
      </c>
      <c r="I56" s="131">
        <v>240</v>
      </c>
      <c r="J56" s="131">
        <f>IFERROR(Vippsutskrifter!$I56/Vippsutskrifter!$H56,0)</f>
        <v>8</v>
      </c>
      <c r="K56" s="132" t="b">
        <f t="shared" si="11"/>
        <v>1</v>
      </c>
      <c r="L56" s="163" t="s">
        <v>116</v>
      </c>
      <c r="M56" s="163" t="s">
        <v>190</v>
      </c>
      <c r="N56" s="163">
        <v>1</v>
      </c>
      <c r="O56" s="164">
        <v>24</v>
      </c>
      <c r="P56" s="132" t="b">
        <f t="shared" si="12"/>
        <v>1</v>
      </c>
      <c r="Q56" s="163" t="s">
        <v>109</v>
      </c>
      <c r="R56" s="163" t="s">
        <v>189</v>
      </c>
      <c r="S56" s="163">
        <v>4</v>
      </c>
      <c r="T56" s="164">
        <v>112</v>
      </c>
      <c r="U56" s="165" t="b">
        <f t="shared" si="3"/>
        <v>1</v>
      </c>
      <c r="V56" s="69" t="s">
        <v>132</v>
      </c>
      <c r="W56" s="69" t="s">
        <v>188</v>
      </c>
      <c r="X56" s="69">
        <v>1</v>
      </c>
      <c r="Y56" s="9">
        <v>10</v>
      </c>
      <c r="Z56" s="69" t="b">
        <f t="shared" si="4"/>
        <v>1</v>
      </c>
      <c r="AA56" t="s">
        <v>117</v>
      </c>
      <c r="AB56" t="s">
        <v>190</v>
      </c>
      <c r="AC56">
        <v>1</v>
      </c>
      <c r="AD56" s="82">
        <v>24</v>
      </c>
      <c r="AE56" s="69"/>
      <c r="AJ56" s="69"/>
      <c r="AO56" s="69"/>
      <c r="AT56" s="69"/>
      <c r="AY56" s="69"/>
      <c r="BC56" s="69"/>
    </row>
    <row r="57" spans="1:55" x14ac:dyDescent="0.35">
      <c r="A57" t="b">
        <f>COUNTIF(Inkjøp[],B57)&gt;0</f>
        <v>1</v>
      </c>
      <c r="B57" s="146" t="str">
        <v>Extra Tyggis</v>
      </c>
      <c r="C57" s="131">
        <f>IFERROR(VLOOKUP(B57,GammelVipps[],2,FALSE),0)+IFERROR(VLOOKUP(B57,Sept[],3,FALSE),0)+IFERROR(VLOOKUP(B57,Oktober[],3,FALSE),0)+IFERROR(VLOOKUP(B57,November[],3,FALSE),0)+IFERROR(VLOOKUP(B57,Desember[],3,FALSE),0)+IFERROR(VLOOKUP(B57,Januar[],3,FALSE),0)+IFERROR(VLOOKUP(B57,Februar[],3,FALSE),0)+IFERROR(VLOOKUP(B57,Mars[],3,FALSE),0)+IFERROR(VLOOKUP(B57,April[],3,FALSE),0)+IFERROR(VLOOKUP(B57,Mai[],3,FALSE),0)</f>
        <v>153</v>
      </c>
      <c r="D57" s="131">
        <f>IFERROR(VLOOKUP(B57,GammelVipps[],3,FALSE),0)+IFERROR(VLOOKUP(B57,Sept[],4,FALSE),0)+IFERROR(VLOOKUP(B57,Oktober[],4,FALSE),0)+IFERROR(VLOOKUP(B57,November[],4,FALSE),0)+IFERROR(VLOOKUP(B57,Desember[],4,FALSE),0)+IFERROR(VLOOKUP(B57,Januar[],4,FALSE),0)+IFERROR(VLOOKUP(B57,Februar[],4,FALSE),0)+IFERROR(VLOOKUP(B57,Mars[],4,FALSE),0)+IFERROR(VLOOKUP(B57,April[],4,FALSE),0)+IFERROR(VLOOKUP(B57,Mai[],4,FALSE),0)</f>
        <v>2295</v>
      </c>
      <c r="F57" t="b">
        <f t="shared" si="10"/>
        <v>1</v>
      </c>
      <c r="G57" s="117" t="s">
        <v>152</v>
      </c>
      <c r="H57" s="133">
        <v>18</v>
      </c>
      <c r="I57" s="133">
        <v>270</v>
      </c>
      <c r="J57" s="133">
        <f>IFERROR(Vippsutskrifter!$I57/Vippsutskrifter!$H57,0)</f>
        <v>15</v>
      </c>
      <c r="K57" s="134" t="b">
        <f t="shared" si="11"/>
        <v>1</v>
      </c>
      <c r="L57" s="160" t="s">
        <v>155</v>
      </c>
      <c r="M57" s="160" t="s">
        <v>192</v>
      </c>
      <c r="N57" s="160">
        <v>1</v>
      </c>
      <c r="O57" s="161">
        <v>10</v>
      </c>
      <c r="P57" s="134" t="b">
        <f t="shared" si="12"/>
        <v>1</v>
      </c>
      <c r="Q57" s="160" t="s">
        <v>96</v>
      </c>
      <c r="R57" s="160" t="s">
        <v>189</v>
      </c>
      <c r="S57" s="160">
        <v>3</v>
      </c>
      <c r="T57" s="161">
        <v>81</v>
      </c>
      <c r="U57" s="162" t="b">
        <f>COUNTIF($B:$B,V57)&gt;0</f>
        <v>1</v>
      </c>
      <c r="V57" s="69" t="s">
        <v>140</v>
      </c>
      <c r="W57" s="69" t="s">
        <v>188</v>
      </c>
      <c r="X57" s="69">
        <v>1</v>
      </c>
      <c r="Y57" s="9">
        <v>20</v>
      </c>
      <c r="Z57" s="69"/>
      <c r="AA57" t="s">
        <v>129</v>
      </c>
      <c r="AB57" t="s">
        <v>188</v>
      </c>
      <c r="AC57">
        <v>1</v>
      </c>
      <c r="AD57" s="82">
        <v>30</v>
      </c>
      <c r="AE57" s="69"/>
      <c r="AJ57" s="69"/>
      <c r="AO57" s="69"/>
      <c r="AT57" s="69"/>
      <c r="AY57" s="69"/>
      <c r="BC57" s="69"/>
    </row>
    <row r="58" spans="1:55" x14ac:dyDescent="0.35">
      <c r="A58" t="b">
        <f>COUNTIF(Inkjøp[],B58)&gt;0</f>
        <v>1</v>
      </c>
      <c r="B58" s="146" t="str">
        <v>Double Dip</v>
      </c>
      <c r="C58" s="131">
        <f>IFERROR(VLOOKUP(B58,GammelVipps[],2,FALSE),0)+IFERROR(VLOOKUP(B58,Sept[],3,FALSE),0)+IFERROR(VLOOKUP(B58,Oktober[],3,FALSE),0)+IFERROR(VLOOKUP(B58,November[],3,FALSE),0)+IFERROR(VLOOKUP(B58,Desember[],3,FALSE),0)+IFERROR(VLOOKUP(B58,Januar[],3,FALSE),0)+IFERROR(VLOOKUP(B58,Februar[],3,FALSE),0)+IFERROR(VLOOKUP(B58,Mars[],3,FALSE),0)+IFERROR(VLOOKUP(B58,April[],3,FALSE),0)+IFERROR(VLOOKUP(B58,Mai[],3,FALSE),0)</f>
        <v>91</v>
      </c>
      <c r="D58" s="131">
        <f>IFERROR(VLOOKUP(B58,GammelVipps[],3,FALSE),0)+IFERROR(VLOOKUP(B58,Sept[],4,FALSE),0)+IFERROR(VLOOKUP(B58,Oktober[],4,FALSE),0)+IFERROR(VLOOKUP(B58,November[],4,FALSE),0)+IFERROR(VLOOKUP(B58,Desember[],4,FALSE),0)+IFERROR(VLOOKUP(B58,Januar[],4,FALSE),0)+IFERROR(VLOOKUP(B58,Februar[],4,FALSE),0)+IFERROR(VLOOKUP(B58,Mars[],4,FALSE),0)+IFERROR(VLOOKUP(B58,April[],4,FALSE),0)+IFERROR(VLOOKUP(B58,Mai[],4,FALSE),0)</f>
        <v>728</v>
      </c>
      <c r="F58" t="b">
        <f t="shared" si="10"/>
        <v>1</v>
      </c>
      <c r="G58" s="117" t="s">
        <v>153</v>
      </c>
      <c r="H58" s="131">
        <v>0</v>
      </c>
      <c r="I58" s="131">
        <v>0</v>
      </c>
      <c r="J58" s="131">
        <f>IFERROR(Vippsutskrifter!$I58/Vippsutskrifter!$H58,0)</f>
        <v>0</v>
      </c>
      <c r="K58" s="134" t="b">
        <f t="shared" si="11"/>
        <v>1</v>
      </c>
      <c r="L58" s="163" t="s">
        <v>193</v>
      </c>
      <c r="M58" s="163" t="s">
        <v>189</v>
      </c>
      <c r="N58" s="163">
        <v>1</v>
      </c>
      <c r="O58" s="164">
        <v>25</v>
      </c>
      <c r="P58" s="132" t="b">
        <f t="shared" si="12"/>
        <v>1</v>
      </c>
      <c r="Q58" s="163" t="s">
        <v>135</v>
      </c>
      <c r="R58" s="163" t="s">
        <v>69</v>
      </c>
      <c r="S58" s="163">
        <v>3</v>
      </c>
      <c r="T58" s="164">
        <v>60</v>
      </c>
      <c r="U58" s="69"/>
      <c r="AA58" t="s">
        <v>137</v>
      </c>
      <c r="AB58" t="s">
        <v>188</v>
      </c>
      <c r="AC58">
        <v>1</v>
      </c>
      <c r="AD58" s="82">
        <v>28</v>
      </c>
      <c r="AE58" s="69"/>
      <c r="AJ58" s="69"/>
      <c r="AO58" s="69"/>
      <c r="AT58" s="69"/>
      <c r="AY58" s="69"/>
      <c r="BC58" s="69"/>
    </row>
    <row r="59" spans="1:55" ht="15.65" customHeight="1" x14ac:dyDescent="0.35">
      <c r="A59" t="b">
        <f>COUNTIF(Inkjøp[],B59)&gt;0</f>
        <v>1</v>
      </c>
      <c r="B59" s="147" t="str">
        <v>Mellombar Orange</v>
      </c>
      <c r="C59" s="131">
        <f>IFERROR(VLOOKUP(B59,GammelVipps[],2,FALSE),0)+IFERROR(VLOOKUP(B59,Sept[],3,FALSE),0)+IFERROR(VLOOKUP(B59,Oktober[],3,FALSE),0)+IFERROR(VLOOKUP(B59,November[],3,FALSE),0)+IFERROR(VLOOKUP(B59,Desember[],3,FALSE),0)+IFERROR(VLOOKUP(B59,Januar[],3,FALSE),0)+IFERROR(VLOOKUP(B59,Februar[],3,FALSE),0)+IFERROR(VLOOKUP(B59,Mars[],3,FALSE),0)+IFERROR(VLOOKUP(B59,April[],3,FALSE),0)+IFERROR(VLOOKUP(B59,Mai[],3,FALSE),0)</f>
        <v>49</v>
      </c>
      <c r="D59" s="131">
        <f>IFERROR(VLOOKUP(B59,GammelVipps[],3,FALSE),0)+IFERROR(VLOOKUP(B59,Sept[],4,FALSE),0)+IFERROR(VLOOKUP(B59,Oktober[],4,FALSE),0)+IFERROR(VLOOKUP(B59,November[],4,FALSE),0)+IFERROR(VLOOKUP(B59,Desember[],4,FALSE),0)+IFERROR(VLOOKUP(B59,Januar[],4,FALSE),0)+IFERROR(VLOOKUP(B59,Februar[],4,FALSE),0)+IFERROR(VLOOKUP(B59,Mars[],4,FALSE),0)+IFERROR(VLOOKUP(B59,April[],4,FALSE),0)+IFERROR(VLOOKUP(B59,Mai[],4,FALSE),0)</f>
        <v>418</v>
      </c>
      <c r="F59" t="b">
        <f t="shared" si="10"/>
        <v>1</v>
      </c>
      <c r="G59" s="118" t="s">
        <v>154</v>
      </c>
      <c r="H59" s="133">
        <v>0</v>
      </c>
      <c r="I59" s="133">
        <v>0</v>
      </c>
      <c r="J59" s="133">
        <f>IFERROR(Vippsutskrifter!$I59/Vippsutskrifter!$H59,0)</f>
        <v>0</v>
      </c>
      <c r="L59" s="160"/>
      <c r="M59" s="160"/>
      <c r="N59" s="160"/>
      <c r="O59" s="161"/>
      <c r="P59" s="122" t="b">
        <f t="shared" si="12"/>
        <v>1</v>
      </c>
      <c r="Q59" s="160" t="s">
        <v>140</v>
      </c>
      <c r="R59" s="160" t="s">
        <v>188</v>
      </c>
      <c r="S59" s="160">
        <v>2</v>
      </c>
      <c r="T59" s="161">
        <v>40</v>
      </c>
      <c r="U59" s="69"/>
      <c r="AE59" s="69"/>
      <c r="AJ59" s="69"/>
      <c r="AO59" s="69"/>
      <c r="AT59" s="69"/>
      <c r="AY59" s="69"/>
      <c r="BC59" s="69"/>
    </row>
    <row r="60" spans="1:55" x14ac:dyDescent="0.35">
      <c r="A60" t="b">
        <f>COUNTIF(Inkjøp[],B60)&gt;0</f>
        <v>1</v>
      </c>
      <c r="B60" s="147" t="str">
        <v>Mellombar Blå</v>
      </c>
      <c r="C60" s="131">
        <f>IFERROR(VLOOKUP(B60,GammelVipps[],2,FALSE),0)+IFERROR(VLOOKUP(B60,Sept[],3,FALSE),0)+IFERROR(VLOOKUP(B60,Oktober[],3,FALSE),0)+IFERROR(VLOOKUP(B60,November[],3,FALSE),0)+IFERROR(VLOOKUP(B60,Desember[],3,FALSE),0)+IFERROR(VLOOKUP(B60,Januar[],3,FALSE),0)+IFERROR(VLOOKUP(B60,Februar[],3,FALSE),0)+IFERROR(VLOOKUP(B60,Mars[],3,FALSE),0)+IFERROR(VLOOKUP(B60,April[],3,FALSE),0)+IFERROR(VLOOKUP(B60,Mai[],3,FALSE),0)</f>
        <v>51</v>
      </c>
      <c r="D60" s="131">
        <f>IFERROR(VLOOKUP(B60,GammelVipps[],3,FALSE),0)+IFERROR(VLOOKUP(B60,Sept[],4,FALSE),0)+IFERROR(VLOOKUP(B60,Oktober[],4,FALSE),0)+IFERROR(VLOOKUP(B60,November[],4,FALSE),0)+IFERROR(VLOOKUP(B60,Desember[],4,FALSE),0)+IFERROR(VLOOKUP(B60,Januar[],4,FALSE),0)+IFERROR(VLOOKUP(B60,Februar[],4,FALSE),0)+IFERROR(VLOOKUP(B60,Mars[],4,FALSE),0)+IFERROR(VLOOKUP(B60,April[],4,FALSE),0)+IFERROR(VLOOKUP(B60,Mai[],4,FALSE),0)</f>
        <v>414</v>
      </c>
      <c r="F60" t="b">
        <f t="shared" si="10"/>
        <v>1</v>
      </c>
      <c r="G60" s="118" t="s">
        <v>155</v>
      </c>
      <c r="H60" s="131">
        <v>0</v>
      </c>
      <c r="I60" s="131">
        <v>0</v>
      </c>
      <c r="J60" s="131">
        <f>IFERROR(Vippsutskrifter!$I60/Vippsutskrifter!$H60,0)</f>
        <v>0</v>
      </c>
      <c r="Q60" s="69"/>
      <c r="R60" s="69"/>
      <c r="S60" s="69"/>
      <c r="T60" s="9"/>
      <c r="U60" s="69"/>
      <c r="AE60" s="69"/>
      <c r="AJ60" s="69"/>
      <c r="AO60" s="69"/>
      <c r="AT60" s="69"/>
      <c r="AY60" s="69"/>
      <c r="BC60" s="69"/>
    </row>
    <row r="61" spans="1:55" x14ac:dyDescent="0.35">
      <c r="A61" t="b">
        <f>COUNTIF(Inkjøp[],B61)&gt;0</f>
        <v>1</v>
      </c>
      <c r="B61" s="147" t="str">
        <v>Chili nøtter</v>
      </c>
      <c r="C61" s="131">
        <f>IFERROR(VLOOKUP(B61,GammelVipps[],2,FALSE),0)+IFERROR(VLOOKUP(B61,Sept[],3,FALSE),0)+IFERROR(VLOOKUP(B61,Oktober[],3,FALSE),0)+IFERROR(VLOOKUP(B61,November[],3,FALSE),0)+IFERROR(VLOOKUP(B61,Desember[],3,FALSE),0)+IFERROR(VLOOKUP(B61,Januar[],3,FALSE),0)+IFERROR(VLOOKUP(B61,Februar[],3,FALSE),0)+IFERROR(VLOOKUP(B61,Mars[],3,FALSE),0)+IFERROR(VLOOKUP(B61,April[],3,FALSE),0)+IFERROR(VLOOKUP(B61,Mai[],3,FALSE),0)</f>
        <v>54</v>
      </c>
      <c r="D61" s="131">
        <f>IFERROR(VLOOKUP(B61,GammelVipps[],3,FALSE),0)+IFERROR(VLOOKUP(B61,Sept[],4,FALSE),0)+IFERROR(VLOOKUP(B61,Oktober[],4,FALSE),0)+IFERROR(VLOOKUP(B61,November[],4,FALSE),0)+IFERROR(VLOOKUP(B61,Desember[],4,FALSE),0)+IFERROR(VLOOKUP(B61,Januar[],4,FALSE),0)+IFERROR(VLOOKUP(B61,Februar[],4,FALSE),0)+IFERROR(VLOOKUP(B61,Mars[],4,FALSE),0)+IFERROR(VLOOKUP(B61,April[],4,FALSE),0)+IFERROR(VLOOKUP(B61,Mai[],4,FALSE),0)</f>
        <v>1350</v>
      </c>
      <c r="F61" t="b">
        <f t="shared" si="10"/>
        <v>1</v>
      </c>
      <c r="G61" s="118" t="s">
        <v>156</v>
      </c>
      <c r="H61" s="133">
        <v>0</v>
      </c>
      <c r="I61" s="133">
        <v>0</v>
      </c>
      <c r="J61" s="133">
        <f>IFERROR(Vippsutskrifter!$I61/Vippsutskrifter!$H61,0)</f>
        <v>0</v>
      </c>
      <c r="Q61" s="69"/>
      <c r="R61" s="69"/>
      <c r="S61" s="69"/>
      <c r="T61" s="9"/>
      <c r="U61" s="69"/>
      <c r="AE61" s="69"/>
      <c r="AJ61" s="69"/>
      <c r="AO61" s="69"/>
      <c r="AT61" s="69"/>
    </row>
    <row r="62" spans="1:55" ht="15.5" x14ac:dyDescent="0.35">
      <c r="A62" t="b">
        <f>COUNTIF(Inkjøp[],B62)&gt;0</f>
        <v>1</v>
      </c>
      <c r="B62" s="147" t="str">
        <v>Redbull sukkerfri</v>
      </c>
      <c r="C62" s="131">
        <f>IFERROR(VLOOKUP(B62,GammelVipps[],2,FALSE),0)+IFERROR(VLOOKUP(B62,Sept[],3,FALSE),0)+IFERROR(VLOOKUP(B62,Oktober[],3,FALSE),0)+IFERROR(VLOOKUP(B62,November[],3,FALSE),0)+IFERROR(VLOOKUP(B62,Desember[],3,FALSE),0)+IFERROR(VLOOKUP(B62,Januar[],3,FALSE),0)+IFERROR(VLOOKUP(B62,Februar[],3,FALSE),0)+IFERROR(VLOOKUP(B62,Mars[],3,FALSE),0)+IFERROR(VLOOKUP(B62,April[],3,FALSE),0)+IFERROR(VLOOKUP(B62,Mai[],3,FALSE),0)</f>
        <v>84</v>
      </c>
      <c r="D62" s="131">
        <f>IFERROR(VLOOKUP(B62,GammelVipps[],3,FALSE),0)+IFERROR(VLOOKUP(B62,Sept[],4,FALSE),0)+IFERROR(VLOOKUP(B62,Oktober[],4,FALSE),0)+IFERROR(VLOOKUP(B62,November[],4,FALSE),0)+IFERROR(VLOOKUP(B62,Desember[],4,FALSE),0)+IFERROR(VLOOKUP(B62,Januar[],4,FALSE),0)+IFERROR(VLOOKUP(B62,Februar[],4,FALSE),0)+IFERROR(VLOOKUP(B62,Mars[],4,FALSE),0)+IFERROR(VLOOKUP(B62,April[],4,FALSE),0)+IFERROR(VLOOKUP(B62,Mai[],4,FALSE),0)</f>
        <v>2232</v>
      </c>
      <c r="L62" s="68" t="s">
        <v>182</v>
      </c>
      <c r="M62" s="68"/>
      <c r="N62" s="68"/>
      <c r="O62" s="167">
        <f>SUM(O2:O58)</f>
        <v>33099</v>
      </c>
      <c r="Q62" s="69" t="s">
        <v>182</v>
      </c>
      <c r="R62" s="69"/>
      <c r="S62" s="69"/>
      <c r="T62" s="9">
        <f>SUM(T2:T59)</f>
        <v>49585</v>
      </c>
      <c r="U62" s="69"/>
      <c r="V62" s="111" t="s">
        <v>267</v>
      </c>
      <c r="W62" s="111"/>
      <c r="X62" s="111" t="s">
        <v>268</v>
      </c>
      <c r="Y62" s="112">
        <f>SUM(Y2:Y57)</f>
        <v>37446</v>
      </c>
      <c r="AA62" s="186" t="s">
        <v>267</v>
      </c>
      <c r="AB62" s="186"/>
      <c r="AC62" s="186">
        <f>SUM(AC2:AC58)</f>
        <v>1399</v>
      </c>
      <c r="AD62" s="187">
        <f>SUM(AD2:AD58)</f>
        <v>32381</v>
      </c>
      <c r="AE62" s="69"/>
      <c r="AF62" s="186" t="s">
        <v>267</v>
      </c>
      <c r="AG62" s="186"/>
      <c r="AH62" s="186">
        <f>SUM(AH2:AH54)</f>
        <v>1825</v>
      </c>
      <c r="AI62" s="219">
        <f>SUM(AI2:AI54)</f>
        <v>38864</v>
      </c>
      <c r="AJ62" s="69"/>
      <c r="AK62" s="186" t="s">
        <v>267</v>
      </c>
      <c r="AL62" s="186"/>
      <c r="AM62" s="186">
        <f>SUM(AM2:AM50)</f>
        <v>1263</v>
      </c>
      <c r="AN62" s="219">
        <f>SUM(AN2:AN50)</f>
        <v>26372</v>
      </c>
      <c r="AO62" s="69"/>
      <c r="AP62" s="186" t="s">
        <v>267</v>
      </c>
      <c r="AQ62" s="186"/>
      <c r="AR62" s="186">
        <f>SUM(AR2:AR55)</f>
        <v>1748</v>
      </c>
      <c r="AS62" s="219">
        <f>SUM(AS2:AS55)</f>
        <v>37099</v>
      </c>
      <c r="AT62" s="69"/>
      <c r="AU62" s="186" t="s">
        <v>267</v>
      </c>
      <c r="AV62" s="186"/>
      <c r="AW62" s="186">
        <f>SUM(AW2:AW51)</f>
        <v>977</v>
      </c>
      <c r="AX62" s="219">
        <f>SUM(AX2:AX51)</f>
        <v>21929</v>
      </c>
      <c r="AY62" s="69"/>
      <c r="AZ62" s="220" t="s">
        <v>267</v>
      </c>
      <c r="BA62" s="220"/>
      <c r="BB62" s="220">
        <f>SUM(BB2:BB34)</f>
        <v>307</v>
      </c>
      <c r="BC62" s="221">
        <f>SUM(BC2:BC34)</f>
        <v>6728</v>
      </c>
    </row>
    <row r="63" spans="1:55" x14ac:dyDescent="0.35">
      <c r="A63" t="b">
        <f>COUNTIF(Inkjøp[],B63)&gt;0</f>
        <v>1</v>
      </c>
      <c r="B63" s="147" t="str">
        <v>Battery Blueberry</v>
      </c>
      <c r="C63" s="131">
        <f>IFERROR(VLOOKUP(B63,GammelVipps[],2,FALSE),0)+IFERROR(VLOOKUP(B63,Sept[],3,FALSE),0)+IFERROR(VLOOKUP(B63,Oktober[],3,FALSE),0)+IFERROR(VLOOKUP(B63,November[],3,FALSE),0)+IFERROR(VLOOKUP(B63,Desember[],3,FALSE),0)+IFERROR(VLOOKUP(B63,Januar[],3,FALSE),0)+IFERROR(VLOOKUP(B63,Februar[],3,FALSE),0)+IFERROR(VLOOKUP(B63,Mars[],3,FALSE),0)+IFERROR(VLOOKUP(B63,April[],3,FALSE),0)+IFERROR(VLOOKUP(B63,Mai[],3,FALSE),0)</f>
        <v>91</v>
      </c>
      <c r="D63" s="131">
        <f>IFERROR(VLOOKUP(B63,GammelVipps[],3,FALSE),0)+IFERROR(VLOOKUP(B63,Sept[],4,FALSE),0)+IFERROR(VLOOKUP(B63,Oktober[],4,FALSE),0)+IFERROR(VLOOKUP(B63,November[],4,FALSE),0)+IFERROR(VLOOKUP(B63,Desember[],4,FALSE),0)+IFERROR(VLOOKUP(B63,Januar[],4,FALSE),0)+IFERROR(VLOOKUP(B63,Februar[],4,FALSE),0)+IFERROR(VLOOKUP(B63,Mars[],4,FALSE),0)+IFERROR(VLOOKUP(B63,April[],4,FALSE),0)+IFERROR(VLOOKUP(B63,Mai[],4,FALSE),0)</f>
        <v>2548</v>
      </c>
      <c r="H63" t="s">
        <v>195</v>
      </c>
      <c r="I63">
        <f>SUM(I2:I61)</f>
        <v>35244</v>
      </c>
      <c r="J63">
        <f>IFERROR(Vippsutskrifter!$I63/Vippsutskrifter!$H63,0)</f>
        <v>0</v>
      </c>
      <c r="AE63" s="69"/>
      <c r="AJ63" s="69"/>
      <c r="AO63" s="69"/>
      <c r="AT63" s="69"/>
      <c r="AY63" s="69"/>
      <c r="BC63" s="69"/>
    </row>
    <row r="64" spans="1:55" x14ac:dyDescent="0.35">
      <c r="A64" t="b">
        <f>COUNTIF(Inkjøp[],B64)&gt;0</f>
        <v>1</v>
      </c>
      <c r="B64" s="147" t="str">
        <v>Battery Yellow</v>
      </c>
      <c r="C64" s="131">
        <f>IFERROR(VLOOKUP(B64,GammelVipps[],2,FALSE),0)+IFERROR(VLOOKUP(B64,Sept[],3,FALSE),0)+IFERROR(VLOOKUP(B64,Oktober[],3,FALSE),0)+IFERROR(VLOOKUP(B64,November[],3,FALSE),0)+IFERROR(VLOOKUP(B64,Desember[],3,FALSE),0)+IFERROR(VLOOKUP(B64,Januar[],3,FALSE),0)+IFERROR(VLOOKUP(B64,Februar[],3,FALSE),0)+IFERROR(VLOOKUP(B64,Mars[],3,FALSE),0)+IFERROR(VLOOKUP(B64,April[],3,FALSE),0)+IFERROR(VLOOKUP(B64,Mai[],3,FALSE),0)</f>
        <v>22</v>
      </c>
      <c r="D64" s="131">
        <f>IFERROR(VLOOKUP(B64,GammelVipps[],3,FALSE),0)+IFERROR(VLOOKUP(B64,Sept[],4,FALSE),0)+IFERROR(VLOOKUP(B64,Oktober[],4,FALSE),0)+IFERROR(VLOOKUP(B64,November[],4,FALSE),0)+IFERROR(VLOOKUP(B64,Desember[],4,FALSE),0)+IFERROR(VLOOKUP(B64,Januar[],4,FALSE),0)+IFERROR(VLOOKUP(B64,Februar[],4,FALSE),0)+IFERROR(VLOOKUP(B64,Mars[],4,FALSE),0)+IFERROR(VLOOKUP(B64,April[],4,FALSE),0)+IFERROR(VLOOKUP(B64,Mai[],4,FALSE),0)</f>
        <v>616</v>
      </c>
      <c r="H64" t="s">
        <v>196</v>
      </c>
      <c r="I64">
        <v>33093.919999999998</v>
      </c>
      <c r="J64">
        <f>IFERROR(Vippsutskrifter!$I64/Vippsutskrifter!$H64,0)</f>
        <v>0</v>
      </c>
      <c r="AE64" s="69"/>
      <c r="AJ64" s="69"/>
      <c r="AO64" s="69"/>
      <c r="AT64" s="69"/>
      <c r="AY64" s="69"/>
      <c r="BC64" s="69"/>
    </row>
    <row r="65" spans="1:55" ht="26.15" customHeight="1" x14ac:dyDescent="0.35">
      <c r="A65" t="b">
        <f>COUNTIF(Inkjøp[],B65)&gt;0</f>
        <v>1</v>
      </c>
      <c r="B65" s="147" t="str">
        <v>Cola zero 0.5</v>
      </c>
      <c r="C65" s="131">
        <f>IFERROR(VLOOKUP(B65,GammelVipps[],2,FALSE),0)+IFERROR(VLOOKUP(B65,Sept[],3,FALSE),0)+IFERROR(VLOOKUP(B65,Oktober[],3,FALSE),0)+IFERROR(VLOOKUP(B65,November[],3,FALSE),0)+IFERROR(VLOOKUP(B65,Desember[],3,FALSE),0)+IFERROR(VLOOKUP(B65,Januar[],3,FALSE),0)+IFERROR(VLOOKUP(B65,Februar[],3,FALSE),0)+IFERROR(VLOOKUP(B65,Mars[],3,FALSE),0)+IFERROR(VLOOKUP(B65,April[],3,FALSE),0)+IFERROR(VLOOKUP(B65,Mai[],3,FALSE),0)</f>
        <v>72</v>
      </c>
      <c r="D65" s="131">
        <f>IFERROR(VLOOKUP(B65,GammelVipps[],3,FALSE),0)+IFERROR(VLOOKUP(B65,Sept[],4,FALSE),0)+IFERROR(VLOOKUP(B65,Oktober[],4,FALSE),0)+IFERROR(VLOOKUP(B65,November[],4,FALSE),0)+IFERROR(VLOOKUP(B65,Desember[],4,FALSE),0)+IFERROR(VLOOKUP(B65,Januar[],4,FALSE),0)+IFERROR(VLOOKUP(B65,Februar[],4,FALSE),0)+IFERROR(VLOOKUP(B65,Mars[],4,FALSE),0)+IFERROR(VLOOKUP(B65,April[],4,FALSE),0)+IFERROR(VLOOKUP(B65,Mai[],4,FALSE),0)</f>
        <v>2016</v>
      </c>
      <c r="H65" t="s">
        <v>197</v>
      </c>
      <c r="I65">
        <f>I63-I64</f>
        <v>2150.0800000000017</v>
      </c>
      <c r="J65">
        <f>IFERROR(Vippsutskrifter!$I65/Vippsutskrifter!$H65,0)</f>
        <v>0</v>
      </c>
      <c r="AE65" s="69"/>
      <c r="AJ65" s="69"/>
      <c r="AO65" s="69"/>
      <c r="AT65" s="69"/>
      <c r="AY65" s="69"/>
      <c r="BC65" s="69"/>
    </row>
    <row r="66" spans="1:55" x14ac:dyDescent="0.35">
      <c r="A66" t="b">
        <f>COUNTIF(Inkjøp[],B66)&gt;0</f>
        <v>1</v>
      </c>
      <c r="B66" s="147" t="str">
        <v>Battery Remix 2.0</v>
      </c>
      <c r="C66" s="131">
        <f>IFERROR(VLOOKUP(B66,GammelVipps[],2,FALSE),0)+IFERROR(VLOOKUP(B66,Sept[],3,FALSE),0)+IFERROR(VLOOKUP(B66,Oktober[],3,FALSE),0)+IFERROR(VLOOKUP(B66,November[],3,FALSE),0)+IFERROR(VLOOKUP(B66,Desember[],3,FALSE),0)+IFERROR(VLOOKUP(B66,Januar[],3,FALSE),0)+IFERROR(VLOOKUP(B66,Februar[],3,FALSE),0)+IFERROR(VLOOKUP(B66,Mars[],3,FALSE),0)+IFERROR(VLOOKUP(B66,April[],3,FALSE),0)+IFERROR(VLOOKUP(B66,Mai[],3,FALSE),0)</f>
        <v>6</v>
      </c>
      <c r="D66" s="131">
        <f>IFERROR(VLOOKUP(B66,GammelVipps[],3,FALSE),0)+IFERROR(VLOOKUP(B66,Sept[],4,FALSE),0)+IFERROR(VLOOKUP(B66,Oktober[],4,FALSE),0)+IFERROR(VLOOKUP(B66,November[],4,FALSE),0)+IFERROR(VLOOKUP(B66,Desember[],4,FALSE),0)+IFERROR(VLOOKUP(B66,Januar[],4,FALSE),0)+IFERROR(VLOOKUP(B66,Februar[],4,FALSE),0)+IFERROR(VLOOKUP(B66,Mars[],4,FALSE),0)+IFERROR(VLOOKUP(B66,April[],4,FALSE),0)+IFERROR(VLOOKUP(B66,Mai[],4,FALSE),0)</f>
        <v>168</v>
      </c>
      <c r="I66">
        <f>SUM(I2:I61)</f>
        <v>35244</v>
      </c>
      <c r="AE66" s="69"/>
      <c r="AJ66" s="69"/>
      <c r="AO66" s="69"/>
      <c r="AT66" s="69"/>
      <c r="AY66" s="69"/>
      <c r="BC66" s="69"/>
    </row>
    <row r="67" spans="1:55" x14ac:dyDescent="0.35">
      <c r="A67" t="b">
        <f>COUNTIF(Inkjøp[],B67)&gt;0</f>
        <v>1</v>
      </c>
      <c r="B67" s="147" t="str">
        <v>Snickers 50g</v>
      </c>
      <c r="C67" s="131">
        <f>IFERROR(VLOOKUP(B67,GammelVipps[],2,FALSE),0)+IFERROR(VLOOKUP(B67,Sept[],3,FALSE),0)+IFERROR(VLOOKUP(B67,Oktober[],3,FALSE),0)+IFERROR(VLOOKUP(B67,November[],3,FALSE),0)+IFERROR(VLOOKUP(B67,Desember[],3,FALSE),0)+IFERROR(VLOOKUP(B67,Januar[],3,FALSE),0)+IFERROR(VLOOKUP(B67,Februar[],3,FALSE),0)+IFERROR(VLOOKUP(B67,Mars[],3,FALSE),0)+IFERROR(VLOOKUP(B67,April[],3,FALSE),0)+IFERROR(VLOOKUP(B67,Mai[],3,FALSE),0)</f>
        <v>89</v>
      </c>
      <c r="D67" s="131">
        <f>IFERROR(VLOOKUP(B67,GammelVipps[],3,FALSE),0)+IFERROR(VLOOKUP(B67,Sept[],4,FALSE),0)+IFERROR(VLOOKUP(B67,Oktober[],4,FALSE),0)+IFERROR(VLOOKUP(B67,November[],4,FALSE),0)+IFERROR(VLOOKUP(B67,Desember[],4,FALSE),0)+IFERROR(VLOOKUP(B67,Januar[],4,FALSE),0)+IFERROR(VLOOKUP(B67,Februar[],4,FALSE),0)+IFERROR(VLOOKUP(B67,Mars[],4,FALSE),0)+IFERROR(VLOOKUP(B67,April[],4,FALSE),0)+IFERROR(VLOOKUP(B67,Mai[],4,FALSE),0)</f>
        <v>1780</v>
      </c>
      <c r="AE67" s="69"/>
      <c r="AJ67" s="69"/>
      <c r="AO67" s="69"/>
      <c r="AT67" s="69"/>
      <c r="AY67" s="69"/>
      <c r="BC67" s="69"/>
    </row>
    <row r="68" spans="1:55" x14ac:dyDescent="0.35">
      <c r="A68" t="b">
        <f>COUNTIF(Inkjøp[],B68)&gt;0</f>
        <v>1</v>
      </c>
      <c r="B68" s="125" t="str">
        <v>Sjokoladeplate 200g</v>
      </c>
      <c r="C68" s="131">
        <f>IFERROR(VLOOKUP(B68,GammelVipps[],2,FALSE),0)+IFERROR(VLOOKUP(B68,Sept[],3,FALSE),0)+IFERROR(VLOOKUP(B68,Oktober[],3,FALSE),0)+IFERROR(VLOOKUP(B68,November[],3,FALSE),0)+IFERROR(VLOOKUP(B68,Desember[],3,FALSE),0)+IFERROR(VLOOKUP(B68,Januar[],3,FALSE),0)+IFERROR(VLOOKUP(B68,Februar[],3,FALSE),0)+IFERROR(VLOOKUP(B68,Mars[],3,FALSE),0)+IFERROR(VLOOKUP(B68,April[],3,FALSE),0)+IFERROR(VLOOKUP(B68,Mai[],3,FALSE),0)</f>
        <v>324</v>
      </c>
      <c r="D68" s="131">
        <f>IFERROR(VLOOKUP(B68,GammelVipps[],3,FALSE),0)+IFERROR(VLOOKUP(B68,Sept[],4,FALSE),0)+IFERROR(VLOOKUP(B68,Oktober[],4,FALSE),0)+IFERROR(VLOOKUP(B68,November[],4,FALSE),0)+IFERROR(VLOOKUP(B68,Desember[],4,FALSE),0)+IFERROR(VLOOKUP(B68,Januar[],4,FALSE),0)+IFERROR(VLOOKUP(B68,Februar[],4,FALSE),0)+IFERROR(VLOOKUP(B68,Mars[],4,FALSE),0)+IFERROR(VLOOKUP(B68,April[],4,FALSE),0)+IFERROR(VLOOKUP(B68,Mai[],4,FALSE),0)</f>
        <v>15555</v>
      </c>
    </row>
    <row r="69" spans="1:55" x14ac:dyDescent="0.35">
      <c r="A69" t="b">
        <f>COUNTIF(Inkjøp[],B69)&gt;0</f>
        <v>1</v>
      </c>
      <c r="B69" s="126" t="str">
        <v>Melkesjokolade 100g</v>
      </c>
      <c r="C69" s="131">
        <f>IFERROR(VLOOKUP(B69,GammelVipps[],2,FALSE),0)+IFERROR(VLOOKUP(B69,Sept[],3,FALSE),0)+IFERROR(VLOOKUP(B69,Oktober[],3,FALSE),0)+IFERROR(VLOOKUP(B69,November[],3,FALSE),0)+IFERROR(VLOOKUP(B69,Desember[],3,FALSE),0)+IFERROR(VLOOKUP(B69,Januar[],3,FALSE),0)+IFERROR(VLOOKUP(B69,Februar[],3,FALSE),0)+IFERROR(VLOOKUP(B69,Mars[],3,FALSE),0)+IFERROR(VLOOKUP(B69,April[],3,FALSE),0)+IFERROR(VLOOKUP(B69,Mai[],3,FALSE),0)</f>
        <v>58</v>
      </c>
      <c r="D69" s="131">
        <f>IFERROR(VLOOKUP(B69,GammelVipps[],3,FALSE),0)+IFERROR(VLOOKUP(B69,Sept[],4,FALSE),0)+IFERROR(VLOOKUP(B69,Oktober[],4,FALSE),0)+IFERROR(VLOOKUP(B69,November[],4,FALSE),0)+IFERROR(VLOOKUP(B69,Desember[],4,FALSE),0)+IFERROR(VLOOKUP(B69,Januar[],4,FALSE),0)+IFERROR(VLOOKUP(B69,Februar[],4,FALSE),0)+IFERROR(VLOOKUP(B69,Mars[],4,FALSE),0)+IFERROR(VLOOKUP(B69,April[],4,FALSE),0)+IFERROR(VLOOKUP(B69,Mai[],4,FALSE),0)</f>
        <v>1740</v>
      </c>
    </row>
    <row r="70" spans="1:55" x14ac:dyDescent="0.35">
      <c r="A70" t="b">
        <f>COUNTIF(Inkjøp[],B70)&gt;0</f>
        <v>1</v>
      </c>
      <c r="B70" s="147" t="str">
        <v>Julebrus boks</v>
      </c>
      <c r="C70" s="131">
        <f>IFERROR(VLOOKUP(B70,GammelVipps[],2,FALSE),0)+IFERROR(VLOOKUP(B70,Sept[],3,FALSE),0)+IFERROR(VLOOKUP(B70,Oktober[],3,FALSE),0)+IFERROR(VLOOKUP(B70,November[],3,FALSE),0)+IFERROR(VLOOKUP(B70,Desember[],3,FALSE),0)+IFERROR(VLOOKUP(B70,Januar[],3,FALSE),0)+IFERROR(VLOOKUP(B70,Februar[],3,FALSE),0)+IFERROR(VLOOKUP(B70,Mars[],3,FALSE),0)+IFERROR(VLOOKUP(B70,April[],3,FALSE),0)+IFERROR(VLOOKUP(B70,Mai[],3,FALSE),0)</f>
        <v>48</v>
      </c>
      <c r="D70" s="131">
        <f>IFERROR(VLOOKUP(B70,GammelVipps[],3,FALSE),0)+IFERROR(VLOOKUP(B70,Sept[],4,FALSE),0)+IFERROR(VLOOKUP(B70,Oktober[],4,FALSE),0)+IFERROR(VLOOKUP(B70,November[],4,FALSE),0)+IFERROR(VLOOKUP(B70,Desember[],4,FALSE),0)+IFERROR(VLOOKUP(B70,Januar[],4,FALSE),0)+IFERROR(VLOOKUP(B70,Februar[],4,FALSE),0)+IFERROR(VLOOKUP(B70,Mars[],4,FALSE),0)+IFERROR(VLOOKUP(B70,April[],4,FALSE),0)+IFERROR(VLOOKUP(B70,Mai[],4,FALSE),0)</f>
        <v>1440</v>
      </c>
    </row>
    <row r="71" spans="1:55" x14ac:dyDescent="0.35">
      <c r="A71" t="b">
        <f>COUNTIF(Inkjøp[],B71)&gt;0</f>
        <v>1</v>
      </c>
      <c r="B71" s="147" t="str">
        <v>Monster Landon Norris</v>
      </c>
      <c r="C71" s="131">
        <f>IFERROR(VLOOKUP(B71,GammelVipps[],2,FALSE),0)+IFERROR(VLOOKUP(B71,Sept[],3,FALSE),0)+IFERROR(VLOOKUP(B71,Oktober[],3,FALSE),0)+IFERROR(VLOOKUP(B71,November[],3,FALSE),0)+IFERROR(VLOOKUP(B71,Desember[],3,FALSE),0)+IFERROR(VLOOKUP(B71,Januar[],3,FALSE),0)+IFERROR(VLOOKUP(B71,Februar[],3,FALSE),0)+IFERROR(VLOOKUP(B71,Mars[],3,FALSE),0)+IFERROR(VLOOKUP(B71,April[],3,FALSE),0)+IFERROR(VLOOKUP(B71,Mai[],3,FALSE),0)</f>
        <v>22</v>
      </c>
      <c r="D71" s="131">
        <f>IFERROR(VLOOKUP(B71,GammelVipps[],3,FALSE),0)+IFERROR(VLOOKUP(B71,Sept[],4,FALSE),0)+IFERROR(VLOOKUP(B71,Oktober[],4,FALSE),0)+IFERROR(VLOOKUP(B71,November[],4,FALSE),0)+IFERROR(VLOOKUP(B71,Desember[],4,FALSE),0)+IFERROR(VLOOKUP(B71,Januar[],4,FALSE),0)+IFERROR(VLOOKUP(B71,Februar[],4,FALSE),0)+IFERROR(VLOOKUP(B71,Mars[],4,FALSE),0)+IFERROR(VLOOKUP(B71,April[],4,FALSE),0)+IFERROR(VLOOKUP(B71,Mai[],4,FALSE),0)</f>
        <v>660</v>
      </c>
    </row>
    <row r="72" spans="1:55" x14ac:dyDescent="0.35">
      <c r="A72" t="b">
        <f>COUNTIF(Inkjøp[],B72)&gt;0</f>
        <v>1</v>
      </c>
      <c r="B72" s="147" t="str">
        <v>Brus (utgått på dato)</v>
      </c>
      <c r="C72" s="131">
        <f>IFERROR(VLOOKUP(B72,GammelVipps[],2,FALSE),0)+IFERROR(VLOOKUP(B72,Sept[],3,FALSE),0)+IFERROR(VLOOKUP(B72,Oktober[],3,FALSE),0)+IFERROR(VLOOKUP(B72,November[],3,FALSE),0)+IFERROR(VLOOKUP(B72,Desember[],3,FALSE),0)+IFERROR(VLOOKUP(B72,Januar[],3,FALSE),0)+IFERROR(VLOOKUP(B72,Februar[],3,FALSE),0)+IFERROR(VLOOKUP(B72,Mars[],3,FALSE),0)+IFERROR(VLOOKUP(B72,April[],3,FALSE),0)+IFERROR(VLOOKUP(B72,Mai[],3,FALSE),0)</f>
        <v>14</v>
      </c>
      <c r="D72" s="131">
        <f>IFERROR(VLOOKUP(B72,GammelVipps[],3,FALSE),0)+IFERROR(VLOOKUP(B72,Sept[],4,FALSE),0)+IFERROR(VLOOKUP(B72,Oktober[],4,FALSE),0)+IFERROR(VLOOKUP(B72,November[],4,FALSE),0)+IFERROR(VLOOKUP(B72,Desember[],4,FALSE),0)+IFERROR(VLOOKUP(B72,Januar[],4,FALSE),0)+IFERROR(VLOOKUP(B72,Februar[],4,FALSE),0)+IFERROR(VLOOKUP(B72,Mars[],4,FALSE),0)+IFERROR(VLOOKUP(B72,April[],4,FALSE),0)+IFERROR(VLOOKUP(B72,Mai[],4,FALSE),0)</f>
        <v>280</v>
      </c>
    </row>
    <row r="73" spans="1:55" x14ac:dyDescent="0.35">
      <c r="A73" t="b">
        <f>COUNTIF(Inkjøp[],B73)&gt;0</f>
        <v>1</v>
      </c>
      <c r="B73" s="147" t="str">
        <v>Urge Boks</v>
      </c>
      <c r="C73" s="131">
        <f>IFERROR(VLOOKUP(B73,GammelVipps[],2,FALSE),0)+IFERROR(VLOOKUP(B73,Sept[],3,FALSE),0)+IFERROR(VLOOKUP(B73,Oktober[],3,FALSE),0)+IFERROR(VLOOKUP(B73,November[],3,FALSE),0)+IFERROR(VLOOKUP(B73,Desember[],3,FALSE),0)+IFERROR(VLOOKUP(B73,Januar[],3,FALSE),0)+IFERROR(VLOOKUP(B73,Februar[],3,FALSE),0)+IFERROR(VLOOKUP(B73,Mars[],3,FALSE),0)+IFERROR(VLOOKUP(B73,April[],3,FALSE),0)+IFERROR(VLOOKUP(B73,Mai[],3,FALSE),0)</f>
        <v>156</v>
      </c>
      <c r="D73" s="131">
        <f>IFERROR(VLOOKUP(B73,GammelVipps[],3,FALSE),0)+IFERROR(VLOOKUP(B73,Sept[],4,FALSE),0)+IFERROR(VLOOKUP(B73,Oktober[],4,FALSE),0)+IFERROR(VLOOKUP(B73,November[],4,FALSE),0)+IFERROR(VLOOKUP(B73,Desember[],4,FALSE),0)+IFERROR(VLOOKUP(B73,Januar[],4,FALSE),0)+IFERROR(VLOOKUP(B73,Februar[],4,FALSE),0)+IFERROR(VLOOKUP(B73,Mars[],4,FALSE),0)+IFERROR(VLOOKUP(B73,April[],4,FALSE),0)+IFERROR(VLOOKUP(B73,Mai[],4,FALSE),0)</f>
        <v>3120</v>
      </c>
    </row>
    <row r="74" spans="1:55" x14ac:dyDescent="0.35">
      <c r="A74" t="b">
        <f>COUNTIF(Inkjøp[],B74)&gt;0</f>
        <v>1</v>
      </c>
      <c r="B74" s="147" t="str">
        <v>Mozell light</v>
      </c>
      <c r="C74" s="131">
        <f>IFERROR(VLOOKUP(B74,GammelVipps[],2,FALSE),0)+IFERROR(VLOOKUP(B74,Sept[],3,FALSE),0)+IFERROR(VLOOKUP(B74,Oktober[],3,FALSE),0)+IFERROR(VLOOKUP(B74,November[],3,FALSE),0)+IFERROR(VLOOKUP(B74,Desember[],3,FALSE),0)+IFERROR(VLOOKUP(B74,Januar[],3,FALSE),0)+IFERROR(VLOOKUP(B74,Februar[],3,FALSE),0)+IFERROR(VLOOKUP(B74,Mars[],3,FALSE),0)+IFERROR(VLOOKUP(B74,April[],3,FALSE),0)+IFERROR(VLOOKUP(B74,Mai[],3,FALSE),0)</f>
        <v>20</v>
      </c>
      <c r="D74" s="131">
        <f>IFERROR(VLOOKUP(B74,GammelVipps[],3,FALSE),0)+IFERROR(VLOOKUP(B74,Sept[],4,FALSE),0)+IFERROR(VLOOKUP(B74,Oktober[],4,FALSE),0)+IFERROR(VLOOKUP(B74,November[],4,FALSE),0)+IFERROR(VLOOKUP(B74,Desember[],4,FALSE),0)+IFERROR(VLOOKUP(B74,Januar[],4,FALSE),0)+IFERROR(VLOOKUP(B74,Februar[],4,FALSE),0)+IFERROR(VLOOKUP(B74,Mars[],4,FALSE),0)+IFERROR(VLOOKUP(B74,April[],4,FALSE),0)+IFERROR(VLOOKUP(B74,Mai[],4,FALSE),0)</f>
        <v>400</v>
      </c>
      <c r="M74" s="83"/>
    </row>
    <row r="75" spans="1:55" ht="26" x14ac:dyDescent="0.6">
      <c r="A75" t="b">
        <f>COUNTIF(Inkjøp[],B75)&gt;0</f>
        <v>1</v>
      </c>
      <c r="B75" s="147" t="str">
        <v>Monster Ultra Fiesta</v>
      </c>
      <c r="C75" s="131">
        <f>IFERROR(VLOOKUP(B75,GammelVipps[],2,FALSE),0)+IFERROR(VLOOKUP(B75,Sept[],3,FALSE),0)+IFERROR(VLOOKUP(B75,Oktober[],3,FALSE),0)+IFERROR(VLOOKUP(B75,November[],3,FALSE),0)+IFERROR(VLOOKUP(B75,Desember[],3,FALSE),0)+IFERROR(VLOOKUP(B75,Januar[],3,FALSE),0)+IFERROR(VLOOKUP(B75,Februar[],3,FALSE),0)+IFERROR(VLOOKUP(B75,Mars[],3,FALSE),0)+IFERROR(VLOOKUP(B75,April[],3,FALSE),0)+IFERROR(VLOOKUP(B75,Mai[],3,FALSE),0)</f>
        <v>20</v>
      </c>
      <c r="D75" s="131">
        <f>IFERROR(VLOOKUP(B75,GammelVipps[],3,FALSE),0)+IFERROR(VLOOKUP(B75,Sept[],4,FALSE),0)+IFERROR(VLOOKUP(B75,Oktober[],4,FALSE),0)+IFERROR(VLOOKUP(B75,November[],4,FALSE),0)+IFERROR(VLOOKUP(B75,Desember[],4,FALSE),0)+IFERROR(VLOOKUP(B75,Januar[],4,FALSE),0)+IFERROR(VLOOKUP(B75,Februar[],4,FALSE),0)+IFERROR(VLOOKUP(B75,Mars[],4,FALSE),0)+IFERROR(VLOOKUP(B75,April[],4,FALSE),0)+IFERROR(VLOOKUP(B75,Mai[],4,FALSE),0)</f>
        <v>600</v>
      </c>
      <c r="H75" s="84" t="s">
        <v>198</v>
      </c>
      <c r="AU75" s="218"/>
    </row>
    <row r="76" spans="1:55" x14ac:dyDescent="0.35">
      <c r="H76" t="s">
        <v>199</v>
      </c>
      <c r="I76" s="82">
        <f>(O62+T62+Y62+AD62+AI62+AN62+AS62+AX62+BC62)/1.0175</f>
        <v>278627.02702702698</v>
      </c>
      <c r="J76">
        <v>278627.02702702698</v>
      </c>
      <c r="K76">
        <v>33093.919999999998</v>
      </c>
    </row>
    <row r="77" spans="1:55" x14ac:dyDescent="0.35">
      <c r="H77" t="s">
        <v>200</v>
      </c>
      <c r="I77">
        <f>SUM(B81:B910)</f>
        <v>315520.58000000019</v>
      </c>
    </row>
    <row r="78" spans="1:55" x14ac:dyDescent="0.35">
      <c r="H78" t="s">
        <v>52</v>
      </c>
      <c r="I78" s="82">
        <f>I76-Vippsutskrifter!I77</f>
        <v>-36893.552972973208</v>
      </c>
    </row>
    <row r="79" spans="1:55" x14ac:dyDescent="0.35">
      <c r="A79" s="83"/>
      <c r="J79">
        <f>J76+K76</f>
        <v>311720.94702702697</v>
      </c>
    </row>
    <row r="80" spans="1:55" x14ac:dyDescent="0.35">
      <c r="A80" t="str" cm="1">
        <f t="array" ref="A80:E10000">'Vippsutskrifter Python'!A80:E10000</f>
        <v>Utført dato</v>
      </c>
      <c r="B80" t="str">
        <v>Beløp inn</v>
      </c>
      <c r="C80" t="str">
        <v>Mottakernavn</v>
      </c>
      <c r="D80" t="str">
        <v>Numref</v>
      </c>
      <c r="E80" t="str">
        <v>Melding/KID/Fakt.nr</v>
      </c>
    </row>
    <row r="81" spans="1:30" x14ac:dyDescent="0.35">
      <c r="A81" t="str">
        <v>31.10.2025</v>
      </c>
      <c r="B81">
        <v>2508.1799999999998</v>
      </c>
      <c r="C81" t="str">
        <v>Drottningborgrussen</v>
      </c>
      <c r="D81">
        <v>1212071</v>
      </c>
      <c r="E81" t="str">
        <v>Utb. 2000043 Vippsnr 126635</v>
      </c>
      <c r="AA81" s="111"/>
      <c r="AB81" s="111"/>
      <c r="AC81" s="111"/>
      <c r="AD81" s="112"/>
    </row>
    <row r="82" spans="1:30" x14ac:dyDescent="0.35">
      <c r="A82" t="str">
        <v>31.08.2025</v>
      </c>
      <c r="B82">
        <v>1371.5</v>
      </c>
      <c r="C82" t="str">
        <v>Drottningborgrussen</v>
      </c>
      <c r="D82">
        <v>1434591</v>
      </c>
      <c r="E82" t="str">
        <v>Utb. 2001577 Vippsnr 126635</v>
      </c>
    </row>
    <row r="83" spans="1:30" x14ac:dyDescent="0.35">
      <c r="A83" t="str">
        <v>31.03.2026</v>
      </c>
      <c r="B83">
        <v>44.21</v>
      </c>
      <c r="C83" t="str">
        <v>Drottningborgrussen</v>
      </c>
      <c r="D83">
        <v>256920021</v>
      </c>
      <c r="E83" t="str">
        <v>Utb. 2000163 Vippsnr 126635</v>
      </c>
    </row>
    <row r="84" spans="1:30" x14ac:dyDescent="0.35">
      <c r="A84" t="str">
        <v>31.03.2026</v>
      </c>
      <c r="B84">
        <v>1030.58</v>
      </c>
      <c r="C84" t="str">
        <v>Drottningborgrussen</v>
      </c>
      <c r="D84">
        <v>256888104</v>
      </c>
      <c r="E84" t="str">
        <v>Utb. 2000162 Vippsnr 126635</v>
      </c>
    </row>
    <row r="85" spans="1:30" x14ac:dyDescent="0.35">
      <c r="A85" t="str">
        <v>31.01.2026</v>
      </c>
      <c r="B85">
        <v>1998.29</v>
      </c>
      <c r="C85" t="str">
        <v>Drottningborgrussen</v>
      </c>
      <c r="D85">
        <v>1098105</v>
      </c>
      <c r="E85" t="str">
        <v>Utb. 2000111 Vippsnr 126635</v>
      </c>
    </row>
    <row r="86" spans="1:30" x14ac:dyDescent="0.35">
      <c r="A86" t="str">
        <v>30.11.2025</v>
      </c>
      <c r="B86">
        <v>2164.3200000000002</v>
      </c>
      <c r="C86" t="str">
        <v>Drottningborgrussen</v>
      </c>
      <c r="D86">
        <v>1242010</v>
      </c>
      <c r="E86" t="str">
        <v>Utb. 2000064 Vippsnr 126635</v>
      </c>
    </row>
    <row r="87" spans="1:30" x14ac:dyDescent="0.35">
      <c r="A87" t="str">
        <v>30.10.2025</v>
      </c>
      <c r="B87">
        <v>2355.87</v>
      </c>
      <c r="C87" t="str">
        <v>Drottningborgrussen</v>
      </c>
      <c r="D87">
        <v>1108088</v>
      </c>
      <c r="E87" t="str">
        <v>Utb. 2000042 Vippsnr 126635</v>
      </c>
    </row>
    <row r="88" spans="1:30" x14ac:dyDescent="0.35">
      <c r="A88" t="str">
        <v>30.09.2025</v>
      </c>
      <c r="B88">
        <v>71.72</v>
      </c>
      <c r="C88" t="str">
        <v>Drottningborgrussen</v>
      </c>
      <c r="D88">
        <v>607955</v>
      </c>
      <c r="E88" t="str">
        <v>Utb. 2000018 Vippsnr 126635</v>
      </c>
    </row>
    <row r="89" spans="1:30" x14ac:dyDescent="0.35">
      <c r="A89" t="str">
        <v>30.04.2026</v>
      </c>
      <c r="B89">
        <v>798.71</v>
      </c>
      <c r="C89" t="str">
        <v>Drottningborgrussen</v>
      </c>
      <c r="D89">
        <v>272451718</v>
      </c>
      <c r="E89" t="str">
        <v>Utb. 2000187 Vippsnr 126635</v>
      </c>
    </row>
    <row r="90" spans="1:30" x14ac:dyDescent="0.35">
      <c r="A90" t="str">
        <v>30.03.2026</v>
      </c>
      <c r="B90">
        <v>610.12</v>
      </c>
      <c r="C90" t="str">
        <v>Drottningborgrussen</v>
      </c>
      <c r="D90">
        <v>256521569</v>
      </c>
      <c r="E90" t="str">
        <v>Utb. 2000161 Vippsnr 126635</v>
      </c>
    </row>
    <row r="91" spans="1:30" x14ac:dyDescent="0.35">
      <c r="A91" t="str">
        <v>29.10.2025</v>
      </c>
      <c r="B91">
        <v>1606.29</v>
      </c>
      <c r="C91" t="str">
        <v>Drottningborgrussen</v>
      </c>
      <c r="D91">
        <v>1029196</v>
      </c>
      <c r="E91" t="str">
        <v>Utb. 2000041 Vippsnr 126635</v>
      </c>
    </row>
    <row r="92" spans="1:30" x14ac:dyDescent="0.35">
      <c r="A92" t="str">
        <v>29.09.2025</v>
      </c>
      <c r="B92">
        <v>1770.42</v>
      </c>
      <c r="C92" t="str">
        <v>Drottningborgrussen</v>
      </c>
      <c r="D92">
        <v>476321</v>
      </c>
      <c r="E92" t="str">
        <v>Utb. 2000017 Vippsnr 126635</v>
      </c>
    </row>
    <row r="93" spans="1:30" x14ac:dyDescent="0.35">
      <c r="A93" t="str">
        <v>29.05.2026</v>
      </c>
      <c r="B93">
        <v>247.58</v>
      </c>
      <c r="C93" t="str">
        <v>Drottningborgrussen</v>
      </c>
      <c r="D93">
        <v>288632593</v>
      </c>
      <c r="E93" t="str">
        <v>Utb. 2000216 Vippsnr 126635</v>
      </c>
    </row>
    <row r="94" spans="1:30" x14ac:dyDescent="0.35">
      <c r="A94" t="str">
        <v>29.04.2026</v>
      </c>
      <c r="B94">
        <v>627.79</v>
      </c>
      <c r="C94" t="str">
        <v>Drottningborgrussen</v>
      </c>
      <c r="D94">
        <v>271975132</v>
      </c>
      <c r="E94" t="str">
        <v>Utb. 2000186 Vippsnr 126635</v>
      </c>
    </row>
    <row r="95" spans="1:30" x14ac:dyDescent="0.35">
      <c r="A95" t="str">
        <v>29.01.2026</v>
      </c>
      <c r="B95">
        <v>1261.44</v>
      </c>
      <c r="C95" t="str">
        <v>Drottningborgrussen</v>
      </c>
      <c r="D95">
        <v>1037594</v>
      </c>
      <c r="E95" t="str">
        <v>Utb. 2000110 Vippsnr 126635</v>
      </c>
    </row>
    <row r="96" spans="1:30" x14ac:dyDescent="0.35">
      <c r="A96" t="str">
        <v>28.10.2025</v>
      </c>
      <c r="B96">
        <v>4527.1899999999996</v>
      </c>
      <c r="C96" t="str">
        <v>Drottningborgrussen</v>
      </c>
      <c r="D96">
        <v>941221</v>
      </c>
      <c r="E96" t="str">
        <v>Utb. 2000039 Vippsnr 126635</v>
      </c>
    </row>
    <row r="97" spans="1:5" x14ac:dyDescent="0.35">
      <c r="A97" t="str">
        <v>28.10.2025</v>
      </c>
      <c r="B97">
        <v>1619.07</v>
      </c>
      <c r="C97" t="str">
        <v>Drottningborgrussen</v>
      </c>
      <c r="D97">
        <v>941095</v>
      </c>
      <c r="E97" t="str">
        <v>Utb. 2000038 Vippsnr 126635</v>
      </c>
    </row>
    <row r="98" spans="1:5" x14ac:dyDescent="0.35">
      <c r="A98" t="str">
        <v>28.10.2025</v>
      </c>
      <c r="B98">
        <v>3027.99</v>
      </c>
      <c r="C98" t="str">
        <v>Drottningborgrussen</v>
      </c>
      <c r="D98">
        <v>941220</v>
      </c>
      <c r="E98" t="str">
        <v>Utb. 2000040 Vippsnr 126635</v>
      </c>
    </row>
    <row r="99" spans="1:5" x14ac:dyDescent="0.35">
      <c r="A99" t="str">
        <v>28.08.2025</v>
      </c>
      <c r="B99">
        <v>1819.5</v>
      </c>
      <c r="C99" t="str">
        <v>Drottningborgrussen</v>
      </c>
      <c r="D99">
        <v>1311596</v>
      </c>
      <c r="E99" t="str">
        <v>Utb. 2001576 Vippsnr 126635</v>
      </c>
    </row>
    <row r="100" spans="1:5" x14ac:dyDescent="0.35">
      <c r="A100" t="str">
        <v>28.05.2026</v>
      </c>
      <c r="B100">
        <v>533.47</v>
      </c>
      <c r="C100" t="str">
        <v>Drottningborgrussen</v>
      </c>
      <c r="D100">
        <v>288100631</v>
      </c>
      <c r="E100" t="str">
        <v>Utb. 2000215 Vippsnr 126635</v>
      </c>
    </row>
    <row r="101" spans="1:5" x14ac:dyDescent="0.35">
      <c r="A101" t="str">
        <v>28.04.2026</v>
      </c>
      <c r="B101">
        <v>961.8</v>
      </c>
      <c r="C101" t="str">
        <v>Drottningborgrussen</v>
      </c>
      <c r="D101">
        <v>271492384</v>
      </c>
      <c r="E101" t="str">
        <v>Utb. 2000183 Vippsnr 126635</v>
      </c>
    </row>
    <row r="102" spans="1:5" x14ac:dyDescent="0.35">
      <c r="A102" t="str">
        <v>28.04.2026</v>
      </c>
      <c r="B102">
        <v>315.37</v>
      </c>
      <c r="C102" t="str">
        <v>Drottningborgrussen</v>
      </c>
      <c r="D102">
        <v>271457987</v>
      </c>
      <c r="E102" t="str">
        <v>Utb. 2000184 Vippsnr 126635</v>
      </c>
    </row>
    <row r="103" spans="1:5" x14ac:dyDescent="0.35">
      <c r="A103" t="str">
        <v>28.04.2026</v>
      </c>
      <c r="B103">
        <v>128.69999999999999</v>
      </c>
      <c r="C103" t="str">
        <v>Drottningborgrussen</v>
      </c>
      <c r="D103">
        <v>271469727</v>
      </c>
      <c r="E103" t="str">
        <v>Utb. 2000185 Vippsnr 126635</v>
      </c>
    </row>
    <row r="104" spans="1:5" x14ac:dyDescent="0.35">
      <c r="A104" t="str">
        <v>28.02.2026</v>
      </c>
      <c r="B104">
        <v>1350.83</v>
      </c>
      <c r="C104" t="str">
        <v>Drottningborgrussen</v>
      </c>
      <c r="D104">
        <v>816783</v>
      </c>
      <c r="E104" t="str">
        <v>Utb. 2000132 Vippsnr 126635</v>
      </c>
    </row>
    <row r="105" spans="1:5" x14ac:dyDescent="0.35">
      <c r="A105" t="str">
        <v>28.02.2026</v>
      </c>
      <c r="B105">
        <v>1704.48</v>
      </c>
      <c r="C105" t="str">
        <v>Drottningborgrussen</v>
      </c>
      <c r="D105">
        <v>772351</v>
      </c>
      <c r="E105" t="str">
        <v>Utb. 2000130 Vippsnr 126635</v>
      </c>
    </row>
    <row r="106" spans="1:5" x14ac:dyDescent="0.35">
      <c r="A106" t="str">
        <v>28.01.2026</v>
      </c>
      <c r="B106">
        <v>2131.85</v>
      </c>
      <c r="C106" t="str">
        <v>Drottningborgrussen</v>
      </c>
      <c r="D106">
        <v>985320</v>
      </c>
      <c r="E106" t="str">
        <v>Utb. 2000109 Vippsnr 126635</v>
      </c>
    </row>
    <row r="107" spans="1:5" x14ac:dyDescent="0.35">
      <c r="A107" t="str">
        <v>27.11.2025</v>
      </c>
      <c r="B107">
        <v>1930.5</v>
      </c>
      <c r="C107" t="str">
        <v>Drottningborgrussen</v>
      </c>
      <c r="D107">
        <v>1158256</v>
      </c>
      <c r="E107" t="str">
        <v>Utb. 2000063 Vippsnr 126635</v>
      </c>
    </row>
    <row r="108" spans="1:5" x14ac:dyDescent="0.35">
      <c r="A108" t="str">
        <v>27.10.2025</v>
      </c>
      <c r="B108">
        <v>1240.82</v>
      </c>
      <c r="C108" t="str">
        <v>Drottningborgrussen</v>
      </c>
      <c r="D108">
        <v>836512</v>
      </c>
      <c r="E108" t="str">
        <v>Utb. 2000037 Vippsnr 126635</v>
      </c>
    </row>
    <row r="109" spans="1:5" x14ac:dyDescent="0.35">
      <c r="A109" t="str">
        <v>27.08.2025</v>
      </c>
      <c r="B109">
        <v>1566.03</v>
      </c>
      <c r="C109" t="str">
        <v>Drottningborgrussen</v>
      </c>
      <c r="D109">
        <v>1194854</v>
      </c>
      <c r="E109" t="str">
        <v>Utb. 2001575 Vippsnr 126635</v>
      </c>
    </row>
    <row r="110" spans="1:5" x14ac:dyDescent="0.35">
      <c r="A110" t="str">
        <v>27.05.2026</v>
      </c>
      <c r="B110">
        <v>447.03</v>
      </c>
      <c r="C110" t="str">
        <v>Drottningborgrussen</v>
      </c>
      <c r="D110">
        <v>287509045</v>
      </c>
      <c r="E110" t="str">
        <v>Utb. 2000213 Vippsnr 126635</v>
      </c>
    </row>
    <row r="111" spans="1:5" x14ac:dyDescent="0.35">
      <c r="A111" t="str">
        <v>27.05.2026</v>
      </c>
      <c r="B111">
        <v>113.97</v>
      </c>
      <c r="C111" t="str">
        <v>Drottningborgrussen</v>
      </c>
      <c r="D111">
        <v>287523111</v>
      </c>
      <c r="E111" t="str">
        <v>Utb. 2000214 Vippsnr 126635</v>
      </c>
    </row>
    <row r="112" spans="1:5" x14ac:dyDescent="0.35">
      <c r="A112" t="str">
        <v>27.05.2026</v>
      </c>
      <c r="B112">
        <v>695.58</v>
      </c>
      <c r="C112" t="str">
        <v>Drottningborgrussen</v>
      </c>
      <c r="D112">
        <v>287528497</v>
      </c>
      <c r="E112" t="str">
        <v>Utb. 2000211 Vippsnr 126635</v>
      </c>
    </row>
    <row r="113" spans="1:5" x14ac:dyDescent="0.35">
      <c r="A113" t="str">
        <v>27.05.2026</v>
      </c>
      <c r="B113">
        <v>49.12</v>
      </c>
      <c r="C113" t="str">
        <v>Drottningborgrussen</v>
      </c>
      <c r="D113">
        <v>287568937</v>
      </c>
      <c r="E113" t="str">
        <v>Utb. 2000212 Vippsnr 126635</v>
      </c>
    </row>
    <row r="114" spans="1:5" x14ac:dyDescent="0.35">
      <c r="A114" t="str">
        <v>27.04.2026</v>
      </c>
      <c r="B114">
        <v>359.57</v>
      </c>
      <c r="C114" t="str">
        <v>Drottningborgrussen</v>
      </c>
      <c r="D114">
        <v>270835279</v>
      </c>
      <c r="E114" t="str">
        <v>Utb. 2000182 Vippsnr 126635</v>
      </c>
    </row>
    <row r="115" spans="1:5" x14ac:dyDescent="0.35">
      <c r="A115" t="str">
        <v>27.03.2026</v>
      </c>
      <c r="B115">
        <v>2879.56</v>
      </c>
      <c r="C115" t="str">
        <v>Drottningborgrussen</v>
      </c>
      <c r="D115">
        <v>255520038</v>
      </c>
      <c r="E115" t="str">
        <v>Utb. 2000160 Vippsnr 126635</v>
      </c>
    </row>
    <row r="116" spans="1:5" x14ac:dyDescent="0.35">
      <c r="A116" t="str">
        <v>27.01.2026</v>
      </c>
      <c r="B116">
        <v>1090.5</v>
      </c>
      <c r="C116" t="str">
        <v>Drottningborgrussen</v>
      </c>
      <c r="D116">
        <v>930873</v>
      </c>
      <c r="E116" t="str">
        <v>Utb. 2000107 Vippsnr 126635</v>
      </c>
    </row>
    <row r="117" spans="1:5" x14ac:dyDescent="0.35">
      <c r="A117" t="str">
        <v>27.01.2026</v>
      </c>
      <c r="B117">
        <v>684.75</v>
      </c>
      <c r="C117" t="str">
        <v>Drottningborgrussen</v>
      </c>
      <c r="D117">
        <v>930871</v>
      </c>
      <c r="E117" t="str">
        <v>Utb. 2000108 Vippsnr 126635</v>
      </c>
    </row>
    <row r="118" spans="1:5" x14ac:dyDescent="0.35">
      <c r="A118" t="str">
        <v>27.01.2026</v>
      </c>
      <c r="B118">
        <v>1681.96</v>
      </c>
      <c r="C118" t="str">
        <v>Drottningborgrussen</v>
      </c>
      <c r="D118">
        <v>930872</v>
      </c>
      <c r="E118" t="str">
        <v>Utb. 2000106 Vippsnr 126635</v>
      </c>
    </row>
    <row r="119" spans="1:5" x14ac:dyDescent="0.35">
      <c r="A119" t="str">
        <v>26.11.2025</v>
      </c>
      <c r="B119">
        <v>2325.4699999999998</v>
      </c>
      <c r="C119" t="str">
        <v>Drottningborgrussen</v>
      </c>
      <c r="D119">
        <v>1098733</v>
      </c>
      <c r="E119" t="str">
        <v>Utb. 2000062 Vippsnr 126635</v>
      </c>
    </row>
    <row r="120" spans="1:5" x14ac:dyDescent="0.35">
      <c r="A120" t="str">
        <v>26.09.2025</v>
      </c>
      <c r="B120">
        <v>1037.49</v>
      </c>
      <c r="C120" t="str">
        <v>Drottningborgrussen</v>
      </c>
      <c r="D120">
        <v>392660</v>
      </c>
      <c r="E120" t="str">
        <v>Utb. 2000016 Vippsnr 126635</v>
      </c>
    </row>
    <row r="121" spans="1:5" x14ac:dyDescent="0.35">
      <c r="A121" t="str">
        <v>26.08.2025</v>
      </c>
      <c r="B121">
        <v>566.85</v>
      </c>
      <c r="C121" t="str">
        <v>Drottningborgrussen</v>
      </c>
      <c r="D121">
        <v>1101037</v>
      </c>
      <c r="E121" t="str">
        <v>Utb. 2001574 Vippsnr 126635</v>
      </c>
    </row>
    <row r="122" spans="1:5" x14ac:dyDescent="0.35">
      <c r="A122" t="str">
        <v>26.08.2025</v>
      </c>
      <c r="B122">
        <v>611.1</v>
      </c>
      <c r="C122" t="str">
        <v>Drottningborgrussen</v>
      </c>
      <c r="D122">
        <v>1101018</v>
      </c>
      <c r="E122" t="str">
        <v>Utb. 2001573 Vippsnr 126635</v>
      </c>
    </row>
    <row r="123" spans="1:5" x14ac:dyDescent="0.35">
      <c r="A123" t="str">
        <v>26.08.2025</v>
      </c>
      <c r="B123">
        <v>1211.3499999999999</v>
      </c>
      <c r="C123" t="str">
        <v>Drottningborgrussen</v>
      </c>
      <c r="D123">
        <v>1101019</v>
      </c>
      <c r="E123" t="str">
        <v>Utb. 2001572 Vippsnr 126635</v>
      </c>
    </row>
    <row r="124" spans="1:5" x14ac:dyDescent="0.35">
      <c r="A124" t="str">
        <v>26.05.2026</v>
      </c>
      <c r="B124">
        <v>172.91</v>
      </c>
      <c r="C124" t="str">
        <v>Drottningborgrussen</v>
      </c>
      <c r="D124">
        <v>286828193</v>
      </c>
      <c r="E124" t="str">
        <v>Utb. 2000210 Vippsnr 126635</v>
      </c>
    </row>
    <row r="125" spans="1:5" x14ac:dyDescent="0.35">
      <c r="A125" t="str">
        <v>26.03.2026</v>
      </c>
      <c r="B125">
        <v>2175.09</v>
      </c>
      <c r="C125" t="str">
        <v>Drottningborgrussen</v>
      </c>
      <c r="D125">
        <v>255023373</v>
      </c>
      <c r="E125" t="str">
        <v>Utb. 2000159 Vippsnr 126635</v>
      </c>
    </row>
    <row r="126" spans="1:5" x14ac:dyDescent="0.35">
      <c r="A126" t="str">
        <v>26.02.2026</v>
      </c>
      <c r="B126">
        <v>1921.6</v>
      </c>
      <c r="C126" t="str">
        <v>Drottningborgrussen</v>
      </c>
      <c r="D126">
        <v>764313</v>
      </c>
      <c r="E126" t="str">
        <v>Utb. 2000131 Vippsnr 126635</v>
      </c>
    </row>
    <row r="127" spans="1:5" x14ac:dyDescent="0.35">
      <c r="A127" t="str">
        <v>26.01.2026</v>
      </c>
      <c r="B127">
        <v>1973.7</v>
      </c>
      <c r="C127" t="str">
        <v>Drottningborgrussen</v>
      </c>
      <c r="D127">
        <v>869611</v>
      </c>
      <c r="E127" t="str">
        <v>Utb. 2000105 Vippsnr 126635</v>
      </c>
    </row>
    <row r="128" spans="1:5" x14ac:dyDescent="0.35">
      <c r="A128" t="str">
        <v>25.11.2025</v>
      </c>
      <c r="B128">
        <v>1384.32</v>
      </c>
      <c r="C128" t="str">
        <v>Drottningborgrussen</v>
      </c>
      <c r="D128">
        <v>1025919</v>
      </c>
      <c r="E128" t="str">
        <v>Utb. 2000061 Vippsnr 126635</v>
      </c>
    </row>
    <row r="129" spans="1:5" x14ac:dyDescent="0.35">
      <c r="A129" t="str">
        <v>25.11.2025</v>
      </c>
      <c r="B129">
        <v>1742.95</v>
      </c>
      <c r="C129" t="str">
        <v>Drottningborgrussen</v>
      </c>
      <c r="D129">
        <v>1025924</v>
      </c>
      <c r="E129" t="str">
        <v>Utb. 2000060 Vippsnr 126635</v>
      </c>
    </row>
    <row r="130" spans="1:5" x14ac:dyDescent="0.35">
      <c r="A130" t="str">
        <v>25.11.2025</v>
      </c>
      <c r="B130">
        <v>1985.53</v>
      </c>
      <c r="C130" t="str">
        <v>Drottningborgrussen</v>
      </c>
      <c r="D130">
        <v>1025921</v>
      </c>
      <c r="E130" t="str">
        <v>Utb. 2000059 Vippsnr 126635</v>
      </c>
    </row>
    <row r="131" spans="1:5" x14ac:dyDescent="0.35">
      <c r="A131" t="str">
        <v>25.09.2025</v>
      </c>
      <c r="B131">
        <v>1443.25</v>
      </c>
      <c r="C131" t="str">
        <v>Drottningborgrussen</v>
      </c>
      <c r="D131">
        <v>294675</v>
      </c>
      <c r="E131" t="str">
        <v>Utb. 2000015 Vippsnr 126635</v>
      </c>
    </row>
    <row r="132" spans="1:5" x14ac:dyDescent="0.35">
      <c r="A132" t="str">
        <v>25.08.2025</v>
      </c>
      <c r="B132">
        <v>1351.85</v>
      </c>
      <c r="C132" t="str">
        <v>Drottningborgrussen</v>
      </c>
      <c r="D132">
        <v>979339</v>
      </c>
      <c r="E132" t="str">
        <v>Utb. 2001571 Vippsnr 126635</v>
      </c>
    </row>
    <row r="133" spans="1:5" x14ac:dyDescent="0.35">
      <c r="A133" t="str">
        <v>25.03.2026</v>
      </c>
      <c r="B133">
        <v>2189.8200000000002</v>
      </c>
      <c r="C133" t="str">
        <v>Drottningborgrussen</v>
      </c>
      <c r="D133">
        <v>254626096</v>
      </c>
      <c r="E133" t="str">
        <v>Utb. 2000158 Vippsnr 126635</v>
      </c>
    </row>
    <row r="134" spans="1:5" x14ac:dyDescent="0.35">
      <c r="A134" t="str">
        <v>25.03.2026</v>
      </c>
      <c r="B134">
        <v>426.4</v>
      </c>
      <c r="C134" t="str">
        <v>Drottningborgrussen</v>
      </c>
      <c r="D134">
        <v>253364197</v>
      </c>
      <c r="E134" t="str">
        <v>Utb. 2000156 Vippsnr 126635</v>
      </c>
    </row>
    <row r="135" spans="1:5" x14ac:dyDescent="0.35">
      <c r="A135" t="str">
        <v>25.03.2026</v>
      </c>
      <c r="B135">
        <v>994.24</v>
      </c>
      <c r="C135" t="str">
        <v>Drottningborgrussen</v>
      </c>
      <c r="D135">
        <v>253391138</v>
      </c>
      <c r="E135" t="str">
        <v>Utb. 2000155 Vippsnr 126635</v>
      </c>
    </row>
    <row r="136" spans="1:5" x14ac:dyDescent="0.35">
      <c r="A136" t="str">
        <v>24.11.2025</v>
      </c>
      <c r="B136">
        <v>1287.97</v>
      </c>
      <c r="C136" t="str">
        <v>Drottningborgrussen</v>
      </c>
      <c r="D136">
        <v>938553</v>
      </c>
      <c r="E136" t="str">
        <v>Utb. 2000058 Vippsnr 126635</v>
      </c>
    </row>
    <row r="137" spans="1:5" x14ac:dyDescent="0.35">
      <c r="A137" t="str">
        <v>24.10.2025</v>
      </c>
      <c r="B137">
        <v>1350.81</v>
      </c>
      <c r="C137" t="str">
        <v>Drottningborgrussen</v>
      </c>
      <c r="D137">
        <v>770108</v>
      </c>
      <c r="E137" t="str">
        <v>Utb. 2000036 Vippsnr 126635</v>
      </c>
    </row>
    <row r="138" spans="1:5" x14ac:dyDescent="0.35">
      <c r="A138" t="str">
        <v>24.09.2025</v>
      </c>
      <c r="B138">
        <v>820.38</v>
      </c>
      <c r="C138" t="str">
        <v>Drottningborgrussen</v>
      </c>
      <c r="D138">
        <v>213902</v>
      </c>
      <c r="E138" t="str">
        <v>Utb. 2000014 Vippsnr 126635</v>
      </c>
    </row>
    <row r="139" spans="1:5" x14ac:dyDescent="0.35">
      <c r="A139" t="str">
        <v>24.04.2026</v>
      </c>
      <c r="B139">
        <v>1522.75</v>
      </c>
      <c r="C139" t="str">
        <v>Drottningborgrussen</v>
      </c>
      <c r="D139">
        <v>270323196</v>
      </c>
      <c r="E139" t="str">
        <v>Utb. 2000181 Vippsnr 126635</v>
      </c>
    </row>
    <row r="140" spans="1:5" x14ac:dyDescent="0.35">
      <c r="A140" t="str">
        <v>24.03.2026</v>
      </c>
      <c r="B140">
        <v>2050.38</v>
      </c>
      <c r="C140" t="str">
        <v>Drottningborgrussen</v>
      </c>
      <c r="D140">
        <v>253368757</v>
      </c>
      <c r="E140" t="str">
        <v>Utb. 2000157 Vippsnr 126635</v>
      </c>
    </row>
    <row r="141" spans="1:5" x14ac:dyDescent="0.35">
      <c r="A141" t="str">
        <v>24.02.2026</v>
      </c>
      <c r="B141">
        <v>27.51</v>
      </c>
      <c r="C141" t="str">
        <v>Drottningborgrussen</v>
      </c>
      <c r="D141">
        <v>590856</v>
      </c>
      <c r="E141" t="str">
        <v>Utb. 2000129 Vippsnr 126635</v>
      </c>
    </row>
    <row r="142" spans="1:5" x14ac:dyDescent="0.35">
      <c r="A142" t="str">
        <v>24.02.2026</v>
      </c>
      <c r="B142">
        <v>37.33</v>
      </c>
      <c r="C142" t="str">
        <v>Drottningborgrussen</v>
      </c>
      <c r="D142">
        <v>590754</v>
      </c>
      <c r="E142" t="str">
        <v>Utb. 2000128 Vippsnr 126635</v>
      </c>
    </row>
    <row r="143" spans="1:5" x14ac:dyDescent="0.35">
      <c r="A143" t="str">
        <v>23.12.2025</v>
      </c>
      <c r="B143">
        <v>29.47</v>
      </c>
      <c r="C143" t="str">
        <v>Drottningborgrussen</v>
      </c>
      <c r="D143">
        <v>278224</v>
      </c>
      <c r="E143" t="str">
        <v>Utb. 2000087 Vippsnr 126635</v>
      </c>
    </row>
    <row r="144" spans="1:5" x14ac:dyDescent="0.35">
      <c r="A144" t="str">
        <v>23.10.2025</v>
      </c>
      <c r="B144">
        <v>1927.56</v>
      </c>
      <c r="C144" t="str">
        <v>Drottningborgrussen</v>
      </c>
      <c r="D144">
        <v>672524</v>
      </c>
      <c r="E144" t="str">
        <v>Utb. 2000035 Vippsnr 126635</v>
      </c>
    </row>
    <row r="145" spans="1:5" x14ac:dyDescent="0.35">
      <c r="A145" t="str">
        <v>23.09.2025</v>
      </c>
      <c r="B145">
        <v>379.25</v>
      </c>
      <c r="C145" t="str">
        <v>Drottningborgrussen</v>
      </c>
      <c r="D145">
        <v>129596</v>
      </c>
      <c r="E145" t="str">
        <v>Utb. 2000013 Vippsnr 126635</v>
      </c>
    </row>
    <row r="146" spans="1:5" x14ac:dyDescent="0.35">
      <c r="A146" t="str">
        <v>23.09.2025</v>
      </c>
      <c r="B146">
        <v>1535.56</v>
      </c>
      <c r="C146" t="str">
        <v>Drottningborgrussen</v>
      </c>
      <c r="D146">
        <v>129870</v>
      </c>
      <c r="E146" t="str">
        <v>Utb. 2000011 Vippsnr 126635</v>
      </c>
    </row>
    <row r="147" spans="1:5" x14ac:dyDescent="0.35">
      <c r="A147" t="str">
        <v>23.09.2025</v>
      </c>
      <c r="B147">
        <v>1176.02</v>
      </c>
      <c r="C147" t="str">
        <v>Drottningborgrussen</v>
      </c>
      <c r="D147">
        <v>129594</v>
      </c>
      <c r="E147" t="str">
        <v>Utb. 2000012 Vippsnr 126635</v>
      </c>
    </row>
    <row r="148" spans="1:5" x14ac:dyDescent="0.35">
      <c r="A148" t="str">
        <v>23.04.2026</v>
      </c>
      <c r="B148">
        <v>435.22</v>
      </c>
      <c r="C148" t="str">
        <v>Drottningborgrussen</v>
      </c>
      <c r="D148">
        <v>269052142</v>
      </c>
      <c r="E148" t="str">
        <v>Utb. 2000180 Vippsnr 126635</v>
      </c>
    </row>
    <row r="149" spans="1:5" x14ac:dyDescent="0.35">
      <c r="A149" t="str">
        <v>23.03.2026</v>
      </c>
      <c r="B149">
        <v>657.27</v>
      </c>
      <c r="C149" t="str">
        <v>Drottningborgrussen</v>
      </c>
      <c r="D149">
        <v>252470701</v>
      </c>
      <c r="E149" t="str">
        <v>Utb. 2000154 Vippsnr 126635</v>
      </c>
    </row>
    <row r="150" spans="1:5" x14ac:dyDescent="0.35">
      <c r="A150" t="str">
        <v>23.01.2026</v>
      </c>
      <c r="B150">
        <v>1360.69</v>
      </c>
      <c r="C150" t="str">
        <v>Drottningborgrussen</v>
      </c>
      <c r="D150">
        <v>831715</v>
      </c>
      <c r="E150" t="str">
        <v>Utb. 2000104 Vippsnr 126635</v>
      </c>
    </row>
    <row r="151" spans="1:5" x14ac:dyDescent="0.35">
      <c r="A151" t="str">
        <v>22.12.2025</v>
      </c>
      <c r="B151">
        <v>521.66999999999996</v>
      </c>
      <c r="C151" t="str">
        <v>Drottningborgrussen</v>
      </c>
      <c r="D151">
        <v>1466610</v>
      </c>
      <c r="E151" t="str">
        <v>Utb. 2000086 Vippsnr 126635</v>
      </c>
    </row>
    <row r="152" spans="1:5" x14ac:dyDescent="0.35">
      <c r="A152" t="str">
        <v>22.10.2025</v>
      </c>
      <c r="B152">
        <v>1966.89</v>
      </c>
      <c r="C152" t="str">
        <v>Drottningborgrussen</v>
      </c>
      <c r="D152">
        <v>596605</v>
      </c>
      <c r="E152" t="str">
        <v>Utb. 2000034 Vippsnr 126635</v>
      </c>
    </row>
    <row r="153" spans="1:5" x14ac:dyDescent="0.35">
      <c r="A153" t="str">
        <v>22.09.2025</v>
      </c>
      <c r="B153">
        <v>1210.3900000000001</v>
      </c>
      <c r="C153" t="str">
        <v>Drottningborgrussen</v>
      </c>
      <c r="D153">
        <v>1527295</v>
      </c>
      <c r="E153" t="str">
        <v>Utb. 2000010 Vippsnr 126635</v>
      </c>
    </row>
    <row r="154" spans="1:5" x14ac:dyDescent="0.35">
      <c r="A154" t="str">
        <v>22.08.2025</v>
      </c>
      <c r="B154">
        <v>1245.71</v>
      </c>
      <c r="C154" t="str">
        <v>Drottningborgrussen</v>
      </c>
      <c r="D154">
        <v>898381</v>
      </c>
      <c r="E154" t="str">
        <v>Utb. 2001570 Vippsnr 126635</v>
      </c>
    </row>
    <row r="155" spans="1:5" x14ac:dyDescent="0.35">
      <c r="A155" t="str">
        <v>22.05.2026</v>
      </c>
      <c r="B155">
        <v>514.80999999999995</v>
      </c>
      <c r="C155" t="str">
        <v>Drottningborgrussen</v>
      </c>
      <c r="D155">
        <v>285070442</v>
      </c>
      <c r="E155" t="str">
        <v>Utb. 2000209 Vippsnr 126635</v>
      </c>
    </row>
    <row r="156" spans="1:5" x14ac:dyDescent="0.35">
      <c r="A156" t="str">
        <v>22.04.2026</v>
      </c>
      <c r="B156">
        <v>1812.58</v>
      </c>
      <c r="C156" t="str">
        <v>Drottningborgrussen</v>
      </c>
      <c r="D156">
        <v>268559380</v>
      </c>
      <c r="E156" t="str">
        <v>Utb. 2000179 Vippsnr 126635</v>
      </c>
    </row>
    <row r="157" spans="1:5" x14ac:dyDescent="0.35">
      <c r="A157" t="str">
        <v>22.04.2026</v>
      </c>
      <c r="B157">
        <v>934.3</v>
      </c>
      <c r="C157" t="str">
        <v>Drottningborgrussen</v>
      </c>
      <c r="D157">
        <v>268048709</v>
      </c>
      <c r="E157" t="str">
        <v>Utb. 2000177 Vippsnr 126635</v>
      </c>
    </row>
    <row r="158" spans="1:5" x14ac:dyDescent="0.35">
      <c r="A158" t="str">
        <v>22.04.2026</v>
      </c>
      <c r="B158">
        <v>366.46</v>
      </c>
      <c r="C158" t="str">
        <v>Drottningborgrussen</v>
      </c>
      <c r="D158">
        <v>268070952</v>
      </c>
      <c r="E158" t="str">
        <v>Utb. 2000176 Vippsnr 126635</v>
      </c>
    </row>
    <row r="159" spans="1:5" x14ac:dyDescent="0.35">
      <c r="A159" t="str">
        <v>22.01.2026</v>
      </c>
      <c r="B159">
        <v>2847.09</v>
      </c>
      <c r="C159" t="str">
        <v>Drottningborgrussen</v>
      </c>
      <c r="D159">
        <v>744025</v>
      </c>
      <c r="E159" t="str">
        <v>Utb. 2000103 Vippsnr 126635</v>
      </c>
    </row>
    <row r="160" spans="1:5" x14ac:dyDescent="0.35">
      <c r="A160" t="str">
        <v>21.11.2025</v>
      </c>
      <c r="B160">
        <v>1805.75</v>
      </c>
      <c r="C160" t="str">
        <v>Drottningborgrussen</v>
      </c>
      <c r="D160">
        <v>881846</v>
      </c>
      <c r="E160" t="str">
        <v>Utb. 2000057 Vippsnr 126635</v>
      </c>
    </row>
    <row r="161" spans="1:5" x14ac:dyDescent="0.35">
      <c r="A161" t="str">
        <v>21.10.2025</v>
      </c>
      <c r="B161">
        <v>1324.32</v>
      </c>
      <c r="C161" t="str">
        <v>Drottningborgrussen</v>
      </c>
      <c r="D161">
        <v>517799</v>
      </c>
      <c r="E161" t="str">
        <v>Utb. 2000033 Vippsnr 126635</v>
      </c>
    </row>
    <row r="162" spans="1:5" x14ac:dyDescent="0.35">
      <c r="A162" t="str">
        <v>21.10.2025</v>
      </c>
      <c r="B162">
        <v>2183.94</v>
      </c>
      <c r="C162" t="str">
        <v>Drottningborgrussen</v>
      </c>
      <c r="D162">
        <v>517324</v>
      </c>
      <c r="E162" t="str">
        <v>Utb. 2000031 Vippsnr 126635</v>
      </c>
    </row>
    <row r="163" spans="1:5" x14ac:dyDescent="0.35">
      <c r="A163" t="str">
        <v>21.10.2025</v>
      </c>
      <c r="B163">
        <v>1793.01</v>
      </c>
      <c r="C163" t="str">
        <v>Drottningborgrussen</v>
      </c>
      <c r="D163">
        <v>517804</v>
      </c>
      <c r="E163" t="str">
        <v>Utb. 2000032 Vippsnr 126635</v>
      </c>
    </row>
    <row r="164" spans="1:5" x14ac:dyDescent="0.35">
      <c r="A164" t="str">
        <v>21.08.2025</v>
      </c>
      <c r="B164">
        <v>711.31</v>
      </c>
      <c r="C164" t="str">
        <v>Drottningborgrussen</v>
      </c>
      <c r="D164">
        <v>790146</v>
      </c>
      <c r="E164" t="str">
        <v>Utb. 2001569 Vippsnr 126635</v>
      </c>
    </row>
    <row r="165" spans="1:5" x14ac:dyDescent="0.35">
      <c r="A165" t="str">
        <v>21.05.2026</v>
      </c>
      <c r="B165">
        <v>589.46</v>
      </c>
      <c r="C165" t="str">
        <v>Drottningborgrussen</v>
      </c>
      <c r="D165">
        <v>284551834</v>
      </c>
      <c r="E165" t="str">
        <v>Utb. 2000208 Vippsnr 126635</v>
      </c>
    </row>
    <row r="166" spans="1:5" x14ac:dyDescent="0.35">
      <c r="A166" t="str">
        <v>21.04.2026</v>
      </c>
      <c r="B166">
        <v>611.08000000000004</v>
      </c>
      <c r="C166" t="str">
        <v>Drottningborgrussen</v>
      </c>
      <c r="D166">
        <v>268035427</v>
      </c>
      <c r="E166" t="str">
        <v>Utb. 2000178 Vippsnr 126635</v>
      </c>
    </row>
    <row r="167" spans="1:5" x14ac:dyDescent="0.35">
      <c r="A167" t="str">
        <v>21.01.2026</v>
      </c>
      <c r="B167">
        <v>1995.35</v>
      </c>
      <c r="C167" t="str">
        <v>Drottningborgrussen</v>
      </c>
      <c r="D167">
        <v>696089</v>
      </c>
      <c r="E167" t="str">
        <v>Utb. 2000102 Vippsnr 126635</v>
      </c>
    </row>
    <row r="168" spans="1:5" x14ac:dyDescent="0.35">
      <c r="A168" t="str">
        <v>20.11.2025</v>
      </c>
      <c r="B168">
        <v>1485.47</v>
      </c>
      <c r="C168" t="str">
        <v>Drottningborgrussen</v>
      </c>
      <c r="D168">
        <v>807235</v>
      </c>
      <c r="E168" t="str">
        <v>Utb. 2000056 Vippsnr 126635</v>
      </c>
    </row>
    <row r="169" spans="1:5" x14ac:dyDescent="0.35">
      <c r="A169" t="str">
        <v>20.10.2025</v>
      </c>
      <c r="B169">
        <v>1419.65</v>
      </c>
      <c r="C169" t="str">
        <v>Drottningborgrussen</v>
      </c>
      <c r="D169">
        <v>414192</v>
      </c>
      <c r="E169" t="str">
        <v>Utb. 2000030 Vippsnr 126635</v>
      </c>
    </row>
    <row r="170" spans="1:5" x14ac:dyDescent="0.35">
      <c r="A170" t="str">
        <v>20.08.2025</v>
      </c>
      <c r="B170">
        <v>845.86</v>
      </c>
      <c r="C170" t="str">
        <v>Drottningborgrussen</v>
      </c>
      <c r="D170">
        <v>698285</v>
      </c>
      <c r="E170" t="str">
        <v>Utb. 2001568 Vippsnr 126635</v>
      </c>
    </row>
    <row r="171" spans="1:5" x14ac:dyDescent="0.35">
      <c r="A171" t="str">
        <v>20.05.2026</v>
      </c>
      <c r="B171">
        <v>1001.16</v>
      </c>
      <c r="C171" t="str">
        <v>Drottningborgrussen</v>
      </c>
      <c r="D171">
        <v>283780451</v>
      </c>
      <c r="E171" t="str">
        <v>Utb. 2000207 Vippsnr 126635</v>
      </c>
    </row>
    <row r="172" spans="1:5" x14ac:dyDescent="0.35">
      <c r="A172" t="str">
        <v>20.04.2026</v>
      </c>
      <c r="B172">
        <v>2158.39</v>
      </c>
      <c r="C172" t="str">
        <v>Drottningborgrussen</v>
      </c>
      <c r="D172">
        <v>267224738</v>
      </c>
      <c r="E172" t="str">
        <v>Utb. 2000175 Vippsnr 126635</v>
      </c>
    </row>
    <row r="173" spans="1:5" x14ac:dyDescent="0.35">
      <c r="A173" t="str">
        <v>20.03.2026</v>
      </c>
      <c r="B173">
        <v>1682.94</v>
      </c>
      <c r="C173" t="str">
        <v>Drottningborgrussen</v>
      </c>
      <c r="D173">
        <v>251819929</v>
      </c>
      <c r="E173" t="str">
        <v>Utb. 2000153 Vippsnr 126635</v>
      </c>
    </row>
    <row r="174" spans="1:5" x14ac:dyDescent="0.35">
      <c r="A174" t="str">
        <v>20.01.2026</v>
      </c>
      <c r="B174">
        <v>1363.62</v>
      </c>
      <c r="C174" t="str">
        <v>Drottningborgrussen</v>
      </c>
      <c r="D174">
        <v>648509</v>
      </c>
      <c r="E174" t="str">
        <v>Utb. 2000099 Vippsnr 126635</v>
      </c>
    </row>
    <row r="175" spans="1:5" x14ac:dyDescent="0.35">
      <c r="A175" t="str">
        <v>20.01.2026</v>
      </c>
      <c r="B175">
        <v>164.07</v>
      </c>
      <c r="C175" t="str">
        <v>Drottningborgrussen</v>
      </c>
      <c r="D175">
        <v>648432</v>
      </c>
      <c r="E175" t="str">
        <v>Utb. 2000101 Vippsnr 126635</v>
      </c>
    </row>
    <row r="176" spans="1:5" x14ac:dyDescent="0.35">
      <c r="A176" t="str">
        <v>20.01.2026</v>
      </c>
      <c r="B176">
        <v>2998.45</v>
      </c>
      <c r="C176" t="str">
        <v>Drottningborgrussen</v>
      </c>
      <c r="D176">
        <v>648505</v>
      </c>
      <c r="E176" t="str">
        <v>Utb. 2000100 Vippsnr 126635</v>
      </c>
    </row>
    <row r="177" spans="1:5" x14ac:dyDescent="0.35">
      <c r="A177" t="str">
        <v>19.12.2025</v>
      </c>
      <c r="B177">
        <v>2758.69</v>
      </c>
      <c r="C177" t="str">
        <v>Drottningborgrussen</v>
      </c>
      <c r="D177">
        <v>898688</v>
      </c>
      <c r="E177" t="str">
        <v>Utb. 2000085 Vippsnr 126635</v>
      </c>
    </row>
    <row r="178" spans="1:5" x14ac:dyDescent="0.35">
      <c r="A178" t="str">
        <v>19.11.2025</v>
      </c>
      <c r="B178">
        <v>2346.0500000000002</v>
      </c>
      <c r="C178" t="str">
        <v>Drottningborgrussen</v>
      </c>
      <c r="D178">
        <v>742446</v>
      </c>
      <c r="E178" t="str">
        <v>Utb. 2000055 Vippsnr 126635</v>
      </c>
    </row>
    <row r="179" spans="1:5" x14ac:dyDescent="0.35">
      <c r="A179" t="str">
        <v>19.09.2025</v>
      </c>
      <c r="B179">
        <v>3184.11</v>
      </c>
      <c r="C179" t="str">
        <v>Drottningborgrussen</v>
      </c>
      <c r="D179">
        <v>1451306</v>
      </c>
      <c r="E179" t="str">
        <v>Utb. 2000009 Vippsnr 126635</v>
      </c>
    </row>
    <row r="180" spans="1:5" x14ac:dyDescent="0.35">
      <c r="A180" t="str">
        <v>19.08.2025</v>
      </c>
      <c r="B180">
        <v>609.14</v>
      </c>
      <c r="C180" t="str">
        <v>Drottningborgrussen</v>
      </c>
      <c r="D180">
        <v>591486</v>
      </c>
      <c r="E180" t="str">
        <v>Utb. 2001566 Vippsnr 126635</v>
      </c>
    </row>
    <row r="181" spans="1:5" x14ac:dyDescent="0.35">
      <c r="A181" t="str">
        <v>19.08.2025</v>
      </c>
      <c r="B181">
        <v>800.68</v>
      </c>
      <c r="C181" t="str">
        <v>Drottningborgrussen</v>
      </c>
      <c r="D181">
        <v>591487</v>
      </c>
      <c r="E181" t="str">
        <v>Utb. 2001567 Vippsnr 126635</v>
      </c>
    </row>
    <row r="182" spans="1:5" x14ac:dyDescent="0.35">
      <c r="A182" t="str">
        <v>19.08.2025</v>
      </c>
      <c r="B182">
        <v>177.83</v>
      </c>
      <c r="C182" t="str">
        <v>Drottningborgrussen</v>
      </c>
      <c r="D182">
        <v>591147</v>
      </c>
      <c r="E182" t="str">
        <v>Utb. 2001565 Vippsnr 126635</v>
      </c>
    </row>
    <row r="183" spans="1:5" x14ac:dyDescent="0.35">
      <c r="A183" t="str">
        <v>19.05.2026</v>
      </c>
      <c r="B183">
        <v>288.83999999999997</v>
      </c>
      <c r="C183" t="str">
        <v>Drottningborgrussen</v>
      </c>
      <c r="D183">
        <v>283095305</v>
      </c>
      <c r="E183" t="str">
        <v>Utb. 2000205 Vippsnr 126635</v>
      </c>
    </row>
    <row r="184" spans="1:5" x14ac:dyDescent="0.35">
      <c r="A184" t="str">
        <v>19.05.2026</v>
      </c>
      <c r="B184">
        <v>73.680000000000007</v>
      </c>
      <c r="C184" t="str">
        <v>Drottningborgrussen</v>
      </c>
      <c r="D184">
        <v>283139964</v>
      </c>
      <c r="E184" t="str">
        <v>Utb. 2000204 Vippsnr 126635</v>
      </c>
    </row>
    <row r="185" spans="1:5" x14ac:dyDescent="0.35">
      <c r="A185" t="str">
        <v>19.05.2026</v>
      </c>
      <c r="B185">
        <v>166</v>
      </c>
      <c r="C185" t="str">
        <v>Drottningborgrussen</v>
      </c>
      <c r="D185">
        <v>283150227</v>
      </c>
      <c r="E185" t="str">
        <v>Utb. 2000206 Vippsnr 126635</v>
      </c>
    </row>
    <row r="186" spans="1:5" x14ac:dyDescent="0.35">
      <c r="A186" t="str">
        <v>19.03.2026</v>
      </c>
      <c r="B186">
        <v>1927.54</v>
      </c>
      <c r="C186" t="str">
        <v>Drottningborgrussen</v>
      </c>
      <c r="D186">
        <v>251302982</v>
      </c>
      <c r="E186" t="str">
        <v>Utb. 2000152 Vippsnr 126635</v>
      </c>
    </row>
    <row r="187" spans="1:5" x14ac:dyDescent="0.35">
      <c r="A187" t="str">
        <v>19.01.2026</v>
      </c>
      <c r="B187">
        <v>904.82</v>
      </c>
      <c r="C187" t="str">
        <v>Drottningborgrussen</v>
      </c>
      <c r="D187">
        <v>582173</v>
      </c>
      <c r="E187" t="str">
        <v>Utb. 2000098 Vippsnr 126635</v>
      </c>
    </row>
    <row r="188" spans="1:5" x14ac:dyDescent="0.35">
      <c r="A188" t="str">
        <v>18.12.2025</v>
      </c>
      <c r="B188">
        <v>1980.63</v>
      </c>
      <c r="C188" t="str">
        <v>Drottningborgrussen</v>
      </c>
      <c r="D188">
        <v>766625</v>
      </c>
      <c r="E188" t="str">
        <v>Utb. 2000084 Vippsnr 126635</v>
      </c>
    </row>
    <row r="189" spans="1:5" x14ac:dyDescent="0.35">
      <c r="A189" t="str">
        <v>18.11.2025</v>
      </c>
      <c r="B189">
        <v>902.87</v>
      </c>
      <c r="C189" t="str">
        <v>Drottningborgrussen</v>
      </c>
      <c r="D189">
        <v>663483</v>
      </c>
      <c r="E189" t="str">
        <v>Utb. 2000054 Vippsnr 126635</v>
      </c>
    </row>
    <row r="190" spans="1:5" x14ac:dyDescent="0.35">
      <c r="A190" t="str">
        <v>18.11.2025</v>
      </c>
      <c r="B190">
        <v>66.8</v>
      </c>
      <c r="C190" t="str">
        <v>Drottningborgrussen</v>
      </c>
      <c r="D190">
        <v>663586</v>
      </c>
      <c r="E190" t="str">
        <v>Utb. 2001594 Vippsnr 970538</v>
      </c>
    </row>
    <row r="191" spans="1:5" x14ac:dyDescent="0.35">
      <c r="A191" t="str">
        <v>18.09.2025</v>
      </c>
      <c r="B191">
        <v>2332.34</v>
      </c>
      <c r="C191" t="str">
        <v>Drottningborgrussen</v>
      </c>
      <c r="D191">
        <v>1358029</v>
      </c>
      <c r="E191" t="str">
        <v>Utb. 2000008 Vippsnr 126635</v>
      </c>
    </row>
    <row r="192" spans="1:5" x14ac:dyDescent="0.35">
      <c r="A192" t="str">
        <v>18.08.2025</v>
      </c>
      <c r="B192">
        <v>862.6</v>
      </c>
      <c r="C192" t="str">
        <v>Drottningborgrussen</v>
      </c>
      <c r="D192">
        <v>461260</v>
      </c>
      <c r="E192" t="str">
        <v>Utb. 2001564 Vippsnr 126635</v>
      </c>
    </row>
    <row r="193" spans="1:5" x14ac:dyDescent="0.35">
      <c r="A193" t="str">
        <v>18.05.2026</v>
      </c>
      <c r="B193">
        <v>272.14999999999998</v>
      </c>
      <c r="C193" t="str">
        <v>Drottningborgrussen</v>
      </c>
      <c r="D193">
        <v>282261266</v>
      </c>
      <c r="E193" t="str">
        <v>Utb. 2000202 Vippsnr 126635</v>
      </c>
    </row>
    <row r="194" spans="1:5" x14ac:dyDescent="0.35">
      <c r="A194" t="str">
        <v>18.05.2026</v>
      </c>
      <c r="B194">
        <v>365.47</v>
      </c>
      <c r="C194" t="str">
        <v>Drottningborgrussen</v>
      </c>
      <c r="D194">
        <v>282239167</v>
      </c>
      <c r="E194" t="str">
        <v>Utb. 2000203 Vippsnr 126635</v>
      </c>
    </row>
    <row r="195" spans="1:5" x14ac:dyDescent="0.35">
      <c r="A195" t="str">
        <v>18.03.2026</v>
      </c>
      <c r="B195">
        <v>586.53</v>
      </c>
      <c r="C195" t="str">
        <v>Drottningborgrussen</v>
      </c>
      <c r="D195">
        <v>250990272</v>
      </c>
      <c r="E195" t="str">
        <v>Utb. 2000151 Vippsnr 126635</v>
      </c>
    </row>
    <row r="196" spans="1:5" x14ac:dyDescent="0.35">
      <c r="A196" t="str">
        <v>17.12.2025</v>
      </c>
      <c r="B196">
        <v>2505.1799999999998</v>
      </c>
      <c r="C196" t="str">
        <v>Drottningborgrussen</v>
      </c>
      <c r="D196">
        <v>685963</v>
      </c>
      <c r="E196" t="str">
        <v>Utb. 2000083 Vippsnr 126635</v>
      </c>
    </row>
    <row r="197" spans="1:5" x14ac:dyDescent="0.35">
      <c r="A197" t="str">
        <v>17.10.2025</v>
      </c>
      <c r="B197">
        <v>2927.7</v>
      </c>
      <c r="C197" t="str">
        <v>Drottningborgrussen</v>
      </c>
      <c r="D197">
        <v>339492</v>
      </c>
      <c r="E197" t="str">
        <v>Utb. 2000029 Vippsnr 126635</v>
      </c>
    </row>
    <row r="198" spans="1:5" x14ac:dyDescent="0.35">
      <c r="A198" t="str">
        <v>17.09.2025</v>
      </c>
      <c r="B198">
        <v>4179.34</v>
      </c>
      <c r="C198" t="str">
        <v>Drottningborgrussen</v>
      </c>
      <c r="D198">
        <v>1275771</v>
      </c>
      <c r="E198" t="str">
        <v>Utb. 2000007 Vippsnr 126635</v>
      </c>
    </row>
    <row r="199" spans="1:5" x14ac:dyDescent="0.35">
      <c r="A199" t="str">
        <v>17.04.2026</v>
      </c>
      <c r="B199">
        <v>1010.94</v>
      </c>
      <c r="C199" t="str">
        <v>Drottningborgrussen</v>
      </c>
      <c r="D199">
        <v>266689677</v>
      </c>
      <c r="E199" t="str">
        <v>Utb. 2000174 Vippsnr 126635</v>
      </c>
    </row>
    <row r="200" spans="1:5" x14ac:dyDescent="0.35">
      <c r="A200" t="str">
        <v>17.03.2026</v>
      </c>
      <c r="B200">
        <v>1480.5</v>
      </c>
      <c r="C200" t="str">
        <v>Drottningborgrussen</v>
      </c>
      <c r="D200">
        <v>1423619</v>
      </c>
      <c r="E200" t="str">
        <v>Utb. 2000148 Vippsnr 126635</v>
      </c>
    </row>
    <row r="201" spans="1:5" x14ac:dyDescent="0.35">
      <c r="A201" t="str">
        <v>17.03.2026</v>
      </c>
      <c r="B201">
        <v>899.87</v>
      </c>
      <c r="C201" t="str">
        <v>Drottningborgrussen</v>
      </c>
      <c r="D201">
        <v>1423617</v>
      </c>
      <c r="E201" t="str">
        <v>Utb. 2000150 Vippsnr 126635</v>
      </c>
    </row>
    <row r="202" spans="1:5" x14ac:dyDescent="0.35">
      <c r="A202" t="str">
        <v>17.03.2026</v>
      </c>
      <c r="B202">
        <v>1870.62</v>
      </c>
      <c r="C202" t="str">
        <v>Drottningborgrussen</v>
      </c>
      <c r="D202">
        <v>1423621</v>
      </c>
      <c r="E202" t="str">
        <v>Utb. 2000149 Vippsnr 126635</v>
      </c>
    </row>
    <row r="203" spans="1:5" x14ac:dyDescent="0.35">
      <c r="A203" t="str">
        <v>17.02.2026</v>
      </c>
      <c r="B203">
        <v>101.2</v>
      </c>
      <c r="C203" t="str">
        <v>Drottningborgrussen</v>
      </c>
      <c r="D203">
        <v>292052</v>
      </c>
      <c r="E203" t="str">
        <v>Utb. 2000127 Vippsnr 126635</v>
      </c>
    </row>
    <row r="204" spans="1:5" x14ac:dyDescent="0.35">
      <c r="A204" t="str">
        <v>16.12.2025</v>
      </c>
      <c r="B204">
        <v>2331.35</v>
      </c>
      <c r="C204" t="str">
        <v>Drottningborgrussen</v>
      </c>
      <c r="D204">
        <v>612501</v>
      </c>
      <c r="E204" t="str">
        <v>Utb. 2000081 Vippsnr 126635</v>
      </c>
    </row>
    <row r="205" spans="1:5" x14ac:dyDescent="0.35">
      <c r="A205" t="str">
        <v>16.12.2025</v>
      </c>
      <c r="B205">
        <v>2510.14</v>
      </c>
      <c r="C205" t="str">
        <v>Drottningborgrussen</v>
      </c>
      <c r="D205">
        <v>612501</v>
      </c>
      <c r="E205" t="str">
        <v>Utb. 2000080 Vippsnr 126635</v>
      </c>
    </row>
    <row r="206" spans="1:5" x14ac:dyDescent="0.35">
      <c r="A206" t="str">
        <v>16.12.2025</v>
      </c>
      <c r="B206">
        <v>371.36</v>
      </c>
      <c r="C206" t="str">
        <v>Drottningborgrussen</v>
      </c>
      <c r="D206">
        <v>612537</v>
      </c>
      <c r="E206" t="str">
        <v>Utb. 2000082 Vippsnr 126635</v>
      </c>
    </row>
    <row r="207" spans="1:5" x14ac:dyDescent="0.35">
      <c r="A207" t="str">
        <v>16.10.2025</v>
      </c>
      <c r="B207">
        <v>1713.37</v>
      </c>
      <c r="C207" t="str">
        <v>Drottningborgrussen</v>
      </c>
      <c r="D207">
        <v>234407</v>
      </c>
      <c r="E207" t="str">
        <v>Utb. 2000028 Vippsnr 126635</v>
      </c>
    </row>
    <row r="208" spans="1:5" x14ac:dyDescent="0.35">
      <c r="A208" t="str">
        <v>16.09.2025</v>
      </c>
      <c r="B208">
        <v>1396.08</v>
      </c>
      <c r="C208" t="str">
        <v>Drottningborgrussen</v>
      </c>
      <c r="D208">
        <v>1169651</v>
      </c>
      <c r="E208" t="str">
        <v>Utb. 2000005 Vippsnr 126635</v>
      </c>
    </row>
    <row r="209" spans="1:5" x14ac:dyDescent="0.35">
      <c r="A209" t="str">
        <v>16.09.2025</v>
      </c>
      <c r="B209">
        <v>3189.07</v>
      </c>
      <c r="C209" t="str">
        <v>Drottningborgrussen</v>
      </c>
      <c r="D209">
        <v>1169649</v>
      </c>
      <c r="E209" t="str">
        <v>Utb. 2000006 Vippsnr 126635</v>
      </c>
    </row>
    <row r="210" spans="1:5" x14ac:dyDescent="0.35">
      <c r="A210" t="str">
        <v>16.09.2025</v>
      </c>
      <c r="B210">
        <v>3204.77</v>
      </c>
      <c r="C210" t="str">
        <v>Drottningborgrussen</v>
      </c>
      <c r="D210">
        <v>1169683</v>
      </c>
      <c r="E210" t="str">
        <v>Utb. 2000004 Vippsnr 126635</v>
      </c>
    </row>
    <row r="211" spans="1:5" x14ac:dyDescent="0.35">
      <c r="A211" t="str">
        <v>16.04.2026</v>
      </c>
      <c r="B211">
        <v>1631.8</v>
      </c>
      <c r="C211" t="str">
        <v>Drottningborgrussen</v>
      </c>
      <c r="D211">
        <v>266156696</v>
      </c>
      <c r="E211" t="str">
        <v>Utb. 2000173 Vippsnr 126635</v>
      </c>
    </row>
    <row r="212" spans="1:5" x14ac:dyDescent="0.35">
      <c r="A212" t="str">
        <v>16.03.2026</v>
      </c>
      <c r="B212">
        <v>1325.31</v>
      </c>
      <c r="C212" t="str">
        <v>Drottningborgrussen</v>
      </c>
      <c r="D212">
        <v>1369295</v>
      </c>
      <c r="E212" t="str">
        <v>Utb. 2000147 Vippsnr 126635</v>
      </c>
    </row>
    <row r="213" spans="1:5" x14ac:dyDescent="0.35">
      <c r="A213" t="str">
        <v>16.02.2026</v>
      </c>
      <c r="B213">
        <v>1312.56</v>
      </c>
      <c r="C213" t="str">
        <v>Drottningborgrussen</v>
      </c>
      <c r="D213">
        <v>229886</v>
      </c>
      <c r="E213" t="str">
        <v>Utb. 2000126 Vippsnr 126635</v>
      </c>
    </row>
    <row r="214" spans="1:5" x14ac:dyDescent="0.35">
      <c r="A214" t="str">
        <v>16.01.2026</v>
      </c>
      <c r="B214">
        <v>1732.06</v>
      </c>
      <c r="C214" t="str">
        <v>Drottningborgrussen</v>
      </c>
      <c r="D214">
        <v>528361</v>
      </c>
      <c r="E214" t="str">
        <v>Utb. 2000097 Vippsnr 126635</v>
      </c>
    </row>
    <row r="215" spans="1:5" x14ac:dyDescent="0.35">
      <c r="A215" t="str">
        <v>15.12.2025</v>
      </c>
      <c r="B215">
        <v>1544.41</v>
      </c>
      <c r="C215" t="str">
        <v>Drottningborgrussen</v>
      </c>
      <c r="D215">
        <v>526170</v>
      </c>
      <c r="E215" t="str">
        <v>Utb. 2000079 Vippsnr 126635</v>
      </c>
    </row>
    <row r="216" spans="1:5" x14ac:dyDescent="0.35">
      <c r="A216" t="str">
        <v>15.10.2025</v>
      </c>
      <c r="B216">
        <v>2491.48</v>
      </c>
      <c r="C216" t="str">
        <v>Drottningborgrussen</v>
      </c>
      <c r="D216">
        <v>147914</v>
      </c>
      <c r="E216" t="str">
        <v>Utb. 2000027 Vippsnr 126635</v>
      </c>
    </row>
    <row r="217" spans="1:5" x14ac:dyDescent="0.35">
      <c r="A217" t="str">
        <v>15.09.2025</v>
      </c>
      <c r="B217">
        <v>1787.21</v>
      </c>
      <c r="C217" t="str">
        <v>Drottningborgrussen</v>
      </c>
      <c r="D217">
        <v>1071246</v>
      </c>
      <c r="E217" t="str">
        <v>Utb. 2000003 Vippsnr 126635</v>
      </c>
    </row>
    <row r="218" spans="1:5" x14ac:dyDescent="0.35">
      <c r="A218" t="str">
        <v>15.08.2025</v>
      </c>
      <c r="B218">
        <v>1185.81</v>
      </c>
      <c r="C218" t="str">
        <v>Drottningborgrussen</v>
      </c>
      <c r="D218">
        <v>372904</v>
      </c>
      <c r="E218" t="str">
        <v>Utb. 2001563 Vippsnr 126635</v>
      </c>
    </row>
    <row r="219" spans="1:5" x14ac:dyDescent="0.35">
      <c r="A219" t="str">
        <v>15.05.2026</v>
      </c>
      <c r="B219">
        <v>668.04</v>
      </c>
      <c r="C219" t="str">
        <v>Drottningborgrussen</v>
      </c>
      <c r="D219">
        <v>281384144</v>
      </c>
      <c r="E219" t="str">
        <v>Utb. 2000201 Vippsnr 126635</v>
      </c>
    </row>
    <row r="220" spans="1:5" x14ac:dyDescent="0.35">
      <c r="A220" t="str">
        <v>15.04.2026</v>
      </c>
      <c r="B220">
        <v>2202.62</v>
      </c>
      <c r="C220" t="str">
        <v>Drottningborgrussen</v>
      </c>
      <c r="D220">
        <v>265091500</v>
      </c>
      <c r="E220" t="str">
        <v>Utb. 2000172 Vippsnr 126635</v>
      </c>
    </row>
    <row r="221" spans="1:5" x14ac:dyDescent="0.35">
      <c r="A221" t="str">
        <v>15.01.2026</v>
      </c>
      <c r="B221">
        <v>1469.72</v>
      </c>
      <c r="C221" t="str">
        <v>Drottningborgrussen</v>
      </c>
      <c r="D221">
        <v>464617</v>
      </c>
      <c r="E221" t="str">
        <v>Utb. 2000096 Vippsnr 126635</v>
      </c>
    </row>
    <row r="222" spans="1:5" x14ac:dyDescent="0.35">
      <c r="A222" t="str">
        <v>14.10.2025</v>
      </c>
      <c r="B222">
        <v>1980.63</v>
      </c>
      <c r="C222" t="str">
        <v>Drottningborgrussen</v>
      </c>
      <c r="D222">
        <v>1556209</v>
      </c>
      <c r="E222" t="str">
        <v>Utb. 2000024 Vippsnr 126635</v>
      </c>
    </row>
    <row r="223" spans="1:5" x14ac:dyDescent="0.35">
      <c r="A223" t="str">
        <v>14.10.2025</v>
      </c>
      <c r="B223">
        <v>868.46</v>
      </c>
      <c r="C223" t="str">
        <v>Drottningborgrussen</v>
      </c>
      <c r="D223">
        <v>1556213</v>
      </c>
      <c r="E223" t="str">
        <v>Utb. 2000025 Vippsnr 126635</v>
      </c>
    </row>
    <row r="224" spans="1:5" x14ac:dyDescent="0.35">
      <c r="A224" t="str">
        <v>14.10.2025</v>
      </c>
      <c r="B224">
        <v>441.1</v>
      </c>
      <c r="C224" t="str">
        <v>Drottningborgrussen</v>
      </c>
      <c r="D224">
        <v>1555163</v>
      </c>
      <c r="E224" t="str">
        <v>Utb. 2000026 Vippsnr 126635</v>
      </c>
    </row>
    <row r="225" spans="1:5" x14ac:dyDescent="0.35">
      <c r="A225" t="str">
        <v>14.08.2025</v>
      </c>
      <c r="B225">
        <v>2555.38</v>
      </c>
      <c r="C225" t="str">
        <v>Drottningborgrussen</v>
      </c>
      <c r="D225">
        <v>254875</v>
      </c>
      <c r="E225" t="str">
        <v>Utb. 2001562 Vippsnr 126635</v>
      </c>
    </row>
    <row r="226" spans="1:5" x14ac:dyDescent="0.35">
      <c r="A226" t="str">
        <v>14.04.2026</v>
      </c>
      <c r="B226">
        <v>634.65</v>
      </c>
      <c r="C226" t="str">
        <v>Drottningborgrussen</v>
      </c>
      <c r="D226">
        <v>264478082</v>
      </c>
      <c r="E226" t="str">
        <v>Utb. 2000171 Vippsnr 126635</v>
      </c>
    </row>
    <row r="227" spans="1:5" x14ac:dyDescent="0.35">
      <c r="A227" t="str">
        <v>14.04.2026</v>
      </c>
      <c r="B227">
        <v>379.23</v>
      </c>
      <c r="C227" t="str">
        <v>Drottningborgrussen</v>
      </c>
      <c r="D227">
        <v>264460497</v>
      </c>
      <c r="E227" t="str">
        <v>Utb. 2000170 Vippsnr 126635</v>
      </c>
    </row>
    <row r="228" spans="1:5" x14ac:dyDescent="0.35">
      <c r="A228" t="str">
        <v>14.04.2026</v>
      </c>
      <c r="B228">
        <v>1582.72</v>
      </c>
      <c r="C228" t="str">
        <v>Drottningborgrussen</v>
      </c>
      <c r="D228">
        <v>264498993</v>
      </c>
      <c r="E228" t="str">
        <v>Utb. 2000169 Vippsnr 126635</v>
      </c>
    </row>
    <row r="229" spans="1:5" x14ac:dyDescent="0.35">
      <c r="A229" t="str">
        <v>14.01.2026</v>
      </c>
      <c r="B229">
        <v>2261.56</v>
      </c>
      <c r="C229" t="str">
        <v>Drottningborgrussen</v>
      </c>
      <c r="D229">
        <v>401190</v>
      </c>
      <c r="E229" t="str">
        <v>Utb. 2000095 Vippsnr 126635</v>
      </c>
    </row>
    <row r="230" spans="1:5" x14ac:dyDescent="0.35">
      <c r="A230" t="str">
        <v>13.10.2025</v>
      </c>
      <c r="B230">
        <v>914.67</v>
      </c>
      <c r="C230" t="str">
        <v>Drottningborgrussen</v>
      </c>
      <c r="D230">
        <v>1438142</v>
      </c>
      <c r="E230" t="str">
        <v>Utb. 2000023 Vippsnr 126635</v>
      </c>
    </row>
    <row r="231" spans="1:5" x14ac:dyDescent="0.35">
      <c r="A231" t="str">
        <v>13.05.2026</v>
      </c>
      <c r="B231">
        <v>360.54</v>
      </c>
      <c r="C231" t="str">
        <v>Drottningborgrussen</v>
      </c>
      <c r="D231">
        <v>280024068</v>
      </c>
      <c r="E231" t="str">
        <v>Utb. 2000197 Vippsnr 126635</v>
      </c>
    </row>
    <row r="232" spans="1:5" x14ac:dyDescent="0.35">
      <c r="A232" t="str">
        <v>13.05.2026</v>
      </c>
      <c r="B232">
        <v>603.22</v>
      </c>
      <c r="C232" t="str">
        <v>Drottningborgrussen</v>
      </c>
      <c r="D232">
        <v>280648912</v>
      </c>
      <c r="E232" t="str">
        <v>Utb. 2000200 Vippsnr 126635</v>
      </c>
    </row>
    <row r="233" spans="1:5" x14ac:dyDescent="0.35">
      <c r="A233" t="str">
        <v>13.05.2026</v>
      </c>
      <c r="B233">
        <v>888.15</v>
      </c>
      <c r="C233" t="str">
        <v>Drottningborgrussen</v>
      </c>
      <c r="D233">
        <v>280000045</v>
      </c>
      <c r="E233" t="str">
        <v>Utb. 2000198 Vippsnr 126635</v>
      </c>
    </row>
    <row r="234" spans="1:5" x14ac:dyDescent="0.35">
      <c r="A234" t="str">
        <v>13.04.2026</v>
      </c>
      <c r="B234">
        <v>851.75</v>
      </c>
      <c r="C234" t="str">
        <v>Drottningborgrussen</v>
      </c>
      <c r="D234">
        <v>263282298</v>
      </c>
      <c r="E234" t="str">
        <v>Utb. 2000168 Vippsnr 126635</v>
      </c>
    </row>
    <row r="235" spans="1:5" x14ac:dyDescent="0.35">
      <c r="A235" t="str">
        <v>13.03.2026</v>
      </c>
      <c r="B235">
        <v>1066.92</v>
      </c>
      <c r="C235" t="str">
        <v>Drottningborgrussen</v>
      </c>
      <c r="D235">
        <v>1340307</v>
      </c>
      <c r="E235" t="str">
        <v>Utb. 2000146 Vippsnr 126635</v>
      </c>
    </row>
    <row r="236" spans="1:5" x14ac:dyDescent="0.35">
      <c r="A236" t="str">
        <v>13.02.2026</v>
      </c>
      <c r="B236">
        <v>2516</v>
      </c>
      <c r="C236" t="str">
        <v>Drottningborgrussen</v>
      </c>
      <c r="D236">
        <v>168005</v>
      </c>
      <c r="E236" t="str">
        <v>Utb. 2000125 Vippsnr 126635</v>
      </c>
    </row>
    <row r="237" spans="1:5" x14ac:dyDescent="0.35">
      <c r="A237" t="str">
        <v>13.01.2026</v>
      </c>
      <c r="B237">
        <v>1259.54</v>
      </c>
      <c r="C237" t="str">
        <v>Drottningborgrussen</v>
      </c>
      <c r="D237">
        <v>337285</v>
      </c>
      <c r="E237" t="str">
        <v>Utb. 2000093 Vippsnr 126635</v>
      </c>
    </row>
    <row r="238" spans="1:5" x14ac:dyDescent="0.35">
      <c r="A238" t="str">
        <v>13.01.2026</v>
      </c>
      <c r="B238">
        <v>215.16</v>
      </c>
      <c r="C238" t="str">
        <v>Drottningborgrussen</v>
      </c>
      <c r="D238">
        <v>337317</v>
      </c>
      <c r="E238" t="str">
        <v>Utb. 2000094 Vippsnr 126635</v>
      </c>
    </row>
    <row r="239" spans="1:5" x14ac:dyDescent="0.35">
      <c r="A239" t="str">
        <v>13.01.2026</v>
      </c>
      <c r="B239">
        <v>2081.8000000000002</v>
      </c>
      <c r="C239" t="str">
        <v>Drottningborgrussen</v>
      </c>
      <c r="D239">
        <v>337316</v>
      </c>
      <c r="E239" t="str">
        <v>Utb. 2000092 Vippsnr 126635</v>
      </c>
    </row>
    <row r="240" spans="1:5" x14ac:dyDescent="0.35">
      <c r="A240" t="str">
        <v>12.12.2025</v>
      </c>
      <c r="B240">
        <v>2713.45</v>
      </c>
      <c r="C240" t="str">
        <v>Drottningborgrussen</v>
      </c>
      <c r="D240">
        <v>463713</v>
      </c>
      <c r="E240" t="str">
        <v>Utb. 2000078 Vippsnr 126635</v>
      </c>
    </row>
    <row r="241" spans="1:5" x14ac:dyDescent="0.35">
      <c r="A241" t="str">
        <v>12.09.2025</v>
      </c>
      <c r="B241">
        <v>3372.18</v>
      </c>
      <c r="C241" t="str">
        <v>Drottningborgrussen</v>
      </c>
      <c r="D241">
        <v>990313</v>
      </c>
      <c r="E241" t="str">
        <v>Utb. 2000002 Vippsnr 126635</v>
      </c>
    </row>
    <row r="242" spans="1:5" x14ac:dyDescent="0.35">
      <c r="A242" t="str">
        <v>12.05.2026</v>
      </c>
      <c r="B242">
        <v>210.23</v>
      </c>
      <c r="C242" t="str">
        <v>Drottningborgrussen</v>
      </c>
      <c r="D242">
        <v>280007453</v>
      </c>
      <c r="E242" t="str">
        <v>Utb. 2000199 Vippsnr 126635</v>
      </c>
    </row>
    <row r="243" spans="1:5" x14ac:dyDescent="0.35">
      <c r="A243" t="str">
        <v>12.03.2026</v>
      </c>
      <c r="B243">
        <v>1857.81</v>
      </c>
      <c r="C243" t="str">
        <v>Drottningborgrussen</v>
      </c>
      <c r="D243">
        <v>1304718</v>
      </c>
      <c r="E243" t="str">
        <v>Utb. 2000145 Vippsnr 126635</v>
      </c>
    </row>
    <row r="244" spans="1:5" x14ac:dyDescent="0.35">
      <c r="A244" t="str">
        <v>12.02.2026</v>
      </c>
      <c r="B244">
        <v>1679.97</v>
      </c>
      <c r="C244" t="str">
        <v>Drottningborgrussen</v>
      </c>
      <c r="D244">
        <v>101588</v>
      </c>
      <c r="E244" t="str">
        <v>Utb. 2000124 Vippsnr 126635</v>
      </c>
    </row>
    <row r="245" spans="1:5" x14ac:dyDescent="0.35">
      <c r="A245" t="str">
        <v>12.01.2026</v>
      </c>
      <c r="B245">
        <v>993.26</v>
      </c>
      <c r="C245" t="str">
        <v>Drottningborgrussen</v>
      </c>
      <c r="D245">
        <v>270439</v>
      </c>
      <c r="E245" t="str">
        <v>Utb. 2000091 Vippsnr 126635</v>
      </c>
    </row>
    <row r="246" spans="1:5" x14ac:dyDescent="0.35">
      <c r="A246" t="str">
        <v>11.12.2025</v>
      </c>
      <c r="B246">
        <v>2565.13</v>
      </c>
      <c r="C246" t="str">
        <v>Drottningborgrussen</v>
      </c>
      <c r="D246">
        <v>401962</v>
      </c>
      <c r="E246" t="str">
        <v>Utb. 2000077 Vippsnr 126635</v>
      </c>
    </row>
    <row r="247" spans="1:5" x14ac:dyDescent="0.35">
      <c r="A247" t="str">
        <v>11.11.2025</v>
      </c>
      <c r="B247">
        <v>542.30999999999995</v>
      </c>
      <c r="C247" t="str">
        <v>Drottningborgrussen</v>
      </c>
      <c r="D247">
        <v>280413</v>
      </c>
      <c r="E247" t="str">
        <v>Utb. 2000053 Vippsnr 126635</v>
      </c>
    </row>
    <row r="248" spans="1:5" x14ac:dyDescent="0.35">
      <c r="A248" t="str">
        <v>11.11.2025</v>
      </c>
      <c r="B248">
        <v>2393.23</v>
      </c>
      <c r="C248" t="str">
        <v>Drottningborgrussen</v>
      </c>
      <c r="D248">
        <v>280431</v>
      </c>
      <c r="E248" t="str">
        <v>Utb. 2000052 Vippsnr 126635</v>
      </c>
    </row>
    <row r="249" spans="1:5" x14ac:dyDescent="0.35">
      <c r="A249" t="str">
        <v>11.09.2025</v>
      </c>
      <c r="B249">
        <v>760.45</v>
      </c>
      <c r="C249" t="str">
        <v>Drottningborgrussen</v>
      </c>
      <c r="D249">
        <v>911913</v>
      </c>
      <c r="E249" t="str">
        <v>Utb. 2001590 Vippsnr 970538</v>
      </c>
    </row>
    <row r="250" spans="1:5" x14ac:dyDescent="0.35">
      <c r="A250" t="str">
        <v>11.09.2025</v>
      </c>
      <c r="B250">
        <v>403.68</v>
      </c>
      <c r="C250" t="str">
        <v>Drottningborgrussen</v>
      </c>
      <c r="D250">
        <v>911913</v>
      </c>
      <c r="E250" t="str">
        <v>Utb. 2000001 Vippsnr 126635</v>
      </c>
    </row>
    <row r="251" spans="1:5" x14ac:dyDescent="0.35">
      <c r="A251" t="str">
        <v>11.05.2026</v>
      </c>
      <c r="B251">
        <v>29.47</v>
      </c>
      <c r="C251" t="str">
        <v>Drottningborgrussen</v>
      </c>
      <c r="D251">
        <v>278490307</v>
      </c>
      <c r="E251" t="str">
        <v>Utb. 2000196 Vippsnr 126635</v>
      </c>
    </row>
    <row r="252" spans="1:5" x14ac:dyDescent="0.35">
      <c r="A252" t="str">
        <v>11.03.2026</v>
      </c>
      <c r="B252">
        <v>1804.69</v>
      </c>
      <c r="C252" t="str">
        <v>Drottningborgrussen</v>
      </c>
      <c r="D252">
        <v>1274525</v>
      </c>
      <c r="E252" t="str">
        <v>Utb. 2000144 Vippsnr 126635</v>
      </c>
    </row>
    <row r="253" spans="1:5" x14ac:dyDescent="0.35">
      <c r="A253" t="str">
        <v>11.02.2026</v>
      </c>
      <c r="B253">
        <v>2599.4899999999998</v>
      </c>
      <c r="C253" t="str">
        <v>Drottningborgrussen</v>
      </c>
      <c r="D253">
        <v>1554642</v>
      </c>
      <c r="E253" t="str">
        <v>Utb. 2000123 Vippsnr 126635</v>
      </c>
    </row>
    <row r="254" spans="1:5" x14ac:dyDescent="0.35">
      <c r="A254" t="str">
        <v>10.12.2025</v>
      </c>
      <c r="B254">
        <v>1667.26</v>
      </c>
      <c r="C254" t="str">
        <v>Drottningborgrussen</v>
      </c>
      <c r="D254">
        <v>336283</v>
      </c>
      <c r="E254" t="str">
        <v>Utb. 2000076 Vippsnr 126635</v>
      </c>
    </row>
    <row r="255" spans="1:5" x14ac:dyDescent="0.35">
      <c r="A255" t="str">
        <v>10.11.2025</v>
      </c>
      <c r="B255">
        <v>1567.96</v>
      </c>
      <c r="C255" t="str">
        <v>Drottningborgrussen</v>
      </c>
      <c r="D255">
        <v>189244</v>
      </c>
      <c r="E255" t="str">
        <v>Utb. 2000051 Vippsnr 126635</v>
      </c>
    </row>
    <row r="256" spans="1:5" x14ac:dyDescent="0.35">
      <c r="A256" t="str">
        <v>10.10.2025</v>
      </c>
      <c r="B256">
        <v>2038.63</v>
      </c>
      <c r="C256" t="str">
        <v>Drottningborgrussen</v>
      </c>
      <c r="D256">
        <v>1363385</v>
      </c>
      <c r="E256" t="str">
        <v>Utb. 2000022 Vippsnr 126635</v>
      </c>
    </row>
    <row r="257" spans="1:5" x14ac:dyDescent="0.35">
      <c r="A257" t="str">
        <v>10.09.2025</v>
      </c>
      <c r="B257">
        <v>2765.61</v>
      </c>
      <c r="C257" t="str">
        <v>Drottningborgrussen</v>
      </c>
      <c r="D257">
        <v>708562</v>
      </c>
      <c r="E257" t="str">
        <v>Utb. 2001586 Vippsnr 126635</v>
      </c>
    </row>
    <row r="258" spans="1:5" x14ac:dyDescent="0.35">
      <c r="A258" t="str">
        <v>10.09.2025</v>
      </c>
      <c r="B258">
        <v>1133.72</v>
      </c>
      <c r="C258" t="str">
        <v>Drottningborgrussen</v>
      </c>
      <c r="D258">
        <v>804173</v>
      </c>
      <c r="E258" t="str">
        <v>Utb. 2001589 Vippsnr 126635</v>
      </c>
    </row>
    <row r="259" spans="1:5" x14ac:dyDescent="0.35">
      <c r="A259" t="str">
        <v>10.09.2025</v>
      </c>
      <c r="B259">
        <v>39.299999999999997</v>
      </c>
      <c r="C259" t="str">
        <v>Drottningborgrussen</v>
      </c>
      <c r="D259">
        <v>708536</v>
      </c>
      <c r="E259" t="str">
        <v>Utb. 2001587 Vippsnr 126635</v>
      </c>
    </row>
    <row r="260" spans="1:5" x14ac:dyDescent="0.35">
      <c r="A260" t="str">
        <v>10.09.2025</v>
      </c>
      <c r="B260">
        <v>410.67</v>
      </c>
      <c r="C260" t="str">
        <v>Drottningborgrussen</v>
      </c>
      <c r="D260">
        <v>708536</v>
      </c>
      <c r="E260" t="str">
        <v>Utb. 2001588 Vippsnr 126635</v>
      </c>
    </row>
    <row r="261" spans="1:5" x14ac:dyDescent="0.35">
      <c r="A261" t="str">
        <v>10.04.2026</v>
      </c>
      <c r="B261">
        <v>1262.4100000000001</v>
      </c>
      <c r="C261" t="str">
        <v>Drottningborgrussen</v>
      </c>
      <c r="D261">
        <v>262602164</v>
      </c>
      <c r="E261" t="str">
        <v>Utb. 2000167 Vippsnr 126635</v>
      </c>
    </row>
    <row r="262" spans="1:5" x14ac:dyDescent="0.35">
      <c r="A262" t="str">
        <v>10.03.2026</v>
      </c>
      <c r="B262">
        <v>115.93</v>
      </c>
      <c r="C262" t="str">
        <v>Drottningborgrussen</v>
      </c>
      <c r="D262">
        <v>1241682</v>
      </c>
      <c r="E262" t="str">
        <v>Utb. 2000142 Vippsnr 126635</v>
      </c>
    </row>
    <row r="263" spans="1:5" x14ac:dyDescent="0.35">
      <c r="A263" t="str">
        <v>10.03.2026</v>
      </c>
      <c r="B263">
        <v>565.88</v>
      </c>
      <c r="C263" t="str">
        <v>Drottningborgrussen</v>
      </c>
      <c r="D263">
        <v>1241679</v>
      </c>
      <c r="E263" t="str">
        <v>Utb. 2000143 Vippsnr 126635</v>
      </c>
    </row>
    <row r="264" spans="1:5" x14ac:dyDescent="0.35">
      <c r="A264" t="str">
        <v>10.03.2026</v>
      </c>
      <c r="B264">
        <v>1691.75</v>
      </c>
      <c r="C264" t="str">
        <v>Drottningborgrussen</v>
      </c>
      <c r="D264">
        <v>1241634</v>
      </c>
      <c r="E264" t="str">
        <v>Utb. 2000141 Vippsnr 126635</v>
      </c>
    </row>
    <row r="265" spans="1:5" x14ac:dyDescent="0.35">
      <c r="A265" t="str">
        <v>10.02.2026</v>
      </c>
      <c r="B265">
        <v>4184.22</v>
      </c>
      <c r="C265" t="str">
        <v>Drottningborgrussen</v>
      </c>
      <c r="D265">
        <v>1496169</v>
      </c>
      <c r="E265" t="str">
        <v>Utb. 2000120 Vippsnr 126635</v>
      </c>
    </row>
    <row r="266" spans="1:5" x14ac:dyDescent="0.35">
      <c r="A266" t="str">
        <v>10.02.2026</v>
      </c>
      <c r="B266">
        <v>532.47</v>
      </c>
      <c r="C266" t="str">
        <v>Drottningborgrussen</v>
      </c>
      <c r="D266">
        <v>1496168</v>
      </c>
      <c r="E266" t="str">
        <v>Utb. 2000122 Vippsnr 126635</v>
      </c>
    </row>
    <row r="267" spans="1:5" x14ac:dyDescent="0.35">
      <c r="A267" t="str">
        <v>10.02.2026</v>
      </c>
      <c r="B267">
        <v>266.24</v>
      </c>
      <c r="C267" t="str">
        <v>Drottningborgrussen</v>
      </c>
      <c r="D267">
        <v>1496171</v>
      </c>
      <c r="E267" t="str">
        <v>Utb. 2000121 Vippsnr 126635</v>
      </c>
    </row>
    <row r="268" spans="1:5" x14ac:dyDescent="0.35">
      <c r="A268" t="str">
        <v>09.12.2025</v>
      </c>
      <c r="B268">
        <v>2294.0500000000002</v>
      </c>
      <c r="C268" t="str">
        <v>Drottningborgrussen</v>
      </c>
      <c r="D268">
        <v>258164</v>
      </c>
      <c r="E268" t="str">
        <v>Utb. 2000073 Vippsnr 126635</v>
      </c>
    </row>
    <row r="269" spans="1:5" x14ac:dyDescent="0.35">
      <c r="A269" t="str">
        <v>09.12.2025</v>
      </c>
      <c r="B269">
        <v>1107.27</v>
      </c>
      <c r="C269" t="str">
        <v>Drottningborgrussen</v>
      </c>
      <c r="D269">
        <v>258170</v>
      </c>
      <c r="E269" t="str">
        <v>Utb. 2000074 Vippsnr 126635</v>
      </c>
    </row>
    <row r="270" spans="1:5" x14ac:dyDescent="0.35">
      <c r="A270" t="str">
        <v>09.12.2025</v>
      </c>
      <c r="B270">
        <v>532.5</v>
      </c>
      <c r="C270" t="str">
        <v>Drottningborgrussen</v>
      </c>
      <c r="D270">
        <v>258137</v>
      </c>
      <c r="E270" t="str">
        <v>Utb. 2000075 Vippsnr 126635</v>
      </c>
    </row>
    <row r="271" spans="1:5" x14ac:dyDescent="0.35">
      <c r="A271" t="str">
        <v>09.10.2025</v>
      </c>
      <c r="B271">
        <v>1481.51</v>
      </c>
      <c r="C271" t="str">
        <v>Drottningborgrussen</v>
      </c>
      <c r="D271">
        <v>1294628</v>
      </c>
      <c r="E271" t="str">
        <v>Utb. 2000021 Vippsnr 126635</v>
      </c>
    </row>
    <row r="272" spans="1:5" x14ac:dyDescent="0.35">
      <c r="A272" t="str">
        <v>09.04.2026</v>
      </c>
      <c r="B272">
        <v>174.88</v>
      </c>
      <c r="C272" t="str">
        <v>Drottningborgrussen</v>
      </c>
      <c r="D272">
        <v>260221621</v>
      </c>
      <c r="E272" t="str">
        <v>Utb. 2000166 Vippsnr 126635</v>
      </c>
    </row>
    <row r="273" spans="1:5" x14ac:dyDescent="0.35">
      <c r="A273" t="str">
        <v>09.03.2026</v>
      </c>
      <c r="B273">
        <v>852.72</v>
      </c>
      <c r="C273" t="str">
        <v>Drottningborgrussen</v>
      </c>
      <c r="D273">
        <v>1205663</v>
      </c>
      <c r="E273" t="str">
        <v>Utb. 2000140 Vippsnr 126635</v>
      </c>
    </row>
    <row r="274" spans="1:5" x14ac:dyDescent="0.35">
      <c r="A274" t="str">
        <v>09.02.2026</v>
      </c>
      <c r="B274">
        <v>652.36</v>
      </c>
      <c r="C274" t="str">
        <v>Drottningborgrussen</v>
      </c>
      <c r="D274">
        <v>1438479</v>
      </c>
      <c r="E274" t="str">
        <v>Utb. 2000119 Vippsnr 126635</v>
      </c>
    </row>
    <row r="275" spans="1:5" x14ac:dyDescent="0.35">
      <c r="A275" t="str">
        <v>09.01.2026</v>
      </c>
      <c r="B275">
        <v>1545.38</v>
      </c>
      <c r="C275" t="str">
        <v>Drottningborgrussen</v>
      </c>
      <c r="D275">
        <v>132539</v>
      </c>
      <c r="E275" t="str">
        <v>Utb. 2000090 Vippsnr 126635</v>
      </c>
    </row>
    <row r="276" spans="1:5" x14ac:dyDescent="0.35">
      <c r="A276" t="str">
        <v>08.12.2025</v>
      </c>
      <c r="B276">
        <v>801.7</v>
      </c>
      <c r="C276" t="str">
        <v>Drottningborgrussen</v>
      </c>
      <c r="D276">
        <v>188529</v>
      </c>
      <c r="E276" t="str">
        <v>Utb. 2000072 Vippsnr 126635</v>
      </c>
    </row>
    <row r="277" spans="1:5" x14ac:dyDescent="0.35">
      <c r="A277" t="str">
        <v>08.10.2025</v>
      </c>
      <c r="B277">
        <v>2410.92</v>
      </c>
      <c r="C277" t="str">
        <v>Drottningborgrussen</v>
      </c>
      <c r="D277">
        <v>1173632</v>
      </c>
      <c r="E277" t="str">
        <v>Utb. 2000020 Vippsnr 126635</v>
      </c>
    </row>
    <row r="278" spans="1:5" x14ac:dyDescent="0.35">
      <c r="A278" t="str">
        <v>08.09.2025</v>
      </c>
      <c r="B278">
        <v>824.3</v>
      </c>
      <c r="C278" t="str">
        <v>Drottningborgrussen</v>
      </c>
      <c r="D278">
        <v>586845</v>
      </c>
      <c r="E278" t="str">
        <v>Utb. 2001585 Vippsnr 126635</v>
      </c>
    </row>
    <row r="279" spans="1:5" x14ac:dyDescent="0.35">
      <c r="A279" t="str">
        <v>08.05.2026</v>
      </c>
      <c r="B279">
        <v>541.30999999999995</v>
      </c>
      <c r="C279" t="str">
        <v>Drottningborgrussen</v>
      </c>
      <c r="D279">
        <v>277721488</v>
      </c>
      <c r="E279" t="str">
        <v>Utb. 2000195 Vippsnr 126635</v>
      </c>
    </row>
    <row r="280" spans="1:5" x14ac:dyDescent="0.35">
      <c r="A280" t="str">
        <v>08.01.2026</v>
      </c>
      <c r="B280">
        <v>1336.15</v>
      </c>
      <c r="C280" t="str">
        <v>Drottningborgrussen</v>
      </c>
      <c r="D280">
        <v>1028948</v>
      </c>
      <c r="E280" t="str">
        <v>Utb. 2000089 Vippsnr 126635</v>
      </c>
    </row>
    <row r="281" spans="1:5" x14ac:dyDescent="0.35">
      <c r="A281" t="str">
        <v>07.11.2025</v>
      </c>
      <c r="B281">
        <v>1570.94</v>
      </c>
      <c r="C281" t="str">
        <v>Drottningborgrussen</v>
      </c>
      <c r="D281">
        <v>125503</v>
      </c>
      <c r="E281" t="str">
        <v>Utb. 2000050 Vippsnr 126635</v>
      </c>
    </row>
    <row r="282" spans="1:5" x14ac:dyDescent="0.35">
      <c r="A282" t="str">
        <v>07.10.2025</v>
      </c>
      <c r="B282">
        <v>69.760000000000005</v>
      </c>
      <c r="C282" t="str">
        <v>Drottningborgrussen</v>
      </c>
      <c r="D282">
        <v>1091666</v>
      </c>
      <c r="E282" t="str">
        <v>Utb. 2000019 Vippsnr 126635</v>
      </c>
    </row>
    <row r="283" spans="1:5" x14ac:dyDescent="0.35">
      <c r="A283" t="str">
        <v>07.05.2026</v>
      </c>
      <c r="B283">
        <v>164.06</v>
      </c>
      <c r="C283" t="str">
        <v>Drottningborgrussen</v>
      </c>
      <c r="D283">
        <v>276834436</v>
      </c>
      <c r="E283" t="str">
        <v>Utb. 2000194 Vippsnr 126635</v>
      </c>
    </row>
    <row r="284" spans="1:5" x14ac:dyDescent="0.35">
      <c r="A284" t="str">
        <v>07.04.2026</v>
      </c>
      <c r="B284">
        <v>34.39</v>
      </c>
      <c r="C284" t="str">
        <v>Drottningborgrussen</v>
      </c>
      <c r="D284">
        <v>258542325</v>
      </c>
      <c r="E284" t="str">
        <v>Utb. 2000165 Vippsnr 126635</v>
      </c>
    </row>
    <row r="285" spans="1:5" x14ac:dyDescent="0.35">
      <c r="A285" t="str">
        <v>07.01.2026</v>
      </c>
      <c r="B285">
        <v>27.51</v>
      </c>
      <c r="C285" t="str">
        <v>Drottningborgrussen</v>
      </c>
      <c r="D285">
        <v>816250</v>
      </c>
      <c r="E285" t="str">
        <v>Utb. 2000088 Vippsnr 126635</v>
      </c>
    </row>
    <row r="286" spans="1:5" x14ac:dyDescent="0.35">
      <c r="A286" t="str">
        <v>06.11.2025</v>
      </c>
      <c r="B286">
        <v>14.74</v>
      </c>
      <c r="C286" t="str">
        <v>Drottningborgrussen</v>
      </c>
      <c r="D286">
        <v>1535172</v>
      </c>
      <c r="E286" t="str">
        <v>Utb. 2001593 Vippsnr 970538</v>
      </c>
    </row>
    <row r="287" spans="1:5" x14ac:dyDescent="0.35">
      <c r="A287" t="str">
        <v>06.11.2025</v>
      </c>
      <c r="B287">
        <v>2232.09</v>
      </c>
      <c r="C287" t="str">
        <v>Drottningborgrussen</v>
      </c>
      <c r="D287">
        <v>1535103</v>
      </c>
      <c r="E287" t="str">
        <v>Utb. 2000049 Vippsnr 126635</v>
      </c>
    </row>
    <row r="288" spans="1:5" x14ac:dyDescent="0.35">
      <c r="A288" t="str">
        <v>06.05.2026</v>
      </c>
      <c r="B288">
        <v>593.39</v>
      </c>
      <c r="C288" t="str">
        <v>Drottningborgrussen</v>
      </c>
      <c r="D288">
        <v>274665826</v>
      </c>
      <c r="E288" t="str">
        <v>Utb. 2000193 Vippsnr 126635</v>
      </c>
    </row>
    <row r="289" spans="1:5" x14ac:dyDescent="0.35">
      <c r="A289" t="str">
        <v>06.03.2026</v>
      </c>
      <c r="B289">
        <v>1571.86</v>
      </c>
      <c r="C289" t="str">
        <v>Drottningborgrussen</v>
      </c>
      <c r="D289">
        <v>1165051</v>
      </c>
      <c r="E289" t="str">
        <v>Utb. 2000139 Vippsnr 126635</v>
      </c>
    </row>
    <row r="290" spans="1:5" x14ac:dyDescent="0.35">
      <c r="A290" t="str">
        <v>06.02.2026</v>
      </c>
      <c r="B290">
        <v>1371.51</v>
      </c>
      <c r="C290" t="str">
        <v>Drottningborgrussen</v>
      </c>
      <c r="D290">
        <v>1390179</v>
      </c>
      <c r="E290" t="str">
        <v>Utb. 2000118 Vippsnr 126635</v>
      </c>
    </row>
    <row r="291" spans="1:5" x14ac:dyDescent="0.35">
      <c r="A291" t="str">
        <v>05.12.2025</v>
      </c>
      <c r="B291">
        <v>1548.39</v>
      </c>
      <c r="C291" t="str">
        <v>Drottningborgrussen</v>
      </c>
      <c r="D291">
        <v>131876</v>
      </c>
      <c r="E291" t="str">
        <v>Utb. 2000071 Vippsnr 126635</v>
      </c>
    </row>
    <row r="292" spans="1:5" x14ac:dyDescent="0.35">
      <c r="A292" t="str">
        <v>05.11.2025</v>
      </c>
      <c r="B292">
        <v>2257.67</v>
      </c>
      <c r="C292" t="str">
        <v>Drottningborgrussen</v>
      </c>
      <c r="D292">
        <v>1464766</v>
      </c>
      <c r="E292" t="str">
        <v>Utb. 2000048 Vippsnr 126635</v>
      </c>
    </row>
    <row r="293" spans="1:5" x14ac:dyDescent="0.35">
      <c r="A293" t="str">
        <v>05.11.2025</v>
      </c>
      <c r="B293">
        <v>58.95</v>
      </c>
      <c r="C293" t="str">
        <v>Drottningborgrussen</v>
      </c>
      <c r="D293">
        <v>1464690</v>
      </c>
      <c r="E293" t="str">
        <v>Utb. 2001592 Vippsnr 970538</v>
      </c>
    </row>
    <row r="294" spans="1:5" x14ac:dyDescent="0.35">
      <c r="A294" t="str">
        <v>05.09.2025</v>
      </c>
      <c r="B294">
        <v>1599.42</v>
      </c>
      <c r="C294" t="str">
        <v>Drottningborgrussen</v>
      </c>
      <c r="D294">
        <v>500599</v>
      </c>
      <c r="E294" t="str">
        <v>Utb. 2001584 Vippsnr 126635</v>
      </c>
    </row>
    <row r="295" spans="1:5" x14ac:dyDescent="0.35">
      <c r="A295" t="str">
        <v>05.06.2026</v>
      </c>
      <c r="B295">
        <v>44.22</v>
      </c>
      <c r="C295" t="str">
        <v>Drottningborgrussen</v>
      </c>
      <c r="D295">
        <v>291870079</v>
      </c>
      <c r="E295" t="str">
        <v>Utb. 2000223 Vippsnr 126635</v>
      </c>
    </row>
    <row r="296" spans="1:5" x14ac:dyDescent="0.35">
      <c r="A296" t="str">
        <v>05.05.2026</v>
      </c>
      <c r="B296">
        <v>294.74</v>
      </c>
      <c r="C296" t="str">
        <v>Drottningborgrussen</v>
      </c>
      <c r="D296">
        <v>274168785</v>
      </c>
      <c r="E296" t="str">
        <v>Utb. 2000192 Vippsnr 126635</v>
      </c>
    </row>
    <row r="297" spans="1:5" x14ac:dyDescent="0.35">
      <c r="A297" t="str">
        <v>05.05.2026</v>
      </c>
      <c r="B297">
        <v>201.4</v>
      </c>
      <c r="C297" t="str">
        <v>Drottningborgrussen</v>
      </c>
      <c r="D297">
        <v>274170688</v>
      </c>
      <c r="E297" t="str">
        <v>Utb. 2000189 Vippsnr 126635</v>
      </c>
    </row>
    <row r="298" spans="1:5" x14ac:dyDescent="0.35">
      <c r="A298" t="str">
        <v>05.05.2026</v>
      </c>
      <c r="B298">
        <v>106.1</v>
      </c>
      <c r="C298" t="str">
        <v>Drottningborgrussen</v>
      </c>
      <c r="D298">
        <v>274131757</v>
      </c>
      <c r="E298" t="str">
        <v>Utb. 2000191 Vippsnr 126635</v>
      </c>
    </row>
    <row r="299" spans="1:5" x14ac:dyDescent="0.35">
      <c r="A299" t="str">
        <v>05.05.2026</v>
      </c>
      <c r="B299">
        <v>37.33</v>
      </c>
      <c r="C299" t="str">
        <v>Drottningborgrussen</v>
      </c>
      <c r="D299">
        <v>274105724</v>
      </c>
      <c r="E299" t="str">
        <v>Utb. 2000190 Vippsnr 126635</v>
      </c>
    </row>
    <row r="300" spans="1:5" x14ac:dyDescent="0.35">
      <c r="A300" t="str">
        <v>05.03.2026</v>
      </c>
      <c r="B300">
        <v>1522.76</v>
      </c>
      <c r="C300" t="str">
        <v>Drottningborgrussen</v>
      </c>
      <c r="D300">
        <v>1072563</v>
      </c>
      <c r="E300" t="str">
        <v>Utb. 2000138 Vippsnr 126635</v>
      </c>
    </row>
    <row r="301" spans="1:5" x14ac:dyDescent="0.35">
      <c r="A301" t="str">
        <v>05.02.2026</v>
      </c>
      <c r="B301">
        <v>1519.79</v>
      </c>
      <c r="C301" t="str">
        <v>Drottningborgrussen</v>
      </c>
      <c r="D301">
        <v>1331678</v>
      </c>
      <c r="E301" t="str">
        <v>Utb. 2000117 Vippsnr 126635</v>
      </c>
    </row>
    <row r="302" spans="1:5" x14ac:dyDescent="0.35">
      <c r="A302" t="str">
        <v>04.12.2025</v>
      </c>
      <c r="B302">
        <v>2000.3</v>
      </c>
      <c r="C302" t="str">
        <v>Drottningborgrussen</v>
      </c>
      <c r="D302">
        <v>1569757</v>
      </c>
      <c r="E302" t="str">
        <v>Utb. 2000070 Vippsnr 126635</v>
      </c>
    </row>
    <row r="303" spans="1:5" x14ac:dyDescent="0.35">
      <c r="A303" t="str">
        <v>04.12.2025</v>
      </c>
      <c r="B303">
        <v>2029.73</v>
      </c>
      <c r="C303" t="str">
        <v>Drottningborgrussen</v>
      </c>
      <c r="D303">
        <v>1504939</v>
      </c>
      <c r="E303" t="str">
        <v>Utb. 2000069 Vippsnr 126635</v>
      </c>
    </row>
    <row r="304" spans="1:5" x14ac:dyDescent="0.35">
      <c r="A304" t="str">
        <v>04.11.2025</v>
      </c>
      <c r="B304">
        <v>181.74</v>
      </c>
      <c r="C304" t="str">
        <v>Drottningborgrussen</v>
      </c>
      <c r="D304">
        <v>1382035</v>
      </c>
      <c r="E304" t="str">
        <v>Utb. 2000046 Vippsnr 126635</v>
      </c>
    </row>
    <row r="305" spans="1:5" x14ac:dyDescent="0.35">
      <c r="A305" t="str">
        <v>04.11.2025</v>
      </c>
      <c r="B305">
        <v>1795.89</v>
      </c>
      <c r="C305" t="str">
        <v>Drottningborgrussen</v>
      </c>
      <c r="D305">
        <v>1382088</v>
      </c>
      <c r="E305" t="str">
        <v>Utb. 2000045 Vippsnr 126635</v>
      </c>
    </row>
    <row r="306" spans="1:5" x14ac:dyDescent="0.35">
      <c r="A306" t="str">
        <v>04.11.2025</v>
      </c>
      <c r="B306">
        <v>131.63999999999999</v>
      </c>
      <c r="C306" t="str">
        <v>Drottningborgrussen</v>
      </c>
      <c r="D306">
        <v>1382083</v>
      </c>
      <c r="E306" t="str">
        <v>Utb. 2000047 Vippsnr 126635</v>
      </c>
    </row>
    <row r="307" spans="1:5" x14ac:dyDescent="0.35">
      <c r="A307" t="str">
        <v>04.11.2025</v>
      </c>
      <c r="B307">
        <v>186.67</v>
      </c>
      <c r="C307" t="str">
        <v>Drottningborgrussen</v>
      </c>
      <c r="D307">
        <v>1382035</v>
      </c>
      <c r="E307" t="str">
        <v>Utb. 2001591 Vippsnr 970538</v>
      </c>
    </row>
    <row r="308" spans="1:5" x14ac:dyDescent="0.35">
      <c r="A308" t="str">
        <v>04.09.2025</v>
      </c>
      <c r="B308">
        <v>1771.34</v>
      </c>
      <c r="C308" t="str">
        <v>Drottningborgrussen</v>
      </c>
      <c r="D308">
        <v>395079</v>
      </c>
      <c r="E308" t="str">
        <v>Utb. 2001583 Vippsnr 126635</v>
      </c>
    </row>
    <row r="309" spans="1:5" x14ac:dyDescent="0.35">
      <c r="A309" t="str">
        <v>04.06.2026</v>
      </c>
      <c r="B309">
        <v>336.01</v>
      </c>
      <c r="C309" t="str">
        <v>Drottningborgrussen</v>
      </c>
      <c r="D309">
        <v>291320297</v>
      </c>
      <c r="E309" t="str">
        <v>Utb. 2000222 Vippsnr 126635</v>
      </c>
    </row>
    <row r="310" spans="1:5" x14ac:dyDescent="0.35">
      <c r="A310" t="str">
        <v>04.05.2026</v>
      </c>
      <c r="B310">
        <v>578.66</v>
      </c>
      <c r="C310" t="str">
        <v>Drottningborgrussen</v>
      </c>
      <c r="D310">
        <v>273210518</v>
      </c>
      <c r="E310" t="str">
        <v>Utb. 2000188 Vippsnr 126635</v>
      </c>
    </row>
    <row r="311" spans="1:5" x14ac:dyDescent="0.35">
      <c r="A311" t="str">
        <v>04.03.2026</v>
      </c>
      <c r="B311">
        <v>2103.39</v>
      </c>
      <c r="C311" t="str">
        <v>Drottningborgrussen</v>
      </c>
      <c r="D311">
        <v>994317</v>
      </c>
      <c r="E311" t="str">
        <v>Utb. 2000137 Vippsnr 126635</v>
      </c>
    </row>
    <row r="312" spans="1:5" x14ac:dyDescent="0.35">
      <c r="A312" t="str">
        <v>04.02.2026</v>
      </c>
      <c r="B312">
        <v>1976.65</v>
      </c>
      <c r="C312" t="str">
        <v>Drottningborgrussen</v>
      </c>
      <c r="D312">
        <v>1287618</v>
      </c>
      <c r="E312" t="str">
        <v>Utb. 2000116 Vippsnr 126635</v>
      </c>
    </row>
    <row r="313" spans="1:5" x14ac:dyDescent="0.35">
      <c r="A313" t="str">
        <v>03.12.2025</v>
      </c>
      <c r="B313">
        <v>55.02</v>
      </c>
      <c r="C313" t="str">
        <v>Drottningborgrussen</v>
      </c>
      <c r="D313">
        <v>1490517</v>
      </c>
      <c r="E313" t="str">
        <v>Utb. 2000067 Vippsnr 126635</v>
      </c>
    </row>
    <row r="314" spans="1:5" x14ac:dyDescent="0.35">
      <c r="A314" t="str">
        <v>03.12.2025</v>
      </c>
      <c r="B314">
        <v>3906.27</v>
      </c>
      <c r="C314" t="str">
        <v>Drottningborgrussen</v>
      </c>
      <c r="D314">
        <v>1490526</v>
      </c>
      <c r="E314" t="str">
        <v>Utb. 2000066 Vippsnr 126635</v>
      </c>
    </row>
    <row r="315" spans="1:5" x14ac:dyDescent="0.35">
      <c r="A315" t="str">
        <v>03.12.2025</v>
      </c>
      <c r="B315">
        <v>881.25</v>
      </c>
      <c r="C315" t="str">
        <v>Drottningborgrussen</v>
      </c>
      <c r="D315">
        <v>1490319</v>
      </c>
      <c r="E315" t="str">
        <v>Utb. 2000068 Vippsnr 126635</v>
      </c>
    </row>
    <row r="316" spans="1:5" x14ac:dyDescent="0.35">
      <c r="A316" t="str">
        <v>03.11.2025</v>
      </c>
      <c r="B316">
        <v>728.98</v>
      </c>
      <c r="C316" t="str">
        <v>Drottningborgrussen</v>
      </c>
      <c r="D316">
        <v>1296222</v>
      </c>
      <c r="E316" t="str">
        <v>Utb. 2000044 Vippsnr 126635</v>
      </c>
    </row>
    <row r="317" spans="1:5" x14ac:dyDescent="0.35">
      <c r="A317" t="str">
        <v>03.09.2025</v>
      </c>
      <c r="B317">
        <v>1064.99</v>
      </c>
      <c r="C317" t="str">
        <v>Drottningborgrussen</v>
      </c>
      <c r="D317">
        <v>299282</v>
      </c>
      <c r="E317" t="str">
        <v>Utb. 2001582 Vippsnr 126635</v>
      </c>
    </row>
    <row r="318" spans="1:5" x14ac:dyDescent="0.35">
      <c r="A318" t="str">
        <v>03.06.2026</v>
      </c>
      <c r="B318">
        <v>30.46</v>
      </c>
      <c r="C318" t="str">
        <v>Drottningborgrussen</v>
      </c>
      <c r="D318">
        <v>290860218</v>
      </c>
      <c r="E318" t="str">
        <v>Utb. 2000221 Vippsnr 126635</v>
      </c>
    </row>
    <row r="319" spans="1:5" x14ac:dyDescent="0.35">
      <c r="A319" t="str">
        <v>03.03.2026</v>
      </c>
      <c r="B319">
        <v>14.74</v>
      </c>
      <c r="C319" t="str">
        <v>Drottningborgrussen</v>
      </c>
      <c r="D319">
        <v>944807</v>
      </c>
      <c r="E319" t="str">
        <v>Utb. 2000135 Vippsnr 126635</v>
      </c>
    </row>
    <row r="320" spans="1:5" x14ac:dyDescent="0.35">
      <c r="A320" t="str">
        <v>03.03.2026</v>
      </c>
      <c r="B320">
        <v>1254.56</v>
      </c>
      <c r="C320" t="str">
        <v>Drottningborgrussen</v>
      </c>
      <c r="D320">
        <v>944806</v>
      </c>
      <c r="E320" t="str">
        <v>Utb. 2000134 Vippsnr 126635</v>
      </c>
    </row>
    <row r="321" spans="1:5" x14ac:dyDescent="0.35">
      <c r="A321" t="str">
        <v>03.03.2026</v>
      </c>
      <c r="B321">
        <v>384.13</v>
      </c>
      <c r="C321" t="str">
        <v>Drottningborgrussen</v>
      </c>
      <c r="D321">
        <v>944802</v>
      </c>
      <c r="E321" t="str">
        <v>Utb. 2000136 Vippsnr 126635</v>
      </c>
    </row>
    <row r="322" spans="1:5" x14ac:dyDescent="0.35">
      <c r="A322" t="str">
        <v>03.02.2026</v>
      </c>
      <c r="B322">
        <v>413.61</v>
      </c>
      <c r="C322" t="str">
        <v>Drottningborgrussen</v>
      </c>
      <c r="D322">
        <v>1228119</v>
      </c>
      <c r="E322" t="str">
        <v>Utb. 2000114 Vippsnr 126635</v>
      </c>
    </row>
    <row r="323" spans="1:5" x14ac:dyDescent="0.35">
      <c r="A323" t="str">
        <v>03.02.2026</v>
      </c>
      <c r="B323">
        <v>146.38</v>
      </c>
      <c r="C323" t="str">
        <v>Drottningborgrussen</v>
      </c>
      <c r="D323">
        <v>1228114</v>
      </c>
      <c r="E323" t="str">
        <v>Utb. 2000115 Vippsnr 126635</v>
      </c>
    </row>
    <row r="324" spans="1:5" x14ac:dyDescent="0.35">
      <c r="A324" t="str">
        <v>03.02.2026</v>
      </c>
      <c r="B324">
        <v>1599.37</v>
      </c>
      <c r="C324" t="str">
        <v>Drottningborgrussen</v>
      </c>
      <c r="D324">
        <v>1228116</v>
      </c>
      <c r="E324" t="str">
        <v>Utb. 2000113 Vippsnr 126635</v>
      </c>
    </row>
    <row r="325" spans="1:5" x14ac:dyDescent="0.35">
      <c r="A325" t="str">
        <v>02.09.2025</v>
      </c>
      <c r="B325">
        <v>476.49</v>
      </c>
      <c r="C325" t="str">
        <v>Drottningborgrussen</v>
      </c>
      <c r="D325">
        <v>192717</v>
      </c>
      <c r="E325" t="str">
        <v>Utb. 2001581 Vippsnr 126635</v>
      </c>
    </row>
    <row r="326" spans="1:5" x14ac:dyDescent="0.35">
      <c r="A326" t="str">
        <v>02.09.2025</v>
      </c>
      <c r="B326">
        <v>2895.32</v>
      </c>
      <c r="C326" t="str">
        <v>Drottningborgrussen</v>
      </c>
      <c r="D326">
        <v>192654</v>
      </c>
      <c r="E326" t="str">
        <v>Utb. 2001579 Vippsnr 126635</v>
      </c>
    </row>
    <row r="327" spans="1:5" x14ac:dyDescent="0.35">
      <c r="A327" t="str">
        <v>02.09.2025</v>
      </c>
      <c r="B327">
        <v>329.13</v>
      </c>
      <c r="C327" t="str">
        <v>Drottningborgrussen</v>
      </c>
      <c r="D327">
        <v>192719</v>
      </c>
      <c r="E327" t="str">
        <v>Utb. 2001580 Vippsnr 126635</v>
      </c>
    </row>
    <row r="328" spans="1:5" x14ac:dyDescent="0.35">
      <c r="A328" t="str">
        <v>02.06.2026</v>
      </c>
      <c r="B328">
        <v>592.42999999999995</v>
      </c>
      <c r="C328" t="str">
        <v>Drottningborgrussen</v>
      </c>
      <c r="D328">
        <v>290353277</v>
      </c>
      <c r="E328" t="str">
        <v>Utb. 2000218 Vippsnr 126635</v>
      </c>
    </row>
    <row r="329" spans="1:5" x14ac:dyDescent="0.35">
      <c r="A329" t="str">
        <v>02.06.2026</v>
      </c>
      <c r="B329">
        <v>84.49</v>
      </c>
      <c r="C329" t="str">
        <v>Drottningborgrussen</v>
      </c>
      <c r="D329">
        <v>290329401</v>
      </c>
      <c r="E329" t="str">
        <v>Utb. 2000219 Vippsnr 126635</v>
      </c>
    </row>
    <row r="330" spans="1:5" x14ac:dyDescent="0.35">
      <c r="A330" t="str">
        <v>02.06.2026</v>
      </c>
      <c r="B330">
        <v>62.88</v>
      </c>
      <c r="C330" t="str">
        <v>Drottningborgrussen</v>
      </c>
      <c r="D330">
        <v>290306671</v>
      </c>
      <c r="E330" t="str">
        <v>Utb. 2000220 Vippsnr 126635</v>
      </c>
    </row>
    <row r="331" spans="1:5" x14ac:dyDescent="0.35">
      <c r="A331" t="str">
        <v>02.03.2026</v>
      </c>
      <c r="B331">
        <v>738.82</v>
      </c>
      <c r="C331" t="str">
        <v>Drottningborgrussen</v>
      </c>
      <c r="D331">
        <v>868695</v>
      </c>
      <c r="E331" t="str">
        <v>Utb. 2000133 Vippsnr 126635</v>
      </c>
    </row>
    <row r="332" spans="1:5" x14ac:dyDescent="0.35">
      <c r="A332" t="str">
        <v>02.02.2026</v>
      </c>
      <c r="B332">
        <v>789.84</v>
      </c>
      <c r="C332" t="str">
        <v>Drottningborgrussen</v>
      </c>
      <c r="D332">
        <v>1169011</v>
      </c>
      <c r="E332" t="str">
        <v>Utb. 2000112 Vippsnr 126635</v>
      </c>
    </row>
    <row r="333" spans="1:5" x14ac:dyDescent="0.35">
      <c r="A333" t="str">
        <v>01.12.2025</v>
      </c>
      <c r="B333">
        <v>1707.51</v>
      </c>
      <c r="C333" t="str">
        <v>Drottningborgrussen</v>
      </c>
      <c r="D333">
        <v>1340374</v>
      </c>
      <c r="E333" t="str">
        <v>Utb. 2000065 Vippsnr 126635</v>
      </c>
    </row>
    <row r="334" spans="1:5" x14ac:dyDescent="0.35">
      <c r="A334" t="str">
        <v>01.09.2025</v>
      </c>
      <c r="B334">
        <v>443.07</v>
      </c>
      <c r="C334" t="str">
        <v>Drottningborgrussen</v>
      </c>
      <c r="D334">
        <v>1544831</v>
      </c>
      <c r="E334" t="str">
        <v>Utb. 2001578 Vippsnr 126635</v>
      </c>
    </row>
    <row r="335" spans="1:5" x14ac:dyDescent="0.35">
      <c r="A335" t="str">
        <v>01.06.2026</v>
      </c>
      <c r="B335">
        <v>117.9</v>
      </c>
      <c r="C335" t="str">
        <v>Drottningborgrussen</v>
      </c>
      <c r="D335">
        <v>289403820</v>
      </c>
      <c r="E335" t="str">
        <v>Utb. 2000217 Vippsnr 126635</v>
      </c>
    </row>
    <row r="336" spans="1:5" x14ac:dyDescent="0.35">
      <c r="A336" t="str">
        <v>01.04.2026</v>
      </c>
      <c r="B336">
        <v>44.21</v>
      </c>
      <c r="C336" t="str">
        <v>Drottningborgrussen</v>
      </c>
      <c r="D336">
        <v>257402292</v>
      </c>
      <c r="E336" t="str">
        <v>Utb. 2000164 Vippsnr 126635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  <row r="1001" spans="1:5" x14ac:dyDescent="0.35">
      <c r="A1001">
        <v>0</v>
      </c>
      <c r="B1001">
        <v>0</v>
      </c>
      <c r="C1001">
        <v>0</v>
      </c>
      <c r="D1001">
        <v>0</v>
      </c>
      <c r="E1001">
        <v>0</v>
      </c>
    </row>
    <row r="1002" spans="1:5" x14ac:dyDescent="0.35">
      <c r="A1002">
        <v>0</v>
      </c>
      <c r="B1002">
        <v>0</v>
      </c>
      <c r="C1002">
        <v>0</v>
      </c>
      <c r="D1002">
        <v>0</v>
      </c>
      <c r="E1002">
        <v>0</v>
      </c>
    </row>
    <row r="1003" spans="1:5" x14ac:dyDescent="0.35">
      <c r="A1003">
        <v>0</v>
      </c>
      <c r="B1003">
        <v>0</v>
      </c>
      <c r="C1003">
        <v>0</v>
      </c>
      <c r="D1003">
        <v>0</v>
      </c>
      <c r="E1003">
        <v>0</v>
      </c>
    </row>
    <row r="1004" spans="1:5" x14ac:dyDescent="0.35">
      <c r="A1004">
        <v>0</v>
      </c>
      <c r="B1004">
        <v>0</v>
      </c>
      <c r="C1004">
        <v>0</v>
      </c>
      <c r="D1004">
        <v>0</v>
      </c>
      <c r="E1004">
        <v>0</v>
      </c>
    </row>
    <row r="1005" spans="1:5" x14ac:dyDescent="0.35">
      <c r="A1005">
        <v>0</v>
      </c>
      <c r="B1005">
        <v>0</v>
      </c>
      <c r="C1005">
        <v>0</v>
      </c>
      <c r="D1005">
        <v>0</v>
      </c>
      <c r="E1005">
        <v>0</v>
      </c>
    </row>
    <row r="1006" spans="1:5" x14ac:dyDescent="0.35">
      <c r="A1006">
        <v>0</v>
      </c>
      <c r="B1006">
        <v>0</v>
      </c>
      <c r="C1006">
        <v>0</v>
      </c>
      <c r="D1006">
        <v>0</v>
      </c>
      <c r="E1006">
        <v>0</v>
      </c>
    </row>
    <row r="1007" spans="1:5" x14ac:dyDescent="0.35">
      <c r="A1007">
        <v>0</v>
      </c>
      <c r="B1007">
        <v>0</v>
      </c>
      <c r="C1007">
        <v>0</v>
      </c>
      <c r="D1007">
        <v>0</v>
      </c>
      <c r="E1007">
        <v>0</v>
      </c>
    </row>
    <row r="1008" spans="1:5" x14ac:dyDescent="0.35">
      <c r="A1008">
        <v>0</v>
      </c>
      <c r="B1008">
        <v>0</v>
      </c>
      <c r="C1008">
        <v>0</v>
      </c>
      <c r="D1008">
        <v>0</v>
      </c>
      <c r="E1008">
        <v>0</v>
      </c>
    </row>
    <row r="1009" spans="1:5" x14ac:dyDescent="0.35">
      <c r="A1009">
        <v>0</v>
      </c>
      <c r="B1009">
        <v>0</v>
      </c>
      <c r="C1009">
        <v>0</v>
      </c>
      <c r="D1009">
        <v>0</v>
      </c>
      <c r="E1009">
        <v>0</v>
      </c>
    </row>
    <row r="1010" spans="1:5" x14ac:dyDescent="0.35">
      <c r="A1010">
        <v>0</v>
      </c>
      <c r="B1010">
        <v>0</v>
      </c>
      <c r="C1010">
        <v>0</v>
      </c>
      <c r="D1010">
        <v>0</v>
      </c>
      <c r="E1010">
        <v>0</v>
      </c>
    </row>
    <row r="1011" spans="1:5" x14ac:dyDescent="0.35">
      <c r="A1011">
        <v>0</v>
      </c>
      <c r="B1011">
        <v>0</v>
      </c>
      <c r="C1011">
        <v>0</v>
      </c>
      <c r="D1011">
        <v>0</v>
      </c>
      <c r="E1011">
        <v>0</v>
      </c>
    </row>
    <row r="1012" spans="1:5" x14ac:dyDescent="0.35">
      <c r="A1012">
        <v>0</v>
      </c>
      <c r="B1012">
        <v>0</v>
      </c>
      <c r="C1012">
        <v>0</v>
      </c>
      <c r="D1012">
        <v>0</v>
      </c>
      <c r="E1012">
        <v>0</v>
      </c>
    </row>
    <row r="1013" spans="1:5" x14ac:dyDescent="0.35">
      <c r="A1013">
        <v>0</v>
      </c>
      <c r="B1013">
        <v>0</v>
      </c>
      <c r="C1013">
        <v>0</v>
      </c>
      <c r="D1013">
        <v>0</v>
      </c>
      <c r="E1013">
        <v>0</v>
      </c>
    </row>
    <row r="1014" spans="1:5" x14ac:dyDescent="0.35">
      <c r="A1014">
        <v>0</v>
      </c>
      <c r="B1014">
        <v>0</v>
      </c>
      <c r="C1014">
        <v>0</v>
      </c>
      <c r="D1014">
        <v>0</v>
      </c>
      <c r="E1014">
        <v>0</v>
      </c>
    </row>
    <row r="1015" spans="1:5" x14ac:dyDescent="0.35">
      <c r="A1015">
        <v>0</v>
      </c>
      <c r="B1015">
        <v>0</v>
      </c>
      <c r="C1015">
        <v>0</v>
      </c>
      <c r="D1015">
        <v>0</v>
      </c>
      <c r="E1015">
        <v>0</v>
      </c>
    </row>
    <row r="1016" spans="1:5" x14ac:dyDescent="0.35">
      <c r="A1016">
        <v>0</v>
      </c>
      <c r="B1016">
        <v>0</v>
      </c>
      <c r="C1016">
        <v>0</v>
      </c>
      <c r="D1016">
        <v>0</v>
      </c>
      <c r="E1016">
        <v>0</v>
      </c>
    </row>
    <row r="1017" spans="1:5" x14ac:dyDescent="0.35">
      <c r="A1017">
        <v>0</v>
      </c>
      <c r="B1017">
        <v>0</v>
      </c>
      <c r="C1017">
        <v>0</v>
      </c>
      <c r="D1017">
        <v>0</v>
      </c>
      <c r="E1017">
        <v>0</v>
      </c>
    </row>
    <row r="1018" spans="1:5" x14ac:dyDescent="0.35">
      <c r="A1018">
        <v>0</v>
      </c>
      <c r="B1018">
        <v>0</v>
      </c>
      <c r="C1018">
        <v>0</v>
      </c>
      <c r="D1018">
        <v>0</v>
      </c>
      <c r="E1018">
        <v>0</v>
      </c>
    </row>
    <row r="1019" spans="1:5" x14ac:dyDescent="0.35">
      <c r="A1019">
        <v>0</v>
      </c>
      <c r="B1019">
        <v>0</v>
      </c>
      <c r="C1019">
        <v>0</v>
      </c>
      <c r="D1019">
        <v>0</v>
      </c>
      <c r="E1019">
        <v>0</v>
      </c>
    </row>
    <row r="1020" spans="1:5" x14ac:dyDescent="0.35">
      <c r="A1020">
        <v>0</v>
      </c>
      <c r="B1020">
        <v>0</v>
      </c>
      <c r="C1020">
        <v>0</v>
      </c>
      <c r="D1020">
        <v>0</v>
      </c>
      <c r="E1020">
        <v>0</v>
      </c>
    </row>
    <row r="1021" spans="1:5" x14ac:dyDescent="0.35">
      <c r="A1021">
        <v>0</v>
      </c>
      <c r="B1021">
        <v>0</v>
      </c>
      <c r="C1021">
        <v>0</v>
      </c>
      <c r="D1021">
        <v>0</v>
      </c>
      <c r="E1021">
        <v>0</v>
      </c>
    </row>
    <row r="1022" spans="1:5" x14ac:dyDescent="0.35">
      <c r="A1022">
        <v>0</v>
      </c>
      <c r="B1022">
        <v>0</v>
      </c>
      <c r="C1022">
        <v>0</v>
      </c>
      <c r="D1022">
        <v>0</v>
      </c>
      <c r="E1022">
        <v>0</v>
      </c>
    </row>
    <row r="1023" spans="1:5" x14ac:dyDescent="0.35">
      <c r="A1023">
        <v>0</v>
      </c>
      <c r="B1023">
        <v>0</v>
      </c>
      <c r="C1023">
        <v>0</v>
      </c>
      <c r="D1023">
        <v>0</v>
      </c>
      <c r="E1023">
        <v>0</v>
      </c>
    </row>
    <row r="1024" spans="1:5" x14ac:dyDescent="0.35">
      <c r="A1024">
        <v>0</v>
      </c>
      <c r="B1024">
        <v>0</v>
      </c>
      <c r="C1024">
        <v>0</v>
      </c>
      <c r="D1024">
        <v>0</v>
      </c>
      <c r="E1024">
        <v>0</v>
      </c>
    </row>
    <row r="1025" spans="1:5" x14ac:dyDescent="0.35">
      <c r="A1025">
        <v>0</v>
      </c>
      <c r="B1025">
        <v>0</v>
      </c>
      <c r="C1025">
        <v>0</v>
      </c>
      <c r="D1025">
        <v>0</v>
      </c>
      <c r="E1025">
        <v>0</v>
      </c>
    </row>
    <row r="1026" spans="1:5" x14ac:dyDescent="0.35">
      <c r="A1026">
        <v>0</v>
      </c>
      <c r="B1026">
        <v>0</v>
      </c>
      <c r="C1026">
        <v>0</v>
      </c>
      <c r="D1026">
        <v>0</v>
      </c>
      <c r="E1026">
        <v>0</v>
      </c>
    </row>
    <row r="1027" spans="1:5" x14ac:dyDescent="0.35">
      <c r="A1027">
        <v>0</v>
      </c>
      <c r="B1027">
        <v>0</v>
      </c>
      <c r="C1027">
        <v>0</v>
      </c>
      <c r="D1027">
        <v>0</v>
      </c>
      <c r="E1027">
        <v>0</v>
      </c>
    </row>
    <row r="1028" spans="1:5" x14ac:dyDescent="0.35">
      <c r="A1028">
        <v>0</v>
      </c>
      <c r="B1028">
        <v>0</v>
      </c>
      <c r="C1028">
        <v>0</v>
      </c>
      <c r="D1028">
        <v>0</v>
      </c>
      <c r="E1028">
        <v>0</v>
      </c>
    </row>
    <row r="1029" spans="1:5" x14ac:dyDescent="0.35">
      <c r="A1029">
        <v>0</v>
      </c>
      <c r="B1029">
        <v>0</v>
      </c>
      <c r="C1029">
        <v>0</v>
      </c>
      <c r="D1029">
        <v>0</v>
      </c>
      <c r="E1029">
        <v>0</v>
      </c>
    </row>
    <row r="1030" spans="1:5" x14ac:dyDescent="0.35">
      <c r="A1030">
        <v>0</v>
      </c>
      <c r="B1030">
        <v>0</v>
      </c>
      <c r="C1030">
        <v>0</v>
      </c>
      <c r="D1030">
        <v>0</v>
      </c>
      <c r="E1030">
        <v>0</v>
      </c>
    </row>
    <row r="1031" spans="1:5" x14ac:dyDescent="0.35">
      <c r="A1031">
        <v>0</v>
      </c>
      <c r="B1031">
        <v>0</v>
      </c>
      <c r="C1031">
        <v>0</v>
      </c>
      <c r="D1031">
        <v>0</v>
      </c>
      <c r="E1031">
        <v>0</v>
      </c>
    </row>
    <row r="1032" spans="1:5" x14ac:dyDescent="0.35">
      <c r="A1032">
        <v>0</v>
      </c>
      <c r="B1032">
        <v>0</v>
      </c>
      <c r="C1032">
        <v>0</v>
      </c>
      <c r="D1032">
        <v>0</v>
      </c>
      <c r="E1032">
        <v>0</v>
      </c>
    </row>
    <row r="1033" spans="1:5" x14ac:dyDescent="0.35">
      <c r="A1033">
        <v>0</v>
      </c>
      <c r="B1033">
        <v>0</v>
      </c>
      <c r="C1033">
        <v>0</v>
      </c>
      <c r="D1033">
        <v>0</v>
      </c>
      <c r="E1033">
        <v>0</v>
      </c>
    </row>
    <row r="1034" spans="1:5" x14ac:dyDescent="0.35">
      <c r="A1034">
        <v>0</v>
      </c>
      <c r="B1034">
        <v>0</v>
      </c>
      <c r="C1034">
        <v>0</v>
      </c>
      <c r="D1034">
        <v>0</v>
      </c>
      <c r="E1034">
        <v>0</v>
      </c>
    </row>
    <row r="1035" spans="1:5" x14ac:dyDescent="0.35">
      <c r="A1035">
        <v>0</v>
      </c>
      <c r="B1035">
        <v>0</v>
      </c>
      <c r="C1035">
        <v>0</v>
      </c>
      <c r="D1035">
        <v>0</v>
      </c>
      <c r="E1035">
        <v>0</v>
      </c>
    </row>
    <row r="1036" spans="1:5" x14ac:dyDescent="0.35">
      <c r="A1036">
        <v>0</v>
      </c>
      <c r="B1036">
        <v>0</v>
      </c>
      <c r="C1036">
        <v>0</v>
      </c>
      <c r="D1036">
        <v>0</v>
      </c>
      <c r="E1036">
        <v>0</v>
      </c>
    </row>
    <row r="1037" spans="1:5" x14ac:dyDescent="0.35">
      <c r="A1037">
        <v>0</v>
      </c>
      <c r="B1037">
        <v>0</v>
      </c>
      <c r="C1037">
        <v>0</v>
      </c>
      <c r="D1037">
        <v>0</v>
      </c>
      <c r="E1037">
        <v>0</v>
      </c>
    </row>
    <row r="1038" spans="1:5" x14ac:dyDescent="0.35">
      <c r="A1038">
        <v>0</v>
      </c>
      <c r="B1038">
        <v>0</v>
      </c>
      <c r="C1038">
        <v>0</v>
      </c>
      <c r="D1038">
        <v>0</v>
      </c>
      <c r="E1038">
        <v>0</v>
      </c>
    </row>
    <row r="1039" spans="1:5" x14ac:dyDescent="0.35">
      <c r="A1039">
        <v>0</v>
      </c>
      <c r="B1039">
        <v>0</v>
      </c>
      <c r="C1039">
        <v>0</v>
      </c>
      <c r="D1039">
        <v>0</v>
      </c>
      <c r="E1039">
        <v>0</v>
      </c>
    </row>
    <row r="1040" spans="1:5" x14ac:dyDescent="0.35">
      <c r="A1040">
        <v>0</v>
      </c>
      <c r="B1040">
        <v>0</v>
      </c>
      <c r="C1040">
        <v>0</v>
      </c>
      <c r="D1040">
        <v>0</v>
      </c>
      <c r="E1040">
        <v>0</v>
      </c>
    </row>
    <row r="1041" spans="1:5" x14ac:dyDescent="0.35">
      <c r="A1041">
        <v>0</v>
      </c>
      <c r="B1041">
        <v>0</v>
      </c>
      <c r="C1041">
        <v>0</v>
      </c>
      <c r="D1041">
        <v>0</v>
      </c>
      <c r="E1041">
        <v>0</v>
      </c>
    </row>
    <row r="1042" spans="1:5" x14ac:dyDescent="0.35">
      <c r="A1042">
        <v>0</v>
      </c>
      <c r="B1042">
        <v>0</v>
      </c>
      <c r="C1042">
        <v>0</v>
      </c>
      <c r="D1042">
        <v>0</v>
      </c>
      <c r="E1042">
        <v>0</v>
      </c>
    </row>
    <row r="1043" spans="1:5" x14ac:dyDescent="0.35">
      <c r="A1043">
        <v>0</v>
      </c>
      <c r="B1043">
        <v>0</v>
      </c>
      <c r="C1043">
        <v>0</v>
      </c>
      <c r="D1043">
        <v>0</v>
      </c>
      <c r="E1043">
        <v>0</v>
      </c>
    </row>
    <row r="1044" spans="1:5" x14ac:dyDescent="0.35">
      <c r="A1044">
        <v>0</v>
      </c>
      <c r="B1044">
        <v>0</v>
      </c>
      <c r="C1044">
        <v>0</v>
      </c>
      <c r="D1044">
        <v>0</v>
      </c>
      <c r="E1044">
        <v>0</v>
      </c>
    </row>
    <row r="1045" spans="1:5" x14ac:dyDescent="0.35">
      <c r="A1045">
        <v>0</v>
      </c>
      <c r="B1045">
        <v>0</v>
      </c>
      <c r="C1045">
        <v>0</v>
      </c>
      <c r="D1045">
        <v>0</v>
      </c>
      <c r="E1045">
        <v>0</v>
      </c>
    </row>
    <row r="1046" spans="1:5" x14ac:dyDescent="0.35">
      <c r="A1046">
        <v>0</v>
      </c>
      <c r="B1046">
        <v>0</v>
      </c>
      <c r="C1046">
        <v>0</v>
      </c>
      <c r="D1046">
        <v>0</v>
      </c>
      <c r="E1046">
        <v>0</v>
      </c>
    </row>
    <row r="1047" spans="1:5" x14ac:dyDescent="0.35">
      <c r="A1047">
        <v>0</v>
      </c>
      <c r="B1047">
        <v>0</v>
      </c>
      <c r="C1047">
        <v>0</v>
      </c>
      <c r="D1047">
        <v>0</v>
      </c>
      <c r="E1047">
        <v>0</v>
      </c>
    </row>
    <row r="1048" spans="1:5" x14ac:dyDescent="0.35">
      <c r="A1048">
        <v>0</v>
      </c>
      <c r="B1048">
        <v>0</v>
      </c>
      <c r="C1048">
        <v>0</v>
      </c>
      <c r="D1048">
        <v>0</v>
      </c>
      <c r="E1048">
        <v>0</v>
      </c>
    </row>
    <row r="1049" spans="1:5" x14ac:dyDescent="0.35">
      <c r="A1049">
        <v>0</v>
      </c>
      <c r="B1049">
        <v>0</v>
      </c>
      <c r="C1049">
        <v>0</v>
      </c>
      <c r="D1049">
        <v>0</v>
      </c>
      <c r="E1049">
        <v>0</v>
      </c>
    </row>
    <row r="1050" spans="1:5" x14ac:dyDescent="0.35">
      <c r="A1050">
        <v>0</v>
      </c>
      <c r="B1050">
        <v>0</v>
      </c>
      <c r="C1050">
        <v>0</v>
      </c>
      <c r="D1050">
        <v>0</v>
      </c>
      <c r="E1050">
        <v>0</v>
      </c>
    </row>
    <row r="1051" spans="1:5" x14ac:dyDescent="0.35">
      <c r="A1051">
        <v>0</v>
      </c>
      <c r="B1051">
        <v>0</v>
      </c>
      <c r="C1051">
        <v>0</v>
      </c>
      <c r="D1051">
        <v>0</v>
      </c>
      <c r="E1051">
        <v>0</v>
      </c>
    </row>
    <row r="1052" spans="1:5" x14ac:dyDescent="0.35">
      <c r="A1052">
        <v>0</v>
      </c>
      <c r="B1052">
        <v>0</v>
      </c>
      <c r="C1052">
        <v>0</v>
      </c>
      <c r="D1052">
        <v>0</v>
      </c>
      <c r="E1052">
        <v>0</v>
      </c>
    </row>
    <row r="1053" spans="1:5" x14ac:dyDescent="0.35">
      <c r="A1053">
        <v>0</v>
      </c>
      <c r="B1053">
        <v>0</v>
      </c>
      <c r="C1053">
        <v>0</v>
      </c>
      <c r="D1053">
        <v>0</v>
      </c>
      <c r="E1053">
        <v>0</v>
      </c>
    </row>
    <row r="1054" spans="1:5" x14ac:dyDescent="0.35">
      <c r="A1054">
        <v>0</v>
      </c>
      <c r="B1054">
        <v>0</v>
      </c>
      <c r="C1054">
        <v>0</v>
      </c>
      <c r="D1054">
        <v>0</v>
      </c>
      <c r="E1054">
        <v>0</v>
      </c>
    </row>
    <row r="1055" spans="1:5" x14ac:dyDescent="0.35">
      <c r="A1055">
        <v>0</v>
      </c>
      <c r="B1055">
        <v>0</v>
      </c>
      <c r="C1055">
        <v>0</v>
      </c>
      <c r="D1055">
        <v>0</v>
      </c>
      <c r="E1055">
        <v>0</v>
      </c>
    </row>
    <row r="1056" spans="1:5" x14ac:dyDescent="0.35">
      <c r="A1056">
        <v>0</v>
      </c>
      <c r="B1056">
        <v>0</v>
      </c>
      <c r="C1056">
        <v>0</v>
      </c>
      <c r="D1056">
        <v>0</v>
      </c>
      <c r="E1056">
        <v>0</v>
      </c>
    </row>
    <row r="1057" spans="1:5" x14ac:dyDescent="0.35">
      <c r="A1057">
        <v>0</v>
      </c>
      <c r="B1057">
        <v>0</v>
      </c>
      <c r="C1057">
        <v>0</v>
      </c>
      <c r="D1057">
        <v>0</v>
      </c>
      <c r="E1057">
        <v>0</v>
      </c>
    </row>
    <row r="1058" spans="1:5" x14ac:dyDescent="0.35">
      <c r="A1058">
        <v>0</v>
      </c>
      <c r="B1058">
        <v>0</v>
      </c>
      <c r="C1058">
        <v>0</v>
      </c>
      <c r="D1058">
        <v>0</v>
      </c>
      <c r="E1058">
        <v>0</v>
      </c>
    </row>
    <row r="1059" spans="1:5" x14ac:dyDescent="0.35">
      <c r="A1059">
        <v>0</v>
      </c>
      <c r="B1059">
        <v>0</v>
      </c>
      <c r="C1059">
        <v>0</v>
      </c>
      <c r="D1059">
        <v>0</v>
      </c>
      <c r="E1059">
        <v>0</v>
      </c>
    </row>
    <row r="1060" spans="1:5" x14ac:dyDescent="0.35">
      <c r="A1060">
        <v>0</v>
      </c>
      <c r="B1060">
        <v>0</v>
      </c>
      <c r="C1060">
        <v>0</v>
      </c>
      <c r="D1060">
        <v>0</v>
      </c>
      <c r="E1060">
        <v>0</v>
      </c>
    </row>
    <row r="1061" spans="1:5" x14ac:dyDescent="0.35">
      <c r="A1061">
        <v>0</v>
      </c>
      <c r="B1061">
        <v>0</v>
      </c>
      <c r="C1061">
        <v>0</v>
      </c>
      <c r="D1061">
        <v>0</v>
      </c>
      <c r="E1061">
        <v>0</v>
      </c>
    </row>
    <row r="1062" spans="1:5" x14ac:dyDescent="0.35">
      <c r="A1062">
        <v>0</v>
      </c>
      <c r="B1062">
        <v>0</v>
      </c>
      <c r="C1062">
        <v>0</v>
      </c>
      <c r="D1062">
        <v>0</v>
      </c>
      <c r="E1062">
        <v>0</v>
      </c>
    </row>
    <row r="1063" spans="1:5" x14ac:dyDescent="0.35">
      <c r="A1063">
        <v>0</v>
      </c>
      <c r="B1063">
        <v>0</v>
      </c>
      <c r="C1063">
        <v>0</v>
      </c>
      <c r="D1063">
        <v>0</v>
      </c>
      <c r="E1063">
        <v>0</v>
      </c>
    </row>
    <row r="1064" spans="1:5" x14ac:dyDescent="0.35">
      <c r="A1064">
        <v>0</v>
      </c>
      <c r="B1064">
        <v>0</v>
      </c>
      <c r="C1064">
        <v>0</v>
      </c>
      <c r="D1064">
        <v>0</v>
      </c>
      <c r="E1064">
        <v>0</v>
      </c>
    </row>
    <row r="1065" spans="1:5" x14ac:dyDescent="0.35">
      <c r="A1065">
        <v>0</v>
      </c>
      <c r="B1065">
        <v>0</v>
      </c>
      <c r="C1065">
        <v>0</v>
      </c>
      <c r="D1065">
        <v>0</v>
      </c>
      <c r="E1065">
        <v>0</v>
      </c>
    </row>
    <row r="1066" spans="1:5" x14ac:dyDescent="0.35">
      <c r="A1066">
        <v>0</v>
      </c>
      <c r="B1066">
        <v>0</v>
      </c>
      <c r="C1066">
        <v>0</v>
      </c>
      <c r="D1066">
        <v>0</v>
      </c>
      <c r="E1066">
        <v>0</v>
      </c>
    </row>
    <row r="1067" spans="1:5" x14ac:dyDescent="0.35">
      <c r="A1067">
        <v>0</v>
      </c>
      <c r="B1067">
        <v>0</v>
      </c>
      <c r="C1067">
        <v>0</v>
      </c>
      <c r="D1067">
        <v>0</v>
      </c>
      <c r="E1067">
        <v>0</v>
      </c>
    </row>
    <row r="1068" spans="1:5" x14ac:dyDescent="0.35">
      <c r="A1068">
        <v>0</v>
      </c>
      <c r="B1068">
        <v>0</v>
      </c>
      <c r="C1068">
        <v>0</v>
      </c>
      <c r="D1068">
        <v>0</v>
      </c>
      <c r="E1068">
        <v>0</v>
      </c>
    </row>
    <row r="1069" spans="1:5" x14ac:dyDescent="0.35">
      <c r="A1069">
        <v>0</v>
      </c>
      <c r="B1069">
        <v>0</v>
      </c>
      <c r="C1069">
        <v>0</v>
      </c>
      <c r="D1069">
        <v>0</v>
      </c>
      <c r="E1069">
        <v>0</v>
      </c>
    </row>
    <row r="1070" spans="1:5" x14ac:dyDescent="0.35">
      <c r="A1070">
        <v>0</v>
      </c>
      <c r="B1070">
        <v>0</v>
      </c>
      <c r="C1070">
        <v>0</v>
      </c>
      <c r="D1070">
        <v>0</v>
      </c>
      <c r="E1070">
        <v>0</v>
      </c>
    </row>
    <row r="1071" spans="1:5" x14ac:dyDescent="0.35">
      <c r="A1071">
        <v>0</v>
      </c>
      <c r="B1071">
        <v>0</v>
      </c>
      <c r="C1071">
        <v>0</v>
      </c>
      <c r="D1071">
        <v>0</v>
      </c>
      <c r="E1071">
        <v>0</v>
      </c>
    </row>
    <row r="1072" spans="1:5" x14ac:dyDescent="0.35">
      <c r="A1072">
        <v>0</v>
      </c>
      <c r="B1072">
        <v>0</v>
      </c>
      <c r="C1072">
        <v>0</v>
      </c>
      <c r="D1072">
        <v>0</v>
      </c>
      <c r="E1072">
        <v>0</v>
      </c>
    </row>
    <row r="1073" spans="1:5" x14ac:dyDescent="0.35">
      <c r="A1073">
        <v>0</v>
      </c>
      <c r="B1073">
        <v>0</v>
      </c>
      <c r="C1073">
        <v>0</v>
      </c>
      <c r="D1073">
        <v>0</v>
      </c>
      <c r="E1073">
        <v>0</v>
      </c>
    </row>
    <row r="1074" spans="1:5" x14ac:dyDescent="0.35">
      <c r="A1074">
        <v>0</v>
      </c>
      <c r="B1074">
        <v>0</v>
      </c>
      <c r="C1074">
        <v>0</v>
      </c>
      <c r="D1074">
        <v>0</v>
      </c>
      <c r="E1074">
        <v>0</v>
      </c>
    </row>
    <row r="1075" spans="1:5" x14ac:dyDescent="0.35">
      <c r="A1075">
        <v>0</v>
      </c>
      <c r="B1075">
        <v>0</v>
      </c>
      <c r="C1075">
        <v>0</v>
      </c>
      <c r="D1075">
        <v>0</v>
      </c>
      <c r="E1075">
        <v>0</v>
      </c>
    </row>
    <row r="1076" spans="1:5" x14ac:dyDescent="0.35">
      <c r="A1076">
        <v>0</v>
      </c>
      <c r="B1076">
        <v>0</v>
      </c>
      <c r="C1076">
        <v>0</v>
      </c>
      <c r="D1076">
        <v>0</v>
      </c>
      <c r="E1076">
        <v>0</v>
      </c>
    </row>
    <row r="1077" spans="1:5" x14ac:dyDescent="0.35">
      <c r="A1077">
        <v>0</v>
      </c>
      <c r="B1077">
        <v>0</v>
      </c>
      <c r="C1077">
        <v>0</v>
      </c>
      <c r="D1077">
        <v>0</v>
      </c>
      <c r="E1077">
        <v>0</v>
      </c>
    </row>
    <row r="1078" spans="1:5" x14ac:dyDescent="0.35">
      <c r="A1078">
        <v>0</v>
      </c>
      <c r="B1078">
        <v>0</v>
      </c>
      <c r="C1078">
        <v>0</v>
      </c>
      <c r="D1078">
        <v>0</v>
      </c>
      <c r="E1078">
        <v>0</v>
      </c>
    </row>
    <row r="1079" spans="1:5" x14ac:dyDescent="0.35">
      <c r="A1079">
        <v>0</v>
      </c>
      <c r="B1079">
        <v>0</v>
      </c>
      <c r="C1079">
        <v>0</v>
      </c>
      <c r="D1079">
        <v>0</v>
      </c>
      <c r="E1079">
        <v>0</v>
      </c>
    </row>
    <row r="1080" spans="1:5" x14ac:dyDescent="0.35">
      <c r="A1080">
        <v>0</v>
      </c>
      <c r="B1080">
        <v>0</v>
      </c>
      <c r="C1080">
        <v>0</v>
      </c>
      <c r="D1080">
        <v>0</v>
      </c>
      <c r="E1080">
        <v>0</v>
      </c>
    </row>
    <row r="1081" spans="1:5" x14ac:dyDescent="0.35">
      <c r="A1081">
        <v>0</v>
      </c>
      <c r="B1081">
        <v>0</v>
      </c>
      <c r="C1081">
        <v>0</v>
      </c>
      <c r="D1081">
        <v>0</v>
      </c>
      <c r="E1081">
        <v>0</v>
      </c>
    </row>
    <row r="1082" spans="1:5" x14ac:dyDescent="0.35">
      <c r="A1082">
        <v>0</v>
      </c>
      <c r="B1082">
        <v>0</v>
      </c>
      <c r="C1082">
        <v>0</v>
      </c>
      <c r="D1082">
        <v>0</v>
      </c>
      <c r="E1082">
        <v>0</v>
      </c>
    </row>
    <row r="1083" spans="1:5" x14ac:dyDescent="0.35">
      <c r="A1083">
        <v>0</v>
      </c>
      <c r="B1083">
        <v>0</v>
      </c>
      <c r="C1083">
        <v>0</v>
      </c>
      <c r="D1083">
        <v>0</v>
      </c>
      <c r="E1083">
        <v>0</v>
      </c>
    </row>
    <row r="1084" spans="1:5" x14ac:dyDescent="0.35">
      <c r="A1084">
        <v>0</v>
      </c>
      <c r="B1084">
        <v>0</v>
      </c>
      <c r="C1084">
        <v>0</v>
      </c>
      <c r="D1084">
        <v>0</v>
      </c>
      <c r="E1084">
        <v>0</v>
      </c>
    </row>
    <row r="1085" spans="1:5" x14ac:dyDescent="0.35">
      <c r="A1085">
        <v>0</v>
      </c>
      <c r="B1085">
        <v>0</v>
      </c>
      <c r="C1085">
        <v>0</v>
      </c>
      <c r="D1085">
        <v>0</v>
      </c>
      <c r="E1085">
        <v>0</v>
      </c>
    </row>
    <row r="1086" spans="1:5" x14ac:dyDescent="0.35">
      <c r="A1086">
        <v>0</v>
      </c>
      <c r="B1086">
        <v>0</v>
      </c>
      <c r="C1086">
        <v>0</v>
      </c>
      <c r="D1086">
        <v>0</v>
      </c>
      <c r="E1086">
        <v>0</v>
      </c>
    </row>
    <row r="1087" spans="1:5" x14ac:dyDescent="0.35">
      <c r="A1087">
        <v>0</v>
      </c>
      <c r="B1087">
        <v>0</v>
      </c>
      <c r="C1087">
        <v>0</v>
      </c>
      <c r="D1087">
        <v>0</v>
      </c>
      <c r="E1087">
        <v>0</v>
      </c>
    </row>
    <row r="1088" spans="1:5" x14ac:dyDescent="0.35">
      <c r="A1088">
        <v>0</v>
      </c>
      <c r="B1088">
        <v>0</v>
      </c>
      <c r="C1088">
        <v>0</v>
      </c>
      <c r="D1088">
        <v>0</v>
      </c>
      <c r="E1088">
        <v>0</v>
      </c>
    </row>
    <row r="1089" spans="1:5" x14ac:dyDescent="0.35">
      <c r="A1089">
        <v>0</v>
      </c>
      <c r="B1089">
        <v>0</v>
      </c>
      <c r="C1089">
        <v>0</v>
      </c>
      <c r="D1089">
        <v>0</v>
      </c>
      <c r="E1089">
        <v>0</v>
      </c>
    </row>
    <row r="1090" spans="1:5" x14ac:dyDescent="0.35">
      <c r="A1090">
        <v>0</v>
      </c>
      <c r="B1090">
        <v>0</v>
      </c>
      <c r="C1090">
        <v>0</v>
      </c>
      <c r="D1090">
        <v>0</v>
      </c>
      <c r="E1090">
        <v>0</v>
      </c>
    </row>
    <row r="1091" spans="1:5" x14ac:dyDescent="0.35">
      <c r="A1091">
        <v>0</v>
      </c>
      <c r="B1091">
        <v>0</v>
      </c>
      <c r="C1091">
        <v>0</v>
      </c>
      <c r="D1091">
        <v>0</v>
      </c>
      <c r="E1091">
        <v>0</v>
      </c>
    </row>
    <row r="1092" spans="1:5" x14ac:dyDescent="0.35">
      <c r="A1092">
        <v>0</v>
      </c>
      <c r="B1092">
        <v>0</v>
      </c>
      <c r="C1092">
        <v>0</v>
      </c>
      <c r="D1092">
        <v>0</v>
      </c>
      <c r="E1092">
        <v>0</v>
      </c>
    </row>
    <row r="1093" spans="1:5" x14ac:dyDescent="0.35">
      <c r="A1093">
        <v>0</v>
      </c>
      <c r="B1093">
        <v>0</v>
      </c>
      <c r="C1093">
        <v>0</v>
      </c>
      <c r="D1093">
        <v>0</v>
      </c>
      <c r="E1093">
        <v>0</v>
      </c>
    </row>
    <row r="1094" spans="1:5" x14ac:dyDescent="0.35">
      <c r="A1094">
        <v>0</v>
      </c>
      <c r="B1094">
        <v>0</v>
      </c>
      <c r="C1094">
        <v>0</v>
      </c>
      <c r="D1094">
        <v>0</v>
      </c>
      <c r="E1094">
        <v>0</v>
      </c>
    </row>
    <row r="1095" spans="1:5" x14ac:dyDescent="0.35">
      <c r="A1095">
        <v>0</v>
      </c>
      <c r="B1095">
        <v>0</v>
      </c>
      <c r="C1095">
        <v>0</v>
      </c>
      <c r="D1095">
        <v>0</v>
      </c>
      <c r="E1095">
        <v>0</v>
      </c>
    </row>
    <row r="1096" spans="1:5" x14ac:dyDescent="0.35">
      <c r="A1096">
        <v>0</v>
      </c>
      <c r="B1096">
        <v>0</v>
      </c>
      <c r="C1096">
        <v>0</v>
      </c>
      <c r="D1096">
        <v>0</v>
      </c>
      <c r="E1096">
        <v>0</v>
      </c>
    </row>
    <row r="1097" spans="1:5" x14ac:dyDescent="0.35">
      <c r="A1097">
        <v>0</v>
      </c>
      <c r="B1097">
        <v>0</v>
      </c>
      <c r="C1097">
        <v>0</v>
      </c>
      <c r="D1097">
        <v>0</v>
      </c>
      <c r="E1097">
        <v>0</v>
      </c>
    </row>
    <row r="1098" spans="1:5" x14ac:dyDescent="0.35">
      <c r="A1098">
        <v>0</v>
      </c>
      <c r="B1098">
        <v>0</v>
      </c>
      <c r="C1098">
        <v>0</v>
      </c>
      <c r="D1098">
        <v>0</v>
      </c>
      <c r="E1098">
        <v>0</v>
      </c>
    </row>
    <row r="1099" spans="1:5" x14ac:dyDescent="0.35">
      <c r="A1099">
        <v>0</v>
      </c>
      <c r="B1099">
        <v>0</v>
      </c>
      <c r="C1099">
        <v>0</v>
      </c>
      <c r="D1099">
        <v>0</v>
      </c>
      <c r="E1099">
        <v>0</v>
      </c>
    </row>
    <row r="1100" spans="1:5" x14ac:dyDescent="0.35">
      <c r="A1100">
        <v>0</v>
      </c>
      <c r="B1100">
        <v>0</v>
      </c>
      <c r="C1100">
        <v>0</v>
      </c>
      <c r="D1100">
        <v>0</v>
      </c>
      <c r="E1100">
        <v>0</v>
      </c>
    </row>
    <row r="1101" spans="1:5" x14ac:dyDescent="0.35">
      <c r="A1101">
        <v>0</v>
      </c>
      <c r="B1101">
        <v>0</v>
      </c>
      <c r="C1101">
        <v>0</v>
      </c>
      <c r="D1101">
        <v>0</v>
      </c>
      <c r="E1101">
        <v>0</v>
      </c>
    </row>
    <row r="1102" spans="1:5" x14ac:dyDescent="0.35">
      <c r="A1102">
        <v>0</v>
      </c>
      <c r="B1102">
        <v>0</v>
      </c>
      <c r="C1102">
        <v>0</v>
      </c>
      <c r="D1102">
        <v>0</v>
      </c>
      <c r="E1102">
        <v>0</v>
      </c>
    </row>
    <row r="1103" spans="1:5" x14ac:dyDescent="0.35">
      <c r="A1103">
        <v>0</v>
      </c>
      <c r="B1103">
        <v>0</v>
      </c>
      <c r="C1103">
        <v>0</v>
      </c>
      <c r="D1103">
        <v>0</v>
      </c>
      <c r="E1103">
        <v>0</v>
      </c>
    </row>
    <row r="1104" spans="1:5" x14ac:dyDescent="0.35">
      <c r="A1104">
        <v>0</v>
      </c>
      <c r="B1104">
        <v>0</v>
      </c>
      <c r="C1104">
        <v>0</v>
      </c>
      <c r="D1104">
        <v>0</v>
      </c>
      <c r="E1104">
        <v>0</v>
      </c>
    </row>
    <row r="1105" spans="1:5" x14ac:dyDescent="0.35">
      <c r="A1105">
        <v>0</v>
      </c>
      <c r="B1105">
        <v>0</v>
      </c>
      <c r="C1105">
        <v>0</v>
      </c>
      <c r="D1105">
        <v>0</v>
      </c>
      <c r="E1105">
        <v>0</v>
      </c>
    </row>
    <row r="1106" spans="1:5" x14ac:dyDescent="0.35">
      <c r="A1106">
        <v>0</v>
      </c>
      <c r="B1106">
        <v>0</v>
      </c>
      <c r="C1106">
        <v>0</v>
      </c>
      <c r="D1106">
        <v>0</v>
      </c>
      <c r="E1106">
        <v>0</v>
      </c>
    </row>
    <row r="1107" spans="1:5" x14ac:dyDescent="0.35">
      <c r="A1107">
        <v>0</v>
      </c>
      <c r="B1107">
        <v>0</v>
      </c>
      <c r="C1107">
        <v>0</v>
      </c>
      <c r="D1107">
        <v>0</v>
      </c>
      <c r="E1107">
        <v>0</v>
      </c>
    </row>
    <row r="1108" spans="1:5" x14ac:dyDescent="0.35">
      <c r="A1108">
        <v>0</v>
      </c>
      <c r="B1108">
        <v>0</v>
      </c>
      <c r="C1108">
        <v>0</v>
      </c>
      <c r="D1108">
        <v>0</v>
      </c>
      <c r="E1108">
        <v>0</v>
      </c>
    </row>
    <row r="1109" spans="1:5" x14ac:dyDescent="0.35">
      <c r="A1109">
        <v>0</v>
      </c>
      <c r="B1109">
        <v>0</v>
      </c>
      <c r="C1109">
        <v>0</v>
      </c>
      <c r="D1109">
        <v>0</v>
      </c>
      <c r="E1109">
        <v>0</v>
      </c>
    </row>
    <row r="1110" spans="1:5" x14ac:dyDescent="0.35">
      <c r="A1110">
        <v>0</v>
      </c>
      <c r="B1110">
        <v>0</v>
      </c>
      <c r="C1110">
        <v>0</v>
      </c>
      <c r="D1110">
        <v>0</v>
      </c>
      <c r="E1110">
        <v>0</v>
      </c>
    </row>
    <row r="1111" spans="1:5" x14ac:dyDescent="0.35">
      <c r="A1111">
        <v>0</v>
      </c>
      <c r="B1111">
        <v>0</v>
      </c>
      <c r="C1111">
        <v>0</v>
      </c>
      <c r="D1111">
        <v>0</v>
      </c>
      <c r="E1111">
        <v>0</v>
      </c>
    </row>
    <row r="1112" spans="1:5" x14ac:dyDescent="0.35">
      <c r="A1112">
        <v>0</v>
      </c>
      <c r="B1112">
        <v>0</v>
      </c>
      <c r="C1112">
        <v>0</v>
      </c>
      <c r="D1112">
        <v>0</v>
      </c>
      <c r="E1112">
        <v>0</v>
      </c>
    </row>
    <row r="1113" spans="1:5" x14ac:dyDescent="0.35">
      <c r="A1113">
        <v>0</v>
      </c>
      <c r="B1113">
        <v>0</v>
      </c>
      <c r="C1113">
        <v>0</v>
      </c>
      <c r="D1113">
        <v>0</v>
      </c>
      <c r="E1113">
        <v>0</v>
      </c>
    </row>
    <row r="1114" spans="1:5" x14ac:dyDescent="0.35">
      <c r="A1114">
        <v>0</v>
      </c>
      <c r="B1114">
        <v>0</v>
      </c>
      <c r="C1114">
        <v>0</v>
      </c>
      <c r="D1114">
        <v>0</v>
      </c>
      <c r="E1114">
        <v>0</v>
      </c>
    </row>
    <row r="1115" spans="1:5" x14ac:dyDescent="0.35">
      <c r="A1115">
        <v>0</v>
      </c>
      <c r="B1115">
        <v>0</v>
      </c>
      <c r="C1115">
        <v>0</v>
      </c>
      <c r="D1115">
        <v>0</v>
      </c>
      <c r="E1115">
        <v>0</v>
      </c>
    </row>
    <row r="1116" spans="1:5" x14ac:dyDescent="0.35">
      <c r="A1116">
        <v>0</v>
      </c>
      <c r="B1116">
        <v>0</v>
      </c>
      <c r="C1116">
        <v>0</v>
      </c>
      <c r="D1116">
        <v>0</v>
      </c>
      <c r="E1116">
        <v>0</v>
      </c>
    </row>
    <row r="1117" spans="1:5" x14ac:dyDescent="0.35">
      <c r="A1117">
        <v>0</v>
      </c>
      <c r="B1117">
        <v>0</v>
      </c>
      <c r="C1117">
        <v>0</v>
      </c>
      <c r="D1117">
        <v>0</v>
      </c>
      <c r="E1117">
        <v>0</v>
      </c>
    </row>
    <row r="1118" spans="1:5" x14ac:dyDescent="0.35">
      <c r="A1118">
        <v>0</v>
      </c>
      <c r="B1118">
        <v>0</v>
      </c>
      <c r="C1118">
        <v>0</v>
      </c>
      <c r="D1118">
        <v>0</v>
      </c>
      <c r="E1118">
        <v>0</v>
      </c>
    </row>
    <row r="1119" spans="1:5" x14ac:dyDescent="0.35">
      <c r="A1119">
        <v>0</v>
      </c>
      <c r="B1119">
        <v>0</v>
      </c>
      <c r="C1119">
        <v>0</v>
      </c>
      <c r="D1119">
        <v>0</v>
      </c>
      <c r="E1119">
        <v>0</v>
      </c>
    </row>
    <row r="1120" spans="1:5" x14ac:dyDescent="0.35">
      <c r="A1120">
        <v>0</v>
      </c>
      <c r="B1120">
        <v>0</v>
      </c>
      <c r="C1120">
        <v>0</v>
      </c>
      <c r="D1120">
        <v>0</v>
      </c>
      <c r="E1120">
        <v>0</v>
      </c>
    </row>
    <row r="1121" spans="1:5" x14ac:dyDescent="0.35">
      <c r="A1121">
        <v>0</v>
      </c>
      <c r="B1121">
        <v>0</v>
      </c>
      <c r="C1121">
        <v>0</v>
      </c>
      <c r="D1121">
        <v>0</v>
      </c>
      <c r="E1121">
        <v>0</v>
      </c>
    </row>
    <row r="1122" spans="1:5" x14ac:dyDescent="0.35">
      <c r="A1122">
        <v>0</v>
      </c>
      <c r="B1122">
        <v>0</v>
      </c>
      <c r="C1122">
        <v>0</v>
      </c>
      <c r="D1122">
        <v>0</v>
      </c>
      <c r="E1122">
        <v>0</v>
      </c>
    </row>
    <row r="1123" spans="1:5" x14ac:dyDescent="0.35">
      <c r="A1123">
        <v>0</v>
      </c>
      <c r="B1123">
        <v>0</v>
      </c>
      <c r="C1123">
        <v>0</v>
      </c>
      <c r="D1123">
        <v>0</v>
      </c>
      <c r="E1123">
        <v>0</v>
      </c>
    </row>
    <row r="1124" spans="1:5" x14ac:dyDescent="0.35">
      <c r="A1124">
        <v>0</v>
      </c>
      <c r="B1124">
        <v>0</v>
      </c>
      <c r="C1124">
        <v>0</v>
      </c>
      <c r="D1124">
        <v>0</v>
      </c>
      <c r="E1124">
        <v>0</v>
      </c>
    </row>
    <row r="1125" spans="1:5" x14ac:dyDescent="0.35">
      <c r="A1125">
        <v>0</v>
      </c>
      <c r="B1125">
        <v>0</v>
      </c>
      <c r="C1125">
        <v>0</v>
      </c>
      <c r="D1125">
        <v>0</v>
      </c>
      <c r="E1125">
        <v>0</v>
      </c>
    </row>
    <row r="1126" spans="1:5" x14ac:dyDescent="0.35">
      <c r="A1126">
        <v>0</v>
      </c>
      <c r="B1126">
        <v>0</v>
      </c>
      <c r="C1126">
        <v>0</v>
      </c>
      <c r="D1126">
        <v>0</v>
      </c>
      <c r="E1126">
        <v>0</v>
      </c>
    </row>
    <row r="1127" spans="1:5" x14ac:dyDescent="0.35">
      <c r="A1127">
        <v>0</v>
      </c>
      <c r="B1127">
        <v>0</v>
      </c>
      <c r="C1127">
        <v>0</v>
      </c>
      <c r="D1127">
        <v>0</v>
      </c>
      <c r="E1127">
        <v>0</v>
      </c>
    </row>
    <row r="1128" spans="1:5" x14ac:dyDescent="0.35">
      <c r="A1128">
        <v>0</v>
      </c>
      <c r="B1128">
        <v>0</v>
      </c>
      <c r="C1128">
        <v>0</v>
      </c>
      <c r="D1128">
        <v>0</v>
      </c>
      <c r="E1128">
        <v>0</v>
      </c>
    </row>
    <row r="1129" spans="1:5" x14ac:dyDescent="0.35">
      <c r="A1129">
        <v>0</v>
      </c>
      <c r="B1129">
        <v>0</v>
      </c>
      <c r="C1129">
        <v>0</v>
      </c>
      <c r="D1129">
        <v>0</v>
      </c>
      <c r="E1129">
        <v>0</v>
      </c>
    </row>
    <row r="1130" spans="1:5" x14ac:dyDescent="0.35">
      <c r="A1130">
        <v>0</v>
      </c>
      <c r="B1130">
        <v>0</v>
      </c>
      <c r="C1130">
        <v>0</v>
      </c>
      <c r="D1130">
        <v>0</v>
      </c>
      <c r="E1130">
        <v>0</v>
      </c>
    </row>
    <row r="1131" spans="1:5" x14ac:dyDescent="0.35">
      <c r="A1131">
        <v>0</v>
      </c>
      <c r="B1131">
        <v>0</v>
      </c>
      <c r="C1131">
        <v>0</v>
      </c>
      <c r="D1131">
        <v>0</v>
      </c>
      <c r="E1131">
        <v>0</v>
      </c>
    </row>
    <row r="1132" spans="1:5" x14ac:dyDescent="0.35">
      <c r="A1132">
        <v>0</v>
      </c>
      <c r="B1132">
        <v>0</v>
      </c>
      <c r="C1132">
        <v>0</v>
      </c>
      <c r="D1132">
        <v>0</v>
      </c>
      <c r="E1132">
        <v>0</v>
      </c>
    </row>
    <row r="1133" spans="1:5" x14ac:dyDescent="0.35">
      <c r="A1133">
        <v>0</v>
      </c>
      <c r="B1133">
        <v>0</v>
      </c>
      <c r="C1133">
        <v>0</v>
      </c>
      <c r="D1133">
        <v>0</v>
      </c>
      <c r="E1133">
        <v>0</v>
      </c>
    </row>
    <row r="1134" spans="1:5" x14ac:dyDescent="0.35">
      <c r="A1134">
        <v>0</v>
      </c>
      <c r="B1134">
        <v>0</v>
      </c>
      <c r="C1134">
        <v>0</v>
      </c>
      <c r="D1134">
        <v>0</v>
      </c>
      <c r="E1134">
        <v>0</v>
      </c>
    </row>
    <row r="1135" spans="1:5" x14ac:dyDescent="0.35">
      <c r="A1135">
        <v>0</v>
      </c>
      <c r="B1135">
        <v>0</v>
      </c>
      <c r="C1135">
        <v>0</v>
      </c>
      <c r="D1135">
        <v>0</v>
      </c>
      <c r="E1135">
        <v>0</v>
      </c>
    </row>
    <row r="1136" spans="1:5" x14ac:dyDescent="0.35">
      <c r="A1136">
        <v>0</v>
      </c>
      <c r="B1136">
        <v>0</v>
      </c>
      <c r="C1136">
        <v>0</v>
      </c>
      <c r="D1136">
        <v>0</v>
      </c>
      <c r="E1136">
        <v>0</v>
      </c>
    </row>
    <row r="1137" spans="1:5" x14ac:dyDescent="0.35">
      <c r="A1137">
        <v>0</v>
      </c>
      <c r="B1137">
        <v>0</v>
      </c>
      <c r="C1137">
        <v>0</v>
      </c>
      <c r="D1137">
        <v>0</v>
      </c>
      <c r="E1137">
        <v>0</v>
      </c>
    </row>
    <row r="1138" spans="1:5" x14ac:dyDescent="0.35">
      <c r="A1138">
        <v>0</v>
      </c>
      <c r="B1138">
        <v>0</v>
      </c>
      <c r="C1138">
        <v>0</v>
      </c>
      <c r="D1138">
        <v>0</v>
      </c>
      <c r="E1138">
        <v>0</v>
      </c>
    </row>
    <row r="1139" spans="1:5" x14ac:dyDescent="0.35">
      <c r="A1139">
        <v>0</v>
      </c>
      <c r="B1139">
        <v>0</v>
      </c>
      <c r="C1139">
        <v>0</v>
      </c>
      <c r="D1139">
        <v>0</v>
      </c>
      <c r="E1139">
        <v>0</v>
      </c>
    </row>
    <row r="1140" spans="1:5" x14ac:dyDescent="0.35">
      <c r="A1140">
        <v>0</v>
      </c>
      <c r="B1140">
        <v>0</v>
      </c>
      <c r="C1140">
        <v>0</v>
      </c>
      <c r="D1140">
        <v>0</v>
      </c>
      <c r="E1140">
        <v>0</v>
      </c>
    </row>
    <row r="1141" spans="1:5" x14ac:dyDescent="0.35">
      <c r="A1141">
        <v>0</v>
      </c>
      <c r="B1141">
        <v>0</v>
      </c>
      <c r="C1141">
        <v>0</v>
      </c>
      <c r="D1141">
        <v>0</v>
      </c>
      <c r="E1141">
        <v>0</v>
      </c>
    </row>
    <row r="1142" spans="1:5" x14ac:dyDescent="0.35">
      <c r="A1142">
        <v>0</v>
      </c>
      <c r="B1142">
        <v>0</v>
      </c>
      <c r="C1142">
        <v>0</v>
      </c>
      <c r="D1142">
        <v>0</v>
      </c>
      <c r="E1142">
        <v>0</v>
      </c>
    </row>
    <row r="1143" spans="1:5" x14ac:dyDescent="0.35">
      <c r="A1143">
        <v>0</v>
      </c>
      <c r="B1143">
        <v>0</v>
      </c>
      <c r="C1143">
        <v>0</v>
      </c>
      <c r="D1143">
        <v>0</v>
      </c>
      <c r="E1143">
        <v>0</v>
      </c>
    </row>
    <row r="1144" spans="1:5" x14ac:dyDescent="0.35">
      <c r="A1144">
        <v>0</v>
      </c>
      <c r="B1144">
        <v>0</v>
      </c>
      <c r="C1144">
        <v>0</v>
      </c>
      <c r="D1144">
        <v>0</v>
      </c>
      <c r="E1144">
        <v>0</v>
      </c>
    </row>
    <row r="1145" spans="1:5" x14ac:dyDescent="0.35">
      <c r="A1145">
        <v>0</v>
      </c>
      <c r="B1145">
        <v>0</v>
      </c>
      <c r="C1145">
        <v>0</v>
      </c>
      <c r="D1145">
        <v>0</v>
      </c>
      <c r="E1145">
        <v>0</v>
      </c>
    </row>
    <row r="1146" spans="1:5" x14ac:dyDescent="0.35">
      <c r="A1146">
        <v>0</v>
      </c>
      <c r="B1146">
        <v>0</v>
      </c>
      <c r="C1146">
        <v>0</v>
      </c>
      <c r="D1146">
        <v>0</v>
      </c>
      <c r="E1146">
        <v>0</v>
      </c>
    </row>
    <row r="1147" spans="1:5" x14ac:dyDescent="0.35">
      <c r="A1147">
        <v>0</v>
      </c>
      <c r="B1147">
        <v>0</v>
      </c>
      <c r="C1147">
        <v>0</v>
      </c>
      <c r="D1147">
        <v>0</v>
      </c>
      <c r="E1147">
        <v>0</v>
      </c>
    </row>
    <row r="1148" spans="1:5" x14ac:dyDescent="0.35">
      <c r="A1148">
        <v>0</v>
      </c>
      <c r="B1148">
        <v>0</v>
      </c>
      <c r="C1148">
        <v>0</v>
      </c>
      <c r="D1148">
        <v>0</v>
      </c>
      <c r="E1148">
        <v>0</v>
      </c>
    </row>
    <row r="1149" spans="1:5" x14ac:dyDescent="0.35">
      <c r="A1149">
        <v>0</v>
      </c>
      <c r="B1149">
        <v>0</v>
      </c>
      <c r="C1149">
        <v>0</v>
      </c>
      <c r="D1149">
        <v>0</v>
      </c>
      <c r="E1149">
        <v>0</v>
      </c>
    </row>
    <row r="1150" spans="1:5" x14ac:dyDescent="0.35">
      <c r="A1150">
        <v>0</v>
      </c>
      <c r="B1150">
        <v>0</v>
      </c>
      <c r="C1150">
        <v>0</v>
      </c>
      <c r="D1150">
        <v>0</v>
      </c>
      <c r="E1150">
        <v>0</v>
      </c>
    </row>
    <row r="1151" spans="1:5" x14ac:dyDescent="0.35">
      <c r="A1151">
        <v>0</v>
      </c>
      <c r="B1151">
        <v>0</v>
      </c>
      <c r="C1151">
        <v>0</v>
      </c>
      <c r="D1151">
        <v>0</v>
      </c>
      <c r="E1151">
        <v>0</v>
      </c>
    </row>
    <row r="1152" spans="1:5" x14ac:dyDescent="0.35">
      <c r="A1152">
        <v>0</v>
      </c>
      <c r="B1152">
        <v>0</v>
      </c>
      <c r="C1152">
        <v>0</v>
      </c>
      <c r="D1152">
        <v>0</v>
      </c>
      <c r="E1152">
        <v>0</v>
      </c>
    </row>
    <row r="1153" spans="1:5" x14ac:dyDescent="0.35">
      <c r="A1153">
        <v>0</v>
      </c>
      <c r="B1153">
        <v>0</v>
      </c>
      <c r="C1153">
        <v>0</v>
      </c>
      <c r="D1153">
        <v>0</v>
      </c>
      <c r="E1153">
        <v>0</v>
      </c>
    </row>
    <row r="1154" spans="1:5" x14ac:dyDescent="0.35">
      <c r="A1154">
        <v>0</v>
      </c>
      <c r="B1154">
        <v>0</v>
      </c>
      <c r="C1154">
        <v>0</v>
      </c>
      <c r="D1154">
        <v>0</v>
      </c>
      <c r="E1154">
        <v>0</v>
      </c>
    </row>
    <row r="1155" spans="1:5" x14ac:dyDescent="0.35">
      <c r="A1155">
        <v>0</v>
      </c>
      <c r="B1155">
        <v>0</v>
      </c>
      <c r="C1155">
        <v>0</v>
      </c>
      <c r="D1155">
        <v>0</v>
      </c>
      <c r="E1155">
        <v>0</v>
      </c>
    </row>
    <row r="1156" spans="1:5" x14ac:dyDescent="0.35">
      <c r="A1156">
        <v>0</v>
      </c>
      <c r="B1156">
        <v>0</v>
      </c>
      <c r="C1156">
        <v>0</v>
      </c>
      <c r="D1156">
        <v>0</v>
      </c>
      <c r="E1156">
        <v>0</v>
      </c>
    </row>
    <row r="1157" spans="1:5" x14ac:dyDescent="0.35">
      <c r="A1157">
        <v>0</v>
      </c>
      <c r="B1157">
        <v>0</v>
      </c>
      <c r="C1157">
        <v>0</v>
      </c>
      <c r="D1157">
        <v>0</v>
      </c>
      <c r="E1157">
        <v>0</v>
      </c>
    </row>
    <row r="1158" spans="1:5" x14ac:dyDescent="0.35">
      <c r="A1158">
        <v>0</v>
      </c>
      <c r="B1158">
        <v>0</v>
      </c>
      <c r="C1158">
        <v>0</v>
      </c>
      <c r="D1158">
        <v>0</v>
      </c>
      <c r="E1158">
        <v>0</v>
      </c>
    </row>
    <row r="1159" spans="1:5" x14ac:dyDescent="0.35">
      <c r="A1159">
        <v>0</v>
      </c>
      <c r="B1159">
        <v>0</v>
      </c>
      <c r="C1159">
        <v>0</v>
      </c>
      <c r="D1159">
        <v>0</v>
      </c>
      <c r="E1159">
        <v>0</v>
      </c>
    </row>
    <row r="1160" spans="1:5" x14ac:dyDescent="0.35">
      <c r="A1160">
        <v>0</v>
      </c>
      <c r="B1160">
        <v>0</v>
      </c>
      <c r="C1160">
        <v>0</v>
      </c>
      <c r="D1160">
        <v>0</v>
      </c>
      <c r="E1160">
        <v>0</v>
      </c>
    </row>
    <row r="1161" spans="1:5" x14ac:dyDescent="0.35">
      <c r="A1161">
        <v>0</v>
      </c>
      <c r="B1161">
        <v>0</v>
      </c>
      <c r="C1161">
        <v>0</v>
      </c>
      <c r="D1161">
        <v>0</v>
      </c>
      <c r="E1161">
        <v>0</v>
      </c>
    </row>
    <row r="1162" spans="1:5" x14ac:dyDescent="0.35">
      <c r="A1162">
        <v>0</v>
      </c>
      <c r="B1162">
        <v>0</v>
      </c>
      <c r="C1162">
        <v>0</v>
      </c>
      <c r="D1162">
        <v>0</v>
      </c>
      <c r="E1162">
        <v>0</v>
      </c>
    </row>
    <row r="1163" spans="1:5" x14ac:dyDescent="0.35">
      <c r="A1163">
        <v>0</v>
      </c>
      <c r="B1163">
        <v>0</v>
      </c>
      <c r="C1163">
        <v>0</v>
      </c>
      <c r="D1163">
        <v>0</v>
      </c>
      <c r="E1163">
        <v>0</v>
      </c>
    </row>
    <row r="1164" spans="1:5" x14ac:dyDescent="0.35">
      <c r="A1164">
        <v>0</v>
      </c>
      <c r="B1164">
        <v>0</v>
      </c>
      <c r="C1164">
        <v>0</v>
      </c>
      <c r="D1164">
        <v>0</v>
      </c>
      <c r="E1164">
        <v>0</v>
      </c>
    </row>
    <row r="1165" spans="1:5" x14ac:dyDescent="0.35">
      <c r="A1165">
        <v>0</v>
      </c>
      <c r="B1165">
        <v>0</v>
      </c>
      <c r="C1165">
        <v>0</v>
      </c>
      <c r="D1165">
        <v>0</v>
      </c>
      <c r="E1165">
        <v>0</v>
      </c>
    </row>
    <row r="1166" spans="1:5" x14ac:dyDescent="0.35">
      <c r="A1166">
        <v>0</v>
      </c>
      <c r="B1166">
        <v>0</v>
      </c>
      <c r="C1166">
        <v>0</v>
      </c>
      <c r="D1166">
        <v>0</v>
      </c>
      <c r="E1166">
        <v>0</v>
      </c>
    </row>
    <row r="1167" spans="1:5" x14ac:dyDescent="0.35">
      <c r="A1167">
        <v>0</v>
      </c>
      <c r="B1167">
        <v>0</v>
      </c>
      <c r="C1167">
        <v>0</v>
      </c>
      <c r="D1167">
        <v>0</v>
      </c>
      <c r="E1167">
        <v>0</v>
      </c>
    </row>
    <row r="1168" spans="1:5" x14ac:dyDescent="0.35">
      <c r="A1168">
        <v>0</v>
      </c>
      <c r="B1168">
        <v>0</v>
      </c>
      <c r="C1168">
        <v>0</v>
      </c>
      <c r="D1168">
        <v>0</v>
      </c>
      <c r="E1168">
        <v>0</v>
      </c>
    </row>
    <row r="1169" spans="1:5" x14ac:dyDescent="0.35">
      <c r="A1169">
        <v>0</v>
      </c>
      <c r="B1169">
        <v>0</v>
      </c>
      <c r="C1169">
        <v>0</v>
      </c>
      <c r="D1169">
        <v>0</v>
      </c>
      <c r="E1169">
        <v>0</v>
      </c>
    </row>
    <row r="1170" spans="1:5" x14ac:dyDescent="0.35">
      <c r="A1170">
        <v>0</v>
      </c>
      <c r="B1170">
        <v>0</v>
      </c>
      <c r="C1170">
        <v>0</v>
      </c>
      <c r="D1170">
        <v>0</v>
      </c>
      <c r="E1170">
        <v>0</v>
      </c>
    </row>
    <row r="1171" spans="1:5" x14ac:dyDescent="0.35">
      <c r="A1171">
        <v>0</v>
      </c>
      <c r="B1171">
        <v>0</v>
      </c>
      <c r="C1171">
        <v>0</v>
      </c>
      <c r="D1171">
        <v>0</v>
      </c>
      <c r="E1171">
        <v>0</v>
      </c>
    </row>
    <row r="1172" spans="1:5" x14ac:dyDescent="0.35">
      <c r="A1172">
        <v>0</v>
      </c>
      <c r="B1172">
        <v>0</v>
      </c>
      <c r="C1172">
        <v>0</v>
      </c>
      <c r="D1172">
        <v>0</v>
      </c>
      <c r="E1172">
        <v>0</v>
      </c>
    </row>
    <row r="1173" spans="1:5" x14ac:dyDescent="0.35">
      <c r="A1173">
        <v>0</v>
      </c>
      <c r="B1173">
        <v>0</v>
      </c>
      <c r="C1173">
        <v>0</v>
      </c>
      <c r="D1173">
        <v>0</v>
      </c>
      <c r="E1173">
        <v>0</v>
      </c>
    </row>
    <row r="1174" spans="1:5" x14ac:dyDescent="0.35">
      <c r="A1174">
        <v>0</v>
      </c>
      <c r="B1174">
        <v>0</v>
      </c>
      <c r="C1174">
        <v>0</v>
      </c>
      <c r="D1174">
        <v>0</v>
      </c>
      <c r="E1174">
        <v>0</v>
      </c>
    </row>
    <row r="1175" spans="1:5" x14ac:dyDescent="0.35">
      <c r="A1175">
        <v>0</v>
      </c>
      <c r="B1175">
        <v>0</v>
      </c>
      <c r="C1175">
        <v>0</v>
      </c>
      <c r="D1175">
        <v>0</v>
      </c>
      <c r="E1175">
        <v>0</v>
      </c>
    </row>
    <row r="1176" spans="1:5" x14ac:dyDescent="0.35">
      <c r="A1176">
        <v>0</v>
      </c>
      <c r="B1176">
        <v>0</v>
      </c>
      <c r="C1176">
        <v>0</v>
      </c>
      <c r="D1176">
        <v>0</v>
      </c>
      <c r="E1176">
        <v>0</v>
      </c>
    </row>
    <row r="1177" spans="1:5" x14ac:dyDescent="0.35">
      <c r="A1177">
        <v>0</v>
      </c>
      <c r="B1177">
        <v>0</v>
      </c>
      <c r="C1177">
        <v>0</v>
      </c>
      <c r="D1177">
        <v>0</v>
      </c>
      <c r="E1177">
        <v>0</v>
      </c>
    </row>
    <row r="1178" spans="1:5" x14ac:dyDescent="0.35">
      <c r="A1178">
        <v>0</v>
      </c>
      <c r="B1178">
        <v>0</v>
      </c>
      <c r="C1178">
        <v>0</v>
      </c>
      <c r="D1178">
        <v>0</v>
      </c>
      <c r="E1178">
        <v>0</v>
      </c>
    </row>
    <row r="1179" spans="1:5" x14ac:dyDescent="0.35">
      <c r="A1179">
        <v>0</v>
      </c>
      <c r="B1179">
        <v>0</v>
      </c>
      <c r="C1179">
        <v>0</v>
      </c>
      <c r="D1179">
        <v>0</v>
      </c>
      <c r="E1179">
        <v>0</v>
      </c>
    </row>
    <row r="1180" spans="1:5" x14ac:dyDescent="0.35">
      <c r="A1180">
        <v>0</v>
      </c>
      <c r="B1180">
        <v>0</v>
      </c>
      <c r="C1180">
        <v>0</v>
      </c>
      <c r="D1180">
        <v>0</v>
      </c>
      <c r="E1180">
        <v>0</v>
      </c>
    </row>
    <row r="1181" spans="1:5" x14ac:dyDescent="0.35">
      <c r="A1181">
        <v>0</v>
      </c>
      <c r="B1181">
        <v>0</v>
      </c>
      <c r="C1181">
        <v>0</v>
      </c>
      <c r="D1181">
        <v>0</v>
      </c>
      <c r="E1181">
        <v>0</v>
      </c>
    </row>
    <row r="1182" spans="1:5" x14ac:dyDescent="0.35">
      <c r="A1182">
        <v>0</v>
      </c>
      <c r="B1182">
        <v>0</v>
      </c>
      <c r="C1182">
        <v>0</v>
      </c>
      <c r="D1182">
        <v>0</v>
      </c>
      <c r="E1182">
        <v>0</v>
      </c>
    </row>
    <row r="1183" spans="1:5" x14ac:dyDescent="0.35">
      <c r="A1183">
        <v>0</v>
      </c>
      <c r="B1183">
        <v>0</v>
      </c>
      <c r="C1183">
        <v>0</v>
      </c>
      <c r="D1183">
        <v>0</v>
      </c>
      <c r="E1183">
        <v>0</v>
      </c>
    </row>
    <row r="1184" spans="1:5" x14ac:dyDescent="0.35">
      <c r="A1184">
        <v>0</v>
      </c>
      <c r="B1184">
        <v>0</v>
      </c>
      <c r="C1184">
        <v>0</v>
      </c>
      <c r="D1184">
        <v>0</v>
      </c>
      <c r="E1184">
        <v>0</v>
      </c>
    </row>
    <row r="1185" spans="1:5" x14ac:dyDescent="0.35">
      <c r="A1185">
        <v>0</v>
      </c>
      <c r="B1185">
        <v>0</v>
      </c>
      <c r="C1185">
        <v>0</v>
      </c>
      <c r="D1185">
        <v>0</v>
      </c>
      <c r="E1185">
        <v>0</v>
      </c>
    </row>
    <row r="1186" spans="1:5" x14ac:dyDescent="0.35">
      <c r="A1186">
        <v>0</v>
      </c>
      <c r="B1186">
        <v>0</v>
      </c>
      <c r="C1186">
        <v>0</v>
      </c>
      <c r="D1186">
        <v>0</v>
      </c>
      <c r="E1186">
        <v>0</v>
      </c>
    </row>
    <row r="1187" spans="1:5" x14ac:dyDescent="0.35">
      <c r="A1187">
        <v>0</v>
      </c>
      <c r="B1187">
        <v>0</v>
      </c>
      <c r="C1187">
        <v>0</v>
      </c>
      <c r="D1187">
        <v>0</v>
      </c>
      <c r="E1187">
        <v>0</v>
      </c>
    </row>
    <row r="1188" spans="1:5" x14ac:dyDescent="0.35">
      <c r="A1188">
        <v>0</v>
      </c>
      <c r="B1188">
        <v>0</v>
      </c>
      <c r="C1188">
        <v>0</v>
      </c>
      <c r="D1188">
        <v>0</v>
      </c>
      <c r="E1188">
        <v>0</v>
      </c>
    </row>
    <row r="1189" spans="1:5" x14ac:dyDescent="0.35">
      <c r="A1189">
        <v>0</v>
      </c>
      <c r="B1189">
        <v>0</v>
      </c>
      <c r="C1189">
        <v>0</v>
      </c>
      <c r="D1189">
        <v>0</v>
      </c>
      <c r="E1189">
        <v>0</v>
      </c>
    </row>
    <row r="1190" spans="1:5" x14ac:dyDescent="0.35">
      <c r="A1190">
        <v>0</v>
      </c>
      <c r="B1190">
        <v>0</v>
      </c>
      <c r="C1190">
        <v>0</v>
      </c>
      <c r="D1190">
        <v>0</v>
      </c>
      <c r="E1190">
        <v>0</v>
      </c>
    </row>
    <row r="1191" spans="1:5" x14ac:dyDescent="0.35">
      <c r="A1191">
        <v>0</v>
      </c>
      <c r="B1191">
        <v>0</v>
      </c>
      <c r="C1191">
        <v>0</v>
      </c>
      <c r="D1191">
        <v>0</v>
      </c>
      <c r="E1191">
        <v>0</v>
      </c>
    </row>
    <row r="1192" spans="1:5" x14ac:dyDescent="0.35">
      <c r="A1192">
        <v>0</v>
      </c>
      <c r="B1192">
        <v>0</v>
      </c>
      <c r="C1192">
        <v>0</v>
      </c>
      <c r="D1192">
        <v>0</v>
      </c>
      <c r="E1192">
        <v>0</v>
      </c>
    </row>
    <row r="1193" spans="1:5" x14ac:dyDescent="0.35">
      <c r="A1193">
        <v>0</v>
      </c>
      <c r="B1193">
        <v>0</v>
      </c>
      <c r="C1193">
        <v>0</v>
      </c>
      <c r="D1193">
        <v>0</v>
      </c>
      <c r="E1193">
        <v>0</v>
      </c>
    </row>
    <row r="1194" spans="1:5" x14ac:dyDescent="0.35">
      <c r="A1194">
        <v>0</v>
      </c>
      <c r="B1194">
        <v>0</v>
      </c>
      <c r="C1194">
        <v>0</v>
      </c>
      <c r="D1194">
        <v>0</v>
      </c>
      <c r="E1194">
        <v>0</v>
      </c>
    </row>
    <row r="1195" spans="1:5" x14ac:dyDescent="0.35">
      <c r="A1195">
        <v>0</v>
      </c>
      <c r="B1195">
        <v>0</v>
      </c>
      <c r="C1195">
        <v>0</v>
      </c>
      <c r="D1195">
        <v>0</v>
      </c>
      <c r="E1195">
        <v>0</v>
      </c>
    </row>
    <row r="1196" spans="1:5" x14ac:dyDescent="0.35">
      <c r="A1196">
        <v>0</v>
      </c>
      <c r="B1196">
        <v>0</v>
      </c>
      <c r="C1196">
        <v>0</v>
      </c>
      <c r="D1196">
        <v>0</v>
      </c>
      <c r="E1196">
        <v>0</v>
      </c>
    </row>
    <row r="1197" spans="1:5" x14ac:dyDescent="0.35">
      <c r="A1197">
        <v>0</v>
      </c>
      <c r="B1197">
        <v>0</v>
      </c>
      <c r="C1197">
        <v>0</v>
      </c>
      <c r="D1197">
        <v>0</v>
      </c>
      <c r="E1197">
        <v>0</v>
      </c>
    </row>
    <row r="1198" spans="1:5" x14ac:dyDescent="0.35">
      <c r="A1198">
        <v>0</v>
      </c>
      <c r="B1198">
        <v>0</v>
      </c>
      <c r="C1198">
        <v>0</v>
      </c>
      <c r="D1198">
        <v>0</v>
      </c>
      <c r="E1198">
        <v>0</v>
      </c>
    </row>
    <row r="1199" spans="1:5" x14ac:dyDescent="0.35">
      <c r="A1199">
        <v>0</v>
      </c>
      <c r="B1199">
        <v>0</v>
      </c>
      <c r="C1199">
        <v>0</v>
      </c>
      <c r="D1199">
        <v>0</v>
      </c>
      <c r="E1199">
        <v>0</v>
      </c>
    </row>
    <row r="1200" spans="1:5" x14ac:dyDescent="0.35">
      <c r="A1200">
        <v>0</v>
      </c>
      <c r="B1200">
        <v>0</v>
      </c>
      <c r="C1200">
        <v>0</v>
      </c>
      <c r="D1200">
        <v>0</v>
      </c>
      <c r="E1200">
        <v>0</v>
      </c>
    </row>
    <row r="1201" spans="1:5" x14ac:dyDescent="0.35">
      <c r="A1201">
        <v>0</v>
      </c>
      <c r="B1201">
        <v>0</v>
      </c>
      <c r="C1201">
        <v>0</v>
      </c>
      <c r="D1201">
        <v>0</v>
      </c>
      <c r="E1201">
        <v>0</v>
      </c>
    </row>
    <row r="1202" spans="1:5" x14ac:dyDescent="0.35">
      <c r="A1202">
        <v>0</v>
      </c>
      <c r="B1202">
        <v>0</v>
      </c>
      <c r="C1202">
        <v>0</v>
      </c>
      <c r="D1202">
        <v>0</v>
      </c>
      <c r="E1202">
        <v>0</v>
      </c>
    </row>
    <row r="1203" spans="1:5" x14ac:dyDescent="0.35">
      <c r="A1203">
        <v>0</v>
      </c>
      <c r="B1203">
        <v>0</v>
      </c>
      <c r="C1203">
        <v>0</v>
      </c>
      <c r="D1203">
        <v>0</v>
      </c>
      <c r="E1203">
        <v>0</v>
      </c>
    </row>
    <row r="1204" spans="1:5" x14ac:dyDescent="0.35">
      <c r="A1204">
        <v>0</v>
      </c>
      <c r="B1204">
        <v>0</v>
      </c>
      <c r="C1204">
        <v>0</v>
      </c>
      <c r="D1204">
        <v>0</v>
      </c>
      <c r="E1204">
        <v>0</v>
      </c>
    </row>
    <row r="1205" spans="1:5" x14ac:dyDescent="0.35">
      <c r="A1205">
        <v>0</v>
      </c>
      <c r="B1205">
        <v>0</v>
      </c>
      <c r="C1205">
        <v>0</v>
      </c>
      <c r="D1205">
        <v>0</v>
      </c>
      <c r="E1205">
        <v>0</v>
      </c>
    </row>
    <row r="1206" spans="1:5" x14ac:dyDescent="0.35">
      <c r="A1206">
        <v>0</v>
      </c>
      <c r="B1206">
        <v>0</v>
      </c>
      <c r="C1206">
        <v>0</v>
      </c>
      <c r="D1206">
        <v>0</v>
      </c>
      <c r="E1206">
        <v>0</v>
      </c>
    </row>
    <row r="1207" spans="1:5" x14ac:dyDescent="0.35">
      <c r="A1207">
        <v>0</v>
      </c>
      <c r="B1207">
        <v>0</v>
      </c>
      <c r="C1207">
        <v>0</v>
      </c>
      <c r="D1207">
        <v>0</v>
      </c>
      <c r="E1207">
        <v>0</v>
      </c>
    </row>
    <row r="1208" spans="1:5" x14ac:dyDescent="0.35">
      <c r="A1208">
        <v>0</v>
      </c>
      <c r="B1208">
        <v>0</v>
      </c>
      <c r="C1208">
        <v>0</v>
      </c>
      <c r="D1208">
        <v>0</v>
      </c>
      <c r="E1208">
        <v>0</v>
      </c>
    </row>
    <row r="1209" spans="1:5" x14ac:dyDescent="0.35">
      <c r="A1209">
        <v>0</v>
      </c>
      <c r="B1209">
        <v>0</v>
      </c>
      <c r="C1209">
        <v>0</v>
      </c>
      <c r="D1209">
        <v>0</v>
      </c>
      <c r="E1209">
        <v>0</v>
      </c>
    </row>
    <row r="1210" spans="1:5" x14ac:dyDescent="0.35">
      <c r="A1210">
        <v>0</v>
      </c>
      <c r="B1210">
        <v>0</v>
      </c>
      <c r="C1210">
        <v>0</v>
      </c>
      <c r="D1210">
        <v>0</v>
      </c>
      <c r="E1210">
        <v>0</v>
      </c>
    </row>
    <row r="1211" spans="1:5" x14ac:dyDescent="0.35">
      <c r="A1211">
        <v>0</v>
      </c>
      <c r="B1211">
        <v>0</v>
      </c>
      <c r="C1211">
        <v>0</v>
      </c>
      <c r="D1211">
        <v>0</v>
      </c>
      <c r="E1211">
        <v>0</v>
      </c>
    </row>
    <row r="1212" spans="1:5" x14ac:dyDescent="0.35">
      <c r="A1212">
        <v>0</v>
      </c>
      <c r="B1212">
        <v>0</v>
      </c>
      <c r="C1212">
        <v>0</v>
      </c>
      <c r="D1212">
        <v>0</v>
      </c>
      <c r="E1212">
        <v>0</v>
      </c>
    </row>
    <row r="1213" spans="1:5" x14ac:dyDescent="0.35">
      <c r="A1213">
        <v>0</v>
      </c>
      <c r="B1213">
        <v>0</v>
      </c>
      <c r="C1213">
        <v>0</v>
      </c>
      <c r="D1213">
        <v>0</v>
      </c>
      <c r="E1213">
        <v>0</v>
      </c>
    </row>
    <row r="1214" spans="1:5" x14ac:dyDescent="0.35">
      <c r="A1214">
        <v>0</v>
      </c>
      <c r="B1214">
        <v>0</v>
      </c>
      <c r="C1214">
        <v>0</v>
      </c>
      <c r="D1214">
        <v>0</v>
      </c>
      <c r="E1214">
        <v>0</v>
      </c>
    </row>
    <row r="1215" spans="1:5" x14ac:dyDescent="0.35">
      <c r="A1215">
        <v>0</v>
      </c>
      <c r="B1215">
        <v>0</v>
      </c>
      <c r="C1215">
        <v>0</v>
      </c>
      <c r="D1215">
        <v>0</v>
      </c>
      <c r="E1215">
        <v>0</v>
      </c>
    </row>
    <row r="1216" spans="1:5" x14ac:dyDescent="0.35">
      <c r="A1216">
        <v>0</v>
      </c>
      <c r="B1216">
        <v>0</v>
      </c>
      <c r="C1216">
        <v>0</v>
      </c>
      <c r="D1216">
        <v>0</v>
      </c>
      <c r="E1216">
        <v>0</v>
      </c>
    </row>
    <row r="1217" spans="1:5" x14ac:dyDescent="0.35">
      <c r="A1217">
        <v>0</v>
      </c>
      <c r="B1217">
        <v>0</v>
      </c>
      <c r="C1217">
        <v>0</v>
      </c>
      <c r="D1217">
        <v>0</v>
      </c>
      <c r="E1217">
        <v>0</v>
      </c>
    </row>
    <row r="1218" spans="1:5" x14ac:dyDescent="0.35">
      <c r="A1218">
        <v>0</v>
      </c>
      <c r="B1218">
        <v>0</v>
      </c>
      <c r="C1218">
        <v>0</v>
      </c>
      <c r="D1218">
        <v>0</v>
      </c>
      <c r="E1218">
        <v>0</v>
      </c>
    </row>
    <row r="1219" spans="1:5" x14ac:dyDescent="0.35">
      <c r="A1219">
        <v>0</v>
      </c>
      <c r="B1219">
        <v>0</v>
      </c>
      <c r="C1219">
        <v>0</v>
      </c>
      <c r="D1219">
        <v>0</v>
      </c>
      <c r="E1219">
        <v>0</v>
      </c>
    </row>
    <row r="1220" spans="1:5" x14ac:dyDescent="0.35">
      <c r="A1220">
        <v>0</v>
      </c>
      <c r="B1220">
        <v>0</v>
      </c>
      <c r="C1220">
        <v>0</v>
      </c>
      <c r="D1220">
        <v>0</v>
      </c>
      <c r="E1220">
        <v>0</v>
      </c>
    </row>
    <row r="1221" spans="1:5" x14ac:dyDescent="0.35">
      <c r="A1221">
        <v>0</v>
      </c>
      <c r="B1221">
        <v>0</v>
      </c>
      <c r="C1221">
        <v>0</v>
      </c>
      <c r="D1221">
        <v>0</v>
      </c>
      <c r="E1221">
        <v>0</v>
      </c>
    </row>
    <row r="1222" spans="1:5" x14ac:dyDescent="0.35">
      <c r="A1222">
        <v>0</v>
      </c>
      <c r="B1222">
        <v>0</v>
      </c>
      <c r="C1222">
        <v>0</v>
      </c>
      <c r="D1222">
        <v>0</v>
      </c>
      <c r="E1222">
        <v>0</v>
      </c>
    </row>
    <row r="1223" spans="1:5" x14ac:dyDescent="0.35">
      <c r="A1223">
        <v>0</v>
      </c>
      <c r="B1223">
        <v>0</v>
      </c>
      <c r="C1223">
        <v>0</v>
      </c>
      <c r="D1223">
        <v>0</v>
      </c>
      <c r="E1223">
        <v>0</v>
      </c>
    </row>
    <row r="1224" spans="1:5" x14ac:dyDescent="0.35">
      <c r="A1224">
        <v>0</v>
      </c>
      <c r="B1224">
        <v>0</v>
      </c>
      <c r="C1224">
        <v>0</v>
      </c>
      <c r="D1224">
        <v>0</v>
      </c>
      <c r="E1224">
        <v>0</v>
      </c>
    </row>
    <row r="1225" spans="1:5" x14ac:dyDescent="0.35">
      <c r="A1225">
        <v>0</v>
      </c>
      <c r="B1225">
        <v>0</v>
      </c>
      <c r="C1225">
        <v>0</v>
      </c>
      <c r="D1225">
        <v>0</v>
      </c>
      <c r="E1225">
        <v>0</v>
      </c>
    </row>
    <row r="1226" spans="1:5" x14ac:dyDescent="0.35">
      <c r="A1226">
        <v>0</v>
      </c>
      <c r="B1226">
        <v>0</v>
      </c>
      <c r="C1226">
        <v>0</v>
      </c>
      <c r="D1226">
        <v>0</v>
      </c>
      <c r="E1226">
        <v>0</v>
      </c>
    </row>
    <row r="1227" spans="1:5" x14ac:dyDescent="0.35">
      <c r="A1227">
        <v>0</v>
      </c>
      <c r="B1227">
        <v>0</v>
      </c>
      <c r="C1227">
        <v>0</v>
      </c>
      <c r="D1227">
        <v>0</v>
      </c>
      <c r="E1227">
        <v>0</v>
      </c>
    </row>
    <row r="1228" spans="1:5" x14ac:dyDescent="0.35">
      <c r="A1228">
        <v>0</v>
      </c>
      <c r="B1228">
        <v>0</v>
      </c>
      <c r="C1228">
        <v>0</v>
      </c>
      <c r="D1228">
        <v>0</v>
      </c>
      <c r="E1228">
        <v>0</v>
      </c>
    </row>
    <row r="1229" spans="1:5" x14ac:dyDescent="0.35">
      <c r="A1229">
        <v>0</v>
      </c>
      <c r="B1229">
        <v>0</v>
      </c>
      <c r="C1229">
        <v>0</v>
      </c>
      <c r="D1229">
        <v>0</v>
      </c>
      <c r="E1229">
        <v>0</v>
      </c>
    </row>
    <row r="1230" spans="1:5" x14ac:dyDescent="0.35">
      <c r="A1230">
        <v>0</v>
      </c>
      <c r="B1230">
        <v>0</v>
      </c>
      <c r="C1230">
        <v>0</v>
      </c>
      <c r="D1230">
        <v>0</v>
      </c>
      <c r="E1230">
        <v>0</v>
      </c>
    </row>
    <row r="1231" spans="1:5" x14ac:dyDescent="0.35">
      <c r="A1231">
        <v>0</v>
      </c>
      <c r="B1231">
        <v>0</v>
      </c>
      <c r="C1231">
        <v>0</v>
      </c>
      <c r="D1231">
        <v>0</v>
      </c>
      <c r="E1231">
        <v>0</v>
      </c>
    </row>
    <row r="1232" spans="1:5" x14ac:dyDescent="0.35">
      <c r="A1232">
        <v>0</v>
      </c>
      <c r="B1232">
        <v>0</v>
      </c>
      <c r="C1232">
        <v>0</v>
      </c>
      <c r="D1232">
        <v>0</v>
      </c>
      <c r="E1232">
        <v>0</v>
      </c>
    </row>
    <row r="1233" spans="1:5" x14ac:dyDescent="0.35">
      <c r="A1233">
        <v>0</v>
      </c>
      <c r="B1233">
        <v>0</v>
      </c>
      <c r="C1233">
        <v>0</v>
      </c>
      <c r="D1233">
        <v>0</v>
      </c>
      <c r="E1233">
        <v>0</v>
      </c>
    </row>
    <row r="1234" spans="1:5" x14ac:dyDescent="0.35">
      <c r="A1234">
        <v>0</v>
      </c>
      <c r="B1234">
        <v>0</v>
      </c>
      <c r="C1234">
        <v>0</v>
      </c>
      <c r="D1234">
        <v>0</v>
      </c>
      <c r="E1234">
        <v>0</v>
      </c>
    </row>
    <row r="1235" spans="1:5" x14ac:dyDescent="0.35">
      <c r="A1235">
        <v>0</v>
      </c>
      <c r="B1235">
        <v>0</v>
      </c>
      <c r="C1235">
        <v>0</v>
      </c>
      <c r="D1235">
        <v>0</v>
      </c>
      <c r="E1235">
        <v>0</v>
      </c>
    </row>
    <row r="1236" spans="1:5" x14ac:dyDescent="0.35">
      <c r="A1236">
        <v>0</v>
      </c>
      <c r="B1236">
        <v>0</v>
      </c>
      <c r="C1236">
        <v>0</v>
      </c>
      <c r="D1236">
        <v>0</v>
      </c>
      <c r="E1236">
        <v>0</v>
      </c>
    </row>
    <row r="1237" spans="1:5" x14ac:dyDescent="0.35">
      <c r="A1237">
        <v>0</v>
      </c>
      <c r="B1237">
        <v>0</v>
      </c>
      <c r="C1237">
        <v>0</v>
      </c>
      <c r="D1237">
        <v>0</v>
      </c>
      <c r="E1237">
        <v>0</v>
      </c>
    </row>
    <row r="1238" spans="1:5" x14ac:dyDescent="0.35">
      <c r="A1238">
        <v>0</v>
      </c>
      <c r="B1238">
        <v>0</v>
      </c>
      <c r="C1238">
        <v>0</v>
      </c>
      <c r="D1238">
        <v>0</v>
      </c>
      <c r="E1238">
        <v>0</v>
      </c>
    </row>
    <row r="1239" spans="1:5" x14ac:dyDescent="0.35">
      <c r="A1239">
        <v>0</v>
      </c>
      <c r="B1239">
        <v>0</v>
      </c>
      <c r="C1239">
        <v>0</v>
      </c>
      <c r="D1239">
        <v>0</v>
      </c>
      <c r="E1239">
        <v>0</v>
      </c>
    </row>
    <row r="1240" spans="1:5" x14ac:dyDescent="0.35">
      <c r="A1240">
        <v>0</v>
      </c>
      <c r="B1240">
        <v>0</v>
      </c>
      <c r="C1240">
        <v>0</v>
      </c>
      <c r="D1240">
        <v>0</v>
      </c>
      <c r="E1240">
        <v>0</v>
      </c>
    </row>
    <row r="1241" spans="1:5" x14ac:dyDescent="0.35">
      <c r="A1241">
        <v>0</v>
      </c>
      <c r="B1241">
        <v>0</v>
      </c>
      <c r="C1241">
        <v>0</v>
      </c>
      <c r="D1241">
        <v>0</v>
      </c>
      <c r="E1241">
        <v>0</v>
      </c>
    </row>
    <row r="1242" spans="1:5" x14ac:dyDescent="0.35">
      <c r="A1242">
        <v>0</v>
      </c>
      <c r="B1242">
        <v>0</v>
      </c>
      <c r="C1242">
        <v>0</v>
      </c>
      <c r="D1242">
        <v>0</v>
      </c>
      <c r="E1242">
        <v>0</v>
      </c>
    </row>
    <row r="1243" spans="1:5" x14ac:dyDescent="0.35">
      <c r="A1243">
        <v>0</v>
      </c>
      <c r="B1243">
        <v>0</v>
      </c>
      <c r="C1243">
        <v>0</v>
      </c>
      <c r="D1243">
        <v>0</v>
      </c>
      <c r="E1243">
        <v>0</v>
      </c>
    </row>
    <row r="1244" spans="1:5" x14ac:dyDescent="0.35">
      <c r="A1244">
        <v>0</v>
      </c>
      <c r="B1244">
        <v>0</v>
      </c>
      <c r="C1244">
        <v>0</v>
      </c>
      <c r="D1244">
        <v>0</v>
      </c>
      <c r="E1244">
        <v>0</v>
      </c>
    </row>
    <row r="1245" spans="1:5" x14ac:dyDescent="0.35">
      <c r="A1245">
        <v>0</v>
      </c>
      <c r="B1245">
        <v>0</v>
      </c>
      <c r="C1245">
        <v>0</v>
      </c>
      <c r="D1245">
        <v>0</v>
      </c>
      <c r="E1245">
        <v>0</v>
      </c>
    </row>
    <row r="1246" spans="1:5" x14ac:dyDescent="0.35">
      <c r="A1246">
        <v>0</v>
      </c>
      <c r="B1246">
        <v>0</v>
      </c>
      <c r="C1246">
        <v>0</v>
      </c>
      <c r="D1246">
        <v>0</v>
      </c>
      <c r="E1246">
        <v>0</v>
      </c>
    </row>
    <row r="1247" spans="1:5" x14ac:dyDescent="0.35">
      <c r="A1247">
        <v>0</v>
      </c>
      <c r="B1247">
        <v>0</v>
      </c>
      <c r="C1247">
        <v>0</v>
      </c>
      <c r="D1247">
        <v>0</v>
      </c>
      <c r="E1247">
        <v>0</v>
      </c>
    </row>
    <row r="1248" spans="1:5" x14ac:dyDescent="0.35">
      <c r="A1248">
        <v>0</v>
      </c>
      <c r="B1248">
        <v>0</v>
      </c>
      <c r="C1248">
        <v>0</v>
      </c>
      <c r="D1248">
        <v>0</v>
      </c>
      <c r="E1248">
        <v>0</v>
      </c>
    </row>
    <row r="1249" spans="1:5" x14ac:dyDescent="0.35">
      <c r="A1249">
        <v>0</v>
      </c>
      <c r="B1249">
        <v>0</v>
      </c>
      <c r="C1249">
        <v>0</v>
      </c>
      <c r="D1249">
        <v>0</v>
      </c>
      <c r="E1249">
        <v>0</v>
      </c>
    </row>
    <row r="1250" spans="1:5" x14ac:dyDescent="0.35">
      <c r="A1250">
        <v>0</v>
      </c>
      <c r="B1250">
        <v>0</v>
      </c>
      <c r="C1250">
        <v>0</v>
      </c>
      <c r="D1250">
        <v>0</v>
      </c>
      <c r="E1250">
        <v>0</v>
      </c>
    </row>
    <row r="1251" spans="1:5" x14ac:dyDescent="0.35">
      <c r="A1251">
        <v>0</v>
      </c>
      <c r="B1251">
        <v>0</v>
      </c>
      <c r="C1251">
        <v>0</v>
      </c>
      <c r="D1251">
        <v>0</v>
      </c>
      <c r="E1251">
        <v>0</v>
      </c>
    </row>
    <row r="1252" spans="1:5" x14ac:dyDescent="0.35">
      <c r="A1252">
        <v>0</v>
      </c>
      <c r="B1252">
        <v>0</v>
      </c>
      <c r="C1252">
        <v>0</v>
      </c>
      <c r="D1252">
        <v>0</v>
      </c>
      <c r="E1252">
        <v>0</v>
      </c>
    </row>
    <row r="1253" spans="1:5" x14ac:dyDescent="0.35">
      <c r="A1253">
        <v>0</v>
      </c>
      <c r="B1253">
        <v>0</v>
      </c>
      <c r="C1253">
        <v>0</v>
      </c>
      <c r="D1253">
        <v>0</v>
      </c>
      <c r="E1253">
        <v>0</v>
      </c>
    </row>
    <row r="1254" spans="1:5" x14ac:dyDescent="0.35">
      <c r="A1254">
        <v>0</v>
      </c>
      <c r="B1254">
        <v>0</v>
      </c>
      <c r="C1254">
        <v>0</v>
      </c>
      <c r="D1254">
        <v>0</v>
      </c>
      <c r="E1254">
        <v>0</v>
      </c>
    </row>
    <row r="1255" spans="1:5" x14ac:dyDescent="0.35">
      <c r="A1255">
        <v>0</v>
      </c>
      <c r="B1255">
        <v>0</v>
      </c>
      <c r="C1255">
        <v>0</v>
      </c>
      <c r="D1255">
        <v>0</v>
      </c>
      <c r="E1255">
        <v>0</v>
      </c>
    </row>
    <row r="1256" spans="1:5" x14ac:dyDescent="0.35">
      <c r="A1256">
        <v>0</v>
      </c>
      <c r="B1256">
        <v>0</v>
      </c>
      <c r="C1256">
        <v>0</v>
      </c>
      <c r="D1256">
        <v>0</v>
      </c>
      <c r="E1256">
        <v>0</v>
      </c>
    </row>
    <row r="1257" spans="1:5" x14ac:dyDescent="0.35">
      <c r="A1257">
        <v>0</v>
      </c>
      <c r="B1257">
        <v>0</v>
      </c>
      <c r="C1257">
        <v>0</v>
      </c>
      <c r="D1257">
        <v>0</v>
      </c>
      <c r="E1257">
        <v>0</v>
      </c>
    </row>
    <row r="1258" spans="1:5" x14ac:dyDescent="0.35">
      <c r="A1258">
        <v>0</v>
      </c>
      <c r="B1258">
        <v>0</v>
      </c>
      <c r="C1258">
        <v>0</v>
      </c>
      <c r="D1258">
        <v>0</v>
      </c>
      <c r="E1258">
        <v>0</v>
      </c>
    </row>
    <row r="1259" spans="1:5" x14ac:dyDescent="0.35">
      <c r="A1259">
        <v>0</v>
      </c>
      <c r="B1259">
        <v>0</v>
      </c>
      <c r="C1259">
        <v>0</v>
      </c>
      <c r="D1259">
        <v>0</v>
      </c>
      <c r="E1259">
        <v>0</v>
      </c>
    </row>
    <row r="1260" spans="1:5" x14ac:dyDescent="0.35">
      <c r="A1260">
        <v>0</v>
      </c>
      <c r="B1260">
        <v>0</v>
      </c>
      <c r="C1260">
        <v>0</v>
      </c>
      <c r="D1260">
        <v>0</v>
      </c>
      <c r="E1260">
        <v>0</v>
      </c>
    </row>
    <row r="1261" spans="1:5" x14ac:dyDescent="0.35">
      <c r="A1261">
        <v>0</v>
      </c>
      <c r="B1261">
        <v>0</v>
      </c>
      <c r="C1261">
        <v>0</v>
      </c>
      <c r="D1261">
        <v>0</v>
      </c>
      <c r="E1261">
        <v>0</v>
      </c>
    </row>
    <row r="1262" spans="1:5" x14ac:dyDescent="0.35">
      <c r="A1262">
        <v>0</v>
      </c>
      <c r="B1262">
        <v>0</v>
      </c>
      <c r="C1262">
        <v>0</v>
      </c>
      <c r="D1262">
        <v>0</v>
      </c>
      <c r="E1262">
        <v>0</v>
      </c>
    </row>
    <row r="1263" spans="1:5" x14ac:dyDescent="0.35">
      <c r="A1263">
        <v>0</v>
      </c>
      <c r="B1263">
        <v>0</v>
      </c>
      <c r="C1263">
        <v>0</v>
      </c>
      <c r="D1263">
        <v>0</v>
      </c>
      <c r="E1263">
        <v>0</v>
      </c>
    </row>
    <row r="1264" spans="1:5" x14ac:dyDescent="0.35">
      <c r="A1264">
        <v>0</v>
      </c>
      <c r="B1264">
        <v>0</v>
      </c>
      <c r="C1264">
        <v>0</v>
      </c>
      <c r="D1264">
        <v>0</v>
      </c>
      <c r="E1264">
        <v>0</v>
      </c>
    </row>
    <row r="1265" spans="1:5" x14ac:dyDescent="0.35">
      <c r="A1265">
        <v>0</v>
      </c>
      <c r="B1265">
        <v>0</v>
      </c>
      <c r="C1265">
        <v>0</v>
      </c>
      <c r="D1265">
        <v>0</v>
      </c>
      <c r="E1265">
        <v>0</v>
      </c>
    </row>
    <row r="1266" spans="1:5" x14ac:dyDescent="0.35">
      <c r="A1266">
        <v>0</v>
      </c>
      <c r="B1266">
        <v>0</v>
      </c>
      <c r="C1266">
        <v>0</v>
      </c>
      <c r="D1266">
        <v>0</v>
      </c>
      <c r="E1266">
        <v>0</v>
      </c>
    </row>
    <row r="1267" spans="1:5" x14ac:dyDescent="0.35">
      <c r="A1267">
        <v>0</v>
      </c>
      <c r="B1267">
        <v>0</v>
      </c>
      <c r="C1267">
        <v>0</v>
      </c>
      <c r="D1267">
        <v>0</v>
      </c>
      <c r="E1267">
        <v>0</v>
      </c>
    </row>
    <row r="1268" spans="1:5" x14ac:dyDescent="0.35">
      <c r="A1268">
        <v>0</v>
      </c>
      <c r="B1268">
        <v>0</v>
      </c>
      <c r="C1268">
        <v>0</v>
      </c>
      <c r="D1268">
        <v>0</v>
      </c>
      <c r="E1268">
        <v>0</v>
      </c>
    </row>
    <row r="1269" spans="1:5" x14ac:dyDescent="0.35">
      <c r="A1269">
        <v>0</v>
      </c>
      <c r="B1269">
        <v>0</v>
      </c>
      <c r="C1269">
        <v>0</v>
      </c>
      <c r="D1269">
        <v>0</v>
      </c>
      <c r="E1269">
        <v>0</v>
      </c>
    </row>
    <row r="1270" spans="1:5" x14ac:dyDescent="0.35">
      <c r="A1270">
        <v>0</v>
      </c>
      <c r="B1270">
        <v>0</v>
      </c>
      <c r="C1270">
        <v>0</v>
      </c>
      <c r="D1270">
        <v>0</v>
      </c>
      <c r="E1270">
        <v>0</v>
      </c>
    </row>
    <row r="1271" spans="1:5" x14ac:dyDescent="0.35">
      <c r="A1271">
        <v>0</v>
      </c>
      <c r="B1271">
        <v>0</v>
      </c>
      <c r="C1271">
        <v>0</v>
      </c>
      <c r="D1271">
        <v>0</v>
      </c>
      <c r="E1271">
        <v>0</v>
      </c>
    </row>
    <row r="1272" spans="1:5" x14ac:dyDescent="0.35">
      <c r="A1272">
        <v>0</v>
      </c>
      <c r="B1272">
        <v>0</v>
      </c>
      <c r="C1272">
        <v>0</v>
      </c>
      <c r="D1272">
        <v>0</v>
      </c>
      <c r="E1272">
        <v>0</v>
      </c>
    </row>
    <row r="1273" spans="1:5" x14ac:dyDescent="0.35">
      <c r="A1273">
        <v>0</v>
      </c>
      <c r="B1273">
        <v>0</v>
      </c>
      <c r="C1273">
        <v>0</v>
      </c>
      <c r="D1273">
        <v>0</v>
      </c>
      <c r="E1273">
        <v>0</v>
      </c>
    </row>
    <row r="1274" spans="1:5" x14ac:dyDescent="0.35">
      <c r="A1274">
        <v>0</v>
      </c>
      <c r="B1274">
        <v>0</v>
      </c>
      <c r="C1274">
        <v>0</v>
      </c>
      <c r="D1274">
        <v>0</v>
      </c>
      <c r="E1274">
        <v>0</v>
      </c>
    </row>
    <row r="1275" spans="1:5" x14ac:dyDescent="0.35">
      <c r="A1275">
        <v>0</v>
      </c>
      <c r="B1275">
        <v>0</v>
      </c>
      <c r="C1275">
        <v>0</v>
      </c>
      <c r="D1275">
        <v>0</v>
      </c>
      <c r="E1275">
        <v>0</v>
      </c>
    </row>
    <row r="1276" spans="1:5" x14ac:dyDescent="0.35">
      <c r="A1276">
        <v>0</v>
      </c>
      <c r="B1276">
        <v>0</v>
      </c>
      <c r="C1276">
        <v>0</v>
      </c>
      <c r="D1276">
        <v>0</v>
      </c>
      <c r="E1276">
        <v>0</v>
      </c>
    </row>
    <row r="1277" spans="1:5" x14ac:dyDescent="0.35">
      <c r="A1277">
        <v>0</v>
      </c>
      <c r="B1277">
        <v>0</v>
      </c>
      <c r="C1277">
        <v>0</v>
      </c>
      <c r="D1277">
        <v>0</v>
      </c>
      <c r="E1277">
        <v>0</v>
      </c>
    </row>
    <row r="1278" spans="1:5" x14ac:dyDescent="0.35">
      <c r="A1278">
        <v>0</v>
      </c>
      <c r="B1278">
        <v>0</v>
      </c>
      <c r="C1278">
        <v>0</v>
      </c>
      <c r="D1278">
        <v>0</v>
      </c>
      <c r="E1278">
        <v>0</v>
      </c>
    </row>
    <row r="1279" spans="1:5" x14ac:dyDescent="0.35">
      <c r="A1279">
        <v>0</v>
      </c>
      <c r="B1279">
        <v>0</v>
      </c>
      <c r="C1279">
        <v>0</v>
      </c>
      <c r="D1279">
        <v>0</v>
      </c>
      <c r="E1279">
        <v>0</v>
      </c>
    </row>
    <row r="1280" spans="1:5" x14ac:dyDescent="0.35">
      <c r="A1280">
        <v>0</v>
      </c>
      <c r="B1280">
        <v>0</v>
      </c>
      <c r="C1280">
        <v>0</v>
      </c>
      <c r="D1280">
        <v>0</v>
      </c>
      <c r="E1280">
        <v>0</v>
      </c>
    </row>
    <row r="1281" spans="1:5" x14ac:dyDescent="0.35">
      <c r="A1281">
        <v>0</v>
      </c>
      <c r="B1281">
        <v>0</v>
      </c>
      <c r="C1281">
        <v>0</v>
      </c>
      <c r="D1281">
        <v>0</v>
      </c>
      <c r="E1281">
        <v>0</v>
      </c>
    </row>
    <row r="1282" spans="1:5" x14ac:dyDescent="0.35">
      <c r="A1282">
        <v>0</v>
      </c>
      <c r="B1282">
        <v>0</v>
      </c>
      <c r="C1282">
        <v>0</v>
      </c>
      <c r="D1282">
        <v>0</v>
      </c>
      <c r="E1282">
        <v>0</v>
      </c>
    </row>
    <row r="1283" spans="1:5" x14ac:dyDescent="0.35">
      <c r="A1283">
        <v>0</v>
      </c>
      <c r="B1283">
        <v>0</v>
      </c>
      <c r="C1283">
        <v>0</v>
      </c>
      <c r="D1283">
        <v>0</v>
      </c>
      <c r="E1283">
        <v>0</v>
      </c>
    </row>
    <row r="1284" spans="1:5" x14ac:dyDescent="0.35">
      <c r="A1284">
        <v>0</v>
      </c>
      <c r="B1284">
        <v>0</v>
      </c>
      <c r="C1284">
        <v>0</v>
      </c>
      <c r="D1284">
        <v>0</v>
      </c>
      <c r="E1284">
        <v>0</v>
      </c>
    </row>
    <row r="1285" spans="1:5" x14ac:dyDescent="0.35">
      <c r="A1285">
        <v>0</v>
      </c>
      <c r="B1285">
        <v>0</v>
      </c>
      <c r="C1285">
        <v>0</v>
      </c>
      <c r="D1285">
        <v>0</v>
      </c>
      <c r="E1285">
        <v>0</v>
      </c>
    </row>
    <row r="1286" spans="1:5" x14ac:dyDescent="0.35">
      <c r="A1286">
        <v>0</v>
      </c>
      <c r="B1286">
        <v>0</v>
      </c>
      <c r="C1286">
        <v>0</v>
      </c>
      <c r="D1286">
        <v>0</v>
      </c>
      <c r="E1286">
        <v>0</v>
      </c>
    </row>
    <row r="1287" spans="1:5" x14ac:dyDescent="0.35">
      <c r="A1287">
        <v>0</v>
      </c>
      <c r="B1287">
        <v>0</v>
      </c>
      <c r="C1287">
        <v>0</v>
      </c>
      <c r="D1287">
        <v>0</v>
      </c>
      <c r="E1287">
        <v>0</v>
      </c>
    </row>
    <row r="1288" spans="1:5" x14ac:dyDescent="0.35">
      <c r="A1288">
        <v>0</v>
      </c>
      <c r="B1288">
        <v>0</v>
      </c>
      <c r="C1288">
        <v>0</v>
      </c>
      <c r="D1288">
        <v>0</v>
      </c>
      <c r="E1288">
        <v>0</v>
      </c>
    </row>
    <row r="1289" spans="1:5" x14ac:dyDescent="0.35">
      <c r="A1289">
        <v>0</v>
      </c>
      <c r="B1289">
        <v>0</v>
      </c>
      <c r="C1289">
        <v>0</v>
      </c>
      <c r="D1289">
        <v>0</v>
      </c>
      <c r="E1289">
        <v>0</v>
      </c>
    </row>
    <row r="1290" spans="1:5" x14ac:dyDescent="0.35">
      <c r="A1290">
        <v>0</v>
      </c>
      <c r="B1290">
        <v>0</v>
      </c>
      <c r="C1290">
        <v>0</v>
      </c>
      <c r="D1290">
        <v>0</v>
      </c>
      <c r="E1290">
        <v>0</v>
      </c>
    </row>
    <row r="1291" spans="1:5" x14ac:dyDescent="0.35">
      <c r="A1291">
        <v>0</v>
      </c>
      <c r="B1291">
        <v>0</v>
      </c>
      <c r="C1291">
        <v>0</v>
      </c>
      <c r="D1291">
        <v>0</v>
      </c>
      <c r="E1291">
        <v>0</v>
      </c>
    </row>
    <row r="1292" spans="1:5" x14ac:dyDescent="0.35">
      <c r="A1292">
        <v>0</v>
      </c>
      <c r="B1292">
        <v>0</v>
      </c>
      <c r="C1292">
        <v>0</v>
      </c>
      <c r="D1292">
        <v>0</v>
      </c>
      <c r="E1292">
        <v>0</v>
      </c>
    </row>
    <row r="1293" spans="1:5" x14ac:dyDescent="0.35">
      <c r="A1293">
        <v>0</v>
      </c>
      <c r="B1293">
        <v>0</v>
      </c>
      <c r="C1293">
        <v>0</v>
      </c>
      <c r="D1293">
        <v>0</v>
      </c>
      <c r="E1293">
        <v>0</v>
      </c>
    </row>
    <row r="1294" spans="1:5" x14ac:dyDescent="0.35">
      <c r="A1294">
        <v>0</v>
      </c>
      <c r="B1294">
        <v>0</v>
      </c>
      <c r="C1294">
        <v>0</v>
      </c>
      <c r="D1294">
        <v>0</v>
      </c>
      <c r="E1294">
        <v>0</v>
      </c>
    </row>
    <row r="1295" spans="1:5" x14ac:dyDescent="0.35">
      <c r="A1295">
        <v>0</v>
      </c>
      <c r="B1295">
        <v>0</v>
      </c>
      <c r="C1295">
        <v>0</v>
      </c>
      <c r="D1295">
        <v>0</v>
      </c>
      <c r="E1295">
        <v>0</v>
      </c>
    </row>
    <row r="1296" spans="1:5" x14ac:dyDescent="0.35">
      <c r="A1296">
        <v>0</v>
      </c>
      <c r="B1296">
        <v>0</v>
      </c>
      <c r="C1296">
        <v>0</v>
      </c>
      <c r="D1296">
        <v>0</v>
      </c>
      <c r="E1296">
        <v>0</v>
      </c>
    </row>
    <row r="1297" spans="1:5" x14ac:dyDescent="0.35">
      <c r="A1297">
        <v>0</v>
      </c>
      <c r="B1297">
        <v>0</v>
      </c>
      <c r="C1297">
        <v>0</v>
      </c>
      <c r="D1297">
        <v>0</v>
      </c>
      <c r="E1297">
        <v>0</v>
      </c>
    </row>
    <row r="1298" spans="1:5" x14ac:dyDescent="0.35">
      <c r="A1298">
        <v>0</v>
      </c>
      <c r="B1298">
        <v>0</v>
      </c>
      <c r="C1298">
        <v>0</v>
      </c>
      <c r="D1298">
        <v>0</v>
      </c>
      <c r="E1298">
        <v>0</v>
      </c>
    </row>
    <row r="1299" spans="1:5" x14ac:dyDescent="0.35">
      <c r="A1299">
        <v>0</v>
      </c>
      <c r="B1299">
        <v>0</v>
      </c>
      <c r="C1299">
        <v>0</v>
      </c>
      <c r="D1299">
        <v>0</v>
      </c>
      <c r="E1299">
        <v>0</v>
      </c>
    </row>
    <row r="1300" spans="1:5" x14ac:dyDescent="0.35">
      <c r="A1300">
        <v>0</v>
      </c>
      <c r="B1300">
        <v>0</v>
      </c>
      <c r="C1300">
        <v>0</v>
      </c>
      <c r="D1300">
        <v>0</v>
      </c>
      <c r="E1300">
        <v>0</v>
      </c>
    </row>
    <row r="1301" spans="1:5" x14ac:dyDescent="0.35">
      <c r="A1301">
        <v>0</v>
      </c>
      <c r="B1301">
        <v>0</v>
      </c>
      <c r="C1301">
        <v>0</v>
      </c>
      <c r="D1301">
        <v>0</v>
      </c>
      <c r="E1301">
        <v>0</v>
      </c>
    </row>
    <row r="1302" spans="1:5" x14ac:dyDescent="0.35">
      <c r="A1302">
        <v>0</v>
      </c>
      <c r="B1302">
        <v>0</v>
      </c>
      <c r="C1302">
        <v>0</v>
      </c>
      <c r="D1302">
        <v>0</v>
      </c>
      <c r="E1302">
        <v>0</v>
      </c>
    </row>
    <row r="1303" spans="1:5" x14ac:dyDescent="0.35">
      <c r="A1303">
        <v>0</v>
      </c>
      <c r="B1303">
        <v>0</v>
      </c>
      <c r="C1303">
        <v>0</v>
      </c>
      <c r="D1303">
        <v>0</v>
      </c>
      <c r="E1303">
        <v>0</v>
      </c>
    </row>
    <row r="1304" spans="1:5" x14ac:dyDescent="0.35">
      <c r="A1304">
        <v>0</v>
      </c>
      <c r="B1304">
        <v>0</v>
      </c>
      <c r="C1304">
        <v>0</v>
      </c>
      <c r="D1304">
        <v>0</v>
      </c>
      <c r="E1304">
        <v>0</v>
      </c>
    </row>
    <row r="1305" spans="1:5" x14ac:dyDescent="0.35">
      <c r="A1305">
        <v>0</v>
      </c>
      <c r="B1305">
        <v>0</v>
      </c>
      <c r="C1305">
        <v>0</v>
      </c>
      <c r="D1305">
        <v>0</v>
      </c>
      <c r="E1305">
        <v>0</v>
      </c>
    </row>
    <row r="1306" spans="1:5" x14ac:dyDescent="0.35">
      <c r="A1306">
        <v>0</v>
      </c>
      <c r="B1306">
        <v>0</v>
      </c>
      <c r="C1306">
        <v>0</v>
      </c>
      <c r="D1306">
        <v>0</v>
      </c>
      <c r="E1306">
        <v>0</v>
      </c>
    </row>
    <row r="1307" spans="1:5" x14ac:dyDescent="0.35">
      <c r="A1307">
        <v>0</v>
      </c>
      <c r="B1307">
        <v>0</v>
      </c>
      <c r="C1307">
        <v>0</v>
      </c>
      <c r="D1307">
        <v>0</v>
      </c>
      <c r="E1307">
        <v>0</v>
      </c>
    </row>
    <row r="1308" spans="1:5" x14ac:dyDescent="0.35">
      <c r="A1308">
        <v>0</v>
      </c>
      <c r="B1308">
        <v>0</v>
      </c>
      <c r="C1308">
        <v>0</v>
      </c>
      <c r="D1308">
        <v>0</v>
      </c>
      <c r="E1308">
        <v>0</v>
      </c>
    </row>
    <row r="1309" spans="1:5" x14ac:dyDescent="0.35">
      <c r="A1309">
        <v>0</v>
      </c>
      <c r="B1309">
        <v>0</v>
      </c>
      <c r="C1309">
        <v>0</v>
      </c>
      <c r="D1309">
        <v>0</v>
      </c>
      <c r="E1309">
        <v>0</v>
      </c>
    </row>
    <row r="1310" spans="1:5" x14ac:dyDescent="0.35">
      <c r="A1310">
        <v>0</v>
      </c>
      <c r="B1310">
        <v>0</v>
      </c>
      <c r="C1310">
        <v>0</v>
      </c>
      <c r="D1310">
        <v>0</v>
      </c>
      <c r="E1310">
        <v>0</v>
      </c>
    </row>
    <row r="1311" spans="1:5" x14ac:dyDescent="0.35">
      <c r="A1311">
        <v>0</v>
      </c>
      <c r="B1311">
        <v>0</v>
      </c>
      <c r="C1311">
        <v>0</v>
      </c>
      <c r="D1311">
        <v>0</v>
      </c>
      <c r="E1311">
        <v>0</v>
      </c>
    </row>
    <row r="1312" spans="1:5" x14ac:dyDescent="0.35">
      <c r="A1312">
        <v>0</v>
      </c>
      <c r="B1312">
        <v>0</v>
      </c>
      <c r="C1312">
        <v>0</v>
      </c>
      <c r="D1312">
        <v>0</v>
      </c>
      <c r="E1312">
        <v>0</v>
      </c>
    </row>
    <row r="1313" spans="1:5" x14ac:dyDescent="0.35">
      <c r="A1313">
        <v>0</v>
      </c>
      <c r="B1313">
        <v>0</v>
      </c>
      <c r="C1313">
        <v>0</v>
      </c>
      <c r="D1313">
        <v>0</v>
      </c>
      <c r="E1313">
        <v>0</v>
      </c>
    </row>
    <row r="1314" spans="1:5" x14ac:dyDescent="0.35">
      <c r="A1314">
        <v>0</v>
      </c>
      <c r="B1314">
        <v>0</v>
      </c>
      <c r="C1314">
        <v>0</v>
      </c>
      <c r="D1314">
        <v>0</v>
      </c>
      <c r="E1314">
        <v>0</v>
      </c>
    </row>
    <row r="1315" spans="1:5" x14ac:dyDescent="0.35">
      <c r="A1315">
        <v>0</v>
      </c>
      <c r="B1315">
        <v>0</v>
      </c>
      <c r="C1315">
        <v>0</v>
      </c>
      <c r="D1315">
        <v>0</v>
      </c>
      <c r="E1315">
        <v>0</v>
      </c>
    </row>
    <row r="1316" spans="1:5" x14ac:dyDescent="0.35">
      <c r="A1316">
        <v>0</v>
      </c>
      <c r="B1316">
        <v>0</v>
      </c>
      <c r="C1316">
        <v>0</v>
      </c>
      <c r="D1316">
        <v>0</v>
      </c>
      <c r="E1316">
        <v>0</v>
      </c>
    </row>
    <row r="1317" spans="1:5" x14ac:dyDescent="0.35">
      <c r="A1317">
        <v>0</v>
      </c>
      <c r="B1317">
        <v>0</v>
      </c>
      <c r="C1317">
        <v>0</v>
      </c>
      <c r="D1317">
        <v>0</v>
      </c>
      <c r="E1317">
        <v>0</v>
      </c>
    </row>
    <row r="1318" spans="1:5" x14ac:dyDescent="0.35">
      <c r="A1318">
        <v>0</v>
      </c>
      <c r="B1318">
        <v>0</v>
      </c>
      <c r="C1318">
        <v>0</v>
      </c>
      <c r="D1318">
        <v>0</v>
      </c>
      <c r="E1318">
        <v>0</v>
      </c>
    </row>
    <row r="1319" spans="1:5" x14ac:dyDescent="0.35">
      <c r="A1319">
        <v>0</v>
      </c>
      <c r="B1319">
        <v>0</v>
      </c>
      <c r="C1319">
        <v>0</v>
      </c>
      <c r="D1319">
        <v>0</v>
      </c>
      <c r="E1319">
        <v>0</v>
      </c>
    </row>
    <row r="1320" spans="1:5" x14ac:dyDescent="0.35">
      <c r="A1320">
        <v>0</v>
      </c>
      <c r="B1320">
        <v>0</v>
      </c>
      <c r="C1320">
        <v>0</v>
      </c>
      <c r="D1320">
        <v>0</v>
      </c>
      <c r="E1320">
        <v>0</v>
      </c>
    </row>
    <row r="1321" spans="1:5" x14ac:dyDescent="0.35">
      <c r="A1321">
        <v>0</v>
      </c>
      <c r="B1321">
        <v>0</v>
      </c>
      <c r="C1321">
        <v>0</v>
      </c>
      <c r="D1321">
        <v>0</v>
      </c>
      <c r="E1321">
        <v>0</v>
      </c>
    </row>
    <row r="1322" spans="1:5" x14ac:dyDescent="0.35">
      <c r="A1322">
        <v>0</v>
      </c>
      <c r="B1322">
        <v>0</v>
      </c>
      <c r="C1322">
        <v>0</v>
      </c>
      <c r="D1322">
        <v>0</v>
      </c>
      <c r="E1322">
        <v>0</v>
      </c>
    </row>
    <row r="1323" spans="1:5" x14ac:dyDescent="0.35">
      <c r="A1323">
        <v>0</v>
      </c>
      <c r="B1323">
        <v>0</v>
      </c>
      <c r="C1323">
        <v>0</v>
      </c>
      <c r="D1323">
        <v>0</v>
      </c>
      <c r="E1323">
        <v>0</v>
      </c>
    </row>
    <row r="1324" spans="1:5" x14ac:dyDescent="0.35">
      <c r="A1324">
        <v>0</v>
      </c>
      <c r="B1324">
        <v>0</v>
      </c>
      <c r="C1324">
        <v>0</v>
      </c>
      <c r="D1324">
        <v>0</v>
      </c>
      <c r="E1324">
        <v>0</v>
      </c>
    </row>
    <row r="1325" spans="1:5" x14ac:dyDescent="0.35">
      <c r="A1325">
        <v>0</v>
      </c>
      <c r="B1325">
        <v>0</v>
      </c>
      <c r="C1325">
        <v>0</v>
      </c>
      <c r="D1325">
        <v>0</v>
      </c>
      <c r="E1325">
        <v>0</v>
      </c>
    </row>
    <row r="1326" spans="1:5" x14ac:dyDescent="0.35">
      <c r="A1326">
        <v>0</v>
      </c>
      <c r="B1326">
        <v>0</v>
      </c>
      <c r="C1326">
        <v>0</v>
      </c>
      <c r="D1326">
        <v>0</v>
      </c>
      <c r="E1326">
        <v>0</v>
      </c>
    </row>
    <row r="1327" spans="1:5" x14ac:dyDescent="0.35">
      <c r="A1327">
        <v>0</v>
      </c>
      <c r="B1327">
        <v>0</v>
      </c>
      <c r="C1327">
        <v>0</v>
      </c>
      <c r="D1327">
        <v>0</v>
      </c>
      <c r="E1327">
        <v>0</v>
      </c>
    </row>
    <row r="1328" spans="1:5" x14ac:dyDescent="0.35">
      <c r="A1328">
        <v>0</v>
      </c>
      <c r="B1328">
        <v>0</v>
      </c>
      <c r="C1328">
        <v>0</v>
      </c>
      <c r="D1328">
        <v>0</v>
      </c>
      <c r="E1328">
        <v>0</v>
      </c>
    </row>
    <row r="1329" spans="1:5" x14ac:dyDescent="0.35">
      <c r="A1329">
        <v>0</v>
      </c>
      <c r="B1329">
        <v>0</v>
      </c>
      <c r="C1329">
        <v>0</v>
      </c>
      <c r="D1329">
        <v>0</v>
      </c>
      <c r="E1329">
        <v>0</v>
      </c>
    </row>
    <row r="1330" spans="1:5" x14ac:dyDescent="0.35">
      <c r="A1330">
        <v>0</v>
      </c>
      <c r="B1330">
        <v>0</v>
      </c>
      <c r="C1330">
        <v>0</v>
      </c>
      <c r="D1330">
        <v>0</v>
      </c>
      <c r="E1330">
        <v>0</v>
      </c>
    </row>
    <row r="1331" spans="1:5" x14ac:dyDescent="0.35">
      <c r="A1331">
        <v>0</v>
      </c>
      <c r="B1331">
        <v>0</v>
      </c>
      <c r="C1331">
        <v>0</v>
      </c>
      <c r="D1331">
        <v>0</v>
      </c>
      <c r="E1331">
        <v>0</v>
      </c>
    </row>
    <row r="1332" spans="1:5" x14ac:dyDescent="0.35">
      <c r="A1332">
        <v>0</v>
      </c>
      <c r="B1332">
        <v>0</v>
      </c>
      <c r="C1332">
        <v>0</v>
      </c>
      <c r="D1332">
        <v>0</v>
      </c>
      <c r="E1332">
        <v>0</v>
      </c>
    </row>
    <row r="1333" spans="1:5" x14ac:dyDescent="0.35">
      <c r="A1333">
        <v>0</v>
      </c>
      <c r="B1333">
        <v>0</v>
      </c>
      <c r="C1333">
        <v>0</v>
      </c>
      <c r="D1333">
        <v>0</v>
      </c>
      <c r="E1333">
        <v>0</v>
      </c>
    </row>
    <row r="1334" spans="1:5" x14ac:dyDescent="0.35">
      <c r="A1334">
        <v>0</v>
      </c>
      <c r="B1334">
        <v>0</v>
      </c>
      <c r="C1334">
        <v>0</v>
      </c>
      <c r="D1334">
        <v>0</v>
      </c>
      <c r="E1334">
        <v>0</v>
      </c>
    </row>
    <row r="1335" spans="1:5" x14ac:dyDescent="0.35">
      <c r="A1335">
        <v>0</v>
      </c>
      <c r="B1335">
        <v>0</v>
      </c>
      <c r="C1335">
        <v>0</v>
      </c>
      <c r="D1335">
        <v>0</v>
      </c>
      <c r="E1335">
        <v>0</v>
      </c>
    </row>
    <row r="1336" spans="1:5" x14ac:dyDescent="0.35">
      <c r="A1336">
        <v>0</v>
      </c>
      <c r="B1336">
        <v>0</v>
      </c>
      <c r="C1336">
        <v>0</v>
      </c>
      <c r="D1336">
        <v>0</v>
      </c>
      <c r="E1336">
        <v>0</v>
      </c>
    </row>
    <row r="1337" spans="1:5" x14ac:dyDescent="0.35">
      <c r="A1337">
        <v>0</v>
      </c>
      <c r="B1337">
        <v>0</v>
      </c>
      <c r="C1337">
        <v>0</v>
      </c>
      <c r="D1337">
        <v>0</v>
      </c>
      <c r="E1337">
        <v>0</v>
      </c>
    </row>
    <row r="1338" spans="1:5" x14ac:dyDescent="0.35">
      <c r="A1338">
        <v>0</v>
      </c>
      <c r="B1338">
        <v>0</v>
      </c>
      <c r="C1338">
        <v>0</v>
      </c>
      <c r="D1338">
        <v>0</v>
      </c>
      <c r="E1338">
        <v>0</v>
      </c>
    </row>
    <row r="1339" spans="1:5" x14ac:dyDescent="0.35">
      <c r="A1339">
        <v>0</v>
      </c>
      <c r="B1339">
        <v>0</v>
      </c>
      <c r="C1339">
        <v>0</v>
      </c>
      <c r="D1339">
        <v>0</v>
      </c>
      <c r="E1339">
        <v>0</v>
      </c>
    </row>
    <row r="1340" spans="1:5" x14ac:dyDescent="0.35">
      <c r="A1340">
        <v>0</v>
      </c>
      <c r="B1340">
        <v>0</v>
      </c>
      <c r="C1340">
        <v>0</v>
      </c>
      <c r="D1340">
        <v>0</v>
      </c>
      <c r="E1340">
        <v>0</v>
      </c>
    </row>
    <row r="1341" spans="1:5" x14ac:dyDescent="0.35">
      <c r="A1341">
        <v>0</v>
      </c>
      <c r="B1341">
        <v>0</v>
      </c>
      <c r="C1341">
        <v>0</v>
      </c>
      <c r="D1341">
        <v>0</v>
      </c>
      <c r="E1341">
        <v>0</v>
      </c>
    </row>
    <row r="1342" spans="1:5" x14ac:dyDescent="0.35">
      <c r="A1342">
        <v>0</v>
      </c>
      <c r="B1342">
        <v>0</v>
      </c>
      <c r="C1342">
        <v>0</v>
      </c>
      <c r="D1342">
        <v>0</v>
      </c>
      <c r="E1342">
        <v>0</v>
      </c>
    </row>
    <row r="1343" spans="1:5" x14ac:dyDescent="0.35">
      <c r="A1343">
        <v>0</v>
      </c>
      <c r="B1343">
        <v>0</v>
      </c>
      <c r="C1343">
        <v>0</v>
      </c>
      <c r="D1343">
        <v>0</v>
      </c>
      <c r="E1343">
        <v>0</v>
      </c>
    </row>
    <row r="1344" spans="1:5" x14ac:dyDescent="0.35">
      <c r="A1344">
        <v>0</v>
      </c>
      <c r="B1344">
        <v>0</v>
      </c>
      <c r="C1344">
        <v>0</v>
      </c>
      <c r="D1344">
        <v>0</v>
      </c>
      <c r="E1344">
        <v>0</v>
      </c>
    </row>
    <row r="1345" spans="1:5" x14ac:dyDescent="0.35">
      <c r="A1345">
        <v>0</v>
      </c>
      <c r="B1345">
        <v>0</v>
      </c>
      <c r="C1345">
        <v>0</v>
      </c>
      <c r="D1345">
        <v>0</v>
      </c>
      <c r="E1345">
        <v>0</v>
      </c>
    </row>
    <row r="1346" spans="1:5" x14ac:dyDescent="0.35">
      <c r="A1346">
        <v>0</v>
      </c>
      <c r="B1346">
        <v>0</v>
      </c>
      <c r="C1346">
        <v>0</v>
      </c>
      <c r="D1346">
        <v>0</v>
      </c>
      <c r="E1346">
        <v>0</v>
      </c>
    </row>
    <row r="1347" spans="1:5" x14ac:dyDescent="0.35">
      <c r="A1347">
        <v>0</v>
      </c>
      <c r="B1347">
        <v>0</v>
      </c>
      <c r="C1347">
        <v>0</v>
      </c>
      <c r="D1347">
        <v>0</v>
      </c>
      <c r="E1347">
        <v>0</v>
      </c>
    </row>
    <row r="1348" spans="1:5" x14ac:dyDescent="0.35">
      <c r="A1348">
        <v>0</v>
      </c>
      <c r="B1348">
        <v>0</v>
      </c>
      <c r="C1348">
        <v>0</v>
      </c>
      <c r="D1348">
        <v>0</v>
      </c>
      <c r="E1348">
        <v>0</v>
      </c>
    </row>
    <row r="1349" spans="1:5" x14ac:dyDescent="0.35">
      <c r="A1349">
        <v>0</v>
      </c>
      <c r="B1349">
        <v>0</v>
      </c>
      <c r="C1349">
        <v>0</v>
      </c>
      <c r="D1349">
        <v>0</v>
      </c>
      <c r="E1349">
        <v>0</v>
      </c>
    </row>
    <row r="1350" spans="1:5" x14ac:dyDescent="0.35">
      <c r="A1350">
        <v>0</v>
      </c>
      <c r="B1350">
        <v>0</v>
      </c>
      <c r="C1350">
        <v>0</v>
      </c>
      <c r="D1350">
        <v>0</v>
      </c>
      <c r="E1350">
        <v>0</v>
      </c>
    </row>
    <row r="1351" spans="1:5" x14ac:dyDescent="0.35">
      <c r="A1351">
        <v>0</v>
      </c>
      <c r="B1351">
        <v>0</v>
      </c>
      <c r="C1351">
        <v>0</v>
      </c>
      <c r="D1351">
        <v>0</v>
      </c>
      <c r="E1351">
        <v>0</v>
      </c>
    </row>
    <row r="1352" spans="1:5" x14ac:dyDescent="0.35">
      <c r="A1352">
        <v>0</v>
      </c>
      <c r="B1352">
        <v>0</v>
      </c>
      <c r="C1352">
        <v>0</v>
      </c>
      <c r="D1352">
        <v>0</v>
      </c>
      <c r="E1352">
        <v>0</v>
      </c>
    </row>
    <row r="1353" spans="1:5" x14ac:dyDescent="0.35">
      <c r="A1353">
        <v>0</v>
      </c>
      <c r="B1353">
        <v>0</v>
      </c>
      <c r="C1353">
        <v>0</v>
      </c>
      <c r="D1353">
        <v>0</v>
      </c>
      <c r="E1353">
        <v>0</v>
      </c>
    </row>
    <row r="1354" spans="1:5" x14ac:dyDescent="0.35">
      <c r="A1354">
        <v>0</v>
      </c>
      <c r="B1354">
        <v>0</v>
      </c>
      <c r="C1354">
        <v>0</v>
      </c>
      <c r="D1354">
        <v>0</v>
      </c>
      <c r="E1354">
        <v>0</v>
      </c>
    </row>
    <row r="1355" spans="1:5" x14ac:dyDescent="0.35">
      <c r="A1355">
        <v>0</v>
      </c>
      <c r="B1355">
        <v>0</v>
      </c>
      <c r="C1355">
        <v>0</v>
      </c>
      <c r="D1355">
        <v>0</v>
      </c>
      <c r="E1355">
        <v>0</v>
      </c>
    </row>
    <row r="1356" spans="1:5" x14ac:dyDescent="0.35">
      <c r="A1356">
        <v>0</v>
      </c>
      <c r="B1356">
        <v>0</v>
      </c>
      <c r="C1356">
        <v>0</v>
      </c>
      <c r="D1356">
        <v>0</v>
      </c>
      <c r="E1356">
        <v>0</v>
      </c>
    </row>
    <row r="1357" spans="1:5" x14ac:dyDescent="0.35">
      <c r="A1357">
        <v>0</v>
      </c>
      <c r="B1357">
        <v>0</v>
      </c>
      <c r="C1357">
        <v>0</v>
      </c>
      <c r="D1357">
        <v>0</v>
      </c>
      <c r="E1357">
        <v>0</v>
      </c>
    </row>
    <row r="1358" spans="1:5" x14ac:dyDescent="0.35">
      <c r="A1358">
        <v>0</v>
      </c>
      <c r="B1358">
        <v>0</v>
      </c>
      <c r="C1358">
        <v>0</v>
      </c>
      <c r="D1358">
        <v>0</v>
      </c>
      <c r="E1358">
        <v>0</v>
      </c>
    </row>
    <row r="1359" spans="1:5" x14ac:dyDescent="0.35">
      <c r="A1359">
        <v>0</v>
      </c>
      <c r="B1359">
        <v>0</v>
      </c>
      <c r="C1359">
        <v>0</v>
      </c>
      <c r="D1359">
        <v>0</v>
      </c>
      <c r="E1359">
        <v>0</v>
      </c>
    </row>
    <row r="1360" spans="1:5" x14ac:dyDescent="0.35">
      <c r="A1360">
        <v>0</v>
      </c>
      <c r="B1360">
        <v>0</v>
      </c>
      <c r="C1360">
        <v>0</v>
      </c>
      <c r="D1360">
        <v>0</v>
      </c>
      <c r="E1360">
        <v>0</v>
      </c>
    </row>
    <row r="1361" spans="1:5" x14ac:dyDescent="0.35">
      <c r="A1361">
        <v>0</v>
      </c>
      <c r="B1361">
        <v>0</v>
      </c>
      <c r="C1361">
        <v>0</v>
      </c>
      <c r="D1361">
        <v>0</v>
      </c>
      <c r="E1361">
        <v>0</v>
      </c>
    </row>
    <row r="1362" spans="1:5" x14ac:dyDescent="0.35">
      <c r="A1362">
        <v>0</v>
      </c>
      <c r="B1362">
        <v>0</v>
      </c>
      <c r="C1362">
        <v>0</v>
      </c>
      <c r="D1362">
        <v>0</v>
      </c>
      <c r="E1362">
        <v>0</v>
      </c>
    </row>
    <row r="1363" spans="1:5" x14ac:dyDescent="0.35">
      <c r="A1363">
        <v>0</v>
      </c>
      <c r="B1363">
        <v>0</v>
      </c>
      <c r="C1363">
        <v>0</v>
      </c>
      <c r="D1363">
        <v>0</v>
      </c>
      <c r="E1363">
        <v>0</v>
      </c>
    </row>
    <row r="1364" spans="1:5" x14ac:dyDescent="0.35">
      <c r="A1364">
        <v>0</v>
      </c>
      <c r="B1364">
        <v>0</v>
      </c>
      <c r="C1364">
        <v>0</v>
      </c>
      <c r="D1364">
        <v>0</v>
      </c>
      <c r="E1364">
        <v>0</v>
      </c>
    </row>
    <row r="1365" spans="1:5" x14ac:dyDescent="0.35">
      <c r="A1365">
        <v>0</v>
      </c>
      <c r="B1365">
        <v>0</v>
      </c>
      <c r="C1365">
        <v>0</v>
      </c>
      <c r="D1365">
        <v>0</v>
      </c>
      <c r="E1365">
        <v>0</v>
      </c>
    </row>
    <row r="1366" spans="1:5" x14ac:dyDescent="0.35">
      <c r="A1366">
        <v>0</v>
      </c>
      <c r="B1366">
        <v>0</v>
      </c>
      <c r="C1366">
        <v>0</v>
      </c>
      <c r="D1366">
        <v>0</v>
      </c>
      <c r="E1366">
        <v>0</v>
      </c>
    </row>
    <row r="1367" spans="1:5" x14ac:dyDescent="0.35">
      <c r="A1367">
        <v>0</v>
      </c>
      <c r="B1367">
        <v>0</v>
      </c>
      <c r="C1367">
        <v>0</v>
      </c>
      <c r="D1367">
        <v>0</v>
      </c>
      <c r="E1367">
        <v>0</v>
      </c>
    </row>
    <row r="1368" spans="1:5" x14ac:dyDescent="0.35">
      <c r="A1368">
        <v>0</v>
      </c>
      <c r="B1368">
        <v>0</v>
      </c>
      <c r="C1368">
        <v>0</v>
      </c>
      <c r="D1368">
        <v>0</v>
      </c>
      <c r="E1368">
        <v>0</v>
      </c>
    </row>
    <row r="1369" spans="1:5" x14ac:dyDescent="0.35">
      <c r="A1369">
        <v>0</v>
      </c>
      <c r="B1369">
        <v>0</v>
      </c>
      <c r="C1369">
        <v>0</v>
      </c>
      <c r="D1369">
        <v>0</v>
      </c>
      <c r="E1369">
        <v>0</v>
      </c>
    </row>
    <row r="1370" spans="1:5" x14ac:dyDescent="0.35">
      <c r="A1370">
        <v>0</v>
      </c>
      <c r="B1370">
        <v>0</v>
      </c>
      <c r="C1370">
        <v>0</v>
      </c>
      <c r="D1370">
        <v>0</v>
      </c>
      <c r="E1370">
        <v>0</v>
      </c>
    </row>
    <row r="1371" spans="1:5" x14ac:dyDescent="0.35">
      <c r="A1371">
        <v>0</v>
      </c>
      <c r="B1371">
        <v>0</v>
      </c>
      <c r="C1371">
        <v>0</v>
      </c>
      <c r="D1371">
        <v>0</v>
      </c>
      <c r="E1371">
        <v>0</v>
      </c>
    </row>
    <row r="1372" spans="1:5" x14ac:dyDescent="0.35">
      <c r="A1372">
        <v>0</v>
      </c>
      <c r="B1372">
        <v>0</v>
      </c>
      <c r="C1372">
        <v>0</v>
      </c>
      <c r="D1372">
        <v>0</v>
      </c>
      <c r="E1372">
        <v>0</v>
      </c>
    </row>
    <row r="1373" spans="1:5" x14ac:dyDescent="0.35">
      <c r="A1373">
        <v>0</v>
      </c>
      <c r="B1373">
        <v>0</v>
      </c>
      <c r="C1373">
        <v>0</v>
      </c>
      <c r="D1373">
        <v>0</v>
      </c>
      <c r="E1373">
        <v>0</v>
      </c>
    </row>
    <row r="1374" spans="1:5" x14ac:dyDescent="0.35">
      <c r="A1374">
        <v>0</v>
      </c>
      <c r="B1374">
        <v>0</v>
      </c>
      <c r="C1374">
        <v>0</v>
      </c>
      <c r="D1374">
        <v>0</v>
      </c>
      <c r="E1374">
        <v>0</v>
      </c>
    </row>
    <row r="1375" spans="1:5" x14ac:dyDescent="0.35">
      <c r="A1375">
        <v>0</v>
      </c>
      <c r="B1375">
        <v>0</v>
      </c>
      <c r="C1375">
        <v>0</v>
      </c>
      <c r="D1375">
        <v>0</v>
      </c>
      <c r="E1375">
        <v>0</v>
      </c>
    </row>
    <row r="1376" spans="1:5" x14ac:dyDescent="0.35">
      <c r="A1376">
        <v>0</v>
      </c>
      <c r="B1376">
        <v>0</v>
      </c>
      <c r="C1376">
        <v>0</v>
      </c>
      <c r="D1376">
        <v>0</v>
      </c>
      <c r="E1376">
        <v>0</v>
      </c>
    </row>
    <row r="1377" spans="1:5" x14ac:dyDescent="0.35">
      <c r="A1377">
        <v>0</v>
      </c>
      <c r="B1377">
        <v>0</v>
      </c>
      <c r="C1377">
        <v>0</v>
      </c>
      <c r="D1377">
        <v>0</v>
      </c>
      <c r="E1377">
        <v>0</v>
      </c>
    </row>
    <row r="1378" spans="1:5" x14ac:dyDescent="0.35">
      <c r="A1378">
        <v>0</v>
      </c>
      <c r="B1378">
        <v>0</v>
      </c>
      <c r="C1378">
        <v>0</v>
      </c>
      <c r="D1378">
        <v>0</v>
      </c>
      <c r="E1378">
        <v>0</v>
      </c>
    </row>
    <row r="1379" spans="1:5" x14ac:dyDescent="0.35">
      <c r="A1379">
        <v>0</v>
      </c>
      <c r="B1379">
        <v>0</v>
      </c>
      <c r="C1379">
        <v>0</v>
      </c>
      <c r="D1379">
        <v>0</v>
      </c>
      <c r="E1379">
        <v>0</v>
      </c>
    </row>
    <row r="1380" spans="1:5" x14ac:dyDescent="0.35">
      <c r="A1380">
        <v>0</v>
      </c>
      <c r="B1380">
        <v>0</v>
      </c>
      <c r="C1380">
        <v>0</v>
      </c>
      <c r="D1380">
        <v>0</v>
      </c>
      <c r="E1380">
        <v>0</v>
      </c>
    </row>
    <row r="1381" spans="1:5" x14ac:dyDescent="0.35">
      <c r="A1381">
        <v>0</v>
      </c>
      <c r="B1381">
        <v>0</v>
      </c>
      <c r="C1381">
        <v>0</v>
      </c>
      <c r="D1381">
        <v>0</v>
      </c>
      <c r="E1381">
        <v>0</v>
      </c>
    </row>
    <row r="1382" spans="1:5" x14ac:dyDescent="0.35">
      <c r="A1382">
        <v>0</v>
      </c>
      <c r="B1382">
        <v>0</v>
      </c>
      <c r="C1382">
        <v>0</v>
      </c>
      <c r="D1382">
        <v>0</v>
      </c>
      <c r="E1382">
        <v>0</v>
      </c>
    </row>
    <row r="1383" spans="1:5" x14ac:dyDescent="0.35">
      <c r="A1383">
        <v>0</v>
      </c>
      <c r="B1383">
        <v>0</v>
      </c>
      <c r="C1383">
        <v>0</v>
      </c>
      <c r="D1383">
        <v>0</v>
      </c>
      <c r="E1383">
        <v>0</v>
      </c>
    </row>
    <row r="1384" spans="1:5" x14ac:dyDescent="0.35">
      <c r="A1384">
        <v>0</v>
      </c>
      <c r="B1384">
        <v>0</v>
      </c>
      <c r="C1384">
        <v>0</v>
      </c>
      <c r="D1384">
        <v>0</v>
      </c>
      <c r="E1384">
        <v>0</v>
      </c>
    </row>
    <row r="1385" spans="1:5" x14ac:dyDescent="0.35">
      <c r="A1385">
        <v>0</v>
      </c>
      <c r="B1385">
        <v>0</v>
      </c>
      <c r="C1385">
        <v>0</v>
      </c>
      <c r="D1385">
        <v>0</v>
      </c>
      <c r="E1385">
        <v>0</v>
      </c>
    </row>
    <row r="1386" spans="1:5" x14ac:dyDescent="0.35">
      <c r="A1386">
        <v>0</v>
      </c>
      <c r="B1386">
        <v>0</v>
      </c>
      <c r="C1386">
        <v>0</v>
      </c>
      <c r="D1386">
        <v>0</v>
      </c>
      <c r="E1386">
        <v>0</v>
      </c>
    </row>
    <row r="1387" spans="1:5" x14ac:dyDescent="0.35">
      <c r="A1387">
        <v>0</v>
      </c>
      <c r="B1387">
        <v>0</v>
      </c>
      <c r="C1387">
        <v>0</v>
      </c>
      <c r="D1387">
        <v>0</v>
      </c>
      <c r="E1387">
        <v>0</v>
      </c>
    </row>
    <row r="1388" spans="1:5" x14ac:dyDescent="0.35">
      <c r="A1388">
        <v>0</v>
      </c>
      <c r="B1388">
        <v>0</v>
      </c>
      <c r="C1388">
        <v>0</v>
      </c>
      <c r="D1388">
        <v>0</v>
      </c>
      <c r="E1388">
        <v>0</v>
      </c>
    </row>
    <row r="1389" spans="1:5" x14ac:dyDescent="0.35">
      <c r="A1389">
        <v>0</v>
      </c>
      <c r="B1389">
        <v>0</v>
      </c>
      <c r="C1389">
        <v>0</v>
      </c>
      <c r="D1389">
        <v>0</v>
      </c>
      <c r="E1389">
        <v>0</v>
      </c>
    </row>
    <row r="1390" spans="1:5" x14ac:dyDescent="0.35">
      <c r="A1390">
        <v>0</v>
      </c>
      <c r="B1390">
        <v>0</v>
      </c>
      <c r="C1390">
        <v>0</v>
      </c>
      <c r="D1390">
        <v>0</v>
      </c>
      <c r="E1390">
        <v>0</v>
      </c>
    </row>
    <row r="1391" spans="1:5" x14ac:dyDescent="0.35">
      <c r="A1391">
        <v>0</v>
      </c>
      <c r="B1391">
        <v>0</v>
      </c>
      <c r="C1391">
        <v>0</v>
      </c>
      <c r="D1391">
        <v>0</v>
      </c>
      <c r="E1391">
        <v>0</v>
      </c>
    </row>
    <row r="1392" spans="1:5" x14ac:dyDescent="0.35">
      <c r="A1392">
        <v>0</v>
      </c>
      <c r="B1392">
        <v>0</v>
      </c>
      <c r="C1392">
        <v>0</v>
      </c>
      <c r="D1392">
        <v>0</v>
      </c>
      <c r="E1392">
        <v>0</v>
      </c>
    </row>
    <row r="1393" spans="1:5" x14ac:dyDescent="0.35">
      <c r="A1393">
        <v>0</v>
      </c>
      <c r="B1393">
        <v>0</v>
      </c>
      <c r="C1393">
        <v>0</v>
      </c>
      <c r="D1393">
        <v>0</v>
      </c>
      <c r="E1393">
        <v>0</v>
      </c>
    </row>
    <row r="1394" spans="1:5" x14ac:dyDescent="0.35">
      <c r="A1394">
        <v>0</v>
      </c>
      <c r="B1394">
        <v>0</v>
      </c>
      <c r="C1394">
        <v>0</v>
      </c>
      <c r="D1394">
        <v>0</v>
      </c>
      <c r="E1394">
        <v>0</v>
      </c>
    </row>
    <row r="1395" spans="1:5" x14ac:dyDescent="0.35">
      <c r="A1395">
        <v>0</v>
      </c>
      <c r="B1395">
        <v>0</v>
      </c>
      <c r="C1395">
        <v>0</v>
      </c>
      <c r="D1395">
        <v>0</v>
      </c>
      <c r="E1395">
        <v>0</v>
      </c>
    </row>
    <row r="1396" spans="1:5" x14ac:dyDescent="0.35">
      <c r="A1396">
        <v>0</v>
      </c>
      <c r="B1396">
        <v>0</v>
      </c>
      <c r="C1396">
        <v>0</v>
      </c>
      <c r="D1396">
        <v>0</v>
      </c>
      <c r="E1396">
        <v>0</v>
      </c>
    </row>
    <row r="1397" spans="1:5" x14ac:dyDescent="0.35">
      <c r="A1397">
        <v>0</v>
      </c>
      <c r="B1397">
        <v>0</v>
      </c>
      <c r="C1397">
        <v>0</v>
      </c>
      <c r="D1397">
        <v>0</v>
      </c>
      <c r="E1397">
        <v>0</v>
      </c>
    </row>
    <row r="1398" spans="1:5" x14ac:dyDescent="0.35">
      <c r="A1398">
        <v>0</v>
      </c>
      <c r="B1398">
        <v>0</v>
      </c>
      <c r="C1398">
        <v>0</v>
      </c>
      <c r="D1398">
        <v>0</v>
      </c>
      <c r="E1398">
        <v>0</v>
      </c>
    </row>
    <row r="1399" spans="1:5" x14ac:dyDescent="0.35">
      <c r="A1399">
        <v>0</v>
      </c>
      <c r="B1399">
        <v>0</v>
      </c>
      <c r="C1399">
        <v>0</v>
      </c>
      <c r="D1399">
        <v>0</v>
      </c>
      <c r="E1399">
        <v>0</v>
      </c>
    </row>
    <row r="1400" spans="1:5" x14ac:dyDescent="0.35">
      <c r="A1400">
        <v>0</v>
      </c>
      <c r="B1400">
        <v>0</v>
      </c>
      <c r="C1400">
        <v>0</v>
      </c>
      <c r="D1400">
        <v>0</v>
      </c>
      <c r="E1400">
        <v>0</v>
      </c>
    </row>
    <row r="1401" spans="1:5" x14ac:dyDescent="0.35">
      <c r="A1401">
        <v>0</v>
      </c>
      <c r="B1401">
        <v>0</v>
      </c>
      <c r="C1401">
        <v>0</v>
      </c>
      <c r="D1401">
        <v>0</v>
      </c>
      <c r="E1401">
        <v>0</v>
      </c>
    </row>
    <row r="1402" spans="1:5" x14ac:dyDescent="0.35">
      <c r="A1402">
        <v>0</v>
      </c>
      <c r="B1402">
        <v>0</v>
      </c>
      <c r="C1402">
        <v>0</v>
      </c>
      <c r="D1402">
        <v>0</v>
      </c>
      <c r="E1402">
        <v>0</v>
      </c>
    </row>
    <row r="1403" spans="1:5" x14ac:dyDescent="0.35">
      <c r="A1403">
        <v>0</v>
      </c>
      <c r="B1403">
        <v>0</v>
      </c>
      <c r="C1403">
        <v>0</v>
      </c>
      <c r="D1403">
        <v>0</v>
      </c>
      <c r="E1403">
        <v>0</v>
      </c>
    </row>
    <row r="1404" spans="1:5" x14ac:dyDescent="0.35">
      <c r="A1404">
        <v>0</v>
      </c>
      <c r="B1404">
        <v>0</v>
      </c>
      <c r="C1404">
        <v>0</v>
      </c>
      <c r="D1404">
        <v>0</v>
      </c>
      <c r="E1404">
        <v>0</v>
      </c>
    </row>
    <row r="1405" spans="1:5" x14ac:dyDescent="0.35">
      <c r="A1405">
        <v>0</v>
      </c>
      <c r="B1405">
        <v>0</v>
      </c>
      <c r="C1405">
        <v>0</v>
      </c>
      <c r="D1405">
        <v>0</v>
      </c>
      <c r="E1405">
        <v>0</v>
      </c>
    </row>
    <row r="1406" spans="1:5" x14ac:dyDescent="0.35">
      <c r="A1406">
        <v>0</v>
      </c>
      <c r="B1406">
        <v>0</v>
      </c>
      <c r="C1406">
        <v>0</v>
      </c>
      <c r="D1406">
        <v>0</v>
      </c>
      <c r="E1406">
        <v>0</v>
      </c>
    </row>
    <row r="1407" spans="1:5" x14ac:dyDescent="0.35">
      <c r="A1407">
        <v>0</v>
      </c>
      <c r="B1407">
        <v>0</v>
      </c>
      <c r="C1407">
        <v>0</v>
      </c>
      <c r="D1407">
        <v>0</v>
      </c>
      <c r="E1407">
        <v>0</v>
      </c>
    </row>
    <row r="1408" spans="1:5" x14ac:dyDescent="0.35">
      <c r="A1408">
        <v>0</v>
      </c>
      <c r="B1408">
        <v>0</v>
      </c>
      <c r="C1408">
        <v>0</v>
      </c>
      <c r="D1408">
        <v>0</v>
      </c>
      <c r="E1408">
        <v>0</v>
      </c>
    </row>
    <row r="1409" spans="1:5" x14ac:dyDescent="0.35">
      <c r="A1409">
        <v>0</v>
      </c>
      <c r="B1409">
        <v>0</v>
      </c>
      <c r="C1409">
        <v>0</v>
      </c>
      <c r="D1409">
        <v>0</v>
      </c>
      <c r="E1409">
        <v>0</v>
      </c>
    </row>
    <row r="1410" spans="1:5" x14ac:dyDescent="0.35">
      <c r="A1410">
        <v>0</v>
      </c>
      <c r="B1410">
        <v>0</v>
      </c>
      <c r="C1410">
        <v>0</v>
      </c>
      <c r="D1410">
        <v>0</v>
      </c>
      <c r="E1410">
        <v>0</v>
      </c>
    </row>
    <row r="1411" spans="1:5" x14ac:dyDescent="0.35">
      <c r="A1411">
        <v>0</v>
      </c>
      <c r="B1411">
        <v>0</v>
      </c>
      <c r="C1411">
        <v>0</v>
      </c>
      <c r="D1411">
        <v>0</v>
      </c>
      <c r="E1411">
        <v>0</v>
      </c>
    </row>
    <row r="1412" spans="1:5" x14ac:dyDescent="0.35">
      <c r="A1412">
        <v>0</v>
      </c>
      <c r="B1412">
        <v>0</v>
      </c>
      <c r="C1412">
        <v>0</v>
      </c>
      <c r="D1412">
        <v>0</v>
      </c>
      <c r="E1412">
        <v>0</v>
      </c>
    </row>
    <row r="1413" spans="1:5" x14ac:dyDescent="0.35">
      <c r="A1413">
        <v>0</v>
      </c>
      <c r="B1413">
        <v>0</v>
      </c>
      <c r="C1413">
        <v>0</v>
      </c>
      <c r="D1413">
        <v>0</v>
      </c>
      <c r="E1413">
        <v>0</v>
      </c>
    </row>
    <row r="1414" spans="1:5" x14ac:dyDescent="0.35">
      <c r="A1414">
        <v>0</v>
      </c>
      <c r="B1414">
        <v>0</v>
      </c>
      <c r="C1414">
        <v>0</v>
      </c>
      <c r="D1414">
        <v>0</v>
      </c>
      <c r="E1414">
        <v>0</v>
      </c>
    </row>
    <row r="1415" spans="1:5" x14ac:dyDescent="0.35">
      <c r="A1415">
        <v>0</v>
      </c>
      <c r="B1415">
        <v>0</v>
      </c>
      <c r="C1415">
        <v>0</v>
      </c>
      <c r="D1415">
        <v>0</v>
      </c>
      <c r="E1415">
        <v>0</v>
      </c>
    </row>
    <row r="1416" spans="1:5" x14ac:dyDescent="0.35">
      <c r="A1416">
        <v>0</v>
      </c>
      <c r="B1416">
        <v>0</v>
      </c>
      <c r="C1416">
        <v>0</v>
      </c>
      <c r="D1416">
        <v>0</v>
      </c>
      <c r="E1416">
        <v>0</v>
      </c>
    </row>
    <row r="1417" spans="1:5" x14ac:dyDescent="0.35">
      <c r="A1417">
        <v>0</v>
      </c>
      <c r="B1417">
        <v>0</v>
      </c>
      <c r="C1417">
        <v>0</v>
      </c>
      <c r="D1417">
        <v>0</v>
      </c>
      <c r="E1417">
        <v>0</v>
      </c>
    </row>
    <row r="1418" spans="1:5" x14ac:dyDescent="0.35">
      <c r="A1418">
        <v>0</v>
      </c>
      <c r="B1418">
        <v>0</v>
      </c>
      <c r="C1418">
        <v>0</v>
      </c>
      <c r="D1418">
        <v>0</v>
      </c>
      <c r="E1418">
        <v>0</v>
      </c>
    </row>
    <row r="1419" spans="1:5" x14ac:dyDescent="0.35">
      <c r="A1419">
        <v>0</v>
      </c>
      <c r="B1419">
        <v>0</v>
      </c>
      <c r="C1419">
        <v>0</v>
      </c>
      <c r="D1419">
        <v>0</v>
      </c>
      <c r="E1419">
        <v>0</v>
      </c>
    </row>
    <row r="1420" spans="1:5" x14ac:dyDescent="0.35">
      <c r="A1420">
        <v>0</v>
      </c>
      <c r="B1420">
        <v>0</v>
      </c>
      <c r="C1420">
        <v>0</v>
      </c>
      <c r="D1420">
        <v>0</v>
      </c>
      <c r="E1420">
        <v>0</v>
      </c>
    </row>
    <row r="1421" spans="1:5" x14ac:dyDescent="0.35">
      <c r="A1421">
        <v>0</v>
      </c>
      <c r="B1421">
        <v>0</v>
      </c>
      <c r="C1421">
        <v>0</v>
      </c>
      <c r="D1421">
        <v>0</v>
      </c>
      <c r="E1421">
        <v>0</v>
      </c>
    </row>
    <row r="1422" spans="1:5" x14ac:dyDescent="0.35">
      <c r="A1422">
        <v>0</v>
      </c>
      <c r="B1422">
        <v>0</v>
      </c>
      <c r="C1422">
        <v>0</v>
      </c>
      <c r="D1422">
        <v>0</v>
      </c>
      <c r="E1422">
        <v>0</v>
      </c>
    </row>
    <row r="1423" spans="1:5" x14ac:dyDescent="0.35">
      <c r="A1423">
        <v>0</v>
      </c>
      <c r="B1423">
        <v>0</v>
      </c>
      <c r="C1423">
        <v>0</v>
      </c>
      <c r="D1423">
        <v>0</v>
      </c>
      <c r="E1423">
        <v>0</v>
      </c>
    </row>
    <row r="1424" spans="1:5" x14ac:dyDescent="0.35">
      <c r="A1424">
        <v>0</v>
      </c>
      <c r="B1424">
        <v>0</v>
      </c>
      <c r="C1424">
        <v>0</v>
      </c>
      <c r="D1424">
        <v>0</v>
      </c>
      <c r="E1424">
        <v>0</v>
      </c>
    </row>
    <row r="1425" spans="1:5" x14ac:dyDescent="0.35">
      <c r="A1425">
        <v>0</v>
      </c>
      <c r="B1425">
        <v>0</v>
      </c>
      <c r="C1425">
        <v>0</v>
      </c>
      <c r="D1425">
        <v>0</v>
      </c>
      <c r="E1425">
        <v>0</v>
      </c>
    </row>
    <row r="1426" spans="1:5" x14ac:dyDescent="0.35">
      <c r="A1426">
        <v>0</v>
      </c>
      <c r="B1426">
        <v>0</v>
      </c>
      <c r="C1426">
        <v>0</v>
      </c>
      <c r="D1426">
        <v>0</v>
      </c>
      <c r="E1426">
        <v>0</v>
      </c>
    </row>
    <row r="1427" spans="1:5" x14ac:dyDescent="0.35">
      <c r="A1427">
        <v>0</v>
      </c>
      <c r="B1427">
        <v>0</v>
      </c>
      <c r="C1427">
        <v>0</v>
      </c>
      <c r="D1427">
        <v>0</v>
      </c>
      <c r="E1427">
        <v>0</v>
      </c>
    </row>
    <row r="1428" spans="1:5" x14ac:dyDescent="0.35">
      <c r="A1428">
        <v>0</v>
      </c>
      <c r="B1428">
        <v>0</v>
      </c>
      <c r="C1428">
        <v>0</v>
      </c>
      <c r="D1428">
        <v>0</v>
      </c>
      <c r="E1428">
        <v>0</v>
      </c>
    </row>
    <row r="1429" spans="1:5" x14ac:dyDescent="0.35">
      <c r="A1429">
        <v>0</v>
      </c>
      <c r="B1429">
        <v>0</v>
      </c>
      <c r="C1429">
        <v>0</v>
      </c>
      <c r="D1429">
        <v>0</v>
      </c>
      <c r="E1429">
        <v>0</v>
      </c>
    </row>
    <row r="1430" spans="1:5" x14ac:dyDescent="0.35">
      <c r="A1430">
        <v>0</v>
      </c>
      <c r="B1430">
        <v>0</v>
      </c>
      <c r="C1430">
        <v>0</v>
      </c>
      <c r="D1430">
        <v>0</v>
      </c>
      <c r="E1430">
        <v>0</v>
      </c>
    </row>
    <row r="1431" spans="1:5" x14ac:dyDescent="0.35">
      <c r="A1431">
        <v>0</v>
      </c>
      <c r="B1431">
        <v>0</v>
      </c>
      <c r="C1431">
        <v>0</v>
      </c>
      <c r="D1431">
        <v>0</v>
      </c>
      <c r="E1431">
        <v>0</v>
      </c>
    </row>
    <row r="1432" spans="1:5" x14ac:dyDescent="0.35">
      <c r="A1432">
        <v>0</v>
      </c>
      <c r="B1432">
        <v>0</v>
      </c>
      <c r="C1432">
        <v>0</v>
      </c>
      <c r="D1432">
        <v>0</v>
      </c>
      <c r="E1432">
        <v>0</v>
      </c>
    </row>
    <row r="1433" spans="1:5" x14ac:dyDescent="0.35">
      <c r="A1433">
        <v>0</v>
      </c>
      <c r="B1433">
        <v>0</v>
      </c>
      <c r="C1433">
        <v>0</v>
      </c>
      <c r="D1433">
        <v>0</v>
      </c>
      <c r="E1433">
        <v>0</v>
      </c>
    </row>
    <row r="1434" spans="1:5" x14ac:dyDescent="0.35">
      <c r="A1434">
        <v>0</v>
      </c>
      <c r="B1434">
        <v>0</v>
      </c>
      <c r="C1434">
        <v>0</v>
      </c>
      <c r="D1434">
        <v>0</v>
      </c>
      <c r="E1434">
        <v>0</v>
      </c>
    </row>
    <row r="1435" spans="1:5" x14ac:dyDescent="0.35">
      <c r="A1435">
        <v>0</v>
      </c>
      <c r="B1435">
        <v>0</v>
      </c>
      <c r="C1435">
        <v>0</v>
      </c>
      <c r="D1435">
        <v>0</v>
      </c>
      <c r="E1435">
        <v>0</v>
      </c>
    </row>
    <row r="1436" spans="1:5" x14ac:dyDescent="0.35">
      <c r="A1436">
        <v>0</v>
      </c>
      <c r="B1436">
        <v>0</v>
      </c>
      <c r="C1436">
        <v>0</v>
      </c>
      <c r="D1436">
        <v>0</v>
      </c>
      <c r="E1436">
        <v>0</v>
      </c>
    </row>
    <row r="1437" spans="1:5" x14ac:dyDescent="0.35">
      <c r="A1437">
        <v>0</v>
      </c>
      <c r="B1437">
        <v>0</v>
      </c>
      <c r="C1437">
        <v>0</v>
      </c>
      <c r="D1437">
        <v>0</v>
      </c>
      <c r="E1437">
        <v>0</v>
      </c>
    </row>
    <row r="1438" spans="1:5" x14ac:dyDescent="0.35">
      <c r="A1438">
        <v>0</v>
      </c>
      <c r="B1438">
        <v>0</v>
      </c>
      <c r="C1438">
        <v>0</v>
      </c>
      <c r="D1438">
        <v>0</v>
      </c>
      <c r="E1438">
        <v>0</v>
      </c>
    </row>
    <row r="1439" spans="1:5" x14ac:dyDescent="0.35">
      <c r="A1439">
        <v>0</v>
      </c>
      <c r="B1439">
        <v>0</v>
      </c>
      <c r="C1439">
        <v>0</v>
      </c>
      <c r="D1439">
        <v>0</v>
      </c>
      <c r="E1439">
        <v>0</v>
      </c>
    </row>
    <row r="1440" spans="1:5" x14ac:dyDescent="0.35">
      <c r="A1440">
        <v>0</v>
      </c>
      <c r="B1440">
        <v>0</v>
      </c>
      <c r="C1440">
        <v>0</v>
      </c>
      <c r="D1440">
        <v>0</v>
      </c>
      <c r="E1440">
        <v>0</v>
      </c>
    </row>
    <row r="1441" spans="1:5" x14ac:dyDescent="0.35">
      <c r="A1441">
        <v>0</v>
      </c>
      <c r="B1441">
        <v>0</v>
      </c>
      <c r="C1441">
        <v>0</v>
      </c>
      <c r="D1441">
        <v>0</v>
      </c>
      <c r="E1441">
        <v>0</v>
      </c>
    </row>
    <row r="1442" spans="1:5" x14ac:dyDescent="0.35">
      <c r="A1442">
        <v>0</v>
      </c>
      <c r="B1442">
        <v>0</v>
      </c>
      <c r="C1442">
        <v>0</v>
      </c>
      <c r="D1442">
        <v>0</v>
      </c>
      <c r="E1442">
        <v>0</v>
      </c>
    </row>
    <row r="1443" spans="1:5" x14ac:dyDescent="0.35">
      <c r="A1443">
        <v>0</v>
      </c>
      <c r="B1443">
        <v>0</v>
      </c>
      <c r="C1443">
        <v>0</v>
      </c>
      <c r="D1443">
        <v>0</v>
      </c>
      <c r="E1443">
        <v>0</v>
      </c>
    </row>
    <row r="1444" spans="1:5" x14ac:dyDescent="0.35">
      <c r="A1444">
        <v>0</v>
      </c>
      <c r="B1444">
        <v>0</v>
      </c>
      <c r="C1444">
        <v>0</v>
      </c>
      <c r="D1444">
        <v>0</v>
      </c>
      <c r="E1444">
        <v>0</v>
      </c>
    </row>
    <row r="1445" spans="1:5" x14ac:dyDescent="0.35">
      <c r="A1445">
        <v>0</v>
      </c>
      <c r="B1445">
        <v>0</v>
      </c>
      <c r="C1445">
        <v>0</v>
      </c>
      <c r="D1445">
        <v>0</v>
      </c>
      <c r="E1445">
        <v>0</v>
      </c>
    </row>
    <row r="1446" spans="1:5" x14ac:dyDescent="0.35">
      <c r="A1446">
        <v>0</v>
      </c>
      <c r="B1446">
        <v>0</v>
      </c>
      <c r="C1446">
        <v>0</v>
      </c>
      <c r="D1446">
        <v>0</v>
      </c>
      <c r="E1446">
        <v>0</v>
      </c>
    </row>
    <row r="1447" spans="1:5" x14ac:dyDescent="0.35">
      <c r="A1447">
        <v>0</v>
      </c>
      <c r="B1447">
        <v>0</v>
      </c>
      <c r="C1447">
        <v>0</v>
      </c>
      <c r="D1447">
        <v>0</v>
      </c>
      <c r="E1447">
        <v>0</v>
      </c>
    </row>
    <row r="1448" spans="1:5" x14ac:dyDescent="0.35">
      <c r="A1448">
        <v>0</v>
      </c>
      <c r="B1448">
        <v>0</v>
      </c>
      <c r="C1448">
        <v>0</v>
      </c>
      <c r="D1448">
        <v>0</v>
      </c>
      <c r="E1448">
        <v>0</v>
      </c>
    </row>
    <row r="1449" spans="1:5" x14ac:dyDescent="0.35">
      <c r="A1449">
        <v>0</v>
      </c>
      <c r="B1449">
        <v>0</v>
      </c>
      <c r="C1449">
        <v>0</v>
      </c>
      <c r="D1449">
        <v>0</v>
      </c>
      <c r="E1449">
        <v>0</v>
      </c>
    </row>
    <row r="1450" spans="1:5" x14ac:dyDescent="0.35">
      <c r="A1450">
        <v>0</v>
      </c>
      <c r="B1450">
        <v>0</v>
      </c>
      <c r="C1450">
        <v>0</v>
      </c>
      <c r="D1450">
        <v>0</v>
      </c>
      <c r="E1450">
        <v>0</v>
      </c>
    </row>
    <row r="1451" spans="1:5" x14ac:dyDescent="0.35">
      <c r="A1451">
        <v>0</v>
      </c>
      <c r="B1451">
        <v>0</v>
      </c>
      <c r="C1451">
        <v>0</v>
      </c>
      <c r="D1451">
        <v>0</v>
      </c>
      <c r="E1451">
        <v>0</v>
      </c>
    </row>
    <row r="1452" spans="1:5" x14ac:dyDescent="0.35">
      <c r="A1452">
        <v>0</v>
      </c>
      <c r="B1452">
        <v>0</v>
      </c>
      <c r="C1452">
        <v>0</v>
      </c>
      <c r="D1452">
        <v>0</v>
      </c>
      <c r="E1452">
        <v>0</v>
      </c>
    </row>
    <row r="1453" spans="1:5" x14ac:dyDescent="0.35">
      <c r="A1453">
        <v>0</v>
      </c>
      <c r="B1453">
        <v>0</v>
      </c>
      <c r="C1453">
        <v>0</v>
      </c>
      <c r="D1453">
        <v>0</v>
      </c>
      <c r="E1453">
        <v>0</v>
      </c>
    </row>
    <row r="1454" spans="1:5" x14ac:dyDescent="0.35">
      <c r="A1454">
        <v>0</v>
      </c>
      <c r="B1454">
        <v>0</v>
      </c>
      <c r="C1454">
        <v>0</v>
      </c>
      <c r="D1454">
        <v>0</v>
      </c>
      <c r="E1454">
        <v>0</v>
      </c>
    </row>
    <row r="1455" spans="1:5" x14ac:dyDescent="0.35">
      <c r="A1455">
        <v>0</v>
      </c>
      <c r="B1455">
        <v>0</v>
      </c>
      <c r="C1455">
        <v>0</v>
      </c>
      <c r="D1455">
        <v>0</v>
      </c>
      <c r="E1455">
        <v>0</v>
      </c>
    </row>
    <row r="1456" spans="1:5" x14ac:dyDescent="0.35">
      <c r="A1456">
        <v>0</v>
      </c>
      <c r="B1456">
        <v>0</v>
      </c>
      <c r="C1456">
        <v>0</v>
      </c>
      <c r="D1456">
        <v>0</v>
      </c>
      <c r="E1456">
        <v>0</v>
      </c>
    </row>
    <row r="1457" spans="1:5" x14ac:dyDescent="0.35">
      <c r="A1457">
        <v>0</v>
      </c>
      <c r="B1457">
        <v>0</v>
      </c>
      <c r="C1457">
        <v>0</v>
      </c>
      <c r="D1457">
        <v>0</v>
      </c>
      <c r="E1457">
        <v>0</v>
      </c>
    </row>
    <row r="1458" spans="1:5" x14ac:dyDescent="0.35">
      <c r="A1458">
        <v>0</v>
      </c>
      <c r="B1458">
        <v>0</v>
      </c>
      <c r="C1458">
        <v>0</v>
      </c>
      <c r="D1458">
        <v>0</v>
      </c>
      <c r="E1458">
        <v>0</v>
      </c>
    </row>
    <row r="1459" spans="1:5" x14ac:dyDescent="0.35">
      <c r="A1459">
        <v>0</v>
      </c>
      <c r="B1459">
        <v>0</v>
      </c>
      <c r="C1459">
        <v>0</v>
      </c>
      <c r="D1459">
        <v>0</v>
      </c>
      <c r="E1459">
        <v>0</v>
      </c>
    </row>
    <row r="1460" spans="1:5" x14ac:dyDescent="0.35">
      <c r="A1460">
        <v>0</v>
      </c>
      <c r="B1460">
        <v>0</v>
      </c>
      <c r="C1460">
        <v>0</v>
      </c>
      <c r="D1460">
        <v>0</v>
      </c>
      <c r="E1460">
        <v>0</v>
      </c>
    </row>
    <row r="1461" spans="1:5" x14ac:dyDescent="0.35">
      <c r="A1461">
        <v>0</v>
      </c>
      <c r="B1461">
        <v>0</v>
      </c>
      <c r="C1461">
        <v>0</v>
      </c>
      <c r="D1461">
        <v>0</v>
      </c>
      <c r="E1461">
        <v>0</v>
      </c>
    </row>
    <row r="1462" spans="1:5" x14ac:dyDescent="0.35">
      <c r="A1462">
        <v>0</v>
      </c>
      <c r="B1462">
        <v>0</v>
      </c>
      <c r="C1462">
        <v>0</v>
      </c>
      <c r="D1462">
        <v>0</v>
      </c>
      <c r="E1462">
        <v>0</v>
      </c>
    </row>
    <row r="1463" spans="1:5" x14ac:dyDescent="0.35">
      <c r="A1463">
        <v>0</v>
      </c>
      <c r="B1463">
        <v>0</v>
      </c>
      <c r="C1463">
        <v>0</v>
      </c>
      <c r="D1463">
        <v>0</v>
      </c>
      <c r="E1463">
        <v>0</v>
      </c>
    </row>
    <row r="1464" spans="1:5" x14ac:dyDescent="0.35">
      <c r="A1464">
        <v>0</v>
      </c>
      <c r="B1464">
        <v>0</v>
      </c>
      <c r="C1464">
        <v>0</v>
      </c>
      <c r="D1464">
        <v>0</v>
      </c>
      <c r="E1464">
        <v>0</v>
      </c>
    </row>
    <row r="1465" spans="1:5" x14ac:dyDescent="0.35">
      <c r="A1465">
        <v>0</v>
      </c>
      <c r="B1465">
        <v>0</v>
      </c>
      <c r="C1465">
        <v>0</v>
      </c>
      <c r="D1465">
        <v>0</v>
      </c>
      <c r="E1465">
        <v>0</v>
      </c>
    </row>
    <row r="1466" spans="1:5" x14ac:dyDescent="0.35">
      <c r="A1466">
        <v>0</v>
      </c>
      <c r="B1466">
        <v>0</v>
      </c>
      <c r="C1466">
        <v>0</v>
      </c>
      <c r="D1466">
        <v>0</v>
      </c>
      <c r="E1466">
        <v>0</v>
      </c>
    </row>
    <row r="1467" spans="1:5" x14ac:dyDescent="0.35">
      <c r="A1467">
        <v>0</v>
      </c>
      <c r="B1467">
        <v>0</v>
      </c>
      <c r="C1467">
        <v>0</v>
      </c>
      <c r="D1467">
        <v>0</v>
      </c>
      <c r="E1467">
        <v>0</v>
      </c>
    </row>
    <row r="1468" spans="1:5" x14ac:dyDescent="0.35">
      <c r="A1468">
        <v>0</v>
      </c>
      <c r="B1468">
        <v>0</v>
      </c>
      <c r="C1468">
        <v>0</v>
      </c>
      <c r="D1468">
        <v>0</v>
      </c>
      <c r="E1468">
        <v>0</v>
      </c>
    </row>
    <row r="1469" spans="1:5" x14ac:dyDescent="0.35">
      <c r="A1469">
        <v>0</v>
      </c>
      <c r="B1469">
        <v>0</v>
      </c>
      <c r="C1469">
        <v>0</v>
      </c>
      <c r="D1469">
        <v>0</v>
      </c>
      <c r="E1469">
        <v>0</v>
      </c>
    </row>
    <row r="1470" spans="1:5" x14ac:dyDescent="0.35">
      <c r="A1470">
        <v>0</v>
      </c>
      <c r="B1470">
        <v>0</v>
      </c>
      <c r="C1470">
        <v>0</v>
      </c>
      <c r="D1470">
        <v>0</v>
      </c>
      <c r="E1470">
        <v>0</v>
      </c>
    </row>
    <row r="1471" spans="1:5" x14ac:dyDescent="0.35">
      <c r="A1471">
        <v>0</v>
      </c>
      <c r="B1471">
        <v>0</v>
      </c>
      <c r="C1471">
        <v>0</v>
      </c>
      <c r="D1471">
        <v>0</v>
      </c>
      <c r="E1471">
        <v>0</v>
      </c>
    </row>
    <row r="1472" spans="1:5" x14ac:dyDescent="0.35">
      <c r="A1472">
        <v>0</v>
      </c>
      <c r="B1472">
        <v>0</v>
      </c>
      <c r="C1472">
        <v>0</v>
      </c>
      <c r="D1472">
        <v>0</v>
      </c>
      <c r="E1472">
        <v>0</v>
      </c>
    </row>
    <row r="1473" spans="1:5" x14ac:dyDescent="0.35">
      <c r="A1473">
        <v>0</v>
      </c>
      <c r="B1473">
        <v>0</v>
      </c>
      <c r="C1473">
        <v>0</v>
      </c>
      <c r="D1473">
        <v>0</v>
      </c>
      <c r="E1473">
        <v>0</v>
      </c>
    </row>
    <row r="1474" spans="1:5" x14ac:dyDescent="0.35">
      <c r="A1474">
        <v>0</v>
      </c>
      <c r="B1474">
        <v>0</v>
      </c>
      <c r="C1474">
        <v>0</v>
      </c>
      <c r="D1474">
        <v>0</v>
      </c>
      <c r="E1474">
        <v>0</v>
      </c>
    </row>
    <row r="1475" spans="1:5" x14ac:dyDescent="0.35">
      <c r="A1475">
        <v>0</v>
      </c>
      <c r="B1475">
        <v>0</v>
      </c>
      <c r="C1475">
        <v>0</v>
      </c>
      <c r="D1475">
        <v>0</v>
      </c>
      <c r="E1475">
        <v>0</v>
      </c>
    </row>
    <row r="1476" spans="1:5" x14ac:dyDescent="0.35">
      <c r="A1476">
        <v>0</v>
      </c>
      <c r="B1476">
        <v>0</v>
      </c>
      <c r="C1476">
        <v>0</v>
      </c>
      <c r="D1476">
        <v>0</v>
      </c>
      <c r="E1476">
        <v>0</v>
      </c>
    </row>
    <row r="1477" spans="1:5" x14ac:dyDescent="0.35">
      <c r="A1477">
        <v>0</v>
      </c>
      <c r="B1477">
        <v>0</v>
      </c>
      <c r="C1477">
        <v>0</v>
      </c>
      <c r="D1477">
        <v>0</v>
      </c>
      <c r="E1477">
        <v>0</v>
      </c>
    </row>
    <row r="1478" spans="1:5" x14ac:dyDescent="0.35">
      <c r="A1478">
        <v>0</v>
      </c>
      <c r="B1478">
        <v>0</v>
      </c>
      <c r="C1478">
        <v>0</v>
      </c>
      <c r="D1478">
        <v>0</v>
      </c>
      <c r="E1478">
        <v>0</v>
      </c>
    </row>
    <row r="1479" spans="1:5" x14ac:dyDescent="0.35">
      <c r="A1479">
        <v>0</v>
      </c>
      <c r="B1479">
        <v>0</v>
      </c>
      <c r="C1479">
        <v>0</v>
      </c>
      <c r="D1479">
        <v>0</v>
      </c>
      <c r="E1479">
        <v>0</v>
      </c>
    </row>
    <row r="1480" spans="1:5" x14ac:dyDescent="0.35">
      <c r="A1480">
        <v>0</v>
      </c>
      <c r="B1480">
        <v>0</v>
      </c>
      <c r="C1480">
        <v>0</v>
      </c>
      <c r="D1480">
        <v>0</v>
      </c>
      <c r="E1480">
        <v>0</v>
      </c>
    </row>
    <row r="1481" spans="1:5" x14ac:dyDescent="0.35">
      <c r="A1481">
        <v>0</v>
      </c>
      <c r="B1481">
        <v>0</v>
      </c>
      <c r="C1481">
        <v>0</v>
      </c>
      <c r="D1481">
        <v>0</v>
      </c>
      <c r="E1481">
        <v>0</v>
      </c>
    </row>
    <row r="1482" spans="1:5" x14ac:dyDescent="0.35">
      <c r="A1482">
        <v>0</v>
      </c>
      <c r="B1482">
        <v>0</v>
      </c>
      <c r="C1482">
        <v>0</v>
      </c>
      <c r="D1482">
        <v>0</v>
      </c>
      <c r="E1482">
        <v>0</v>
      </c>
    </row>
    <row r="1483" spans="1:5" x14ac:dyDescent="0.35">
      <c r="A1483">
        <v>0</v>
      </c>
      <c r="B1483">
        <v>0</v>
      </c>
      <c r="C1483">
        <v>0</v>
      </c>
      <c r="D1483">
        <v>0</v>
      </c>
      <c r="E1483">
        <v>0</v>
      </c>
    </row>
    <row r="1484" spans="1:5" x14ac:dyDescent="0.35">
      <c r="A1484">
        <v>0</v>
      </c>
      <c r="B1484">
        <v>0</v>
      </c>
      <c r="C1484">
        <v>0</v>
      </c>
      <c r="D1484">
        <v>0</v>
      </c>
      <c r="E1484">
        <v>0</v>
      </c>
    </row>
    <row r="1485" spans="1:5" x14ac:dyDescent="0.35">
      <c r="A1485">
        <v>0</v>
      </c>
      <c r="B1485">
        <v>0</v>
      </c>
      <c r="C1485">
        <v>0</v>
      </c>
      <c r="D1485">
        <v>0</v>
      </c>
      <c r="E1485">
        <v>0</v>
      </c>
    </row>
    <row r="1486" spans="1:5" x14ac:dyDescent="0.35">
      <c r="A1486">
        <v>0</v>
      </c>
      <c r="B1486">
        <v>0</v>
      </c>
      <c r="C1486">
        <v>0</v>
      </c>
      <c r="D1486">
        <v>0</v>
      </c>
      <c r="E1486">
        <v>0</v>
      </c>
    </row>
    <row r="1487" spans="1:5" x14ac:dyDescent="0.35">
      <c r="A1487">
        <v>0</v>
      </c>
      <c r="B1487">
        <v>0</v>
      </c>
      <c r="C1487">
        <v>0</v>
      </c>
      <c r="D1487">
        <v>0</v>
      </c>
      <c r="E1487">
        <v>0</v>
      </c>
    </row>
    <row r="1488" spans="1:5" x14ac:dyDescent="0.35">
      <c r="A1488">
        <v>0</v>
      </c>
      <c r="B1488">
        <v>0</v>
      </c>
      <c r="C1488">
        <v>0</v>
      </c>
      <c r="D1488">
        <v>0</v>
      </c>
      <c r="E1488">
        <v>0</v>
      </c>
    </row>
    <row r="1489" spans="1:5" x14ac:dyDescent="0.35">
      <c r="A1489">
        <v>0</v>
      </c>
      <c r="B1489">
        <v>0</v>
      </c>
      <c r="C1489">
        <v>0</v>
      </c>
      <c r="D1489">
        <v>0</v>
      </c>
      <c r="E1489">
        <v>0</v>
      </c>
    </row>
    <row r="1490" spans="1:5" x14ac:dyDescent="0.35">
      <c r="A1490">
        <v>0</v>
      </c>
      <c r="B1490">
        <v>0</v>
      </c>
      <c r="C1490">
        <v>0</v>
      </c>
      <c r="D1490">
        <v>0</v>
      </c>
      <c r="E1490">
        <v>0</v>
      </c>
    </row>
    <row r="1491" spans="1:5" x14ac:dyDescent="0.35">
      <c r="A1491">
        <v>0</v>
      </c>
      <c r="B1491">
        <v>0</v>
      </c>
      <c r="C1491">
        <v>0</v>
      </c>
      <c r="D1491">
        <v>0</v>
      </c>
      <c r="E1491">
        <v>0</v>
      </c>
    </row>
    <row r="1492" spans="1:5" x14ac:dyDescent="0.35">
      <c r="A1492">
        <v>0</v>
      </c>
      <c r="B1492">
        <v>0</v>
      </c>
      <c r="C1492">
        <v>0</v>
      </c>
      <c r="D1492">
        <v>0</v>
      </c>
      <c r="E1492">
        <v>0</v>
      </c>
    </row>
    <row r="1493" spans="1:5" x14ac:dyDescent="0.35">
      <c r="A1493">
        <v>0</v>
      </c>
      <c r="B1493">
        <v>0</v>
      </c>
      <c r="C1493">
        <v>0</v>
      </c>
      <c r="D1493">
        <v>0</v>
      </c>
      <c r="E1493">
        <v>0</v>
      </c>
    </row>
    <row r="1494" spans="1:5" x14ac:dyDescent="0.35">
      <c r="A1494">
        <v>0</v>
      </c>
      <c r="B1494">
        <v>0</v>
      </c>
      <c r="C1494">
        <v>0</v>
      </c>
      <c r="D1494">
        <v>0</v>
      </c>
      <c r="E1494">
        <v>0</v>
      </c>
    </row>
    <row r="1495" spans="1:5" x14ac:dyDescent="0.35">
      <c r="A1495">
        <v>0</v>
      </c>
      <c r="B1495">
        <v>0</v>
      </c>
      <c r="C1495">
        <v>0</v>
      </c>
      <c r="D1495">
        <v>0</v>
      </c>
      <c r="E1495">
        <v>0</v>
      </c>
    </row>
    <row r="1496" spans="1:5" x14ac:dyDescent="0.35">
      <c r="A1496">
        <v>0</v>
      </c>
      <c r="B1496">
        <v>0</v>
      </c>
      <c r="C1496">
        <v>0</v>
      </c>
      <c r="D1496">
        <v>0</v>
      </c>
      <c r="E1496">
        <v>0</v>
      </c>
    </row>
    <row r="1497" spans="1:5" x14ac:dyDescent="0.35">
      <c r="A1497">
        <v>0</v>
      </c>
      <c r="B1497">
        <v>0</v>
      </c>
      <c r="C1497">
        <v>0</v>
      </c>
      <c r="D1497">
        <v>0</v>
      </c>
      <c r="E1497">
        <v>0</v>
      </c>
    </row>
    <row r="1498" spans="1:5" x14ac:dyDescent="0.35">
      <c r="A1498">
        <v>0</v>
      </c>
      <c r="B1498">
        <v>0</v>
      </c>
      <c r="C1498">
        <v>0</v>
      </c>
      <c r="D1498">
        <v>0</v>
      </c>
      <c r="E1498">
        <v>0</v>
      </c>
    </row>
    <row r="1499" spans="1:5" x14ac:dyDescent="0.35">
      <c r="A1499">
        <v>0</v>
      </c>
      <c r="B1499">
        <v>0</v>
      </c>
      <c r="C1499">
        <v>0</v>
      </c>
      <c r="D1499">
        <v>0</v>
      </c>
      <c r="E1499">
        <v>0</v>
      </c>
    </row>
    <row r="1500" spans="1:5" x14ac:dyDescent="0.35">
      <c r="A1500">
        <v>0</v>
      </c>
      <c r="B1500">
        <v>0</v>
      </c>
      <c r="C1500">
        <v>0</v>
      </c>
      <c r="D1500">
        <v>0</v>
      </c>
      <c r="E1500">
        <v>0</v>
      </c>
    </row>
    <row r="1501" spans="1:5" x14ac:dyDescent="0.35">
      <c r="A1501">
        <v>0</v>
      </c>
      <c r="B1501">
        <v>0</v>
      </c>
      <c r="C1501">
        <v>0</v>
      </c>
      <c r="D1501">
        <v>0</v>
      </c>
      <c r="E1501">
        <v>0</v>
      </c>
    </row>
    <row r="1502" spans="1:5" x14ac:dyDescent="0.35">
      <c r="A1502">
        <v>0</v>
      </c>
      <c r="B1502">
        <v>0</v>
      </c>
      <c r="C1502">
        <v>0</v>
      </c>
      <c r="D1502">
        <v>0</v>
      </c>
      <c r="E1502">
        <v>0</v>
      </c>
    </row>
    <row r="1503" spans="1:5" x14ac:dyDescent="0.35">
      <c r="A1503">
        <v>0</v>
      </c>
      <c r="B1503">
        <v>0</v>
      </c>
      <c r="C1503">
        <v>0</v>
      </c>
      <c r="D1503">
        <v>0</v>
      </c>
      <c r="E1503">
        <v>0</v>
      </c>
    </row>
    <row r="1504" spans="1:5" x14ac:dyDescent="0.35">
      <c r="A1504">
        <v>0</v>
      </c>
      <c r="B1504">
        <v>0</v>
      </c>
      <c r="C1504">
        <v>0</v>
      </c>
      <c r="D1504">
        <v>0</v>
      </c>
      <c r="E1504">
        <v>0</v>
      </c>
    </row>
    <row r="1505" spans="1:5" x14ac:dyDescent="0.35">
      <c r="A1505">
        <v>0</v>
      </c>
      <c r="B1505">
        <v>0</v>
      </c>
      <c r="C1505">
        <v>0</v>
      </c>
      <c r="D1505">
        <v>0</v>
      </c>
      <c r="E1505">
        <v>0</v>
      </c>
    </row>
    <row r="1506" spans="1:5" x14ac:dyDescent="0.35">
      <c r="A1506">
        <v>0</v>
      </c>
      <c r="B1506">
        <v>0</v>
      </c>
      <c r="C1506">
        <v>0</v>
      </c>
      <c r="D1506">
        <v>0</v>
      </c>
      <c r="E1506">
        <v>0</v>
      </c>
    </row>
    <row r="1507" spans="1:5" x14ac:dyDescent="0.35">
      <c r="A1507">
        <v>0</v>
      </c>
      <c r="B1507">
        <v>0</v>
      </c>
      <c r="C1507">
        <v>0</v>
      </c>
      <c r="D1507">
        <v>0</v>
      </c>
      <c r="E1507">
        <v>0</v>
      </c>
    </row>
    <row r="1508" spans="1:5" x14ac:dyDescent="0.35">
      <c r="A1508">
        <v>0</v>
      </c>
      <c r="B1508">
        <v>0</v>
      </c>
      <c r="C1508">
        <v>0</v>
      </c>
      <c r="D1508">
        <v>0</v>
      </c>
      <c r="E1508">
        <v>0</v>
      </c>
    </row>
    <row r="1509" spans="1:5" x14ac:dyDescent="0.35">
      <c r="A1509">
        <v>0</v>
      </c>
      <c r="B1509">
        <v>0</v>
      </c>
      <c r="C1509">
        <v>0</v>
      </c>
      <c r="D1509">
        <v>0</v>
      </c>
      <c r="E1509">
        <v>0</v>
      </c>
    </row>
    <row r="1510" spans="1:5" x14ac:dyDescent="0.35">
      <c r="A1510">
        <v>0</v>
      </c>
      <c r="B1510">
        <v>0</v>
      </c>
      <c r="C1510">
        <v>0</v>
      </c>
      <c r="D1510">
        <v>0</v>
      </c>
      <c r="E1510">
        <v>0</v>
      </c>
    </row>
    <row r="1511" spans="1:5" x14ac:dyDescent="0.35">
      <c r="A1511">
        <v>0</v>
      </c>
      <c r="B1511">
        <v>0</v>
      </c>
      <c r="C1511">
        <v>0</v>
      </c>
      <c r="D1511">
        <v>0</v>
      </c>
      <c r="E1511">
        <v>0</v>
      </c>
    </row>
    <row r="1512" spans="1:5" x14ac:dyDescent="0.35">
      <c r="A1512">
        <v>0</v>
      </c>
      <c r="B1512">
        <v>0</v>
      </c>
      <c r="C1512">
        <v>0</v>
      </c>
      <c r="D1512">
        <v>0</v>
      </c>
      <c r="E1512">
        <v>0</v>
      </c>
    </row>
    <row r="1513" spans="1:5" x14ac:dyDescent="0.35">
      <c r="A1513">
        <v>0</v>
      </c>
      <c r="B1513">
        <v>0</v>
      </c>
      <c r="C1513">
        <v>0</v>
      </c>
      <c r="D1513">
        <v>0</v>
      </c>
      <c r="E1513">
        <v>0</v>
      </c>
    </row>
    <row r="1514" spans="1:5" x14ac:dyDescent="0.35">
      <c r="A1514">
        <v>0</v>
      </c>
      <c r="B1514">
        <v>0</v>
      </c>
      <c r="C1514">
        <v>0</v>
      </c>
      <c r="D1514">
        <v>0</v>
      </c>
      <c r="E1514">
        <v>0</v>
      </c>
    </row>
    <row r="1515" spans="1:5" x14ac:dyDescent="0.35">
      <c r="A1515">
        <v>0</v>
      </c>
      <c r="B1515">
        <v>0</v>
      </c>
      <c r="C1515">
        <v>0</v>
      </c>
      <c r="D1515">
        <v>0</v>
      </c>
      <c r="E1515">
        <v>0</v>
      </c>
    </row>
    <row r="1516" spans="1:5" x14ac:dyDescent="0.35">
      <c r="A1516">
        <v>0</v>
      </c>
      <c r="B1516">
        <v>0</v>
      </c>
      <c r="C1516">
        <v>0</v>
      </c>
      <c r="D1516">
        <v>0</v>
      </c>
      <c r="E1516">
        <v>0</v>
      </c>
    </row>
    <row r="1517" spans="1:5" x14ac:dyDescent="0.35">
      <c r="A1517">
        <v>0</v>
      </c>
      <c r="B1517">
        <v>0</v>
      </c>
      <c r="C1517">
        <v>0</v>
      </c>
      <c r="D1517">
        <v>0</v>
      </c>
      <c r="E1517">
        <v>0</v>
      </c>
    </row>
    <row r="1518" spans="1:5" x14ac:dyDescent="0.35">
      <c r="A1518">
        <v>0</v>
      </c>
      <c r="B1518">
        <v>0</v>
      </c>
      <c r="C1518">
        <v>0</v>
      </c>
      <c r="D1518">
        <v>0</v>
      </c>
      <c r="E1518">
        <v>0</v>
      </c>
    </row>
    <row r="1519" spans="1:5" x14ac:dyDescent="0.35">
      <c r="A1519">
        <v>0</v>
      </c>
      <c r="B1519">
        <v>0</v>
      </c>
      <c r="C1519">
        <v>0</v>
      </c>
      <c r="D1519">
        <v>0</v>
      </c>
      <c r="E1519">
        <v>0</v>
      </c>
    </row>
    <row r="1520" spans="1:5" x14ac:dyDescent="0.35">
      <c r="A1520">
        <v>0</v>
      </c>
      <c r="B1520">
        <v>0</v>
      </c>
      <c r="C1520">
        <v>0</v>
      </c>
      <c r="D1520">
        <v>0</v>
      </c>
      <c r="E1520">
        <v>0</v>
      </c>
    </row>
    <row r="1521" spans="1:5" x14ac:dyDescent="0.35">
      <c r="A1521">
        <v>0</v>
      </c>
      <c r="B1521">
        <v>0</v>
      </c>
      <c r="C1521">
        <v>0</v>
      </c>
      <c r="D1521">
        <v>0</v>
      </c>
      <c r="E1521">
        <v>0</v>
      </c>
    </row>
    <row r="1522" spans="1:5" x14ac:dyDescent="0.35">
      <c r="A1522">
        <v>0</v>
      </c>
      <c r="B1522">
        <v>0</v>
      </c>
      <c r="C1522">
        <v>0</v>
      </c>
      <c r="D1522">
        <v>0</v>
      </c>
      <c r="E1522">
        <v>0</v>
      </c>
    </row>
    <row r="1523" spans="1:5" x14ac:dyDescent="0.35">
      <c r="A1523">
        <v>0</v>
      </c>
      <c r="B1523">
        <v>0</v>
      </c>
      <c r="C1523">
        <v>0</v>
      </c>
      <c r="D1523">
        <v>0</v>
      </c>
      <c r="E1523">
        <v>0</v>
      </c>
    </row>
    <row r="1524" spans="1:5" x14ac:dyDescent="0.35">
      <c r="A1524">
        <v>0</v>
      </c>
      <c r="B1524">
        <v>0</v>
      </c>
      <c r="C1524">
        <v>0</v>
      </c>
      <c r="D1524">
        <v>0</v>
      </c>
      <c r="E1524">
        <v>0</v>
      </c>
    </row>
    <row r="1525" spans="1:5" x14ac:dyDescent="0.35">
      <c r="A1525">
        <v>0</v>
      </c>
      <c r="B1525">
        <v>0</v>
      </c>
      <c r="C1525">
        <v>0</v>
      </c>
      <c r="D1525">
        <v>0</v>
      </c>
      <c r="E1525">
        <v>0</v>
      </c>
    </row>
    <row r="1526" spans="1:5" x14ac:dyDescent="0.35">
      <c r="A1526">
        <v>0</v>
      </c>
      <c r="B1526">
        <v>0</v>
      </c>
      <c r="C1526">
        <v>0</v>
      </c>
      <c r="D1526">
        <v>0</v>
      </c>
      <c r="E1526">
        <v>0</v>
      </c>
    </row>
    <row r="1527" spans="1:5" x14ac:dyDescent="0.35">
      <c r="A1527">
        <v>0</v>
      </c>
      <c r="B1527">
        <v>0</v>
      </c>
      <c r="C1527">
        <v>0</v>
      </c>
      <c r="D1527">
        <v>0</v>
      </c>
      <c r="E1527">
        <v>0</v>
      </c>
    </row>
    <row r="1528" spans="1:5" x14ac:dyDescent="0.35">
      <c r="A1528">
        <v>0</v>
      </c>
      <c r="B1528">
        <v>0</v>
      </c>
      <c r="C1528">
        <v>0</v>
      </c>
      <c r="D1528">
        <v>0</v>
      </c>
      <c r="E1528">
        <v>0</v>
      </c>
    </row>
    <row r="1529" spans="1:5" x14ac:dyDescent="0.35">
      <c r="A1529">
        <v>0</v>
      </c>
      <c r="B1529">
        <v>0</v>
      </c>
      <c r="C1529">
        <v>0</v>
      </c>
      <c r="D1529">
        <v>0</v>
      </c>
      <c r="E1529">
        <v>0</v>
      </c>
    </row>
    <row r="1530" spans="1:5" x14ac:dyDescent="0.35">
      <c r="A1530">
        <v>0</v>
      </c>
      <c r="B1530">
        <v>0</v>
      </c>
      <c r="C1530">
        <v>0</v>
      </c>
      <c r="D1530">
        <v>0</v>
      </c>
      <c r="E1530">
        <v>0</v>
      </c>
    </row>
    <row r="1531" spans="1:5" x14ac:dyDescent="0.35">
      <c r="A1531">
        <v>0</v>
      </c>
      <c r="B1531">
        <v>0</v>
      </c>
      <c r="C1531">
        <v>0</v>
      </c>
      <c r="D1531">
        <v>0</v>
      </c>
      <c r="E1531">
        <v>0</v>
      </c>
    </row>
    <row r="1532" spans="1:5" x14ac:dyDescent="0.35">
      <c r="A1532">
        <v>0</v>
      </c>
      <c r="B1532">
        <v>0</v>
      </c>
      <c r="C1532">
        <v>0</v>
      </c>
      <c r="D1532">
        <v>0</v>
      </c>
      <c r="E1532">
        <v>0</v>
      </c>
    </row>
    <row r="1533" spans="1:5" x14ac:dyDescent="0.35">
      <c r="A1533">
        <v>0</v>
      </c>
      <c r="B1533">
        <v>0</v>
      </c>
      <c r="C1533">
        <v>0</v>
      </c>
      <c r="D1533">
        <v>0</v>
      </c>
      <c r="E1533">
        <v>0</v>
      </c>
    </row>
    <row r="1534" spans="1:5" x14ac:dyDescent="0.35">
      <c r="A1534">
        <v>0</v>
      </c>
      <c r="B1534">
        <v>0</v>
      </c>
      <c r="C1534">
        <v>0</v>
      </c>
      <c r="D1534">
        <v>0</v>
      </c>
      <c r="E1534">
        <v>0</v>
      </c>
    </row>
    <row r="1535" spans="1:5" x14ac:dyDescent="0.35">
      <c r="A1535">
        <v>0</v>
      </c>
      <c r="B1535">
        <v>0</v>
      </c>
      <c r="C1535">
        <v>0</v>
      </c>
      <c r="D1535">
        <v>0</v>
      </c>
      <c r="E1535">
        <v>0</v>
      </c>
    </row>
    <row r="1536" spans="1:5" x14ac:dyDescent="0.35">
      <c r="A1536">
        <v>0</v>
      </c>
      <c r="B1536">
        <v>0</v>
      </c>
      <c r="C1536">
        <v>0</v>
      </c>
      <c r="D1536">
        <v>0</v>
      </c>
      <c r="E1536">
        <v>0</v>
      </c>
    </row>
    <row r="1537" spans="1:5" x14ac:dyDescent="0.35">
      <c r="A1537">
        <v>0</v>
      </c>
      <c r="B1537">
        <v>0</v>
      </c>
      <c r="C1537">
        <v>0</v>
      </c>
      <c r="D1537">
        <v>0</v>
      </c>
      <c r="E1537">
        <v>0</v>
      </c>
    </row>
    <row r="1538" spans="1:5" x14ac:dyDescent="0.35">
      <c r="A1538">
        <v>0</v>
      </c>
      <c r="B1538">
        <v>0</v>
      </c>
      <c r="C1538">
        <v>0</v>
      </c>
      <c r="D1538">
        <v>0</v>
      </c>
      <c r="E1538">
        <v>0</v>
      </c>
    </row>
    <row r="1539" spans="1:5" x14ac:dyDescent="0.35">
      <c r="A1539">
        <v>0</v>
      </c>
      <c r="B1539">
        <v>0</v>
      </c>
      <c r="C1539">
        <v>0</v>
      </c>
      <c r="D1539">
        <v>0</v>
      </c>
      <c r="E1539">
        <v>0</v>
      </c>
    </row>
    <row r="1540" spans="1:5" x14ac:dyDescent="0.35">
      <c r="A1540">
        <v>0</v>
      </c>
      <c r="B1540">
        <v>0</v>
      </c>
      <c r="C1540">
        <v>0</v>
      </c>
      <c r="D1540">
        <v>0</v>
      </c>
      <c r="E1540">
        <v>0</v>
      </c>
    </row>
    <row r="1541" spans="1:5" x14ac:dyDescent="0.35">
      <c r="A1541">
        <v>0</v>
      </c>
      <c r="B1541">
        <v>0</v>
      </c>
      <c r="C1541">
        <v>0</v>
      </c>
      <c r="D1541">
        <v>0</v>
      </c>
      <c r="E1541">
        <v>0</v>
      </c>
    </row>
    <row r="1542" spans="1:5" x14ac:dyDescent="0.35">
      <c r="A1542">
        <v>0</v>
      </c>
      <c r="B1542">
        <v>0</v>
      </c>
      <c r="C1542">
        <v>0</v>
      </c>
      <c r="D1542">
        <v>0</v>
      </c>
      <c r="E1542">
        <v>0</v>
      </c>
    </row>
    <row r="1543" spans="1:5" x14ac:dyDescent="0.35">
      <c r="A1543">
        <v>0</v>
      </c>
      <c r="B1543">
        <v>0</v>
      </c>
      <c r="C1543">
        <v>0</v>
      </c>
      <c r="D1543">
        <v>0</v>
      </c>
      <c r="E1543">
        <v>0</v>
      </c>
    </row>
    <row r="1544" spans="1:5" x14ac:dyDescent="0.35">
      <c r="A1544">
        <v>0</v>
      </c>
      <c r="B1544">
        <v>0</v>
      </c>
      <c r="C1544">
        <v>0</v>
      </c>
      <c r="D1544">
        <v>0</v>
      </c>
      <c r="E1544">
        <v>0</v>
      </c>
    </row>
    <row r="1545" spans="1:5" x14ac:dyDescent="0.35">
      <c r="A1545">
        <v>0</v>
      </c>
      <c r="B1545">
        <v>0</v>
      </c>
      <c r="C1545">
        <v>0</v>
      </c>
      <c r="D1545">
        <v>0</v>
      </c>
      <c r="E1545">
        <v>0</v>
      </c>
    </row>
    <row r="1546" spans="1:5" x14ac:dyDescent="0.35">
      <c r="A1546">
        <v>0</v>
      </c>
      <c r="B1546">
        <v>0</v>
      </c>
      <c r="C1546">
        <v>0</v>
      </c>
      <c r="D1546">
        <v>0</v>
      </c>
      <c r="E1546">
        <v>0</v>
      </c>
    </row>
    <row r="1547" spans="1:5" x14ac:dyDescent="0.35">
      <c r="A1547">
        <v>0</v>
      </c>
      <c r="B1547">
        <v>0</v>
      </c>
      <c r="C1547">
        <v>0</v>
      </c>
      <c r="D1547">
        <v>0</v>
      </c>
      <c r="E1547">
        <v>0</v>
      </c>
    </row>
    <row r="1548" spans="1:5" x14ac:dyDescent="0.35">
      <c r="A1548">
        <v>0</v>
      </c>
      <c r="B1548">
        <v>0</v>
      </c>
      <c r="C1548">
        <v>0</v>
      </c>
      <c r="D1548">
        <v>0</v>
      </c>
      <c r="E1548">
        <v>0</v>
      </c>
    </row>
    <row r="1549" spans="1:5" x14ac:dyDescent="0.35">
      <c r="A1549">
        <v>0</v>
      </c>
      <c r="B1549">
        <v>0</v>
      </c>
      <c r="C1549">
        <v>0</v>
      </c>
      <c r="D1549">
        <v>0</v>
      </c>
      <c r="E1549">
        <v>0</v>
      </c>
    </row>
    <row r="1550" spans="1:5" x14ac:dyDescent="0.35">
      <c r="A1550">
        <v>0</v>
      </c>
      <c r="B1550">
        <v>0</v>
      </c>
      <c r="C1550">
        <v>0</v>
      </c>
      <c r="D1550">
        <v>0</v>
      </c>
      <c r="E1550">
        <v>0</v>
      </c>
    </row>
    <row r="1551" spans="1:5" x14ac:dyDescent="0.35">
      <c r="A1551">
        <v>0</v>
      </c>
      <c r="B1551">
        <v>0</v>
      </c>
      <c r="C1551">
        <v>0</v>
      </c>
      <c r="D1551">
        <v>0</v>
      </c>
      <c r="E1551">
        <v>0</v>
      </c>
    </row>
    <row r="1552" spans="1:5" x14ac:dyDescent="0.35">
      <c r="A1552">
        <v>0</v>
      </c>
      <c r="B1552">
        <v>0</v>
      </c>
      <c r="C1552">
        <v>0</v>
      </c>
      <c r="D1552">
        <v>0</v>
      </c>
      <c r="E1552">
        <v>0</v>
      </c>
    </row>
    <row r="1553" spans="1:5" x14ac:dyDescent="0.35">
      <c r="A1553">
        <v>0</v>
      </c>
      <c r="B1553">
        <v>0</v>
      </c>
      <c r="C1553">
        <v>0</v>
      </c>
      <c r="D1553">
        <v>0</v>
      </c>
      <c r="E1553">
        <v>0</v>
      </c>
    </row>
    <row r="1554" spans="1:5" x14ac:dyDescent="0.35">
      <c r="A1554">
        <v>0</v>
      </c>
      <c r="B1554">
        <v>0</v>
      </c>
      <c r="C1554">
        <v>0</v>
      </c>
      <c r="D1554">
        <v>0</v>
      </c>
      <c r="E1554">
        <v>0</v>
      </c>
    </row>
    <row r="1555" spans="1:5" x14ac:dyDescent="0.35">
      <c r="A1555">
        <v>0</v>
      </c>
      <c r="B1555">
        <v>0</v>
      </c>
      <c r="C1555">
        <v>0</v>
      </c>
      <c r="D1555">
        <v>0</v>
      </c>
      <c r="E1555">
        <v>0</v>
      </c>
    </row>
    <row r="1556" spans="1:5" x14ac:dyDescent="0.35">
      <c r="A1556">
        <v>0</v>
      </c>
      <c r="B1556">
        <v>0</v>
      </c>
      <c r="C1556">
        <v>0</v>
      </c>
      <c r="D1556">
        <v>0</v>
      </c>
      <c r="E1556">
        <v>0</v>
      </c>
    </row>
    <row r="1557" spans="1:5" x14ac:dyDescent="0.35">
      <c r="A1557">
        <v>0</v>
      </c>
      <c r="B1557">
        <v>0</v>
      </c>
      <c r="C1557">
        <v>0</v>
      </c>
      <c r="D1557">
        <v>0</v>
      </c>
      <c r="E1557">
        <v>0</v>
      </c>
    </row>
    <row r="1558" spans="1:5" x14ac:dyDescent="0.35">
      <c r="A1558">
        <v>0</v>
      </c>
      <c r="B1558">
        <v>0</v>
      </c>
      <c r="C1558">
        <v>0</v>
      </c>
      <c r="D1558">
        <v>0</v>
      </c>
      <c r="E1558">
        <v>0</v>
      </c>
    </row>
    <row r="1559" spans="1:5" x14ac:dyDescent="0.35">
      <c r="A1559">
        <v>0</v>
      </c>
      <c r="B1559">
        <v>0</v>
      </c>
      <c r="C1559">
        <v>0</v>
      </c>
      <c r="D1559">
        <v>0</v>
      </c>
      <c r="E1559">
        <v>0</v>
      </c>
    </row>
    <row r="1560" spans="1:5" x14ac:dyDescent="0.35">
      <c r="A1560">
        <v>0</v>
      </c>
      <c r="B1560">
        <v>0</v>
      </c>
      <c r="C1560">
        <v>0</v>
      </c>
      <c r="D1560">
        <v>0</v>
      </c>
      <c r="E1560">
        <v>0</v>
      </c>
    </row>
    <row r="1561" spans="1:5" x14ac:dyDescent="0.35">
      <c r="A1561">
        <v>0</v>
      </c>
      <c r="B1561">
        <v>0</v>
      </c>
      <c r="C1561">
        <v>0</v>
      </c>
      <c r="D1561">
        <v>0</v>
      </c>
      <c r="E1561">
        <v>0</v>
      </c>
    </row>
    <row r="1562" spans="1:5" x14ac:dyDescent="0.35">
      <c r="A1562">
        <v>0</v>
      </c>
      <c r="B1562">
        <v>0</v>
      </c>
      <c r="C1562">
        <v>0</v>
      </c>
      <c r="D1562">
        <v>0</v>
      </c>
      <c r="E1562">
        <v>0</v>
      </c>
    </row>
    <row r="1563" spans="1:5" x14ac:dyDescent="0.35">
      <c r="A1563">
        <v>0</v>
      </c>
      <c r="B1563">
        <v>0</v>
      </c>
      <c r="C1563">
        <v>0</v>
      </c>
      <c r="D1563">
        <v>0</v>
      </c>
      <c r="E1563">
        <v>0</v>
      </c>
    </row>
    <row r="1564" spans="1:5" x14ac:dyDescent="0.35">
      <c r="A1564">
        <v>0</v>
      </c>
      <c r="B1564">
        <v>0</v>
      </c>
      <c r="C1564">
        <v>0</v>
      </c>
      <c r="D1564">
        <v>0</v>
      </c>
      <c r="E1564">
        <v>0</v>
      </c>
    </row>
    <row r="1565" spans="1:5" x14ac:dyDescent="0.35">
      <c r="A1565">
        <v>0</v>
      </c>
      <c r="B1565">
        <v>0</v>
      </c>
      <c r="C1565">
        <v>0</v>
      </c>
      <c r="D1565">
        <v>0</v>
      </c>
      <c r="E1565">
        <v>0</v>
      </c>
    </row>
    <row r="1566" spans="1:5" x14ac:dyDescent="0.35">
      <c r="A1566">
        <v>0</v>
      </c>
      <c r="B1566">
        <v>0</v>
      </c>
      <c r="C1566">
        <v>0</v>
      </c>
      <c r="D1566">
        <v>0</v>
      </c>
      <c r="E1566">
        <v>0</v>
      </c>
    </row>
    <row r="1567" spans="1:5" x14ac:dyDescent="0.35">
      <c r="A1567">
        <v>0</v>
      </c>
      <c r="B1567">
        <v>0</v>
      </c>
      <c r="C1567">
        <v>0</v>
      </c>
      <c r="D1567">
        <v>0</v>
      </c>
      <c r="E1567">
        <v>0</v>
      </c>
    </row>
    <row r="1568" spans="1:5" x14ac:dyDescent="0.35">
      <c r="A1568">
        <v>0</v>
      </c>
      <c r="B1568">
        <v>0</v>
      </c>
      <c r="C1568">
        <v>0</v>
      </c>
      <c r="D1568">
        <v>0</v>
      </c>
      <c r="E1568">
        <v>0</v>
      </c>
    </row>
    <row r="1569" spans="1:5" x14ac:dyDescent="0.35">
      <c r="A1569">
        <v>0</v>
      </c>
      <c r="B1569">
        <v>0</v>
      </c>
      <c r="C1569">
        <v>0</v>
      </c>
      <c r="D1569">
        <v>0</v>
      </c>
      <c r="E1569">
        <v>0</v>
      </c>
    </row>
    <row r="1570" spans="1:5" x14ac:dyDescent="0.35">
      <c r="A1570">
        <v>0</v>
      </c>
      <c r="B1570">
        <v>0</v>
      </c>
      <c r="C1570">
        <v>0</v>
      </c>
      <c r="D1570">
        <v>0</v>
      </c>
      <c r="E1570">
        <v>0</v>
      </c>
    </row>
    <row r="1571" spans="1:5" x14ac:dyDescent="0.35">
      <c r="A1571">
        <v>0</v>
      </c>
      <c r="B1571">
        <v>0</v>
      </c>
      <c r="C1571">
        <v>0</v>
      </c>
      <c r="D1571">
        <v>0</v>
      </c>
      <c r="E1571">
        <v>0</v>
      </c>
    </row>
    <row r="1572" spans="1:5" x14ac:dyDescent="0.35">
      <c r="A1572">
        <v>0</v>
      </c>
      <c r="B1572">
        <v>0</v>
      </c>
      <c r="C1572">
        <v>0</v>
      </c>
      <c r="D1572">
        <v>0</v>
      </c>
      <c r="E1572">
        <v>0</v>
      </c>
    </row>
    <row r="1573" spans="1:5" x14ac:dyDescent="0.35">
      <c r="A1573">
        <v>0</v>
      </c>
      <c r="B1573">
        <v>0</v>
      </c>
      <c r="C1573">
        <v>0</v>
      </c>
      <c r="D1573">
        <v>0</v>
      </c>
      <c r="E1573">
        <v>0</v>
      </c>
    </row>
    <row r="1574" spans="1:5" x14ac:dyDescent="0.35">
      <c r="A1574">
        <v>0</v>
      </c>
      <c r="B1574">
        <v>0</v>
      </c>
      <c r="C1574">
        <v>0</v>
      </c>
      <c r="D1574">
        <v>0</v>
      </c>
      <c r="E1574">
        <v>0</v>
      </c>
    </row>
    <row r="1575" spans="1:5" x14ac:dyDescent="0.35">
      <c r="A1575">
        <v>0</v>
      </c>
      <c r="B1575">
        <v>0</v>
      </c>
      <c r="C1575">
        <v>0</v>
      </c>
      <c r="D1575">
        <v>0</v>
      </c>
      <c r="E1575">
        <v>0</v>
      </c>
    </row>
    <row r="1576" spans="1:5" x14ac:dyDescent="0.35">
      <c r="A1576">
        <v>0</v>
      </c>
      <c r="B1576">
        <v>0</v>
      </c>
      <c r="C1576">
        <v>0</v>
      </c>
      <c r="D1576">
        <v>0</v>
      </c>
      <c r="E1576">
        <v>0</v>
      </c>
    </row>
    <row r="1577" spans="1:5" x14ac:dyDescent="0.35">
      <c r="A1577">
        <v>0</v>
      </c>
      <c r="B1577">
        <v>0</v>
      </c>
      <c r="C1577">
        <v>0</v>
      </c>
      <c r="D1577">
        <v>0</v>
      </c>
      <c r="E1577">
        <v>0</v>
      </c>
    </row>
    <row r="1578" spans="1:5" x14ac:dyDescent="0.35">
      <c r="A1578">
        <v>0</v>
      </c>
      <c r="B1578">
        <v>0</v>
      </c>
      <c r="C1578">
        <v>0</v>
      </c>
      <c r="D1578">
        <v>0</v>
      </c>
      <c r="E1578">
        <v>0</v>
      </c>
    </row>
    <row r="1579" spans="1:5" x14ac:dyDescent="0.35">
      <c r="A1579">
        <v>0</v>
      </c>
      <c r="B1579">
        <v>0</v>
      </c>
      <c r="C1579">
        <v>0</v>
      </c>
      <c r="D1579">
        <v>0</v>
      </c>
      <c r="E1579">
        <v>0</v>
      </c>
    </row>
    <row r="1580" spans="1:5" x14ac:dyDescent="0.35">
      <c r="A1580">
        <v>0</v>
      </c>
      <c r="B1580">
        <v>0</v>
      </c>
      <c r="C1580">
        <v>0</v>
      </c>
      <c r="D1580">
        <v>0</v>
      </c>
      <c r="E1580">
        <v>0</v>
      </c>
    </row>
    <row r="1581" spans="1:5" x14ac:dyDescent="0.35">
      <c r="A1581">
        <v>0</v>
      </c>
      <c r="B1581">
        <v>0</v>
      </c>
      <c r="C1581">
        <v>0</v>
      </c>
      <c r="D1581">
        <v>0</v>
      </c>
      <c r="E1581">
        <v>0</v>
      </c>
    </row>
    <row r="1582" spans="1:5" x14ac:dyDescent="0.35">
      <c r="A1582">
        <v>0</v>
      </c>
      <c r="B1582">
        <v>0</v>
      </c>
      <c r="C1582">
        <v>0</v>
      </c>
      <c r="D1582">
        <v>0</v>
      </c>
      <c r="E1582">
        <v>0</v>
      </c>
    </row>
    <row r="1583" spans="1:5" x14ac:dyDescent="0.35">
      <c r="A1583">
        <v>0</v>
      </c>
      <c r="B1583">
        <v>0</v>
      </c>
      <c r="C1583">
        <v>0</v>
      </c>
      <c r="D1583">
        <v>0</v>
      </c>
      <c r="E1583">
        <v>0</v>
      </c>
    </row>
    <row r="1584" spans="1:5" x14ac:dyDescent="0.35">
      <c r="A1584">
        <v>0</v>
      </c>
      <c r="B1584">
        <v>0</v>
      </c>
      <c r="C1584">
        <v>0</v>
      </c>
      <c r="D1584">
        <v>0</v>
      </c>
      <c r="E1584">
        <v>0</v>
      </c>
    </row>
    <row r="1585" spans="1:5" x14ac:dyDescent="0.35">
      <c r="A1585">
        <v>0</v>
      </c>
      <c r="B1585">
        <v>0</v>
      </c>
      <c r="C1585">
        <v>0</v>
      </c>
      <c r="D1585">
        <v>0</v>
      </c>
      <c r="E1585">
        <v>0</v>
      </c>
    </row>
    <row r="1586" spans="1:5" x14ac:dyDescent="0.35">
      <c r="A1586">
        <v>0</v>
      </c>
      <c r="B1586">
        <v>0</v>
      </c>
      <c r="C1586">
        <v>0</v>
      </c>
      <c r="D1586">
        <v>0</v>
      </c>
      <c r="E1586">
        <v>0</v>
      </c>
    </row>
    <row r="1587" spans="1:5" x14ac:dyDescent="0.35">
      <c r="A1587">
        <v>0</v>
      </c>
      <c r="B1587">
        <v>0</v>
      </c>
      <c r="C1587">
        <v>0</v>
      </c>
      <c r="D1587">
        <v>0</v>
      </c>
      <c r="E1587">
        <v>0</v>
      </c>
    </row>
    <row r="1588" spans="1:5" x14ac:dyDescent="0.35">
      <c r="A1588">
        <v>0</v>
      </c>
      <c r="B1588">
        <v>0</v>
      </c>
      <c r="C1588">
        <v>0</v>
      </c>
      <c r="D1588">
        <v>0</v>
      </c>
      <c r="E1588">
        <v>0</v>
      </c>
    </row>
    <row r="1589" spans="1:5" x14ac:dyDescent="0.35">
      <c r="A1589">
        <v>0</v>
      </c>
      <c r="B1589">
        <v>0</v>
      </c>
      <c r="C1589">
        <v>0</v>
      </c>
      <c r="D1589">
        <v>0</v>
      </c>
      <c r="E1589">
        <v>0</v>
      </c>
    </row>
    <row r="1590" spans="1:5" x14ac:dyDescent="0.35">
      <c r="A1590">
        <v>0</v>
      </c>
      <c r="B1590">
        <v>0</v>
      </c>
      <c r="C1590">
        <v>0</v>
      </c>
      <c r="D1590">
        <v>0</v>
      </c>
      <c r="E1590">
        <v>0</v>
      </c>
    </row>
    <row r="1591" spans="1:5" x14ac:dyDescent="0.35">
      <c r="A1591">
        <v>0</v>
      </c>
      <c r="B1591">
        <v>0</v>
      </c>
      <c r="C1591">
        <v>0</v>
      </c>
      <c r="D1591">
        <v>0</v>
      </c>
      <c r="E1591">
        <v>0</v>
      </c>
    </row>
    <row r="1592" spans="1:5" x14ac:dyDescent="0.35">
      <c r="A1592">
        <v>0</v>
      </c>
      <c r="B1592">
        <v>0</v>
      </c>
      <c r="C1592">
        <v>0</v>
      </c>
      <c r="D1592">
        <v>0</v>
      </c>
      <c r="E1592">
        <v>0</v>
      </c>
    </row>
    <row r="1593" spans="1:5" x14ac:dyDescent="0.35">
      <c r="A1593">
        <v>0</v>
      </c>
      <c r="B1593">
        <v>0</v>
      </c>
      <c r="C1593">
        <v>0</v>
      </c>
      <c r="D1593">
        <v>0</v>
      </c>
      <c r="E1593">
        <v>0</v>
      </c>
    </row>
    <row r="1594" spans="1:5" x14ac:dyDescent="0.35">
      <c r="A1594">
        <v>0</v>
      </c>
      <c r="B1594">
        <v>0</v>
      </c>
      <c r="C1594">
        <v>0</v>
      </c>
      <c r="D1594">
        <v>0</v>
      </c>
      <c r="E1594">
        <v>0</v>
      </c>
    </row>
    <row r="1595" spans="1:5" x14ac:dyDescent="0.35">
      <c r="A1595">
        <v>0</v>
      </c>
      <c r="B1595">
        <v>0</v>
      </c>
      <c r="C1595">
        <v>0</v>
      </c>
      <c r="D1595">
        <v>0</v>
      </c>
      <c r="E1595">
        <v>0</v>
      </c>
    </row>
    <row r="1596" spans="1:5" x14ac:dyDescent="0.35">
      <c r="A1596">
        <v>0</v>
      </c>
      <c r="B1596">
        <v>0</v>
      </c>
      <c r="C1596">
        <v>0</v>
      </c>
      <c r="D1596">
        <v>0</v>
      </c>
      <c r="E1596">
        <v>0</v>
      </c>
    </row>
    <row r="1597" spans="1:5" x14ac:dyDescent="0.35">
      <c r="A1597">
        <v>0</v>
      </c>
      <c r="B1597">
        <v>0</v>
      </c>
      <c r="C1597">
        <v>0</v>
      </c>
      <c r="D1597">
        <v>0</v>
      </c>
      <c r="E1597">
        <v>0</v>
      </c>
    </row>
    <row r="1598" spans="1:5" x14ac:dyDescent="0.35">
      <c r="A1598">
        <v>0</v>
      </c>
      <c r="B1598">
        <v>0</v>
      </c>
      <c r="C1598">
        <v>0</v>
      </c>
      <c r="D1598">
        <v>0</v>
      </c>
      <c r="E1598">
        <v>0</v>
      </c>
    </row>
    <row r="1599" spans="1:5" x14ac:dyDescent="0.35">
      <c r="A1599">
        <v>0</v>
      </c>
      <c r="B1599">
        <v>0</v>
      </c>
      <c r="C1599">
        <v>0</v>
      </c>
      <c r="D1599">
        <v>0</v>
      </c>
      <c r="E1599">
        <v>0</v>
      </c>
    </row>
    <row r="1600" spans="1:5" x14ac:dyDescent="0.35">
      <c r="A1600">
        <v>0</v>
      </c>
      <c r="B1600">
        <v>0</v>
      </c>
      <c r="C1600">
        <v>0</v>
      </c>
      <c r="D1600">
        <v>0</v>
      </c>
      <c r="E1600">
        <v>0</v>
      </c>
    </row>
    <row r="1601" spans="1:5" x14ac:dyDescent="0.35">
      <c r="A1601">
        <v>0</v>
      </c>
      <c r="B1601">
        <v>0</v>
      </c>
      <c r="C1601">
        <v>0</v>
      </c>
      <c r="D1601">
        <v>0</v>
      </c>
      <c r="E1601">
        <v>0</v>
      </c>
    </row>
    <row r="1602" spans="1:5" x14ac:dyDescent="0.35">
      <c r="A1602">
        <v>0</v>
      </c>
      <c r="B1602">
        <v>0</v>
      </c>
      <c r="C1602">
        <v>0</v>
      </c>
      <c r="D1602">
        <v>0</v>
      </c>
      <c r="E1602">
        <v>0</v>
      </c>
    </row>
    <row r="1603" spans="1:5" x14ac:dyDescent="0.35">
      <c r="A1603">
        <v>0</v>
      </c>
      <c r="B1603">
        <v>0</v>
      </c>
      <c r="C1603">
        <v>0</v>
      </c>
      <c r="D1603">
        <v>0</v>
      </c>
      <c r="E1603">
        <v>0</v>
      </c>
    </row>
    <row r="1604" spans="1:5" x14ac:dyDescent="0.35">
      <c r="A1604">
        <v>0</v>
      </c>
      <c r="B1604">
        <v>0</v>
      </c>
      <c r="C1604">
        <v>0</v>
      </c>
      <c r="D1604">
        <v>0</v>
      </c>
      <c r="E1604">
        <v>0</v>
      </c>
    </row>
    <row r="1605" spans="1:5" x14ac:dyDescent="0.35">
      <c r="A1605">
        <v>0</v>
      </c>
      <c r="B1605">
        <v>0</v>
      </c>
      <c r="C1605">
        <v>0</v>
      </c>
      <c r="D1605">
        <v>0</v>
      </c>
      <c r="E1605">
        <v>0</v>
      </c>
    </row>
    <row r="1606" spans="1:5" x14ac:dyDescent="0.35">
      <c r="A1606">
        <v>0</v>
      </c>
      <c r="B1606">
        <v>0</v>
      </c>
      <c r="C1606">
        <v>0</v>
      </c>
      <c r="D1606">
        <v>0</v>
      </c>
      <c r="E1606">
        <v>0</v>
      </c>
    </row>
    <row r="1607" spans="1:5" x14ac:dyDescent="0.35">
      <c r="A1607">
        <v>0</v>
      </c>
      <c r="B1607">
        <v>0</v>
      </c>
      <c r="C1607">
        <v>0</v>
      </c>
      <c r="D1607">
        <v>0</v>
      </c>
      <c r="E1607">
        <v>0</v>
      </c>
    </row>
    <row r="1608" spans="1:5" x14ac:dyDescent="0.35">
      <c r="A1608">
        <v>0</v>
      </c>
      <c r="B1608">
        <v>0</v>
      </c>
      <c r="C1608">
        <v>0</v>
      </c>
      <c r="D1608">
        <v>0</v>
      </c>
      <c r="E1608">
        <v>0</v>
      </c>
    </row>
    <row r="1609" spans="1:5" x14ac:dyDescent="0.35">
      <c r="A1609">
        <v>0</v>
      </c>
      <c r="B1609">
        <v>0</v>
      </c>
      <c r="C1609">
        <v>0</v>
      </c>
      <c r="D1609">
        <v>0</v>
      </c>
      <c r="E1609">
        <v>0</v>
      </c>
    </row>
    <row r="1610" spans="1:5" x14ac:dyDescent="0.35">
      <c r="A1610">
        <v>0</v>
      </c>
      <c r="B1610">
        <v>0</v>
      </c>
      <c r="C1610">
        <v>0</v>
      </c>
      <c r="D1610">
        <v>0</v>
      </c>
      <c r="E1610">
        <v>0</v>
      </c>
    </row>
    <row r="1611" spans="1:5" x14ac:dyDescent="0.35">
      <c r="A1611">
        <v>0</v>
      </c>
      <c r="B1611">
        <v>0</v>
      </c>
      <c r="C1611">
        <v>0</v>
      </c>
      <c r="D1611">
        <v>0</v>
      </c>
      <c r="E1611">
        <v>0</v>
      </c>
    </row>
    <row r="1612" spans="1:5" x14ac:dyDescent="0.35">
      <c r="A1612">
        <v>0</v>
      </c>
      <c r="B1612">
        <v>0</v>
      </c>
      <c r="C1612">
        <v>0</v>
      </c>
      <c r="D1612">
        <v>0</v>
      </c>
      <c r="E1612">
        <v>0</v>
      </c>
    </row>
    <row r="1613" spans="1:5" x14ac:dyDescent="0.35">
      <c r="A1613">
        <v>0</v>
      </c>
      <c r="B1613">
        <v>0</v>
      </c>
      <c r="C1613">
        <v>0</v>
      </c>
      <c r="D1613">
        <v>0</v>
      </c>
      <c r="E1613">
        <v>0</v>
      </c>
    </row>
    <row r="1614" spans="1:5" x14ac:dyDescent="0.35">
      <c r="A1614">
        <v>0</v>
      </c>
      <c r="B1614">
        <v>0</v>
      </c>
      <c r="C1614">
        <v>0</v>
      </c>
      <c r="D1614">
        <v>0</v>
      </c>
      <c r="E1614">
        <v>0</v>
      </c>
    </row>
    <row r="1615" spans="1:5" x14ac:dyDescent="0.35">
      <c r="A1615">
        <v>0</v>
      </c>
      <c r="B1615">
        <v>0</v>
      </c>
      <c r="C1615">
        <v>0</v>
      </c>
      <c r="D1615">
        <v>0</v>
      </c>
      <c r="E1615">
        <v>0</v>
      </c>
    </row>
    <row r="1616" spans="1:5" x14ac:dyDescent="0.35">
      <c r="A1616">
        <v>0</v>
      </c>
      <c r="B1616">
        <v>0</v>
      </c>
      <c r="C1616">
        <v>0</v>
      </c>
      <c r="D1616">
        <v>0</v>
      </c>
      <c r="E1616">
        <v>0</v>
      </c>
    </row>
    <row r="1617" spans="1:5" x14ac:dyDescent="0.35">
      <c r="A1617">
        <v>0</v>
      </c>
      <c r="B1617">
        <v>0</v>
      </c>
      <c r="C1617">
        <v>0</v>
      </c>
      <c r="D1617">
        <v>0</v>
      </c>
      <c r="E1617">
        <v>0</v>
      </c>
    </row>
    <row r="1618" spans="1:5" x14ac:dyDescent="0.35">
      <c r="A1618">
        <v>0</v>
      </c>
      <c r="B1618">
        <v>0</v>
      </c>
      <c r="C1618">
        <v>0</v>
      </c>
      <c r="D1618">
        <v>0</v>
      </c>
      <c r="E1618">
        <v>0</v>
      </c>
    </row>
    <row r="1619" spans="1:5" x14ac:dyDescent="0.35">
      <c r="A1619">
        <v>0</v>
      </c>
      <c r="B1619">
        <v>0</v>
      </c>
      <c r="C1619">
        <v>0</v>
      </c>
      <c r="D1619">
        <v>0</v>
      </c>
      <c r="E1619">
        <v>0</v>
      </c>
    </row>
    <row r="1620" spans="1:5" x14ac:dyDescent="0.35">
      <c r="A1620">
        <v>0</v>
      </c>
      <c r="B1620">
        <v>0</v>
      </c>
      <c r="C1620">
        <v>0</v>
      </c>
      <c r="D1620">
        <v>0</v>
      </c>
      <c r="E1620">
        <v>0</v>
      </c>
    </row>
    <row r="1621" spans="1:5" x14ac:dyDescent="0.35">
      <c r="A1621">
        <v>0</v>
      </c>
      <c r="B1621">
        <v>0</v>
      </c>
      <c r="C1621">
        <v>0</v>
      </c>
      <c r="D1621">
        <v>0</v>
      </c>
      <c r="E1621">
        <v>0</v>
      </c>
    </row>
    <row r="1622" spans="1:5" x14ac:dyDescent="0.35">
      <c r="A1622">
        <v>0</v>
      </c>
      <c r="B1622">
        <v>0</v>
      </c>
      <c r="C1622">
        <v>0</v>
      </c>
      <c r="D1622">
        <v>0</v>
      </c>
      <c r="E1622">
        <v>0</v>
      </c>
    </row>
    <row r="1623" spans="1:5" x14ac:dyDescent="0.35">
      <c r="A1623">
        <v>0</v>
      </c>
      <c r="B1623">
        <v>0</v>
      </c>
      <c r="C1623">
        <v>0</v>
      </c>
      <c r="D1623">
        <v>0</v>
      </c>
      <c r="E1623">
        <v>0</v>
      </c>
    </row>
    <row r="1624" spans="1:5" x14ac:dyDescent="0.35">
      <c r="A1624">
        <v>0</v>
      </c>
      <c r="B1624">
        <v>0</v>
      </c>
      <c r="C1624">
        <v>0</v>
      </c>
      <c r="D1624">
        <v>0</v>
      </c>
      <c r="E1624">
        <v>0</v>
      </c>
    </row>
    <row r="1625" spans="1:5" x14ac:dyDescent="0.35">
      <c r="A1625">
        <v>0</v>
      </c>
      <c r="B1625">
        <v>0</v>
      </c>
      <c r="C1625">
        <v>0</v>
      </c>
      <c r="D1625">
        <v>0</v>
      </c>
      <c r="E1625">
        <v>0</v>
      </c>
    </row>
    <row r="1626" spans="1:5" x14ac:dyDescent="0.35">
      <c r="A1626">
        <v>0</v>
      </c>
      <c r="B1626">
        <v>0</v>
      </c>
      <c r="C1626">
        <v>0</v>
      </c>
      <c r="D1626">
        <v>0</v>
      </c>
      <c r="E1626">
        <v>0</v>
      </c>
    </row>
    <row r="1627" spans="1:5" x14ac:dyDescent="0.35">
      <c r="A1627">
        <v>0</v>
      </c>
      <c r="B1627">
        <v>0</v>
      </c>
      <c r="C1627">
        <v>0</v>
      </c>
      <c r="D1627">
        <v>0</v>
      </c>
      <c r="E1627">
        <v>0</v>
      </c>
    </row>
    <row r="1628" spans="1:5" x14ac:dyDescent="0.35">
      <c r="A1628">
        <v>0</v>
      </c>
      <c r="B1628">
        <v>0</v>
      </c>
      <c r="C1628">
        <v>0</v>
      </c>
      <c r="D1628">
        <v>0</v>
      </c>
      <c r="E1628">
        <v>0</v>
      </c>
    </row>
    <row r="1629" spans="1:5" x14ac:dyDescent="0.35">
      <c r="A1629">
        <v>0</v>
      </c>
      <c r="B1629">
        <v>0</v>
      </c>
      <c r="C1629">
        <v>0</v>
      </c>
      <c r="D1629">
        <v>0</v>
      </c>
      <c r="E1629">
        <v>0</v>
      </c>
    </row>
    <row r="1630" spans="1:5" x14ac:dyDescent="0.35">
      <c r="A1630">
        <v>0</v>
      </c>
      <c r="B1630">
        <v>0</v>
      </c>
      <c r="C1630">
        <v>0</v>
      </c>
      <c r="D1630">
        <v>0</v>
      </c>
      <c r="E1630">
        <v>0</v>
      </c>
    </row>
    <row r="1631" spans="1:5" x14ac:dyDescent="0.35">
      <c r="A1631">
        <v>0</v>
      </c>
      <c r="B1631">
        <v>0</v>
      </c>
      <c r="C1631">
        <v>0</v>
      </c>
      <c r="D1631">
        <v>0</v>
      </c>
      <c r="E1631">
        <v>0</v>
      </c>
    </row>
    <row r="1632" spans="1:5" x14ac:dyDescent="0.35">
      <c r="A1632">
        <v>0</v>
      </c>
      <c r="B1632">
        <v>0</v>
      </c>
      <c r="C1632">
        <v>0</v>
      </c>
      <c r="D1632">
        <v>0</v>
      </c>
      <c r="E1632">
        <v>0</v>
      </c>
    </row>
    <row r="1633" spans="1:5" x14ac:dyDescent="0.35">
      <c r="A1633">
        <v>0</v>
      </c>
      <c r="B1633">
        <v>0</v>
      </c>
      <c r="C1633">
        <v>0</v>
      </c>
      <c r="D1633">
        <v>0</v>
      </c>
      <c r="E1633">
        <v>0</v>
      </c>
    </row>
    <row r="1634" spans="1:5" x14ac:dyDescent="0.35">
      <c r="A1634">
        <v>0</v>
      </c>
      <c r="B1634">
        <v>0</v>
      </c>
      <c r="C1634">
        <v>0</v>
      </c>
      <c r="D1634">
        <v>0</v>
      </c>
      <c r="E1634">
        <v>0</v>
      </c>
    </row>
    <row r="1635" spans="1:5" x14ac:dyDescent="0.35">
      <c r="A1635">
        <v>0</v>
      </c>
      <c r="B1635">
        <v>0</v>
      </c>
      <c r="C1635">
        <v>0</v>
      </c>
      <c r="D1635">
        <v>0</v>
      </c>
      <c r="E1635">
        <v>0</v>
      </c>
    </row>
    <row r="1636" spans="1:5" x14ac:dyDescent="0.35">
      <c r="A1636">
        <v>0</v>
      </c>
      <c r="B1636">
        <v>0</v>
      </c>
      <c r="C1636">
        <v>0</v>
      </c>
      <c r="D1636">
        <v>0</v>
      </c>
      <c r="E1636">
        <v>0</v>
      </c>
    </row>
    <row r="1637" spans="1:5" x14ac:dyDescent="0.35">
      <c r="A1637">
        <v>0</v>
      </c>
      <c r="B1637">
        <v>0</v>
      </c>
      <c r="C1637">
        <v>0</v>
      </c>
      <c r="D1637">
        <v>0</v>
      </c>
      <c r="E1637">
        <v>0</v>
      </c>
    </row>
    <row r="1638" spans="1:5" x14ac:dyDescent="0.35">
      <c r="A1638">
        <v>0</v>
      </c>
      <c r="B1638">
        <v>0</v>
      </c>
      <c r="C1638">
        <v>0</v>
      </c>
      <c r="D1638">
        <v>0</v>
      </c>
      <c r="E1638">
        <v>0</v>
      </c>
    </row>
    <row r="1639" spans="1:5" x14ac:dyDescent="0.35">
      <c r="A1639">
        <v>0</v>
      </c>
      <c r="B1639">
        <v>0</v>
      </c>
      <c r="C1639">
        <v>0</v>
      </c>
      <c r="D1639">
        <v>0</v>
      </c>
      <c r="E1639">
        <v>0</v>
      </c>
    </row>
    <row r="1640" spans="1:5" x14ac:dyDescent="0.35">
      <c r="A1640">
        <v>0</v>
      </c>
      <c r="B1640">
        <v>0</v>
      </c>
      <c r="C1640">
        <v>0</v>
      </c>
      <c r="D1640">
        <v>0</v>
      </c>
      <c r="E1640">
        <v>0</v>
      </c>
    </row>
    <row r="1641" spans="1:5" x14ac:dyDescent="0.35">
      <c r="A1641">
        <v>0</v>
      </c>
      <c r="B1641">
        <v>0</v>
      </c>
      <c r="C1641">
        <v>0</v>
      </c>
      <c r="D1641">
        <v>0</v>
      </c>
      <c r="E1641">
        <v>0</v>
      </c>
    </row>
    <row r="1642" spans="1:5" x14ac:dyDescent="0.35">
      <c r="A1642">
        <v>0</v>
      </c>
      <c r="B1642">
        <v>0</v>
      </c>
      <c r="C1642">
        <v>0</v>
      </c>
      <c r="D1642">
        <v>0</v>
      </c>
      <c r="E1642">
        <v>0</v>
      </c>
    </row>
    <row r="1643" spans="1:5" x14ac:dyDescent="0.35">
      <c r="A1643">
        <v>0</v>
      </c>
      <c r="B1643">
        <v>0</v>
      </c>
      <c r="C1643">
        <v>0</v>
      </c>
      <c r="D1643">
        <v>0</v>
      </c>
      <c r="E1643">
        <v>0</v>
      </c>
    </row>
    <row r="1644" spans="1:5" x14ac:dyDescent="0.35">
      <c r="A1644">
        <v>0</v>
      </c>
      <c r="B1644">
        <v>0</v>
      </c>
      <c r="C1644">
        <v>0</v>
      </c>
      <c r="D1644">
        <v>0</v>
      </c>
      <c r="E1644">
        <v>0</v>
      </c>
    </row>
    <row r="1645" spans="1:5" x14ac:dyDescent="0.35">
      <c r="A1645">
        <v>0</v>
      </c>
      <c r="B1645">
        <v>0</v>
      </c>
      <c r="C1645">
        <v>0</v>
      </c>
      <c r="D1645">
        <v>0</v>
      </c>
      <c r="E1645">
        <v>0</v>
      </c>
    </row>
    <row r="1646" spans="1:5" x14ac:dyDescent="0.35">
      <c r="A1646">
        <v>0</v>
      </c>
      <c r="B1646">
        <v>0</v>
      </c>
      <c r="C1646">
        <v>0</v>
      </c>
      <c r="D1646">
        <v>0</v>
      </c>
      <c r="E1646">
        <v>0</v>
      </c>
    </row>
    <row r="1647" spans="1:5" x14ac:dyDescent="0.35">
      <c r="A1647">
        <v>0</v>
      </c>
      <c r="B1647">
        <v>0</v>
      </c>
      <c r="C1647">
        <v>0</v>
      </c>
      <c r="D1647">
        <v>0</v>
      </c>
      <c r="E1647">
        <v>0</v>
      </c>
    </row>
    <row r="1648" spans="1:5" x14ac:dyDescent="0.35">
      <c r="A1648">
        <v>0</v>
      </c>
      <c r="B1648">
        <v>0</v>
      </c>
      <c r="C1648">
        <v>0</v>
      </c>
      <c r="D1648">
        <v>0</v>
      </c>
      <c r="E1648">
        <v>0</v>
      </c>
    </row>
    <row r="1649" spans="1:5" x14ac:dyDescent="0.35">
      <c r="A1649">
        <v>0</v>
      </c>
      <c r="B1649">
        <v>0</v>
      </c>
      <c r="C1649">
        <v>0</v>
      </c>
      <c r="D1649">
        <v>0</v>
      </c>
      <c r="E1649">
        <v>0</v>
      </c>
    </row>
    <row r="1650" spans="1:5" x14ac:dyDescent="0.35">
      <c r="A1650">
        <v>0</v>
      </c>
      <c r="B1650">
        <v>0</v>
      </c>
      <c r="C1650">
        <v>0</v>
      </c>
      <c r="D1650">
        <v>0</v>
      </c>
      <c r="E1650">
        <v>0</v>
      </c>
    </row>
    <row r="1651" spans="1:5" x14ac:dyDescent="0.35">
      <c r="A1651">
        <v>0</v>
      </c>
      <c r="B1651">
        <v>0</v>
      </c>
      <c r="C1651">
        <v>0</v>
      </c>
      <c r="D1651">
        <v>0</v>
      </c>
      <c r="E1651">
        <v>0</v>
      </c>
    </row>
    <row r="1652" spans="1:5" x14ac:dyDescent="0.35">
      <c r="A1652">
        <v>0</v>
      </c>
      <c r="B1652">
        <v>0</v>
      </c>
      <c r="C1652">
        <v>0</v>
      </c>
      <c r="D1652">
        <v>0</v>
      </c>
      <c r="E1652">
        <v>0</v>
      </c>
    </row>
    <row r="1653" spans="1:5" x14ac:dyDescent="0.35">
      <c r="A1653">
        <v>0</v>
      </c>
      <c r="B1653">
        <v>0</v>
      </c>
      <c r="C1653">
        <v>0</v>
      </c>
      <c r="D1653">
        <v>0</v>
      </c>
      <c r="E1653">
        <v>0</v>
      </c>
    </row>
    <row r="1654" spans="1:5" x14ac:dyDescent="0.35">
      <c r="A1654">
        <v>0</v>
      </c>
      <c r="B1654">
        <v>0</v>
      </c>
      <c r="C1654">
        <v>0</v>
      </c>
      <c r="D1654">
        <v>0</v>
      </c>
      <c r="E1654">
        <v>0</v>
      </c>
    </row>
    <row r="1655" spans="1:5" x14ac:dyDescent="0.35">
      <c r="A1655">
        <v>0</v>
      </c>
      <c r="B1655">
        <v>0</v>
      </c>
      <c r="C1655">
        <v>0</v>
      </c>
      <c r="D1655">
        <v>0</v>
      </c>
      <c r="E1655">
        <v>0</v>
      </c>
    </row>
    <row r="1656" spans="1:5" x14ac:dyDescent="0.35">
      <c r="A1656">
        <v>0</v>
      </c>
      <c r="B1656">
        <v>0</v>
      </c>
      <c r="C1656">
        <v>0</v>
      </c>
      <c r="D1656">
        <v>0</v>
      </c>
      <c r="E1656">
        <v>0</v>
      </c>
    </row>
    <row r="1657" spans="1:5" x14ac:dyDescent="0.35">
      <c r="A1657">
        <v>0</v>
      </c>
      <c r="B1657">
        <v>0</v>
      </c>
      <c r="C1657">
        <v>0</v>
      </c>
      <c r="D1657">
        <v>0</v>
      </c>
      <c r="E1657">
        <v>0</v>
      </c>
    </row>
    <row r="1658" spans="1:5" x14ac:dyDescent="0.35">
      <c r="A1658">
        <v>0</v>
      </c>
      <c r="B1658">
        <v>0</v>
      </c>
      <c r="C1658">
        <v>0</v>
      </c>
      <c r="D1658">
        <v>0</v>
      </c>
      <c r="E1658">
        <v>0</v>
      </c>
    </row>
    <row r="1659" spans="1:5" x14ac:dyDescent="0.35">
      <c r="A1659">
        <v>0</v>
      </c>
      <c r="B1659">
        <v>0</v>
      </c>
      <c r="C1659">
        <v>0</v>
      </c>
      <c r="D1659">
        <v>0</v>
      </c>
      <c r="E1659">
        <v>0</v>
      </c>
    </row>
    <row r="1660" spans="1:5" x14ac:dyDescent="0.35">
      <c r="A1660">
        <v>0</v>
      </c>
      <c r="B1660">
        <v>0</v>
      </c>
      <c r="C1660">
        <v>0</v>
      </c>
      <c r="D1660">
        <v>0</v>
      </c>
      <c r="E1660">
        <v>0</v>
      </c>
    </row>
    <row r="1661" spans="1:5" x14ac:dyDescent="0.35">
      <c r="A1661">
        <v>0</v>
      </c>
      <c r="B1661">
        <v>0</v>
      </c>
      <c r="C1661">
        <v>0</v>
      </c>
      <c r="D1661">
        <v>0</v>
      </c>
      <c r="E1661">
        <v>0</v>
      </c>
    </row>
    <row r="1662" spans="1:5" x14ac:dyDescent="0.35">
      <c r="A1662">
        <v>0</v>
      </c>
      <c r="B1662">
        <v>0</v>
      </c>
      <c r="C1662">
        <v>0</v>
      </c>
      <c r="D1662">
        <v>0</v>
      </c>
      <c r="E1662">
        <v>0</v>
      </c>
    </row>
    <row r="1663" spans="1:5" x14ac:dyDescent="0.35">
      <c r="A1663">
        <v>0</v>
      </c>
      <c r="B1663">
        <v>0</v>
      </c>
      <c r="C1663">
        <v>0</v>
      </c>
      <c r="D1663">
        <v>0</v>
      </c>
      <c r="E1663">
        <v>0</v>
      </c>
    </row>
    <row r="1664" spans="1:5" x14ac:dyDescent="0.35">
      <c r="A1664">
        <v>0</v>
      </c>
      <c r="B1664">
        <v>0</v>
      </c>
      <c r="C1664">
        <v>0</v>
      </c>
      <c r="D1664">
        <v>0</v>
      </c>
      <c r="E1664">
        <v>0</v>
      </c>
    </row>
    <row r="1665" spans="1:5" x14ac:dyDescent="0.35">
      <c r="A1665">
        <v>0</v>
      </c>
      <c r="B1665">
        <v>0</v>
      </c>
      <c r="C1665">
        <v>0</v>
      </c>
      <c r="D1665">
        <v>0</v>
      </c>
      <c r="E1665">
        <v>0</v>
      </c>
    </row>
    <row r="1666" spans="1:5" x14ac:dyDescent="0.35">
      <c r="A1666">
        <v>0</v>
      </c>
      <c r="B1666">
        <v>0</v>
      </c>
      <c r="C1666">
        <v>0</v>
      </c>
      <c r="D1666">
        <v>0</v>
      </c>
      <c r="E1666">
        <v>0</v>
      </c>
    </row>
    <row r="1667" spans="1:5" x14ac:dyDescent="0.35">
      <c r="A1667">
        <v>0</v>
      </c>
      <c r="B1667">
        <v>0</v>
      </c>
      <c r="C1667">
        <v>0</v>
      </c>
      <c r="D1667">
        <v>0</v>
      </c>
      <c r="E1667">
        <v>0</v>
      </c>
    </row>
    <row r="1668" spans="1:5" x14ac:dyDescent="0.35">
      <c r="A1668">
        <v>0</v>
      </c>
      <c r="B1668">
        <v>0</v>
      </c>
      <c r="C1668">
        <v>0</v>
      </c>
      <c r="D1668">
        <v>0</v>
      </c>
      <c r="E1668">
        <v>0</v>
      </c>
    </row>
    <row r="1669" spans="1:5" x14ac:dyDescent="0.35">
      <c r="A1669">
        <v>0</v>
      </c>
      <c r="B1669">
        <v>0</v>
      </c>
      <c r="C1669">
        <v>0</v>
      </c>
      <c r="D1669">
        <v>0</v>
      </c>
      <c r="E1669">
        <v>0</v>
      </c>
    </row>
    <row r="1670" spans="1:5" x14ac:dyDescent="0.35">
      <c r="A1670">
        <v>0</v>
      </c>
      <c r="B1670">
        <v>0</v>
      </c>
      <c r="C1670">
        <v>0</v>
      </c>
      <c r="D1670">
        <v>0</v>
      </c>
      <c r="E1670">
        <v>0</v>
      </c>
    </row>
    <row r="1671" spans="1:5" x14ac:dyDescent="0.35">
      <c r="A1671">
        <v>0</v>
      </c>
      <c r="B1671">
        <v>0</v>
      </c>
      <c r="C1671">
        <v>0</v>
      </c>
      <c r="D1671">
        <v>0</v>
      </c>
      <c r="E1671">
        <v>0</v>
      </c>
    </row>
    <row r="1672" spans="1:5" x14ac:dyDescent="0.35">
      <c r="A1672">
        <v>0</v>
      </c>
      <c r="B1672">
        <v>0</v>
      </c>
      <c r="C1672">
        <v>0</v>
      </c>
      <c r="D1672">
        <v>0</v>
      </c>
      <c r="E1672">
        <v>0</v>
      </c>
    </row>
    <row r="1673" spans="1:5" x14ac:dyDescent="0.35">
      <c r="A1673">
        <v>0</v>
      </c>
      <c r="B1673">
        <v>0</v>
      </c>
      <c r="C1673">
        <v>0</v>
      </c>
      <c r="D1673">
        <v>0</v>
      </c>
      <c r="E1673">
        <v>0</v>
      </c>
    </row>
    <row r="1674" spans="1:5" x14ac:dyDescent="0.35">
      <c r="A1674">
        <v>0</v>
      </c>
      <c r="B1674">
        <v>0</v>
      </c>
      <c r="C1674">
        <v>0</v>
      </c>
      <c r="D1674">
        <v>0</v>
      </c>
      <c r="E1674">
        <v>0</v>
      </c>
    </row>
    <row r="1675" spans="1:5" x14ac:dyDescent="0.35">
      <c r="A1675">
        <v>0</v>
      </c>
      <c r="B1675">
        <v>0</v>
      </c>
      <c r="C1675">
        <v>0</v>
      </c>
      <c r="D1675">
        <v>0</v>
      </c>
      <c r="E1675">
        <v>0</v>
      </c>
    </row>
    <row r="1676" spans="1:5" x14ac:dyDescent="0.35">
      <c r="A1676">
        <v>0</v>
      </c>
      <c r="B1676">
        <v>0</v>
      </c>
      <c r="C1676">
        <v>0</v>
      </c>
      <c r="D1676">
        <v>0</v>
      </c>
      <c r="E1676">
        <v>0</v>
      </c>
    </row>
    <row r="1677" spans="1:5" x14ac:dyDescent="0.35">
      <c r="A1677">
        <v>0</v>
      </c>
      <c r="B1677">
        <v>0</v>
      </c>
      <c r="C1677">
        <v>0</v>
      </c>
      <c r="D1677">
        <v>0</v>
      </c>
      <c r="E1677">
        <v>0</v>
      </c>
    </row>
    <row r="1678" spans="1:5" x14ac:dyDescent="0.35">
      <c r="A1678">
        <v>0</v>
      </c>
      <c r="B1678">
        <v>0</v>
      </c>
      <c r="C1678">
        <v>0</v>
      </c>
      <c r="D1678">
        <v>0</v>
      </c>
      <c r="E1678">
        <v>0</v>
      </c>
    </row>
    <row r="1679" spans="1:5" x14ac:dyDescent="0.35">
      <c r="A1679">
        <v>0</v>
      </c>
      <c r="B1679">
        <v>0</v>
      </c>
      <c r="C1679">
        <v>0</v>
      </c>
      <c r="D1679">
        <v>0</v>
      </c>
      <c r="E1679">
        <v>0</v>
      </c>
    </row>
    <row r="1680" spans="1:5" x14ac:dyDescent="0.35">
      <c r="A1680">
        <v>0</v>
      </c>
      <c r="B1680">
        <v>0</v>
      </c>
      <c r="C1680">
        <v>0</v>
      </c>
      <c r="D1680">
        <v>0</v>
      </c>
      <c r="E1680">
        <v>0</v>
      </c>
    </row>
    <row r="1681" spans="1:5" x14ac:dyDescent="0.35">
      <c r="A1681">
        <v>0</v>
      </c>
      <c r="B1681">
        <v>0</v>
      </c>
      <c r="C1681">
        <v>0</v>
      </c>
      <c r="D1681">
        <v>0</v>
      </c>
      <c r="E1681">
        <v>0</v>
      </c>
    </row>
    <row r="1682" spans="1:5" x14ac:dyDescent="0.35">
      <c r="A1682">
        <v>0</v>
      </c>
      <c r="B1682">
        <v>0</v>
      </c>
      <c r="C1682">
        <v>0</v>
      </c>
      <c r="D1682">
        <v>0</v>
      </c>
      <c r="E1682">
        <v>0</v>
      </c>
    </row>
    <row r="1683" spans="1:5" x14ac:dyDescent="0.35">
      <c r="A1683">
        <v>0</v>
      </c>
      <c r="B1683">
        <v>0</v>
      </c>
      <c r="C1683">
        <v>0</v>
      </c>
      <c r="D1683">
        <v>0</v>
      </c>
      <c r="E1683">
        <v>0</v>
      </c>
    </row>
    <row r="1684" spans="1:5" x14ac:dyDescent="0.35">
      <c r="A1684">
        <v>0</v>
      </c>
      <c r="B1684">
        <v>0</v>
      </c>
      <c r="C1684">
        <v>0</v>
      </c>
      <c r="D1684">
        <v>0</v>
      </c>
      <c r="E1684">
        <v>0</v>
      </c>
    </row>
    <row r="1685" spans="1:5" x14ac:dyDescent="0.35">
      <c r="A1685">
        <v>0</v>
      </c>
      <c r="B1685">
        <v>0</v>
      </c>
      <c r="C1685">
        <v>0</v>
      </c>
      <c r="D1685">
        <v>0</v>
      </c>
      <c r="E1685">
        <v>0</v>
      </c>
    </row>
    <row r="1686" spans="1:5" x14ac:dyDescent="0.35">
      <c r="A1686">
        <v>0</v>
      </c>
      <c r="B1686">
        <v>0</v>
      </c>
      <c r="C1686">
        <v>0</v>
      </c>
      <c r="D1686">
        <v>0</v>
      </c>
      <c r="E1686">
        <v>0</v>
      </c>
    </row>
    <row r="1687" spans="1:5" x14ac:dyDescent="0.35">
      <c r="A1687">
        <v>0</v>
      </c>
      <c r="B1687">
        <v>0</v>
      </c>
      <c r="C1687">
        <v>0</v>
      </c>
      <c r="D1687">
        <v>0</v>
      </c>
      <c r="E1687">
        <v>0</v>
      </c>
    </row>
    <row r="1688" spans="1:5" x14ac:dyDescent="0.35">
      <c r="A1688">
        <v>0</v>
      </c>
      <c r="B1688">
        <v>0</v>
      </c>
      <c r="C1688">
        <v>0</v>
      </c>
      <c r="D1688">
        <v>0</v>
      </c>
      <c r="E1688">
        <v>0</v>
      </c>
    </row>
    <row r="1689" spans="1:5" x14ac:dyDescent="0.35">
      <c r="A1689">
        <v>0</v>
      </c>
      <c r="B1689">
        <v>0</v>
      </c>
      <c r="C1689">
        <v>0</v>
      </c>
      <c r="D1689">
        <v>0</v>
      </c>
      <c r="E1689">
        <v>0</v>
      </c>
    </row>
    <row r="1690" spans="1:5" x14ac:dyDescent="0.35">
      <c r="A1690">
        <v>0</v>
      </c>
      <c r="B1690">
        <v>0</v>
      </c>
      <c r="C1690">
        <v>0</v>
      </c>
      <c r="D1690">
        <v>0</v>
      </c>
      <c r="E1690">
        <v>0</v>
      </c>
    </row>
    <row r="1691" spans="1:5" x14ac:dyDescent="0.35">
      <c r="A1691">
        <v>0</v>
      </c>
      <c r="B1691">
        <v>0</v>
      </c>
      <c r="C1691">
        <v>0</v>
      </c>
      <c r="D1691">
        <v>0</v>
      </c>
      <c r="E1691">
        <v>0</v>
      </c>
    </row>
    <row r="1692" spans="1:5" x14ac:dyDescent="0.35">
      <c r="A1692">
        <v>0</v>
      </c>
      <c r="B1692">
        <v>0</v>
      </c>
      <c r="C1692">
        <v>0</v>
      </c>
      <c r="D1692">
        <v>0</v>
      </c>
      <c r="E1692">
        <v>0</v>
      </c>
    </row>
    <row r="1693" spans="1:5" x14ac:dyDescent="0.35">
      <c r="A1693">
        <v>0</v>
      </c>
      <c r="B1693">
        <v>0</v>
      </c>
      <c r="C1693">
        <v>0</v>
      </c>
      <c r="D1693">
        <v>0</v>
      </c>
      <c r="E1693">
        <v>0</v>
      </c>
    </row>
    <row r="1694" spans="1:5" x14ac:dyDescent="0.35">
      <c r="A1694">
        <v>0</v>
      </c>
      <c r="B1694">
        <v>0</v>
      </c>
      <c r="C1694">
        <v>0</v>
      </c>
      <c r="D1694">
        <v>0</v>
      </c>
      <c r="E1694">
        <v>0</v>
      </c>
    </row>
    <row r="1695" spans="1:5" x14ac:dyDescent="0.35">
      <c r="A1695">
        <v>0</v>
      </c>
      <c r="B1695">
        <v>0</v>
      </c>
      <c r="C1695">
        <v>0</v>
      </c>
      <c r="D1695">
        <v>0</v>
      </c>
      <c r="E1695">
        <v>0</v>
      </c>
    </row>
    <row r="1696" spans="1:5" x14ac:dyDescent="0.35">
      <c r="A1696">
        <v>0</v>
      </c>
      <c r="B1696">
        <v>0</v>
      </c>
      <c r="C1696">
        <v>0</v>
      </c>
      <c r="D1696">
        <v>0</v>
      </c>
      <c r="E1696">
        <v>0</v>
      </c>
    </row>
    <row r="1697" spans="1:5" x14ac:dyDescent="0.35">
      <c r="A1697">
        <v>0</v>
      </c>
      <c r="B1697">
        <v>0</v>
      </c>
      <c r="C1697">
        <v>0</v>
      </c>
      <c r="D1697">
        <v>0</v>
      </c>
      <c r="E1697">
        <v>0</v>
      </c>
    </row>
    <row r="1698" spans="1:5" x14ac:dyDescent="0.35">
      <c r="A1698">
        <v>0</v>
      </c>
      <c r="B1698">
        <v>0</v>
      </c>
      <c r="C1698">
        <v>0</v>
      </c>
      <c r="D1698">
        <v>0</v>
      </c>
      <c r="E1698">
        <v>0</v>
      </c>
    </row>
    <row r="1699" spans="1:5" x14ac:dyDescent="0.35">
      <c r="A1699">
        <v>0</v>
      </c>
      <c r="B1699">
        <v>0</v>
      </c>
      <c r="C1699">
        <v>0</v>
      </c>
      <c r="D1699">
        <v>0</v>
      </c>
      <c r="E1699">
        <v>0</v>
      </c>
    </row>
    <row r="1700" spans="1:5" x14ac:dyDescent="0.35">
      <c r="A1700">
        <v>0</v>
      </c>
      <c r="B1700">
        <v>0</v>
      </c>
      <c r="C1700">
        <v>0</v>
      </c>
      <c r="D1700">
        <v>0</v>
      </c>
      <c r="E1700">
        <v>0</v>
      </c>
    </row>
    <row r="1701" spans="1:5" x14ac:dyDescent="0.35">
      <c r="A1701">
        <v>0</v>
      </c>
      <c r="B1701">
        <v>0</v>
      </c>
      <c r="C1701">
        <v>0</v>
      </c>
      <c r="D1701">
        <v>0</v>
      </c>
      <c r="E1701">
        <v>0</v>
      </c>
    </row>
    <row r="1702" spans="1:5" x14ac:dyDescent="0.35">
      <c r="A1702">
        <v>0</v>
      </c>
      <c r="B1702">
        <v>0</v>
      </c>
      <c r="C1702">
        <v>0</v>
      </c>
      <c r="D1702">
        <v>0</v>
      </c>
      <c r="E1702">
        <v>0</v>
      </c>
    </row>
    <row r="1703" spans="1:5" x14ac:dyDescent="0.35">
      <c r="A1703">
        <v>0</v>
      </c>
      <c r="B1703">
        <v>0</v>
      </c>
      <c r="C1703">
        <v>0</v>
      </c>
      <c r="D1703">
        <v>0</v>
      </c>
      <c r="E1703">
        <v>0</v>
      </c>
    </row>
    <row r="1704" spans="1:5" x14ac:dyDescent="0.35">
      <c r="A1704">
        <v>0</v>
      </c>
      <c r="B1704">
        <v>0</v>
      </c>
      <c r="C1704">
        <v>0</v>
      </c>
      <c r="D1704">
        <v>0</v>
      </c>
      <c r="E1704">
        <v>0</v>
      </c>
    </row>
    <row r="1705" spans="1:5" x14ac:dyDescent="0.35">
      <c r="A1705">
        <v>0</v>
      </c>
      <c r="B1705">
        <v>0</v>
      </c>
      <c r="C1705">
        <v>0</v>
      </c>
      <c r="D1705">
        <v>0</v>
      </c>
      <c r="E1705">
        <v>0</v>
      </c>
    </row>
    <row r="1706" spans="1:5" x14ac:dyDescent="0.35">
      <c r="A1706">
        <v>0</v>
      </c>
      <c r="B1706">
        <v>0</v>
      </c>
      <c r="C1706">
        <v>0</v>
      </c>
      <c r="D1706">
        <v>0</v>
      </c>
      <c r="E1706">
        <v>0</v>
      </c>
    </row>
    <row r="1707" spans="1:5" x14ac:dyDescent="0.35">
      <c r="A1707">
        <v>0</v>
      </c>
      <c r="B1707">
        <v>0</v>
      </c>
      <c r="C1707">
        <v>0</v>
      </c>
      <c r="D1707">
        <v>0</v>
      </c>
      <c r="E1707">
        <v>0</v>
      </c>
    </row>
    <row r="1708" spans="1:5" x14ac:dyDescent="0.35">
      <c r="A1708">
        <v>0</v>
      </c>
      <c r="B1708">
        <v>0</v>
      </c>
      <c r="C1708">
        <v>0</v>
      </c>
      <c r="D1708">
        <v>0</v>
      </c>
      <c r="E1708">
        <v>0</v>
      </c>
    </row>
    <row r="1709" spans="1:5" x14ac:dyDescent="0.35">
      <c r="A1709">
        <v>0</v>
      </c>
      <c r="B1709">
        <v>0</v>
      </c>
      <c r="C1709">
        <v>0</v>
      </c>
      <c r="D1709">
        <v>0</v>
      </c>
      <c r="E1709">
        <v>0</v>
      </c>
    </row>
    <row r="1710" spans="1:5" x14ac:dyDescent="0.35">
      <c r="A1710">
        <v>0</v>
      </c>
      <c r="B1710">
        <v>0</v>
      </c>
      <c r="C1710">
        <v>0</v>
      </c>
      <c r="D1710">
        <v>0</v>
      </c>
      <c r="E1710">
        <v>0</v>
      </c>
    </row>
    <row r="1711" spans="1:5" x14ac:dyDescent="0.35">
      <c r="A1711">
        <v>0</v>
      </c>
      <c r="B1711">
        <v>0</v>
      </c>
      <c r="C1711">
        <v>0</v>
      </c>
      <c r="D1711">
        <v>0</v>
      </c>
      <c r="E1711">
        <v>0</v>
      </c>
    </row>
    <row r="1712" spans="1:5" x14ac:dyDescent="0.35">
      <c r="A1712">
        <v>0</v>
      </c>
      <c r="B1712">
        <v>0</v>
      </c>
      <c r="C1712">
        <v>0</v>
      </c>
      <c r="D1712">
        <v>0</v>
      </c>
      <c r="E1712">
        <v>0</v>
      </c>
    </row>
    <row r="1713" spans="1:5" x14ac:dyDescent="0.35">
      <c r="A1713">
        <v>0</v>
      </c>
      <c r="B1713">
        <v>0</v>
      </c>
      <c r="C1713">
        <v>0</v>
      </c>
      <c r="D1713">
        <v>0</v>
      </c>
      <c r="E1713">
        <v>0</v>
      </c>
    </row>
    <row r="1714" spans="1:5" x14ac:dyDescent="0.35">
      <c r="A1714">
        <v>0</v>
      </c>
      <c r="B1714">
        <v>0</v>
      </c>
      <c r="C1714">
        <v>0</v>
      </c>
      <c r="D1714">
        <v>0</v>
      </c>
      <c r="E1714">
        <v>0</v>
      </c>
    </row>
    <row r="1715" spans="1:5" x14ac:dyDescent="0.35">
      <c r="A1715">
        <v>0</v>
      </c>
      <c r="B1715">
        <v>0</v>
      </c>
      <c r="C1715">
        <v>0</v>
      </c>
      <c r="D1715">
        <v>0</v>
      </c>
      <c r="E1715">
        <v>0</v>
      </c>
    </row>
    <row r="1716" spans="1:5" x14ac:dyDescent="0.35">
      <c r="A1716">
        <v>0</v>
      </c>
      <c r="B1716">
        <v>0</v>
      </c>
      <c r="C1716">
        <v>0</v>
      </c>
      <c r="D1716">
        <v>0</v>
      </c>
      <c r="E1716">
        <v>0</v>
      </c>
    </row>
    <row r="1717" spans="1:5" x14ac:dyDescent="0.35">
      <c r="A1717">
        <v>0</v>
      </c>
      <c r="B1717">
        <v>0</v>
      </c>
      <c r="C1717">
        <v>0</v>
      </c>
      <c r="D1717">
        <v>0</v>
      </c>
      <c r="E1717">
        <v>0</v>
      </c>
    </row>
    <row r="1718" spans="1:5" x14ac:dyDescent="0.35">
      <c r="A1718">
        <v>0</v>
      </c>
      <c r="B1718">
        <v>0</v>
      </c>
      <c r="C1718">
        <v>0</v>
      </c>
      <c r="D1718">
        <v>0</v>
      </c>
      <c r="E1718">
        <v>0</v>
      </c>
    </row>
    <row r="1719" spans="1:5" x14ac:dyDescent="0.35">
      <c r="A1719">
        <v>0</v>
      </c>
      <c r="B1719">
        <v>0</v>
      </c>
      <c r="C1719">
        <v>0</v>
      </c>
      <c r="D1719">
        <v>0</v>
      </c>
      <c r="E1719">
        <v>0</v>
      </c>
    </row>
    <row r="1720" spans="1:5" x14ac:dyDescent="0.35">
      <c r="A1720">
        <v>0</v>
      </c>
      <c r="B1720">
        <v>0</v>
      </c>
      <c r="C1720">
        <v>0</v>
      </c>
      <c r="D1720">
        <v>0</v>
      </c>
      <c r="E1720">
        <v>0</v>
      </c>
    </row>
    <row r="1721" spans="1:5" x14ac:dyDescent="0.35">
      <c r="A1721">
        <v>0</v>
      </c>
      <c r="B1721">
        <v>0</v>
      </c>
      <c r="C1721">
        <v>0</v>
      </c>
      <c r="D1721">
        <v>0</v>
      </c>
      <c r="E1721">
        <v>0</v>
      </c>
    </row>
    <row r="1722" spans="1:5" x14ac:dyDescent="0.35">
      <c r="A1722">
        <v>0</v>
      </c>
      <c r="B1722">
        <v>0</v>
      </c>
      <c r="C1722">
        <v>0</v>
      </c>
      <c r="D1722">
        <v>0</v>
      </c>
      <c r="E1722">
        <v>0</v>
      </c>
    </row>
    <row r="1723" spans="1:5" x14ac:dyDescent="0.35">
      <c r="A1723">
        <v>0</v>
      </c>
      <c r="B1723">
        <v>0</v>
      </c>
      <c r="C1723">
        <v>0</v>
      </c>
      <c r="D1723">
        <v>0</v>
      </c>
      <c r="E1723">
        <v>0</v>
      </c>
    </row>
    <row r="1724" spans="1:5" x14ac:dyDescent="0.35">
      <c r="A1724">
        <v>0</v>
      </c>
      <c r="B1724">
        <v>0</v>
      </c>
      <c r="C1724">
        <v>0</v>
      </c>
      <c r="D1724">
        <v>0</v>
      </c>
      <c r="E1724">
        <v>0</v>
      </c>
    </row>
    <row r="1725" spans="1:5" x14ac:dyDescent="0.35">
      <c r="A1725">
        <v>0</v>
      </c>
      <c r="B1725">
        <v>0</v>
      </c>
      <c r="C1725">
        <v>0</v>
      </c>
      <c r="D1725">
        <v>0</v>
      </c>
      <c r="E1725">
        <v>0</v>
      </c>
    </row>
    <row r="1726" spans="1:5" x14ac:dyDescent="0.35">
      <c r="A1726">
        <v>0</v>
      </c>
      <c r="B1726">
        <v>0</v>
      </c>
      <c r="C1726">
        <v>0</v>
      </c>
      <c r="D1726">
        <v>0</v>
      </c>
      <c r="E1726">
        <v>0</v>
      </c>
    </row>
    <row r="1727" spans="1:5" x14ac:dyDescent="0.35">
      <c r="A1727">
        <v>0</v>
      </c>
      <c r="B1727">
        <v>0</v>
      </c>
      <c r="C1727">
        <v>0</v>
      </c>
      <c r="D1727">
        <v>0</v>
      </c>
      <c r="E1727">
        <v>0</v>
      </c>
    </row>
    <row r="1728" spans="1:5" x14ac:dyDescent="0.35">
      <c r="A1728">
        <v>0</v>
      </c>
      <c r="B1728">
        <v>0</v>
      </c>
      <c r="C1728">
        <v>0</v>
      </c>
      <c r="D1728">
        <v>0</v>
      </c>
      <c r="E1728">
        <v>0</v>
      </c>
    </row>
    <row r="1729" spans="1:5" x14ac:dyDescent="0.35">
      <c r="A1729">
        <v>0</v>
      </c>
      <c r="B1729">
        <v>0</v>
      </c>
      <c r="C1729">
        <v>0</v>
      </c>
      <c r="D1729">
        <v>0</v>
      </c>
      <c r="E1729">
        <v>0</v>
      </c>
    </row>
    <row r="1730" spans="1:5" x14ac:dyDescent="0.35">
      <c r="A1730">
        <v>0</v>
      </c>
      <c r="B1730">
        <v>0</v>
      </c>
      <c r="C1730">
        <v>0</v>
      </c>
      <c r="D1730">
        <v>0</v>
      </c>
      <c r="E1730">
        <v>0</v>
      </c>
    </row>
    <row r="1731" spans="1:5" x14ac:dyDescent="0.35">
      <c r="A1731">
        <v>0</v>
      </c>
      <c r="B1731">
        <v>0</v>
      </c>
      <c r="C1731">
        <v>0</v>
      </c>
      <c r="D1731">
        <v>0</v>
      </c>
      <c r="E1731">
        <v>0</v>
      </c>
    </row>
    <row r="1732" spans="1:5" x14ac:dyDescent="0.35">
      <c r="A1732">
        <v>0</v>
      </c>
      <c r="B1732">
        <v>0</v>
      </c>
      <c r="C1732">
        <v>0</v>
      </c>
      <c r="D1732">
        <v>0</v>
      </c>
      <c r="E1732">
        <v>0</v>
      </c>
    </row>
    <row r="1733" spans="1:5" x14ac:dyDescent="0.35">
      <c r="A1733">
        <v>0</v>
      </c>
      <c r="B1733">
        <v>0</v>
      </c>
      <c r="C1733">
        <v>0</v>
      </c>
      <c r="D1733">
        <v>0</v>
      </c>
      <c r="E1733">
        <v>0</v>
      </c>
    </row>
    <row r="1734" spans="1:5" x14ac:dyDescent="0.35">
      <c r="A1734">
        <v>0</v>
      </c>
      <c r="B1734">
        <v>0</v>
      </c>
      <c r="C1734">
        <v>0</v>
      </c>
      <c r="D1734">
        <v>0</v>
      </c>
      <c r="E1734">
        <v>0</v>
      </c>
    </row>
    <row r="1735" spans="1:5" x14ac:dyDescent="0.35">
      <c r="A1735">
        <v>0</v>
      </c>
      <c r="B1735">
        <v>0</v>
      </c>
      <c r="C1735">
        <v>0</v>
      </c>
      <c r="D1735">
        <v>0</v>
      </c>
      <c r="E1735">
        <v>0</v>
      </c>
    </row>
    <row r="1736" spans="1:5" x14ac:dyDescent="0.35">
      <c r="A1736">
        <v>0</v>
      </c>
      <c r="B1736">
        <v>0</v>
      </c>
      <c r="C1736">
        <v>0</v>
      </c>
      <c r="D1736">
        <v>0</v>
      </c>
      <c r="E1736">
        <v>0</v>
      </c>
    </row>
    <row r="1737" spans="1:5" x14ac:dyDescent="0.35">
      <c r="A1737">
        <v>0</v>
      </c>
      <c r="B1737">
        <v>0</v>
      </c>
      <c r="C1737">
        <v>0</v>
      </c>
      <c r="D1737">
        <v>0</v>
      </c>
      <c r="E1737">
        <v>0</v>
      </c>
    </row>
    <row r="1738" spans="1:5" x14ac:dyDescent="0.35">
      <c r="A1738">
        <v>0</v>
      </c>
      <c r="B1738">
        <v>0</v>
      </c>
      <c r="C1738">
        <v>0</v>
      </c>
      <c r="D1738">
        <v>0</v>
      </c>
      <c r="E1738">
        <v>0</v>
      </c>
    </row>
    <row r="1739" spans="1:5" x14ac:dyDescent="0.35">
      <c r="A1739">
        <v>0</v>
      </c>
      <c r="B1739">
        <v>0</v>
      </c>
      <c r="C1739">
        <v>0</v>
      </c>
      <c r="D1739">
        <v>0</v>
      </c>
      <c r="E1739">
        <v>0</v>
      </c>
    </row>
    <row r="1740" spans="1:5" x14ac:dyDescent="0.35">
      <c r="A1740">
        <v>0</v>
      </c>
      <c r="B1740">
        <v>0</v>
      </c>
      <c r="C1740">
        <v>0</v>
      </c>
      <c r="D1740">
        <v>0</v>
      </c>
      <c r="E1740">
        <v>0</v>
      </c>
    </row>
    <row r="1741" spans="1:5" x14ac:dyDescent="0.35">
      <c r="A1741">
        <v>0</v>
      </c>
      <c r="B1741">
        <v>0</v>
      </c>
      <c r="C1741">
        <v>0</v>
      </c>
      <c r="D1741">
        <v>0</v>
      </c>
      <c r="E1741">
        <v>0</v>
      </c>
    </row>
    <row r="1742" spans="1:5" x14ac:dyDescent="0.35">
      <c r="A1742">
        <v>0</v>
      </c>
      <c r="B1742">
        <v>0</v>
      </c>
      <c r="C1742">
        <v>0</v>
      </c>
      <c r="D1742">
        <v>0</v>
      </c>
      <c r="E1742">
        <v>0</v>
      </c>
    </row>
    <row r="1743" spans="1:5" x14ac:dyDescent="0.35">
      <c r="A1743">
        <v>0</v>
      </c>
      <c r="B1743">
        <v>0</v>
      </c>
      <c r="C1743">
        <v>0</v>
      </c>
      <c r="D1743">
        <v>0</v>
      </c>
      <c r="E1743">
        <v>0</v>
      </c>
    </row>
    <row r="1744" spans="1:5" x14ac:dyDescent="0.35">
      <c r="A1744">
        <v>0</v>
      </c>
      <c r="B1744">
        <v>0</v>
      </c>
      <c r="C1744">
        <v>0</v>
      </c>
      <c r="D1744">
        <v>0</v>
      </c>
      <c r="E1744">
        <v>0</v>
      </c>
    </row>
    <row r="1745" spans="1:5" x14ac:dyDescent="0.35">
      <c r="A1745">
        <v>0</v>
      </c>
      <c r="B1745">
        <v>0</v>
      </c>
      <c r="C1745">
        <v>0</v>
      </c>
      <c r="D1745">
        <v>0</v>
      </c>
      <c r="E1745">
        <v>0</v>
      </c>
    </row>
    <row r="1746" spans="1:5" x14ac:dyDescent="0.35">
      <c r="A1746">
        <v>0</v>
      </c>
      <c r="B1746">
        <v>0</v>
      </c>
      <c r="C1746">
        <v>0</v>
      </c>
      <c r="D1746">
        <v>0</v>
      </c>
      <c r="E1746">
        <v>0</v>
      </c>
    </row>
    <row r="1747" spans="1:5" x14ac:dyDescent="0.35">
      <c r="A1747">
        <v>0</v>
      </c>
      <c r="B1747">
        <v>0</v>
      </c>
      <c r="C1747">
        <v>0</v>
      </c>
      <c r="D1747">
        <v>0</v>
      </c>
      <c r="E1747">
        <v>0</v>
      </c>
    </row>
    <row r="1748" spans="1:5" x14ac:dyDescent="0.35">
      <c r="A1748">
        <v>0</v>
      </c>
      <c r="B1748">
        <v>0</v>
      </c>
      <c r="C1748">
        <v>0</v>
      </c>
      <c r="D1748">
        <v>0</v>
      </c>
      <c r="E1748">
        <v>0</v>
      </c>
    </row>
    <row r="1749" spans="1:5" x14ac:dyDescent="0.35">
      <c r="A1749">
        <v>0</v>
      </c>
      <c r="B1749">
        <v>0</v>
      </c>
      <c r="C1749">
        <v>0</v>
      </c>
      <c r="D1749">
        <v>0</v>
      </c>
      <c r="E1749">
        <v>0</v>
      </c>
    </row>
    <row r="1750" spans="1:5" x14ac:dyDescent="0.35">
      <c r="A1750">
        <v>0</v>
      </c>
      <c r="B1750">
        <v>0</v>
      </c>
      <c r="C1750">
        <v>0</v>
      </c>
      <c r="D1750">
        <v>0</v>
      </c>
      <c r="E1750">
        <v>0</v>
      </c>
    </row>
    <row r="1751" spans="1:5" x14ac:dyDescent="0.35">
      <c r="A1751">
        <v>0</v>
      </c>
      <c r="B1751">
        <v>0</v>
      </c>
      <c r="C1751">
        <v>0</v>
      </c>
      <c r="D1751">
        <v>0</v>
      </c>
      <c r="E1751">
        <v>0</v>
      </c>
    </row>
    <row r="1752" spans="1:5" x14ac:dyDescent="0.35">
      <c r="A1752">
        <v>0</v>
      </c>
      <c r="B1752">
        <v>0</v>
      </c>
      <c r="C1752">
        <v>0</v>
      </c>
      <c r="D1752">
        <v>0</v>
      </c>
      <c r="E1752">
        <v>0</v>
      </c>
    </row>
    <row r="1753" spans="1:5" x14ac:dyDescent="0.35">
      <c r="A1753">
        <v>0</v>
      </c>
      <c r="B1753">
        <v>0</v>
      </c>
      <c r="C1753">
        <v>0</v>
      </c>
      <c r="D1753">
        <v>0</v>
      </c>
      <c r="E1753">
        <v>0</v>
      </c>
    </row>
    <row r="1754" spans="1:5" x14ac:dyDescent="0.35">
      <c r="A1754">
        <v>0</v>
      </c>
      <c r="B1754">
        <v>0</v>
      </c>
      <c r="C1754">
        <v>0</v>
      </c>
      <c r="D1754">
        <v>0</v>
      </c>
      <c r="E1754">
        <v>0</v>
      </c>
    </row>
    <row r="1755" spans="1:5" x14ac:dyDescent="0.35">
      <c r="A1755">
        <v>0</v>
      </c>
      <c r="B1755">
        <v>0</v>
      </c>
      <c r="C1755">
        <v>0</v>
      </c>
      <c r="D1755">
        <v>0</v>
      </c>
      <c r="E1755">
        <v>0</v>
      </c>
    </row>
    <row r="1756" spans="1:5" x14ac:dyDescent="0.35">
      <c r="A1756">
        <v>0</v>
      </c>
      <c r="B1756">
        <v>0</v>
      </c>
      <c r="C1756">
        <v>0</v>
      </c>
      <c r="D1756">
        <v>0</v>
      </c>
      <c r="E1756">
        <v>0</v>
      </c>
    </row>
    <row r="1757" spans="1:5" x14ac:dyDescent="0.35">
      <c r="A1757">
        <v>0</v>
      </c>
      <c r="B1757">
        <v>0</v>
      </c>
      <c r="C1757">
        <v>0</v>
      </c>
      <c r="D1757">
        <v>0</v>
      </c>
      <c r="E1757">
        <v>0</v>
      </c>
    </row>
    <row r="1758" spans="1:5" x14ac:dyDescent="0.35">
      <c r="A1758">
        <v>0</v>
      </c>
      <c r="B1758">
        <v>0</v>
      </c>
      <c r="C1758">
        <v>0</v>
      </c>
      <c r="D1758">
        <v>0</v>
      </c>
      <c r="E1758">
        <v>0</v>
      </c>
    </row>
    <row r="1759" spans="1:5" x14ac:dyDescent="0.35">
      <c r="A1759">
        <v>0</v>
      </c>
      <c r="B1759">
        <v>0</v>
      </c>
      <c r="C1759">
        <v>0</v>
      </c>
      <c r="D1759">
        <v>0</v>
      </c>
      <c r="E1759">
        <v>0</v>
      </c>
    </row>
    <row r="1760" spans="1:5" x14ac:dyDescent="0.35">
      <c r="A1760">
        <v>0</v>
      </c>
      <c r="B1760">
        <v>0</v>
      </c>
      <c r="C1760">
        <v>0</v>
      </c>
      <c r="D1760">
        <v>0</v>
      </c>
      <c r="E1760">
        <v>0</v>
      </c>
    </row>
    <row r="1761" spans="1:5" x14ac:dyDescent="0.35">
      <c r="A1761">
        <v>0</v>
      </c>
      <c r="B1761">
        <v>0</v>
      </c>
      <c r="C1761">
        <v>0</v>
      </c>
      <c r="D1761">
        <v>0</v>
      </c>
      <c r="E1761">
        <v>0</v>
      </c>
    </row>
    <row r="1762" spans="1:5" x14ac:dyDescent="0.35">
      <c r="A1762">
        <v>0</v>
      </c>
      <c r="B1762">
        <v>0</v>
      </c>
      <c r="C1762">
        <v>0</v>
      </c>
      <c r="D1762">
        <v>0</v>
      </c>
      <c r="E1762">
        <v>0</v>
      </c>
    </row>
    <row r="1763" spans="1:5" x14ac:dyDescent="0.35">
      <c r="A1763">
        <v>0</v>
      </c>
      <c r="B1763">
        <v>0</v>
      </c>
      <c r="C1763">
        <v>0</v>
      </c>
      <c r="D1763">
        <v>0</v>
      </c>
      <c r="E1763">
        <v>0</v>
      </c>
    </row>
    <row r="1764" spans="1:5" x14ac:dyDescent="0.35">
      <c r="A1764">
        <v>0</v>
      </c>
      <c r="B1764">
        <v>0</v>
      </c>
      <c r="C1764">
        <v>0</v>
      </c>
      <c r="D1764">
        <v>0</v>
      </c>
      <c r="E1764">
        <v>0</v>
      </c>
    </row>
    <row r="1765" spans="1:5" x14ac:dyDescent="0.35">
      <c r="A1765">
        <v>0</v>
      </c>
      <c r="B1765">
        <v>0</v>
      </c>
      <c r="C1765">
        <v>0</v>
      </c>
      <c r="D1765">
        <v>0</v>
      </c>
      <c r="E1765">
        <v>0</v>
      </c>
    </row>
    <row r="1766" spans="1:5" x14ac:dyDescent="0.35">
      <c r="A1766">
        <v>0</v>
      </c>
      <c r="B1766">
        <v>0</v>
      </c>
      <c r="C1766">
        <v>0</v>
      </c>
      <c r="D1766">
        <v>0</v>
      </c>
      <c r="E1766">
        <v>0</v>
      </c>
    </row>
    <row r="1767" spans="1:5" x14ac:dyDescent="0.35">
      <c r="A1767">
        <v>0</v>
      </c>
      <c r="B1767">
        <v>0</v>
      </c>
      <c r="C1767">
        <v>0</v>
      </c>
      <c r="D1767">
        <v>0</v>
      </c>
      <c r="E1767">
        <v>0</v>
      </c>
    </row>
    <row r="1768" spans="1:5" x14ac:dyDescent="0.35">
      <c r="A1768">
        <v>0</v>
      </c>
      <c r="B1768">
        <v>0</v>
      </c>
      <c r="C1768">
        <v>0</v>
      </c>
      <c r="D1768">
        <v>0</v>
      </c>
      <c r="E1768">
        <v>0</v>
      </c>
    </row>
    <row r="1769" spans="1:5" x14ac:dyDescent="0.35">
      <c r="A1769">
        <v>0</v>
      </c>
      <c r="B1769">
        <v>0</v>
      </c>
      <c r="C1769">
        <v>0</v>
      </c>
      <c r="D1769">
        <v>0</v>
      </c>
      <c r="E1769">
        <v>0</v>
      </c>
    </row>
    <row r="1770" spans="1:5" x14ac:dyDescent="0.35">
      <c r="A1770">
        <v>0</v>
      </c>
      <c r="B1770">
        <v>0</v>
      </c>
      <c r="C1770">
        <v>0</v>
      </c>
      <c r="D1770">
        <v>0</v>
      </c>
      <c r="E1770">
        <v>0</v>
      </c>
    </row>
    <row r="1771" spans="1:5" x14ac:dyDescent="0.35">
      <c r="A1771">
        <v>0</v>
      </c>
      <c r="B1771">
        <v>0</v>
      </c>
      <c r="C1771">
        <v>0</v>
      </c>
      <c r="D1771">
        <v>0</v>
      </c>
      <c r="E1771">
        <v>0</v>
      </c>
    </row>
    <row r="1772" spans="1:5" x14ac:dyDescent="0.35">
      <c r="A1772">
        <v>0</v>
      </c>
      <c r="B1772">
        <v>0</v>
      </c>
      <c r="C1772">
        <v>0</v>
      </c>
      <c r="D1772">
        <v>0</v>
      </c>
      <c r="E1772">
        <v>0</v>
      </c>
    </row>
    <row r="1773" spans="1:5" x14ac:dyDescent="0.35">
      <c r="A1773">
        <v>0</v>
      </c>
      <c r="B1773">
        <v>0</v>
      </c>
      <c r="C1773">
        <v>0</v>
      </c>
      <c r="D1773">
        <v>0</v>
      </c>
      <c r="E1773">
        <v>0</v>
      </c>
    </row>
    <row r="1774" spans="1:5" x14ac:dyDescent="0.35">
      <c r="A1774">
        <v>0</v>
      </c>
      <c r="B1774">
        <v>0</v>
      </c>
      <c r="C1774">
        <v>0</v>
      </c>
      <c r="D1774">
        <v>0</v>
      </c>
      <c r="E1774">
        <v>0</v>
      </c>
    </row>
    <row r="1775" spans="1:5" x14ac:dyDescent="0.35">
      <c r="A1775">
        <v>0</v>
      </c>
      <c r="B1775">
        <v>0</v>
      </c>
      <c r="C1775">
        <v>0</v>
      </c>
      <c r="D1775">
        <v>0</v>
      </c>
      <c r="E1775">
        <v>0</v>
      </c>
    </row>
    <row r="1776" spans="1:5" x14ac:dyDescent="0.35">
      <c r="A1776">
        <v>0</v>
      </c>
      <c r="B1776">
        <v>0</v>
      </c>
      <c r="C1776">
        <v>0</v>
      </c>
      <c r="D1776">
        <v>0</v>
      </c>
      <c r="E1776">
        <v>0</v>
      </c>
    </row>
    <row r="1777" spans="1:5" x14ac:dyDescent="0.35">
      <c r="A1777">
        <v>0</v>
      </c>
      <c r="B1777">
        <v>0</v>
      </c>
      <c r="C1777">
        <v>0</v>
      </c>
      <c r="D1777">
        <v>0</v>
      </c>
      <c r="E1777">
        <v>0</v>
      </c>
    </row>
    <row r="1778" spans="1:5" x14ac:dyDescent="0.35">
      <c r="A1778">
        <v>0</v>
      </c>
      <c r="B1778">
        <v>0</v>
      </c>
      <c r="C1778">
        <v>0</v>
      </c>
      <c r="D1778">
        <v>0</v>
      </c>
      <c r="E1778">
        <v>0</v>
      </c>
    </row>
    <row r="1779" spans="1:5" x14ac:dyDescent="0.35">
      <c r="A1779">
        <v>0</v>
      </c>
      <c r="B1779">
        <v>0</v>
      </c>
      <c r="C1779">
        <v>0</v>
      </c>
      <c r="D1779">
        <v>0</v>
      </c>
      <c r="E1779">
        <v>0</v>
      </c>
    </row>
    <row r="1780" spans="1:5" x14ac:dyDescent="0.35">
      <c r="A1780">
        <v>0</v>
      </c>
      <c r="B1780">
        <v>0</v>
      </c>
      <c r="C1780">
        <v>0</v>
      </c>
      <c r="D1780">
        <v>0</v>
      </c>
      <c r="E1780">
        <v>0</v>
      </c>
    </row>
    <row r="1781" spans="1:5" x14ac:dyDescent="0.35">
      <c r="A1781">
        <v>0</v>
      </c>
      <c r="B1781">
        <v>0</v>
      </c>
      <c r="C1781">
        <v>0</v>
      </c>
      <c r="D1781">
        <v>0</v>
      </c>
      <c r="E1781">
        <v>0</v>
      </c>
    </row>
    <row r="1782" spans="1:5" x14ac:dyDescent="0.35">
      <c r="A1782">
        <v>0</v>
      </c>
      <c r="B1782">
        <v>0</v>
      </c>
      <c r="C1782">
        <v>0</v>
      </c>
      <c r="D1782">
        <v>0</v>
      </c>
      <c r="E1782">
        <v>0</v>
      </c>
    </row>
    <row r="1783" spans="1:5" x14ac:dyDescent="0.35">
      <c r="A1783">
        <v>0</v>
      </c>
      <c r="B1783">
        <v>0</v>
      </c>
      <c r="C1783">
        <v>0</v>
      </c>
      <c r="D1783">
        <v>0</v>
      </c>
      <c r="E1783">
        <v>0</v>
      </c>
    </row>
    <row r="1784" spans="1:5" x14ac:dyDescent="0.35">
      <c r="A1784">
        <v>0</v>
      </c>
      <c r="B1784">
        <v>0</v>
      </c>
      <c r="C1784">
        <v>0</v>
      </c>
      <c r="D1784">
        <v>0</v>
      </c>
      <c r="E1784">
        <v>0</v>
      </c>
    </row>
    <row r="1785" spans="1:5" x14ac:dyDescent="0.35">
      <c r="A1785">
        <v>0</v>
      </c>
      <c r="B1785">
        <v>0</v>
      </c>
      <c r="C1785">
        <v>0</v>
      </c>
      <c r="D1785">
        <v>0</v>
      </c>
      <c r="E1785">
        <v>0</v>
      </c>
    </row>
    <row r="1786" spans="1:5" x14ac:dyDescent="0.35">
      <c r="A1786">
        <v>0</v>
      </c>
      <c r="B1786">
        <v>0</v>
      </c>
      <c r="C1786">
        <v>0</v>
      </c>
      <c r="D1786">
        <v>0</v>
      </c>
      <c r="E1786">
        <v>0</v>
      </c>
    </row>
    <row r="1787" spans="1:5" x14ac:dyDescent="0.35">
      <c r="A1787">
        <v>0</v>
      </c>
      <c r="B1787">
        <v>0</v>
      </c>
      <c r="C1787">
        <v>0</v>
      </c>
      <c r="D1787">
        <v>0</v>
      </c>
      <c r="E1787">
        <v>0</v>
      </c>
    </row>
    <row r="1788" spans="1:5" x14ac:dyDescent="0.35">
      <c r="A1788">
        <v>0</v>
      </c>
      <c r="B1788">
        <v>0</v>
      </c>
      <c r="C1788">
        <v>0</v>
      </c>
      <c r="D1788">
        <v>0</v>
      </c>
      <c r="E1788">
        <v>0</v>
      </c>
    </row>
    <row r="1789" spans="1:5" x14ac:dyDescent="0.35">
      <c r="A1789">
        <v>0</v>
      </c>
      <c r="B1789">
        <v>0</v>
      </c>
      <c r="C1789">
        <v>0</v>
      </c>
      <c r="D1789">
        <v>0</v>
      </c>
      <c r="E1789">
        <v>0</v>
      </c>
    </row>
    <row r="1790" spans="1:5" x14ac:dyDescent="0.35">
      <c r="A1790">
        <v>0</v>
      </c>
      <c r="B1790">
        <v>0</v>
      </c>
      <c r="C1790">
        <v>0</v>
      </c>
      <c r="D1790">
        <v>0</v>
      </c>
      <c r="E1790">
        <v>0</v>
      </c>
    </row>
    <row r="1791" spans="1:5" x14ac:dyDescent="0.35">
      <c r="A1791">
        <v>0</v>
      </c>
      <c r="B1791">
        <v>0</v>
      </c>
      <c r="C1791">
        <v>0</v>
      </c>
      <c r="D1791">
        <v>0</v>
      </c>
      <c r="E1791">
        <v>0</v>
      </c>
    </row>
    <row r="1792" spans="1:5" x14ac:dyDescent="0.35">
      <c r="A1792">
        <v>0</v>
      </c>
      <c r="B1792">
        <v>0</v>
      </c>
      <c r="C1792">
        <v>0</v>
      </c>
      <c r="D1792">
        <v>0</v>
      </c>
      <c r="E1792">
        <v>0</v>
      </c>
    </row>
    <row r="1793" spans="1:5" x14ac:dyDescent="0.35">
      <c r="A1793">
        <v>0</v>
      </c>
      <c r="B1793">
        <v>0</v>
      </c>
      <c r="C1793">
        <v>0</v>
      </c>
      <c r="D1793">
        <v>0</v>
      </c>
      <c r="E1793">
        <v>0</v>
      </c>
    </row>
    <row r="1794" spans="1:5" x14ac:dyDescent="0.35">
      <c r="A1794">
        <v>0</v>
      </c>
      <c r="B1794">
        <v>0</v>
      </c>
      <c r="C1794">
        <v>0</v>
      </c>
      <c r="D1794">
        <v>0</v>
      </c>
      <c r="E1794">
        <v>0</v>
      </c>
    </row>
    <row r="1795" spans="1:5" x14ac:dyDescent="0.35">
      <c r="A1795">
        <v>0</v>
      </c>
      <c r="B1795">
        <v>0</v>
      </c>
      <c r="C1795">
        <v>0</v>
      </c>
      <c r="D1795">
        <v>0</v>
      </c>
      <c r="E1795">
        <v>0</v>
      </c>
    </row>
    <row r="1796" spans="1:5" x14ac:dyDescent="0.35">
      <c r="A1796">
        <v>0</v>
      </c>
      <c r="B1796">
        <v>0</v>
      </c>
      <c r="C1796">
        <v>0</v>
      </c>
      <c r="D1796">
        <v>0</v>
      </c>
      <c r="E1796">
        <v>0</v>
      </c>
    </row>
    <row r="1797" spans="1:5" x14ac:dyDescent="0.35">
      <c r="A1797">
        <v>0</v>
      </c>
      <c r="B1797">
        <v>0</v>
      </c>
      <c r="C1797">
        <v>0</v>
      </c>
      <c r="D1797">
        <v>0</v>
      </c>
      <c r="E1797">
        <v>0</v>
      </c>
    </row>
    <row r="1798" spans="1:5" x14ac:dyDescent="0.35">
      <c r="A1798">
        <v>0</v>
      </c>
      <c r="B1798">
        <v>0</v>
      </c>
      <c r="C1798">
        <v>0</v>
      </c>
      <c r="D1798">
        <v>0</v>
      </c>
      <c r="E1798">
        <v>0</v>
      </c>
    </row>
    <row r="1799" spans="1:5" x14ac:dyDescent="0.35">
      <c r="A1799">
        <v>0</v>
      </c>
      <c r="B1799">
        <v>0</v>
      </c>
      <c r="C1799">
        <v>0</v>
      </c>
      <c r="D1799">
        <v>0</v>
      </c>
      <c r="E1799">
        <v>0</v>
      </c>
    </row>
    <row r="1800" spans="1:5" x14ac:dyDescent="0.35">
      <c r="A1800">
        <v>0</v>
      </c>
      <c r="B1800">
        <v>0</v>
      </c>
      <c r="C1800">
        <v>0</v>
      </c>
      <c r="D1800">
        <v>0</v>
      </c>
      <c r="E1800">
        <v>0</v>
      </c>
    </row>
    <row r="1801" spans="1:5" x14ac:dyDescent="0.35">
      <c r="A1801">
        <v>0</v>
      </c>
      <c r="B1801">
        <v>0</v>
      </c>
      <c r="C1801">
        <v>0</v>
      </c>
      <c r="D1801">
        <v>0</v>
      </c>
      <c r="E1801">
        <v>0</v>
      </c>
    </row>
    <row r="1802" spans="1:5" x14ac:dyDescent="0.35">
      <c r="A1802">
        <v>0</v>
      </c>
      <c r="B1802">
        <v>0</v>
      </c>
      <c r="C1802">
        <v>0</v>
      </c>
      <c r="D1802">
        <v>0</v>
      </c>
      <c r="E1802">
        <v>0</v>
      </c>
    </row>
    <row r="1803" spans="1:5" x14ac:dyDescent="0.35">
      <c r="A1803">
        <v>0</v>
      </c>
      <c r="B1803">
        <v>0</v>
      </c>
      <c r="C1803">
        <v>0</v>
      </c>
      <c r="D1803">
        <v>0</v>
      </c>
      <c r="E1803">
        <v>0</v>
      </c>
    </row>
    <row r="1804" spans="1:5" x14ac:dyDescent="0.35">
      <c r="A1804">
        <v>0</v>
      </c>
      <c r="B1804">
        <v>0</v>
      </c>
      <c r="C1804">
        <v>0</v>
      </c>
      <c r="D1804">
        <v>0</v>
      </c>
      <c r="E1804">
        <v>0</v>
      </c>
    </row>
    <row r="1805" spans="1:5" x14ac:dyDescent="0.35">
      <c r="A1805">
        <v>0</v>
      </c>
      <c r="B1805">
        <v>0</v>
      </c>
      <c r="C1805">
        <v>0</v>
      </c>
      <c r="D1805">
        <v>0</v>
      </c>
      <c r="E1805">
        <v>0</v>
      </c>
    </row>
    <row r="1806" spans="1:5" x14ac:dyDescent="0.35">
      <c r="A1806">
        <v>0</v>
      </c>
      <c r="B1806">
        <v>0</v>
      </c>
      <c r="C1806">
        <v>0</v>
      </c>
      <c r="D1806">
        <v>0</v>
      </c>
      <c r="E1806">
        <v>0</v>
      </c>
    </row>
    <row r="1807" spans="1:5" x14ac:dyDescent="0.35">
      <c r="A1807">
        <v>0</v>
      </c>
      <c r="B1807">
        <v>0</v>
      </c>
      <c r="C1807">
        <v>0</v>
      </c>
      <c r="D1807">
        <v>0</v>
      </c>
      <c r="E1807">
        <v>0</v>
      </c>
    </row>
    <row r="1808" spans="1:5" x14ac:dyDescent="0.35">
      <c r="A1808">
        <v>0</v>
      </c>
      <c r="B1808">
        <v>0</v>
      </c>
      <c r="C1808">
        <v>0</v>
      </c>
      <c r="D1808">
        <v>0</v>
      </c>
      <c r="E1808">
        <v>0</v>
      </c>
    </row>
    <row r="1809" spans="1:5" x14ac:dyDescent="0.35">
      <c r="A1809">
        <v>0</v>
      </c>
      <c r="B1809">
        <v>0</v>
      </c>
      <c r="C1809">
        <v>0</v>
      </c>
      <c r="D1809">
        <v>0</v>
      </c>
      <c r="E1809">
        <v>0</v>
      </c>
    </row>
    <row r="1810" spans="1:5" x14ac:dyDescent="0.35">
      <c r="A1810">
        <v>0</v>
      </c>
      <c r="B1810">
        <v>0</v>
      </c>
      <c r="C1810">
        <v>0</v>
      </c>
      <c r="D1810">
        <v>0</v>
      </c>
      <c r="E1810">
        <v>0</v>
      </c>
    </row>
    <row r="1811" spans="1:5" x14ac:dyDescent="0.35">
      <c r="A1811">
        <v>0</v>
      </c>
      <c r="B1811">
        <v>0</v>
      </c>
      <c r="C1811">
        <v>0</v>
      </c>
      <c r="D1811">
        <v>0</v>
      </c>
      <c r="E1811">
        <v>0</v>
      </c>
    </row>
    <row r="1812" spans="1:5" x14ac:dyDescent="0.35">
      <c r="A1812">
        <v>0</v>
      </c>
      <c r="B1812">
        <v>0</v>
      </c>
      <c r="C1812">
        <v>0</v>
      </c>
      <c r="D1812">
        <v>0</v>
      </c>
      <c r="E1812">
        <v>0</v>
      </c>
    </row>
    <row r="1813" spans="1:5" x14ac:dyDescent="0.35">
      <c r="A1813">
        <v>0</v>
      </c>
      <c r="B1813">
        <v>0</v>
      </c>
      <c r="C1813">
        <v>0</v>
      </c>
      <c r="D1813">
        <v>0</v>
      </c>
      <c r="E1813">
        <v>0</v>
      </c>
    </row>
    <row r="1814" spans="1:5" x14ac:dyDescent="0.35">
      <c r="A1814">
        <v>0</v>
      </c>
      <c r="B1814">
        <v>0</v>
      </c>
      <c r="C1814">
        <v>0</v>
      </c>
      <c r="D1814">
        <v>0</v>
      </c>
      <c r="E1814">
        <v>0</v>
      </c>
    </row>
    <row r="1815" spans="1:5" x14ac:dyDescent="0.35">
      <c r="A1815">
        <v>0</v>
      </c>
      <c r="B1815">
        <v>0</v>
      </c>
      <c r="C1815">
        <v>0</v>
      </c>
      <c r="D1815">
        <v>0</v>
      </c>
      <c r="E1815">
        <v>0</v>
      </c>
    </row>
    <row r="1816" spans="1:5" x14ac:dyDescent="0.35">
      <c r="A1816">
        <v>0</v>
      </c>
      <c r="B1816">
        <v>0</v>
      </c>
      <c r="C1816">
        <v>0</v>
      </c>
      <c r="D1816">
        <v>0</v>
      </c>
      <c r="E1816">
        <v>0</v>
      </c>
    </row>
    <row r="1817" spans="1:5" x14ac:dyDescent="0.35">
      <c r="A1817">
        <v>0</v>
      </c>
      <c r="B1817">
        <v>0</v>
      </c>
      <c r="C1817">
        <v>0</v>
      </c>
      <c r="D1817">
        <v>0</v>
      </c>
      <c r="E1817">
        <v>0</v>
      </c>
    </row>
    <row r="1818" spans="1:5" x14ac:dyDescent="0.35">
      <c r="A1818">
        <v>0</v>
      </c>
      <c r="B1818">
        <v>0</v>
      </c>
      <c r="C1818">
        <v>0</v>
      </c>
      <c r="D1818">
        <v>0</v>
      </c>
      <c r="E1818">
        <v>0</v>
      </c>
    </row>
    <row r="1819" spans="1:5" x14ac:dyDescent="0.35">
      <c r="A1819">
        <v>0</v>
      </c>
      <c r="B1819">
        <v>0</v>
      </c>
      <c r="C1819">
        <v>0</v>
      </c>
      <c r="D1819">
        <v>0</v>
      </c>
      <c r="E1819">
        <v>0</v>
      </c>
    </row>
    <row r="1820" spans="1:5" x14ac:dyDescent="0.35">
      <c r="A1820">
        <v>0</v>
      </c>
      <c r="B1820">
        <v>0</v>
      </c>
      <c r="C1820">
        <v>0</v>
      </c>
      <c r="D1820">
        <v>0</v>
      </c>
      <c r="E1820">
        <v>0</v>
      </c>
    </row>
    <row r="1821" spans="1:5" x14ac:dyDescent="0.35">
      <c r="A1821">
        <v>0</v>
      </c>
      <c r="B1821">
        <v>0</v>
      </c>
      <c r="C1821">
        <v>0</v>
      </c>
      <c r="D1821">
        <v>0</v>
      </c>
      <c r="E1821">
        <v>0</v>
      </c>
    </row>
    <row r="1822" spans="1:5" x14ac:dyDescent="0.35">
      <c r="A1822">
        <v>0</v>
      </c>
      <c r="B1822">
        <v>0</v>
      </c>
      <c r="C1822">
        <v>0</v>
      </c>
      <c r="D1822">
        <v>0</v>
      </c>
      <c r="E1822">
        <v>0</v>
      </c>
    </row>
    <row r="1823" spans="1:5" x14ac:dyDescent="0.35">
      <c r="A1823">
        <v>0</v>
      </c>
      <c r="B1823">
        <v>0</v>
      </c>
      <c r="C1823">
        <v>0</v>
      </c>
      <c r="D1823">
        <v>0</v>
      </c>
      <c r="E1823">
        <v>0</v>
      </c>
    </row>
    <row r="1824" spans="1:5" x14ac:dyDescent="0.35">
      <c r="A1824">
        <v>0</v>
      </c>
      <c r="B1824">
        <v>0</v>
      </c>
      <c r="C1824">
        <v>0</v>
      </c>
      <c r="D1824">
        <v>0</v>
      </c>
      <c r="E1824">
        <v>0</v>
      </c>
    </row>
    <row r="1825" spans="1:5" x14ac:dyDescent="0.35">
      <c r="A1825">
        <v>0</v>
      </c>
      <c r="B1825">
        <v>0</v>
      </c>
      <c r="C1825">
        <v>0</v>
      </c>
      <c r="D1825">
        <v>0</v>
      </c>
      <c r="E1825">
        <v>0</v>
      </c>
    </row>
    <row r="1826" spans="1:5" x14ac:dyDescent="0.35">
      <c r="A1826">
        <v>0</v>
      </c>
      <c r="B1826">
        <v>0</v>
      </c>
      <c r="C1826">
        <v>0</v>
      </c>
      <c r="D1826">
        <v>0</v>
      </c>
      <c r="E1826">
        <v>0</v>
      </c>
    </row>
    <row r="1827" spans="1:5" x14ac:dyDescent="0.35">
      <c r="A1827">
        <v>0</v>
      </c>
      <c r="B1827">
        <v>0</v>
      </c>
      <c r="C1827">
        <v>0</v>
      </c>
      <c r="D1827">
        <v>0</v>
      </c>
      <c r="E1827">
        <v>0</v>
      </c>
    </row>
    <row r="1828" spans="1:5" x14ac:dyDescent="0.35">
      <c r="A1828">
        <v>0</v>
      </c>
      <c r="B1828">
        <v>0</v>
      </c>
      <c r="C1828">
        <v>0</v>
      </c>
      <c r="D1828">
        <v>0</v>
      </c>
      <c r="E1828">
        <v>0</v>
      </c>
    </row>
    <row r="1829" spans="1:5" x14ac:dyDescent="0.35">
      <c r="A1829">
        <v>0</v>
      </c>
      <c r="B1829">
        <v>0</v>
      </c>
      <c r="C1829">
        <v>0</v>
      </c>
      <c r="D1829">
        <v>0</v>
      </c>
      <c r="E1829">
        <v>0</v>
      </c>
    </row>
    <row r="1830" spans="1:5" x14ac:dyDescent="0.35">
      <c r="A1830">
        <v>0</v>
      </c>
      <c r="B1830">
        <v>0</v>
      </c>
      <c r="C1830">
        <v>0</v>
      </c>
      <c r="D1830">
        <v>0</v>
      </c>
      <c r="E1830">
        <v>0</v>
      </c>
    </row>
    <row r="1831" spans="1:5" x14ac:dyDescent="0.35">
      <c r="A1831">
        <v>0</v>
      </c>
      <c r="B1831">
        <v>0</v>
      </c>
      <c r="C1831">
        <v>0</v>
      </c>
      <c r="D1831">
        <v>0</v>
      </c>
      <c r="E1831">
        <v>0</v>
      </c>
    </row>
    <row r="1832" spans="1:5" x14ac:dyDescent="0.35">
      <c r="A1832">
        <v>0</v>
      </c>
      <c r="B1832">
        <v>0</v>
      </c>
      <c r="C1832">
        <v>0</v>
      </c>
      <c r="D1832">
        <v>0</v>
      </c>
      <c r="E1832">
        <v>0</v>
      </c>
    </row>
    <row r="1833" spans="1:5" x14ac:dyDescent="0.35">
      <c r="A1833">
        <v>0</v>
      </c>
      <c r="B1833">
        <v>0</v>
      </c>
      <c r="C1833">
        <v>0</v>
      </c>
      <c r="D1833">
        <v>0</v>
      </c>
      <c r="E1833">
        <v>0</v>
      </c>
    </row>
    <row r="1834" spans="1:5" x14ac:dyDescent="0.35">
      <c r="A1834">
        <v>0</v>
      </c>
      <c r="B1834">
        <v>0</v>
      </c>
      <c r="C1834">
        <v>0</v>
      </c>
      <c r="D1834">
        <v>0</v>
      </c>
      <c r="E1834">
        <v>0</v>
      </c>
    </row>
    <row r="1835" spans="1:5" x14ac:dyDescent="0.35">
      <c r="A1835">
        <v>0</v>
      </c>
      <c r="B1835">
        <v>0</v>
      </c>
      <c r="C1835">
        <v>0</v>
      </c>
      <c r="D1835">
        <v>0</v>
      </c>
      <c r="E1835">
        <v>0</v>
      </c>
    </row>
    <row r="1836" spans="1:5" x14ac:dyDescent="0.35">
      <c r="A1836">
        <v>0</v>
      </c>
      <c r="B1836">
        <v>0</v>
      </c>
      <c r="C1836">
        <v>0</v>
      </c>
      <c r="D1836">
        <v>0</v>
      </c>
      <c r="E1836">
        <v>0</v>
      </c>
    </row>
    <row r="1837" spans="1:5" x14ac:dyDescent="0.35">
      <c r="A1837">
        <v>0</v>
      </c>
      <c r="B1837">
        <v>0</v>
      </c>
      <c r="C1837">
        <v>0</v>
      </c>
      <c r="D1837">
        <v>0</v>
      </c>
      <c r="E1837">
        <v>0</v>
      </c>
    </row>
    <row r="1838" spans="1:5" x14ac:dyDescent="0.35">
      <c r="A1838">
        <v>0</v>
      </c>
      <c r="B1838">
        <v>0</v>
      </c>
      <c r="C1838">
        <v>0</v>
      </c>
      <c r="D1838">
        <v>0</v>
      </c>
      <c r="E1838">
        <v>0</v>
      </c>
    </row>
    <row r="1839" spans="1:5" x14ac:dyDescent="0.35">
      <c r="A1839">
        <v>0</v>
      </c>
      <c r="B1839">
        <v>0</v>
      </c>
      <c r="C1839">
        <v>0</v>
      </c>
      <c r="D1839">
        <v>0</v>
      </c>
      <c r="E1839">
        <v>0</v>
      </c>
    </row>
    <row r="1840" spans="1:5" x14ac:dyDescent="0.35">
      <c r="A1840">
        <v>0</v>
      </c>
      <c r="B1840">
        <v>0</v>
      </c>
      <c r="C1840">
        <v>0</v>
      </c>
      <c r="D1840">
        <v>0</v>
      </c>
      <c r="E1840">
        <v>0</v>
      </c>
    </row>
    <row r="1841" spans="1:5" x14ac:dyDescent="0.35">
      <c r="A1841">
        <v>0</v>
      </c>
      <c r="B1841">
        <v>0</v>
      </c>
      <c r="C1841">
        <v>0</v>
      </c>
      <c r="D1841">
        <v>0</v>
      </c>
      <c r="E1841">
        <v>0</v>
      </c>
    </row>
    <row r="1842" spans="1:5" x14ac:dyDescent="0.35">
      <c r="A1842">
        <v>0</v>
      </c>
      <c r="B1842">
        <v>0</v>
      </c>
      <c r="C1842">
        <v>0</v>
      </c>
      <c r="D1842">
        <v>0</v>
      </c>
      <c r="E1842">
        <v>0</v>
      </c>
    </row>
    <row r="1843" spans="1:5" x14ac:dyDescent="0.35">
      <c r="A1843">
        <v>0</v>
      </c>
      <c r="B1843">
        <v>0</v>
      </c>
      <c r="C1843">
        <v>0</v>
      </c>
      <c r="D1843">
        <v>0</v>
      </c>
      <c r="E1843">
        <v>0</v>
      </c>
    </row>
    <row r="1844" spans="1:5" x14ac:dyDescent="0.35">
      <c r="A1844">
        <v>0</v>
      </c>
      <c r="B1844">
        <v>0</v>
      </c>
      <c r="C1844">
        <v>0</v>
      </c>
      <c r="D1844">
        <v>0</v>
      </c>
      <c r="E1844">
        <v>0</v>
      </c>
    </row>
    <row r="1845" spans="1:5" x14ac:dyDescent="0.35">
      <c r="A1845">
        <v>0</v>
      </c>
      <c r="B1845">
        <v>0</v>
      </c>
      <c r="C1845">
        <v>0</v>
      </c>
      <c r="D1845">
        <v>0</v>
      </c>
      <c r="E1845">
        <v>0</v>
      </c>
    </row>
    <row r="1846" spans="1:5" x14ac:dyDescent="0.35">
      <c r="A1846">
        <v>0</v>
      </c>
      <c r="B1846">
        <v>0</v>
      </c>
      <c r="C1846">
        <v>0</v>
      </c>
      <c r="D1846">
        <v>0</v>
      </c>
      <c r="E1846">
        <v>0</v>
      </c>
    </row>
    <row r="1847" spans="1:5" x14ac:dyDescent="0.35">
      <c r="A1847">
        <v>0</v>
      </c>
      <c r="B1847">
        <v>0</v>
      </c>
      <c r="C1847">
        <v>0</v>
      </c>
      <c r="D1847">
        <v>0</v>
      </c>
      <c r="E1847">
        <v>0</v>
      </c>
    </row>
    <row r="1848" spans="1:5" x14ac:dyDescent="0.35">
      <c r="A1848">
        <v>0</v>
      </c>
      <c r="B1848">
        <v>0</v>
      </c>
      <c r="C1848">
        <v>0</v>
      </c>
      <c r="D1848">
        <v>0</v>
      </c>
      <c r="E1848">
        <v>0</v>
      </c>
    </row>
    <row r="1849" spans="1:5" x14ac:dyDescent="0.35">
      <c r="A1849">
        <v>0</v>
      </c>
      <c r="B1849">
        <v>0</v>
      </c>
      <c r="C1849">
        <v>0</v>
      </c>
      <c r="D1849">
        <v>0</v>
      </c>
      <c r="E1849">
        <v>0</v>
      </c>
    </row>
    <row r="1850" spans="1:5" x14ac:dyDescent="0.35">
      <c r="A1850">
        <v>0</v>
      </c>
      <c r="B1850">
        <v>0</v>
      </c>
      <c r="C1850">
        <v>0</v>
      </c>
      <c r="D1850">
        <v>0</v>
      </c>
      <c r="E1850">
        <v>0</v>
      </c>
    </row>
    <row r="1851" spans="1:5" x14ac:dyDescent="0.35">
      <c r="A1851">
        <v>0</v>
      </c>
      <c r="B1851">
        <v>0</v>
      </c>
      <c r="C1851">
        <v>0</v>
      </c>
      <c r="D1851">
        <v>0</v>
      </c>
      <c r="E1851">
        <v>0</v>
      </c>
    </row>
    <row r="1852" spans="1:5" x14ac:dyDescent="0.35">
      <c r="A1852">
        <v>0</v>
      </c>
      <c r="B1852">
        <v>0</v>
      </c>
      <c r="C1852">
        <v>0</v>
      </c>
      <c r="D1852">
        <v>0</v>
      </c>
      <c r="E1852">
        <v>0</v>
      </c>
    </row>
    <row r="1853" spans="1:5" x14ac:dyDescent="0.35">
      <c r="A1853">
        <v>0</v>
      </c>
      <c r="B1853">
        <v>0</v>
      </c>
      <c r="C1853">
        <v>0</v>
      </c>
      <c r="D1853">
        <v>0</v>
      </c>
      <c r="E1853">
        <v>0</v>
      </c>
    </row>
    <row r="1854" spans="1:5" x14ac:dyDescent="0.35">
      <c r="A1854">
        <v>0</v>
      </c>
      <c r="B1854">
        <v>0</v>
      </c>
      <c r="C1854">
        <v>0</v>
      </c>
      <c r="D1854">
        <v>0</v>
      </c>
      <c r="E1854">
        <v>0</v>
      </c>
    </row>
    <row r="1855" spans="1:5" x14ac:dyDescent="0.35">
      <c r="A1855">
        <v>0</v>
      </c>
      <c r="B1855">
        <v>0</v>
      </c>
      <c r="C1855">
        <v>0</v>
      </c>
      <c r="D1855">
        <v>0</v>
      </c>
      <c r="E1855">
        <v>0</v>
      </c>
    </row>
    <row r="1856" spans="1:5" x14ac:dyDescent="0.35">
      <c r="A1856">
        <v>0</v>
      </c>
      <c r="B1856">
        <v>0</v>
      </c>
      <c r="C1856">
        <v>0</v>
      </c>
      <c r="D1856">
        <v>0</v>
      </c>
      <c r="E1856">
        <v>0</v>
      </c>
    </row>
    <row r="1857" spans="1:5" x14ac:dyDescent="0.35">
      <c r="A1857">
        <v>0</v>
      </c>
      <c r="B1857">
        <v>0</v>
      </c>
      <c r="C1857">
        <v>0</v>
      </c>
      <c r="D1857">
        <v>0</v>
      </c>
      <c r="E1857">
        <v>0</v>
      </c>
    </row>
    <row r="1858" spans="1:5" x14ac:dyDescent="0.35">
      <c r="A1858">
        <v>0</v>
      </c>
      <c r="B1858">
        <v>0</v>
      </c>
      <c r="C1858">
        <v>0</v>
      </c>
      <c r="D1858">
        <v>0</v>
      </c>
      <c r="E1858">
        <v>0</v>
      </c>
    </row>
    <row r="1859" spans="1:5" x14ac:dyDescent="0.35">
      <c r="A1859">
        <v>0</v>
      </c>
      <c r="B1859">
        <v>0</v>
      </c>
      <c r="C1859">
        <v>0</v>
      </c>
      <c r="D1859">
        <v>0</v>
      </c>
      <c r="E1859">
        <v>0</v>
      </c>
    </row>
    <row r="1860" spans="1:5" x14ac:dyDescent="0.35">
      <c r="A1860">
        <v>0</v>
      </c>
      <c r="B1860">
        <v>0</v>
      </c>
      <c r="C1860">
        <v>0</v>
      </c>
      <c r="D1860">
        <v>0</v>
      </c>
      <c r="E1860">
        <v>0</v>
      </c>
    </row>
    <row r="1861" spans="1:5" x14ac:dyDescent="0.35">
      <c r="A1861">
        <v>0</v>
      </c>
      <c r="B1861">
        <v>0</v>
      </c>
      <c r="C1861">
        <v>0</v>
      </c>
      <c r="D1861">
        <v>0</v>
      </c>
      <c r="E1861">
        <v>0</v>
      </c>
    </row>
    <row r="1862" spans="1:5" x14ac:dyDescent="0.35">
      <c r="A1862">
        <v>0</v>
      </c>
      <c r="B1862">
        <v>0</v>
      </c>
      <c r="C1862">
        <v>0</v>
      </c>
      <c r="D1862">
        <v>0</v>
      </c>
      <c r="E1862">
        <v>0</v>
      </c>
    </row>
    <row r="1863" spans="1:5" x14ac:dyDescent="0.35">
      <c r="A1863">
        <v>0</v>
      </c>
      <c r="B1863">
        <v>0</v>
      </c>
      <c r="C1863">
        <v>0</v>
      </c>
      <c r="D1863">
        <v>0</v>
      </c>
      <c r="E1863">
        <v>0</v>
      </c>
    </row>
    <row r="1864" spans="1:5" x14ac:dyDescent="0.35">
      <c r="A1864">
        <v>0</v>
      </c>
      <c r="B1864">
        <v>0</v>
      </c>
      <c r="C1864">
        <v>0</v>
      </c>
      <c r="D1864">
        <v>0</v>
      </c>
      <c r="E1864">
        <v>0</v>
      </c>
    </row>
    <row r="1865" spans="1:5" x14ac:dyDescent="0.35">
      <c r="A1865">
        <v>0</v>
      </c>
      <c r="B1865">
        <v>0</v>
      </c>
      <c r="C1865">
        <v>0</v>
      </c>
      <c r="D1865">
        <v>0</v>
      </c>
      <c r="E1865">
        <v>0</v>
      </c>
    </row>
    <row r="1866" spans="1:5" x14ac:dyDescent="0.35">
      <c r="A1866">
        <v>0</v>
      </c>
      <c r="B1866">
        <v>0</v>
      </c>
      <c r="C1866">
        <v>0</v>
      </c>
      <c r="D1866">
        <v>0</v>
      </c>
      <c r="E1866">
        <v>0</v>
      </c>
    </row>
    <row r="1867" spans="1:5" x14ac:dyDescent="0.35">
      <c r="A1867">
        <v>0</v>
      </c>
      <c r="B1867">
        <v>0</v>
      </c>
      <c r="C1867">
        <v>0</v>
      </c>
      <c r="D1867">
        <v>0</v>
      </c>
      <c r="E1867">
        <v>0</v>
      </c>
    </row>
    <row r="1868" spans="1:5" x14ac:dyDescent="0.35">
      <c r="A1868">
        <v>0</v>
      </c>
      <c r="B1868">
        <v>0</v>
      </c>
      <c r="C1868">
        <v>0</v>
      </c>
      <c r="D1868">
        <v>0</v>
      </c>
      <c r="E1868">
        <v>0</v>
      </c>
    </row>
    <row r="1869" spans="1:5" x14ac:dyDescent="0.35">
      <c r="A1869">
        <v>0</v>
      </c>
      <c r="B1869">
        <v>0</v>
      </c>
      <c r="C1869">
        <v>0</v>
      </c>
      <c r="D1869">
        <v>0</v>
      </c>
      <c r="E1869">
        <v>0</v>
      </c>
    </row>
    <row r="1870" spans="1:5" x14ac:dyDescent="0.35">
      <c r="A1870">
        <v>0</v>
      </c>
      <c r="B1870">
        <v>0</v>
      </c>
      <c r="C1870">
        <v>0</v>
      </c>
      <c r="D1870">
        <v>0</v>
      </c>
      <c r="E1870">
        <v>0</v>
      </c>
    </row>
    <row r="1871" spans="1:5" x14ac:dyDescent="0.35">
      <c r="A1871">
        <v>0</v>
      </c>
      <c r="B1871">
        <v>0</v>
      </c>
      <c r="C1871">
        <v>0</v>
      </c>
      <c r="D1871">
        <v>0</v>
      </c>
      <c r="E1871">
        <v>0</v>
      </c>
    </row>
    <row r="1872" spans="1:5" x14ac:dyDescent="0.35">
      <c r="A1872">
        <v>0</v>
      </c>
      <c r="B1872">
        <v>0</v>
      </c>
      <c r="C1872">
        <v>0</v>
      </c>
      <c r="D1872">
        <v>0</v>
      </c>
      <c r="E1872">
        <v>0</v>
      </c>
    </row>
    <row r="1873" spans="1:5" x14ac:dyDescent="0.35">
      <c r="A1873">
        <v>0</v>
      </c>
      <c r="B1873">
        <v>0</v>
      </c>
      <c r="C1873">
        <v>0</v>
      </c>
      <c r="D1873">
        <v>0</v>
      </c>
      <c r="E1873">
        <v>0</v>
      </c>
    </row>
    <row r="1874" spans="1:5" x14ac:dyDescent="0.35">
      <c r="A1874">
        <v>0</v>
      </c>
      <c r="B1874">
        <v>0</v>
      </c>
      <c r="C1874">
        <v>0</v>
      </c>
      <c r="D1874">
        <v>0</v>
      </c>
      <c r="E1874">
        <v>0</v>
      </c>
    </row>
    <row r="1875" spans="1:5" x14ac:dyDescent="0.35">
      <c r="A1875">
        <v>0</v>
      </c>
      <c r="B1875">
        <v>0</v>
      </c>
      <c r="C1875">
        <v>0</v>
      </c>
      <c r="D1875">
        <v>0</v>
      </c>
      <c r="E1875">
        <v>0</v>
      </c>
    </row>
    <row r="1876" spans="1:5" x14ac:dyDescent="0.35">
      <c r="A1876">
        <v>0</v>
      </c>
      <c r="B1876">
        <v>0</v>
      </c>
      <c r="C1876">
        <v>0</v>
      </c>
      <c r="D1876">
        <v>0</v>
      </c>
      <c r="E1876">
        <v>0</v>
      </c>
    </row>
    <row r="1877" spans="1:5" x14ac:dyDescent="0.35">
      <c r="A1877">
        <v>0</v>
      </c>
      <c r="B1877">
        <v>0</v>
      </c>
      <c r="C1877">
        <v>0</v>
      </c>
      <c r="D1877">
        <v>0</v>
      </c>
      <c r="E1877">
        <v>0</v>
      </c>
    </row>
    <row r="1878" spans="1:5" x14ac:dyDescent="0.35">
      <c r="A1878">
        <v>0</v>
      </c>
      <c r="B1878">
        <v>0</v>
      </c>
      <c r="C1878">
        <v>0</v>
      </c>
      <c r="D1878">
        <v>0</v>
      </c>
      <c r="E1878">
        <v>0</v>
      </c>
    </row>
    <row r="1879" spans="1:5" x14ac:dyDescent="0.35">
      <c r="A1879">
        <v>0</v>
      </c>
      <c r="B1879">
        <v>0</v>
      </c>
      <c r="C1879">
        <v>0</v>
      </c>
      <c r="D1879">
        <v>0</v>
      </c>
      <c r="E1879">
        <v>0</v>
      </c>
    </row>
    <row r="1880" spans="1:5" x14ac:dyDescent="0.35">
      <c r="A1880">
        <v>0</v>
      </c>
      <c r="B1880">
        <v>0</v>
      </c>
      <c r="C1880">
        <v>0</v>
      </c>
      <c r="D1880">
        <v>0</v>
      </c>
      <c r="E1880">
        <v>0</v>
      </c>
    </row>
    <row r="1881" spans="1:5" x14ac:dyDescent="0.35">
      <c r="A1881">
        <v>0</v>
      </c>
      <c r="B1881">
        <v>0</v>
      </c>
      <c r="C1881">
        <v>0</v>
      </c>
      <c r="D1881">
        <v>0</v>
      </c>
      <c r="E1881">
        <v>0</v>
      </c>
    </row>
    <row r="1882" spans="1:5" x14ac:dyDescent="0.35">
      <c r="A1882">
        <v>0</v>
      </c>
      <c r="B1882">
        <v>0</v>
      </c>
      <c r="C1882">
        <v>0</v>
      </c>
      <c r="D1882">
        <v>0</v>
      </c>
      <c r="E1882">
        <v>0</v>
      </c>
    </row>
    <row r="1883" spans="1:5" x14ac:dyDescent="0.35">
      <c r="A1883">
        <v>0</v>
      </c>
      <c r="B1883">
        <v>0</v>
      </c>
      <c r="C1883">
        <v>0</v>
      </c>
      <c r="D1883">
        <v>0</v>
      </c>
      <c r="E1883">
        <v>0</v>
      </c>
    </row>
    <row r="1884" spans="1:5" x14ac:dyDescent="0.35">
      <c r="A1884">
        <v>0</v>
      </c>
      <c r="B1884">
        <v>0</v>
      </c>
      <c r="C1884">
        <v>0</v>
      </c>
      <c r="D1884">
        <v>0</v>
      </c>
      <c r="E1884">
        <v>0</v>
      </c>
    </row>
    <row r="1885" spans="1:5" x14ac:dyDescent="0.35">
      <c r="A1885">
        <v>0</v>
      </c>
      <c r="B1885">
        <v>0</v>
      </c>
      <c r="C1885">
        <v>0</v>
      </c>
      <c r="D1885">
        <v>0</v>
      </c>
      <c r="E1885">
        <v>0</v>
      </c>
    </row>
    <row r="1886" spans="1:5" x14ac:dyDescent="0.35">
      <c r="A1886">
        <v>0</v>
      </c>
      <c r="B1886">
        <v>0</v>
      </c>
      <c r="C1886">
        <v>0</v>
      </c>
      <c r="D1886">
        <v>0</v>
      </c>
      <c r="E1886">
        <v>0</v>
      </c>
    </row>
    <row r="1887" spans="1:5" x14ac:dyDescent="0.35">
      <c r="A1887">
        <v>0</v>
      </c>
      <c r="B1887">
        <v>0</v>
      </c>
      <c r="C1887">
        <v>0</v>
      </c>
      <c r="D1887">
        <v>0</v>
      </c>
      <c r="E1887">
        <v>0</v>
      </c>
    </row>
    <row r="1888" spans="1:5" x14ac:dyDescent="0.35">
      <c r="A1888">
        <v>0</v>
      </c>
      <c r="B1888">
        <v>0</v>
      </c>
      <c r="C1888">
        <v>0</v>
      </c>
      <c r="D1888">
        <v>0</v>
      </c>
      <c r="E1888">
        <v>0</v>
      </c>
    </row>
    <row r="1889" spans="1:5" x14ac:dyDescent="0.35">
      <c r="A1889">
        <v>0</v>
      </c>
      <c r="B1889">
        <v>0</v>
      </c>
      <c r="C1889">
        <v>0</v>
      </c>
      <c r="D1889">
        <v>0</v>
      </c>
      <c r="E1889">
        <v>0</v>
      </c>
    </row>
    <row r="1890" spans="1:5" x14ac:dyDescent="0.35">
      <c r="A1890">
        <v>0</v>
      </c>
      <c r="B1890">
        <v>0</v>
      </c>
      <c r="C1890">
        <v>0</v>
      </c>
      <c r="D1890">
        <v>0</v>
      </c>
      <c r="E1890">
        <v>0</v>
      </c>
    </row>
    <row r="1891" spans="1:5" x14ac:dyDescent="0.35">
      <c r="A1891">
        <v>0</v>
      </c>
      <c r="B1891">
        <v>0</v>
      </c>
      <c r="C1891">
        <v>0</v>
      </c>
      <c r="D1891">
        <v>0</v>
      </c>
      <c r="E1891">
        <v>0</v>
      </c>
    </row>
    <row r="1892" spans="1:5" x14ac:dyDescent="0.35">
      <c r="A1892">
        <v>0</v>
      </c>
      <c r="B1892">
        <v>0</v>
      </c>
      <c r="C1892">
        <v>0</v>
      </c>
      <c r="D1892">
        <v>0</v>
      </c>
      <c r="E1892">
        <v>0</v>
      </c>
    </row>
    <row r="1893" spans="1:5" x14ac:dyDescent="0.35">
      <c r="A1893">
        <v>0</v>
      </c>
      <c r="B1893">
        <v>0</v>
      </c>
      <c r="C1893">
        <v>0</v>
      </c>
      <c r="D1893">
        <v>0</v>
      </c>
      <c r="E1893">
        <v>0</v>
      </c>
    </row>
    <row r="1894" spans="1:5" x14ac:dyDescent="0.35">
      <c r="A1894">
        <v>0</v>
      </c>
      <c r="B1894">
        <v>0</v>
      </c>
      <c r="C1894">
        <v>0</v>
      </c>
      <c r="D1894">
        <v>0</v>
      </c>
      <c r="E1894">
        <v>0</v>
      </c>
    </row>
    <row r="1895" spans="1:5" x14ac:dyDescent="0.35">
      <c r="A1895">
        <v>0</v>
      </c>
      <c r="B1895">
        <v>0</v>
      </c>
      <c r="C1895">
        <v>0</v>
      </c>
      <c r="D1895">
        <v>0</v>
      </c>
      <c r="E1895">
        <v>0</v>
      </c>
    </row>
    <row r="1896" spans="1:5" x14ac:dyDescent="0.35">
      <c r="A1896">
        <v>0</v>
      </c>
      <c r="B1896">
        <v>0</v>
      </c>
      <c r="C1896">
        <v>0</v>
      </c>
      <c r="D1896">
        <v>0</v>
      </c>
      <c r="E1896">
        <v>0</v>
      </c>
    </row>
    <row r="1897" spans="1:5" x14ac:dyDescent="0.35">
      <c r="A1897">
        <v>0</v>
      </c>
      <c r="B1897">
        <v>0</v>
      </c>
      <c r="C1897">
        <v>0</v>
      </c>
      <c r="D1897">
        <v>0</v>
      </c>
      <c r="E1897">
        <v>0</v>
      </c>
    </row>
    <row r="1898" spans="1:5" x14ac:dyDescent="0.35">
      <c r="A1898">
        <v>0</v>
      </c>
      <c r="B1898">
        <v>0</v>
      </c>
      <c r="C1898">
        <v>0</v>
      </c>
      <c r="D1898">
        <v>0</v>
      </c>
      <c r="E1898">
        <v>0</v>
      </c>
    </row>
    <row r="1899" spans="1:5" x14ac:dyDescent="0.35">
      <c r="A1899">
        <v>0</v>
      </c>
      <c r="B1899">
        <v>0</v>
      </c>
      <c r="C1899">
        <v>0</v>
      </c>
      <c r="D1899">
        <v>0</v>
      </c>
      <c r="E1899">
        <v>0</v>
      </c>
    </row>
    <row r="1900" spans="1:5" x14ac:dyDescent="0.35">
      <c r="A1900">
        <v>0</v>
      </c>
      <c r="B1900">
        <v>0</v>
      </c>
      <c r="C1900">
        <v>0</v>
      </c>
      <c r="D1900">
        <v>0</v>
      </c>
      <c r="E1900">
        <v>0</v>
      </c>
    </row>
    <row r="1901" spans="1:5" x14ac:dyDescent="0.35">
      <c r="A1901">
        <v>0</v>
      </c>
      <c r="B1901">
        <v>0</v>
      </c>
      <c r="C1901">
        <v>0</v>
      </c>
      <c r="D1901">
        <v>0</v>
      </c>
      <c r="E1901">
        <v>0</v>
      </c>
    </row>
    <row r="1902" spans="1:5" x14ac:dyDescent="0.35">
      <c r="A1902">
        <v>0</v>
      </c>
      <c r="B1902">
        <v>0</v>
      </c>
      <c r="C1902">
        <v>0</v>
      </c>
      <c r="D1902">
        <v>0</v>
      </c>
      <c r="E1902">
        <v>0</v>
      </c>
    </row>
    <row r="1903" spans="1:5" x14ac:dyDescent="0.35">
      <c r="A1903">
        <v>0</v>
      </c>
      <c r="B1903">
        <v>0</v>
      </c>
      <c r="C1903">
        <v>0</v>
      </c>
      <c r="D1903">
        <v>0</v>
      </c>
      <c r="E1903">
        <v>0</v>
      </c>
    </row>
    <row r="1904" spans="1:5" x14ac:dyDescent="0.35">
      <c r="A1904">
        <v>0</v>
      </c>
      <c r="B1904">
        <v>0</v>
      </c>
      <c r="C1904">
        <v>0</v>
      </c>
      <c r="D1904">
        <v>0</v>
      </c>
      <c r="E1904">
        <v>0</v>
      </c>
    </row>
    <row r="1905" spans="1:5" x14ac:dyDescent="0.35">
      <c r="A1905">
        <v>0</v>
      </c>
      <c r="B1905">
        <v>0</v>
      </c>
      <c r="C1905">
        <v>0</v>
      </c>
      <c r="D1905">
        <v>0</v>
      </c>
      <c r="E1905">
        <v>0</v>
      </c>
    </row>
    <row r="1906" spans="1:5" x14ac:dyDescent="0.35">
      <c r="A1906">
        <v>0</v>
      </c>
      <c r="B1906">
        <v>0</v>
      </c>
      <c r="C1906">
        <v>0</v>
      </c>
      <c r="D1906">
        <v>0</v>
      </c>
      <c r="E1906">
        <v>0</v>
      </c>
    </row>
    <row r="1907" spans="1:5" x14ac:dyDescent="0.35">
      <c r="A1907">
        <v>0</v>
      </c>
      <c r="B1907">
        <v>0</v>
      </c>
      <c r="C1907">
        <v>0</v>
      </c>
      <c r="D1907">
        <v>0</v>
      </c>
      <c r="E1907">
        <v>0</v>
      </c>
    </row>
    <row r="1908" spans="1:5" x14ac:dyDescent="0.35">
      <c r="A1908">
        <v>0</v>
      </c>
      <c r="B1908">
        <v>0</v>
      </c>
      <c r="C1908">
        <v>0</v>
      </c>
      <c r="D1908">
        <v>0</v>
      </c>
      <c r="E1908">
        <v>0</v>
      </c>
    </row>
    <row r="1909" spans="1:5" x14ac:dyDescent="0.35">
      <c r="A1909">
        <v>0</v>
      </c>
      <c r="B1909">
        <v>0</v>
      </c>
      <c r="C1909">
        <v>0</v>
      </c>
      <c r="D1909">
        <v>0</v>
      </c>
      <c r="E1909">
        <v>0</v>
      </c>
    </row>
    <row r="1910" spans="1:5" x14ac:dyDescent="0.35">
      <c r="A1910">
        <v>0</v>
      </c>
      <c r="B1910">
        <v>0</v>
      </c>
      <c r="C1910">
        <v>0</v>
      </c>
      <c r="D1910">
        <v>0</v>
      </c>
      <c r="E1910">
        <v>0</v>
      </c>
    </row>
    <row r="1911" spans="1:5" x14ac:dyDescent="0.35">
      <c r="A1911">
        <v>0</v>
      </c>
      <c r="B1911">
        <v>0</v>
      </c>
      <c r="C1911">
        <v>0</v>
      </c>
      <c r="D1911">
        <v>0</v>
      </c>
      <c r="E1911">
        <v>0</v>
      </c>
    </row>
    <row r="1912" spans="1:5" x14ac:dyDescent="0.35">
      <c r="A1912">
        <v>0</v>
      </c>
      <c r="B1912">
        <v>0</v>
      </c>
      <c r="C1912">
        <v>0</v>
      </c>
      <c r="D1912">
        <v>0</v>
      </c>
      <c r="E1912">
        <v>0</v>
      </c>
    </row>
    <row r="1913" spans="1:5" x14ac:dyDescent="0.35">
      <c r="A1913">
        <v>0</v>
      </c>
      <c r="B1913">
        <v>0</v>
      </c>
      <c r="C1913">
        <v>0</v>
      </c>
      <c r="D1913">
        <v>0</v>
      </c>
      <c r="E1913">
        <v>0</v>
      </c>
    </row>
    <row r="1914" spans="1:5" x14ac:dyDescent="0.35">
      <c r="A1914">
        <v>0</v>
      </c>
      <c r="B1914">
        <v>0</v>
      </c>
      <c r="C1914">
        <v>0</v>
      </c>
      <c r="D1914">
        <v>0</v>
      </c>
      <c r="E1914">
        <v>0</v>
      </c>
    </row>
    <row r="1915" spans="1:5" x14ac:dyDescent="0.35">
      <c r="A1915">
        <v>0</v>
      </c>
      <c r="B1915">
        <v>0</v>
      </c>
      <c r="C1915">
        <v>0</v>
      </c>
      <c r="D1915">
        <v>0</v>
      </c>
      <c r="E1915">
        <v>0</v>
      </c>
    </row>
    <row r="1916" spans="1:5" x14ac:dyDescent="0.35">
      <c r="A1916">
        <v>0</v>
      </c>
      <c r="B1916">
        <v>0</v>
      </c>
      <c r="C1916">
        <v>0</v>
      </c>
      <c r="D1916">
        <v>0</v>
      </c>
      <c r="E1916">
        <v>0</v>
      </c>
    </row>
    <row r="1917" spans="1:5" x14ac:dyDescent="0.35">
      <c r="A1917">
        <v>0</v>
      </c>
      <c r="B1917">
        <v>0</v>
      </c>
      <c r="C1917">
        <v>0</v>
      </c>
      <c r="D1917">
        <v>0</v>
      </c>
      <c r="E1917">
        <v>0</v>
      </c>
    </row>
    <row r="1918" spans="1:5" x14ac:dyDescent="0.35">
      <c r="A1918">
        <v>0</v>
      </c>
      <c r="B1918">
        <v>0</v>
      </c>
      <c r="C1918">
        <v>0</v>
      </c>
      <c r="D1918">
        <v>0</v>
      </c>
      <c r="E1918">
        <v>0</v>
      </c>
    </row>
    <row r="1919" spans="1:5" x14ac:dyDescent="0.35">
      <c r="A1919">
        <v>0</v>
      </c>
      <c r="B1919">
        <v>0</v>
      </c>
      <c r="C1919">
        <v>0</v>
      </c>
      <c r="D1919">
        <v>0</v>
      </c>
      <c r="E1919">
        <v>0</v>
      </c>
    </row>
    <row r="1920" spans="1:5" x14ac:dyDescent="0.35">
      <c r="A1920">
        <v>0</v>
      </c>
      <c r="B1920">
        <v>0</v>
      </c>
      <c r="C1920">
        <v>0</v>
      </c>
      <c r="D1920">
        <v>0</v>
      </c>
      <c r="E1920">
        <v>0</v>
      </c>
    </row>
    <row r="1921" spans="1:5" x14ac:dyDescent="0.35">
      <c r="A1921">
        <v>0</v>
      </c>
      <c r="B1921">
        <v>0</v>
      </c>
      <c r="C1921">
        <v>0</v>
      </c>
      <c r="D1921">
        <v>0</v>
      </c>
      <c r="E1921">
        <v>0</v>
      </c>
    </row>
    <row r="1922" spans="1:5" x14ac:dyDescent="0.35">
      <c r="A1922">
        <v>0</v>
      </c>
      <c r="B1922">
        <v>0</v>
      </c>
      <c r="C1922">
        <v>0</v>
      </c>
      <c r="D1922">
        <v>0</v>
      </c>
      <c r="E1922">
        <v>0</v>
      </c>
    </row>
    <row r="1923" spans="1:5" x14ac:dyDescent="0.35">
      <c r="A1923">
        <v>0</v>
      </c>
      <c r="B1923">
        <v>0</v>
      </c>
      <c r="C1923">
        <v>0</v>
      </c>
      <c r="D1923">
        <v>0</v>
      </c>
      <c r="E1923">
        <v>0</v>
      </c>
    </row>
    <row r="1924" spans="1:5" x14ac:dyDescent="0.35">
      <c r="A1924">
        <v>0</v>
      </c>
      <c r="B1924">
        <v>0</v>
      </c>
      <c r="C1924">
        <v>0</v>
      </c>
      <c r="D1924">
        <v>0</v>
      </c>
      <c r="E1924">
        <v>0</v>
      </c>
    </row>
    <row r="1925" spans="1:5" x14ac:dyDescent="0.35">
      <c r="A1925">
        <v>0</v>
      </c>
      <c r="B1925">
        <v>0</v>
      </c>
      <c r="C1925">
        <v>0</v>
      </c>
      <c r="D1925">
        <v>0</v>
      </c>
      <c r="E1925">
        <v>0</v>
      </c>
    </row>
    <row r="1926" spans="1:5" x14ac:dyDescent="0.35">
      <c r="A1926">
        <v>0</v>
      </c>
      <c r="B1926">
        <v>0</v>
      </c>
      <c r="C1926">
        <v>0</v>
      </c>
      <c r="D1926">
        <v>0</v>
      </c>
      <c r="E1926">
        <v>0</v>
      </c>
    </row>
    <row r="1927" spans="1:5" x14ac:dyDescent="0.35">
      <c r="A1927">
        <v>0</v>
      </c>
      <c r="B1927">
        <v>0</v>
      </c>
      <c r="C1927">
        <v>0</v>
      </c>
      <c r="D1927">
        <v>0</v>
      </c>
      <c r="E1927">
        <v>0</v>
      </c>
    </row>
    <row r="1928" spans="1:5" x14ac:dyDescent="0.35">
      <c r="A1928">
        <v>0</v>
      </c>
      <c r="B1928">
        <v>0</v>
      </c>
      <c r="C1928">
        <v>0</v>
      </c>
      <c r="D1928">
        <v>0</v>
      </c>
      <c r="E1928">
        <v>0</v>
      </c>
    </row>
    <row r="1929" spans="1:5" x14ac:dyDescent="0.35">
      <c r="A1929">
        <v>0</v>
      </c>
      <c r="B1929">
        <v>0</v>
      </c>
      <c r="C1929">
        <v>0</v>
      </c>
      <c r="D1929">
        <v>0</v>
      </c>
      <c r="E1929">
        <v>0</v>
      </c>
    </row>
    <row r="1930" spans="1:5" x14ac:dyDescent="0.35">
      <c r="A1930">
        <v>0</v>
      </c>
      <c r="B1930">
        <v>0</v>
      </c>
      <c r="C1930">
        <v>0</v>
      </c>
      <c r="D1930">
        <v>0</v>
      </c>
      <c r="E1930">
        <v>0</v>
      </c>
    </row>
    <row r="1931" spans="1:5" x14ac:dyDescent="0.35">
      <c r="A1931">
        <v>0</v>
      </c>
      <c r="B1931">
        <v>0</v>
      </c>
      <c r="C1931">
        <v>0</v>
      </c>
      <c r="D1931">
        <v>0</v>
      </c>
      <c r="E1931">
        <v>0</v>
      </c>
    </row>
    <row r="1932" spans="1:5" x14ac:dyDescent="0.35">
      <c r="A1932">
        <v>0</v>
      </c>
      <c r="B1932">
        <v>0</v>
      </c>
      <c r="C1932">
        <v>0</v>
      </c>
      <c r="D1932">
        <v>0</v>
      </c>
      <c r="E1932">
        <v>0</v>
      </c>
    </row>
    <row r="1933" spans="1:5" x14ac:dyDescent="0.35">
      <c r="A1933">
        <v>0</v>
      </c>
      <c r="B1933">
        <v>0</v>
      </c>
      <c r="C1933">
        <v>0</v>
      </c>
      <c r="D1933">
        <v>0</v>
      </c>
      <c r="E1933">
        <v>0</v>
      </c>
    </row>
    <row r="1934" spans="1:5" x14ac:dyDescent="0.35">
      <c r="A1934">
        <v>0</v>
      </c>
      <c r="B1934">
        <v>0</v>
      </c>
      <c r="C1934">
        <v>0</v>
      </c>
      <c r="D1934">
        <v>0</v>
      </c>
      <c r="E1934">
        <v>0</v>
      </c>
    </row>
    <row r="1935" spans="1:5" x14ac:dyDescent="0.35">
      <c r="A1935">
        <v>0</v>
      </c>
      <c r="B1935">
        <v>0</v>
      </c>
      <c r="C1935">
        <v>0</v>
      </c>
      <c r="D1935">
        <v>0</v>
      </c>
      <c r="E1935">
        <v>0</v>
      </c>
    </row>
    <row r="1936" spans="1:5" x14ac:dyDescent="0.35">
      <c r="A1936">
        <v>0</v>
      </c>
      <c r="B1936">
        <v>0</v>
      </c>
      <c r="C1936">
        <v>0</v>
      </c>
      <c r="D1936">
        <v>0</v>
      </c>
      <c r="E1936">
        <v>0</v>
      </c>
    </row>
    <row r="1937" spans="1:5" x14ac:dyDescent="0.35">
      <c r="A1937">
        <v>0</v>
      </c>
      <c r="B1937">
        <v>0</v>
      </c>
      <c r="C1937">
        <v>0</v>
      </c>
      <c r="D1937">
        <v>0</v>
      </c>
      <c r="E1937">
        <v>0</v>
      </c>
    </row>
    <row r="1938" spans="1:5" x14ac:dyDescent="0.35">
      <c r="A1938">
        <v>0</v>
      </c>
      <c r="B1938">
        <v>0</v>
      </c>
      <c r="C1938">
        <v>0</v>
      </c>
      <c r="D1938">
        <v>0</v>
      </c>
      <c r="E1938">
        <v>0</v>
      </c>
    </row>
    <row r="1939" spans="1:5" x14ac:dyDescent="0.35">
      <c r="A1939">
        <v>0</v>
      </c>
      <c r="B1939">
        <v>0</v>
      </c>
      <c r="C1939">
        <v>0</v>
      </c>
      <c r="D1939">
        <v>0</v>
      </c>
      <c r="E1939">
        <v>0</v>
      </c>
    </row>
    <row r="1940" spans="1:5" x14ac:dyDescent="0.35">
      <c r="A1940">
        <v>0</v>
      </c>
      <c r="B1940">
        <v>0</v>
      </c>
      <c r="C1940">
        <v>0</v>
      </c>
      <c r="D1940">
        <v>0</v>
      </c>
      <c r="E1940">
        <v>0</v>
      </c>
    </row>
    <row r="1941" spans="1:5" x14ac:dyDescent="0.35">
      <c r="A1941">
        <v>0</v>
      </c>
      <c r="B1941">
        <v>0</v>
      </c>
      <c r="C1941">
        <v>0</v>
      </c>
      <c r="D1941">
        <v>0</v>
      </c>
      <c r="E1941">
        <v>0</v>
      </c>
    </row>
    <row r="1942" spans="1:5" x14ac:dyDescent="0.35">
      <c r="A1942">
        <v>0</v>
      </c>
      <c r="B1942">
        <v>0</v>
      </c>
      <c r="C1942">
        <v>0</v>
      </c>
      <c r="D1942">
        <v>0</v>
      </c>
      <c r="E1942">
        <v>0</v>
      </c>
    </row>
    <row r="1943" spans="1:5" x14ac:dyDescent="0.35">
      <c r="A1943">
        <v>0</v>
      </c>
      <c r="B1943">
        <v>0</v>
      </c>
      <c r="C1943">
        <v>0</v>
      </c>
      <c r="D1943">
        <v>0</v>
      </c>
      <c r="E1943">
        <v>0</v>
      </c>
    </row>
    <row r="1944" spans="1:5" x14ac:dyDescent="0.35">
      <c r="A1944">
        <v>0</v>
      </c>
      <c r="B1944">
        <v>0</v>
      </c>
      <c r="C1944">
        <v>0</v>
      </c>
      <c r="D1944">
        <v>0</v>
      </c>
      <c r="E1944">
        <v>0</v>
      </c>
    </row>
    <row r="1945" spans="1:5" x14ac:dyDescent="0.35">
      <c r="A1945">
        <v>0</v>
      </c>
      <c r="B1945">
        <v>0</v>
      </c>
      <c r="C1945">
        <v>0</v>
      </c>
      <c r="D1945">
        <v>0</v>
      </c>
      <c r="E1945">
        <v>0</v>
      </c>
    </row>
    <row r="1946" spans="1:5" x14ac:dyDescent="0.35">
      <c r="A1946">
        <v>0</v>
      </c>
      <c r="B1946">
        <v>0</v>
      </c>
      <c r="C1946">
        <v>0</v>
      </c>
      <c r="D1946">
        <v>0</v>
      </c>
      <c r="E1946">
        <v>0</v>
      </c>
    </row>
    <row r="1947" spans="1:5" x14ac:dyDescent="0.35">
      <c r="A1947">
        <v>0</v>
      </c>
      <c r="B1947">
        <v>0</v>
      </c>
      <c r="C1947">
        <v>0</v>
      </c>
      <c r="D1947">
        <v>0</v>
      </c>
      <c r="E1947">
        <v>0</v>
      </c>
    </row>
    <row r="1948" spans="1:5" x14ac:dyDescent="0.35">
      <c r="A1948">
        <v>0</v>
      </c>
      <c r="B1948">
        <v>0</v>
      </c>
      <c r="C1948">
        <v>0</v>
      </c>
      <c r="D1948">
        <v>0</v>
      </c>
      <c r="E1948">
        <v>0</v>
      </c>
    </row>
    <row r="1949" spans="1:5" x14ac:dyDescent="0.35">
      <c r="A1949">
        <v>0</v>
      </c>
      <c r="B1949">
        <v>0</v>
      </c>
      <c r="C1949">
        <v>0</v>
      </c>
      <c r="D1949">
        <v>0</v>
      </c>
      <c r="E1949">
        <v>0</v>
      </c>
    </row>
    <row r="1950" spans="1:5" x14ac:dyDescent="0.35">
      <c r="A1950">
        <v>0</v>
      </c>
      <c r="B1950">
        <v>0</v>
      </c>
      <c r="C1950">
        <v>0</v>
      </c>
      <c r="D1950">
        <v>0</v>
      </c>
      <c r="E1950">
        <v>0</v>
      </c>
    </row>
    <row r="1951" spans="1:5" x14ac:dyDescent="0.35">
      <c r="A1951">
        <v>0</v>
      </c>
      <c r="B1951">
        <v>0</v>
      </c>
      <c r="C1951">
        <v>0</v>
      </c>
      <c r="D1951">
        <v>0</v>
      </c>
      <c r="E1951">
        <v>0</v>
      </c>
    </row>
    <row r="1952" spans="1:5" x14ac:dyDescent="0.35">
      <c r="A1952">
        <v>0</v>
      </c>
      <c r="B1952">
        <v>0</v>
      </c>
      <c r="C1952">
        <v>0</v>
      </c>
      <c r="D1952">
        <v>0</v>
      </c>
      <c r="E1952">
        <v>0</v>
      </c>
    </row>
    <row r="1953" spans="1:5" x14ac:dyDescent="0.35">
      <c r="A1953">
        <v>0</v>
      </c>
      <c r="B1953">
        <v>0</v>
      </c>
      <c r="C1953">
        <v>0</v>
      </c>
      <c r="D1953">
        <v>0</v>
      </c>
      <c r="E1953">
        <v>0</v>
      </c>
    </row>
    <row r="1954" spans="1:5" x14ac:dyDescent="0.35">
      <c r="A1954">
        <v>0</v>
      </c>
      <c r="B1954">
        <v>0</v>
      </c>
      <c r="C1954">
        <v>0</v>
      </c>
      <c r="D1954">
        <v>0</v>
      </c>
      <c r="E1954">
        <v>0</v>
      </c>
    </row>
    <row r="1955" spans="1:5" x14ac:dyDescent="0.35">
      <c r="A1955">
        <v>0</v>
      </c>
      <c r="B1955">
        <v>0</v>
      </c>
      <c r="C1955">
        <v>0</v>
      </c>
      <c r="D1955">
        <v>0</v>
      </c>
      <c r="E1955">
        <v>0</v>
      </c>
    </row>
    <row r="1956" spans="1:5" x14ac:dyDescent="0.35">
      <c r="A1956">
        <v>0</v>
      </c>
      <c r="B1956">
        <v>0</v>
      </c>
      <c r="C1956">
        <v>0</v>
      </c>
      <c r="D1956">
        <v>0</v>
      </c>
      <c r="E1956">
        <v>0</v>
      </c>
    </row>
    <row r="1957" spans="1:5" x14ac:dyDescent="0.35">
      <c r="A1957">
        <v>0</v>
      </c>
      <c r="B1957">
        <v>0</v>
      </c>
      <c r="C1957">
        <v>0</v>
      </c>
      <c r="D1957">
        <v>0</v>
      </c>
      <c r="E1957">
        <v>0</v>
      </c>
    </row>
    <row r="1958" spans="1:5" x14ac:dyDescent="0.35">
      <c r="A1958">
        <v>0</v>
      </c>
      <c r="B1958">
        <v>0</v>
      </c>
      <c r="C1958">
        <v>0</v>
      </c>
      <c r="D1958">
        <v>0</v>
      </c>
      <c r="E1958">
        <v>0</v>
      </c>
    </row>
    <row r="1959" spans="1:5" x14ac:dyDescent="0.35">
      <c r="A1959">
        <v>0</v>
      </c>
      <c r="B1959">
        <v>0</v>
      </c>
      <c r="C1959">
        <v>0</v>
      </c>
      <c r="D1959">
        <v>0</v>
      </c>
      <c r="E1959">
        <v>0</v>
      </c>
    </row>
    <row r="1960" spans="1:5" x14ac:dyDescent="0.35">
      <c r="A1960">
        <v>0</v>
      </c>
      <c r="B1960">
        <v>0</v>
      </c>
      <c r="C1960">
        <v>0</v>
      </c>
      <c r="D1960">
        <v>0</v>
      </c>
      <c r="E1960">
        <v>0</v>
      </c>
    </row>
    <row r="1961" spans="1:5" x14ac:dyDescent="0.35">
      <c r="A1961">
        <v>0</v>
      </c>
      <c r="B1961">
        <v>0</v>
      </c>
      <c r="C1961">
        <v>0</v>
      </c>
      <c r="D1961">
        <v>0</v>
      </c>
      <c r="E1961">
        <v>0</v>
      </c>
    </row>
    <row r="1962" spans="1:5" x14ac:dyDescent="0.35">
      <c r="A1962">
        <v>0</v>
      </c>
      <c r="B1962">
        <v>0</v>
      </c>
      <c r="C1962">
        <v>0</v>
      </c>
      <c r="D1962">
        <v>0</v>
      </c>
      <c r="E1962">
        <v>0</v>
      </c>
    </row>
    <row r="1963" spans="1:5" x14ac:dyDescent="0.35">
      <c r="A1963">
        <v>0</v>
      </c>
      <c r="B1963">
        <v>0</v>
      </c>
      <c r="C1963">
        <v>0</v>
      </c>
      <c r="D1963">
        <v>0</v>
      </c>
      <c r="E1963">
        <v>0</v>
      </c>
    </row>
    <row r="1964" spans="1:5" x14ac:dyDescent="0.35">
      <c r="A1964">
        <v>0</v>
      </c>
      <c r="B1964">
        <v>0</v>
      </c>
      <c r="C1964">
        <v>0</v>
      </c>
      <c r="D1964">
        <v>0</v>
      </c>
      <c r="E1964">
        <v>0</v>
      </c>
    </row>
    <row r="1965" spans="1:5" x14ac:dyDescent="0.35">
      <c r="A1965">
        <v>0</v>
      </c>
      <c r="B1965">
        <v>0</v>
      </c>
      <c r="C1965">
        <v>0</v>
      </c>
      <c r="D1965">
        <v>0</v>
      </c>
      <c r="E1965">
        <v>0</v>
      </c>
    </row>
    <row r="1966" spans="1:5" x14ac:dyDescent="0.35">
      <c r="A1966">
        <v>0</v>
      </c>
      <c r="B1966">
        <v>0</v>
      </c>
      <c r="C1966">
        <v>0</v>
      </c>
      <c r="D1966">
        <v>0</v>
      </c>
      <c r="E1966">
        <v>0</v>
      </c>
    </row>
    <row r="1967" spans="1:5" x14ac:dyDescent="0.35">
      <c r="A1967">
        <v>0</v>
      </c>
      <c r="B1967">
        <v>0</v>
      </c>
      <c r="C1967">
        <v>0</v>
      </c>
      <c r="D1967">
        <v>0</v>
      </c>
      <c r="E1967">
        <v>0</v>
      </c>
    </row>
    <row r="1968" spans="1:5" x14ac:dyDescent="0.35">
      <c r="A1968">
        <v>0</v>
      </c>
      <c r="B1968">
        <v>0</v>
      </c>
      <c r="C1968">
        <v>0</v>
      </c>
      <c r="D1968">
        <v>0</v>
      </c>
      <c r="E1968">
        <v>0</v>
      </c>
    </row>
    <row r="1969" spans="1:5" x14ac:dyDescent="0.35">
      <c r="A1969">
        <v>0</v>
      </c>
      <c r="B1969">
        <v>0</v>
      </c>
      <c r="C1969">
        <v>0</v>
      </c>
      <c r="D1969">
        <v>0</v>
      </c>
      <c r="E1969">
        <v>0</v>
      </c>
    </row>
    <row r="1970" spans="1:5" x14ac:dyDescent="0.35">
      <c r="A1970">
        <v>0</v>
      </c>
      <c r="B1970">
        <v>0</v>
      </c>
      <c r="C1970">
        <v>0</v>
      </c>
      <c r="D1970">
        <v>0</v>
      </c>
      <c r="E1970">
        <v>0</v>
      </c>
    </row>
    <row r="1971" spans="1:5" x14ac:dyDescent="0.35">
      <c r="A1971">
        <v>0</v>
      </c>
      <c r="B1971">
        <v>0</v>
      </c>
      <c r="C1971">
        <v>0</v>
      </c>
      <c r="D1971">
        <v>0</v>
      </c>
      <c r="E1971">
        <v>0</v>
      </c>
    </row>
    <row r="1972" spans="1:5" x14ac:dyDescent="0.35">
      <c r="A1972">
        <v>0</v>
      </c>
      <c r="B1972">
        <v>0</v>
      </c>
      <c r="C1972">
        <v>0</v>
      </c>
      <c r="D1972">
        <v>0</v>
      </c>
      <c r="E1972">
        <v>0</v>
      </c>
    </row>
    <row r="1973" spans="1:5" x14ac:dyDescent="0.35">
      <c r="A1973">
        <v>0</v>
      </c>
      <c r="B1973">
        <v>0</v>
      </c>
      <c r="C1973">
        <v>0</v>
      </c>
      <c r="D1973">
        <v>0</v>
      </c>
      <c r="E1973">
        <v>0</v>
      </c>
    </row>
    <row r="1974" spans="1:5" x14ac:dyDescent="0.35">
      <c r="A1974">
        <v>0</v>
      </c>
      <c r="B1974">
        <v>0</v>
      </c>
      <c r="C1974">
        <v>0</v>
      </c>
      <c r="D1974">
        <v>0</v>
      </c>
      <c r="E1974">
        <v>0</v>
      </c>
    </row>
    <row r="1975" spans="1:5" x14ac:dyDescent="0.35">
      <c r="A1975">
        <v>0</v>
      </c>
      <c r="B1975">
        <v>0</v>
      </c>
      <c r="C1975">
        <v>0</v>
      </c>
      <c r="D1975">
        <v>0</v>
      </c>
      <c r="E1975">
        <v>0</v>
      </c>
    </row>
    <row r="1976" spans="1:5" x14ac:dyDescent="0.35">
      <c r="A1976">
        <v>0</v>
      </c>
      <c r="B1976">
        <v>0</v>
      </c>
      <c r="C1976">
        <v>0</v>
      </c>
      <c r="D1976">
        <v>0</v>
      </c>
      <c r="E1976">
        <v>0</v>
      </c>
    </row>
    <row r="1977" spans="1:5" x14ac:dyDescent="0.35">
      <c r="A1977">
        <v>0</v>
      </c>
      <c r="B1977">
        <v>0</v>
      </c>
      <c r="C1977">
        <v>0</v>
      </c>
      <c r="D1977">
        <v>0</v>
      </c>
      <c r="E1977">
        <v>0</v>
      </c>
    </row>
    <row r="1978" spans="1:5" x14ac:dyDescent="0.35">
      <c r="A1978">
        <v>0</v>
      </c>
      <c r="B1978">
        <v>0</v>
      </c>
      <c r="C1978">
        <v>0</v>
      </c>
      <c r="D1978">
        <v>0</v>
      </c>
      <c r="E1978">
        <v>0</v>
      </c>
    </row>
    <row r="1979" spans="1:5" x14ac:dyDescent="0.35">
      <c r="A1979">
        <v>0</v>
      </c>
      <c r="B1979">
        <v>0</v>
      </c>
      <c r="C1979">
        <v>0</v>
      </c>
      <c r="D1979">
        <v>0</v>
      </c>
      <c r="E1979">
        <v>0</v>
      </c>
    </row>
    <row r="1980" spans="1:5" x14ac:dyDescent="0.35">
      <c r="A1980">
        <v>0</v>
      </c>
      <c r="B1980">
        <v>0</v>
      </c>
      <c r="C1980">
        <v>0</v>
      </c>
      <c r="D1980">
        <v>0</v>
      </c>
      <c r="E1980">
        <v>0</v>
      </c>
    </row>
    <row r="1981" spans="1:5" x14ac:dyDescent="0.35">
      <c r="A1981">
        <v>0</v>
      </c>
      <c r="B1981">
        <v>0</v>
      </c>
      <c r="C1981">
        <v>0</v>
      </c>
      <c r="D1981">
        <v>0</v>
      </c>
      <c r="E1981">
        <v>0</v>
      </c>
    </row>
    <row r="1982" spans="1:5" x14ac:dyDescent="0.35">
      <c r="A1982">
        <v>0</v>
      </c>
      <c r="B1982">
        <v>0</v>
      </c>
      <c r="C1982">
        <v>0</v>
      </c>
      <c r="D1982">
        <v>0</v>
      </c>
      <c r="E1982">
        <v>0</v>
      </c>
    </row>
    <row r="1983" spans="1:5" x14ac:dyDescent="0.35">
      <c r="A1983">
        <v>0</v>
      </c>
      <c r="B1983">
        <v>0</v>
      </c>
      <c r="C1983">
        <v>0</v>
      </c>
      <c r="D1983">
        <v>0</v>
      </c>
      <c r="E1983">
        <v>0</v>
      </c>
    </row>
    <row r="1984" spans="1:5" x14ac:dyDescent="0.35">
      <c r="A1984">
        <v>0</v>
      </c>
      <c r="B1984">
        <v>0</v>
      </c>
      <c r="C1984">
        <v>0</v>
      </c>
      <c r="D1984">
        <v>0</v>
      </c>
      <c r="E1984">
        <v>0</v>
      </c>
    </row>
    <row r="1985" spans="1:5" x14ac:dyDescent="0.35">
      <c r="A1985">
        <v>0</v>
      </c>
      <c r="B1985">
        <v>0</v>
      </c>
      <c r="C1985">
        <v>0</v>
      </c>
      <c r="D1985">
        <v>0</v>
      </c>
      <c r="E1985">
        <v>0</v>
      </c>
    </row>
    <row r="1986" spans="1:5" x14ac:dyDescent="0.35">
      <c r="A1986">
        <v>0</v>
      </c>
      <c r="B1986">
        <v>0</v>
      </c>
      <c r="C1986">
        <v>0</v>
      </c>
      <c r="D1986">
        <v>0</v>
      </c>
      <c r="E1986">
        <v>0</v>
      </c>
    </row>
    <row r="1987" spans="1:5" x14ac:dyDescent="0.35">
      <c r="A1987">
        <v>0</v>
      </c>
      <c r="B1987">
        <v>0</v>
      </c>
      <c r="C1987">
        <v>0</v>
      </c>
      <c r="D1987">
        <v>0</v>
      </c>
      <c r="E1987">
        <v>0</v>
      </c>
    </row>
    <row r="1988" spans="1:5" x14ac:dyDescent="0.35">
      <c r="A1988">
        <v>0</v>
      </c>
      <c r="B1988">
        <v>0</v>
      </c>
      <c r="C1988">
        <v>0</v>
      </c>
      <c r="D1988">
        <v>0</v>
      </c>
      <c r="E1988">
        <v>0</v>
      </c>
    </row>
    <row r="1989" spans="1:5" x14ac:dyDescent="0.35">
      <c r="A1989">
        <v>0</v>
      </c>
      <c r="B1989">
        <v>0</v>
      </c>
      <c r="C1989">
        <v>0</v>
      </c>
      <c r="D1989">
        <v>0</v>
      </c>
      <c r="E1989">
        <v>0</v>
      </c>
    </row>
    <row r="1990" spans="1:5" x14ac:dyDescent="0.35">
      <c r="A1990">
        <v>0</v>
      </c>
      <c r="B1990">
        <v>0</v>
      </c>
      <c r="C1990">
        <v>0</v>
      </c>
      <c r="D1990">
        <v>0</v>
      </c>
      <c r="E1990">
        <v>0</v>
      </c>
    </row>
    <row r="1991" spans="1:5" x14ac:dyDescent="0.35">
      <c r="A1991">
        <v>0</v>
      </c>
      <c r="B1991">
        <v>0</v>
      </c>
      <c r="C1991">
        <v>0</v>
      </c>
      <c r="D1991">
        <v>0</v>
      </c>
      <c r="E1991">
        <v>0</v>
      </c>
    </row>
    <row r="1992" spans="1:5" x14ac:dyDescent="0.35">
      <c r="A1992">
        <v>0</v>
      </c>
      <c r="B1992">
        <v>0</v>
      </c>
      <c r="C1992">
        <v>0</v>
      </c>
      <c r="D1992">
        <v>0</v>
      </c>
      <c r="E1992">
        <v>0</v>
      </c>
    </row>
    <row r="1993" spans="1:5" x14ac:dyDescent="0.35">
      <c r="A1993">
        <v>0</v>
      </c>
      <c r="B1993">
        <v>0</v>
      </c>
      <c r="C1993">
        <v>0</v>
      </c>
      <c r="D1993">
        <v>0</v>
      </c>
      <c r="E1993">
        <v>0</v>
      </c>
    </row>
    <row r="1994" spans="1:5" x14ac:dyDescent="0.35">
      <c r="A1994">
        <v>0</v>
      </c>
      <c r="B1994">
        <v>0</v>
      </c>
      <c r="C1994">
        <v>0</v>
      </c>
      <c r="D1994">
        <v>0</v>
      </c>
      <c r="E1994">
        <v>0</v>
      </c>
    </row>
    <row r="1995" spans="1:5" x14ac:dyDescent="0.35">
      <c r="A1995">
        <v>0</v>
      </c>
      <c r="B1995">
        <v>0</v>
      </c>
      <c r="C1995">
        <v>0</v>
      </c>
      <c r="D1995">
        <v>0</v>
      </c>
      <c r="E1995">
        <v>0</v>
      </c>
    </row>
    <row r="1996" spans="1:5" x14ac:dyDescent="0.35">
      <c r="A1996">
        <v>0</v>
      </c>
      <c r="B1996">
        <v>0</v>
      </c>
      <c r="C1996">
        <v>0</v>
      </c>
      <c r="D1996">
        <v>0</v>
      </c>
      <c r="E1996">
        <v>0</v>
      </c>
    </row>
    <row r="1997" spans="1:5" x14ac:dyDescent="0.35">
      <c r="A1997">
        <v>0</v>
      </c>
      <c r="B1997">
        <v>0</v>
      </c>
      <c r="C1997">
        <v>0</v>
      </c>
      <c r="D1997">
        <v>0</v>
      </c>
      <c r="E1997">
        <v>0</v>
      </c>
    </row>
    <row r="1998" spans="1:5" x14ac:dyDescent="0.35">
      <c r="A1998">
        <v>0</v>
      </c>
      <c r="B1998">
        <v>0</v>
      </c>
      <c r="C1998">
        <v>0</v>
      </c>
      <c r="D1998">
        <v>0</v>
      </c>
      <c r="E1998">
        <v>0</v>
      </c>
    </row>
    <row r="1999" spans="1:5" x14ac:dyDescent="0.35">
      <c r="A1999">
        <v>0</v>
      </c>
      <c r="B1999">
        <v>0</v>
      </c>
      <c r="C1999">
        <v>0</v>
      </c>
      <c r="D1999">
        <v>0</v>
      </c>
      <c r="E1999">
        <v>0</v>
      </c>
    </row>
    <row r="2000" spans="1:5" x14ac:dyDescent="0.35">
      <c r="A2000">
        <v>0</v>
      </c>
      <c r="B2000">
        <v>0</v>
      </c>
      <c r="C2000">
        <v>0</v>
      </c>
      <c r="D2000">
        <v>0</v>
      </c>
      <c r="E2000">
        <v>0</v>
      </c>
    </row>
    <row r="2001" spans="1:5" x14ac:dyDescent="0.35">
      <c r="A2001">
        <v>0</v>
      </c>
      <c r="B2001">
        <v>0</v>
      </c>
      <c r="C2001">
        <v>0</v>
      </c>
      <c r="D2001">
        <v>0</v>
      </c>
      <c r="E2001">
        <v>0</v>
      </c>
    </row>
    <row r="2002" spans="1:5" x14ac:dyDescent="0.35">
      <c r="A2002">
        <v>0</v>
      </c>
      <c r="B2002">
        <v>0</v>
      </c>
      <c r="C2002">
        <v>0</v>
      </c>
      <c r="D2002">
        <v>0</v>
      </c>
      <c r="E2002">
        <v>0</v>
      </c>
    </row>
    <row r="2003" spans="1:5" x14ac:dyDescent="0.35">
      <c r="A2003">
        <v>0</v>
      </c>
      <c r="B2003">
        <v>0</v>
      </c>
      <c r="C2003">
        <v>0</v>
      </c>
      <c r="D2003">
        <v>0</v>
      </c>
      <c r="E2003">
        <v>0</v>
      </c>
    </row>
    <row r="2004" spans="1:5" x14ac:dyDescent="0.35">
      <c r="A2004">
        <v>0</v>
      </c>
      <c r="B2004">
        <v>0</v>
      </c>
      <c r="C2004">
        <v>0</v>
      </c>
      <c r="D2004">
        <v>0</v>
      </c>
      <c r="E2004">
        <v>0</v>
      </c>
    </row>
    <row r="2005" spans="1:5" x14ac:dyDescent="0.35">
      <c r="A2005">
        <v>0</v>
      </c>
      <c r="B2005">
        <v>0</v>
      </c>
      <c r="C2005">
        <v>0</v>
      </c>
      <c r="D2005">
        <v>0</v>
      </c>
      <c r="E2005">
        <v>0</v>
      </c>
    </row>
    <row r="2006" spans="1:5" x14ac:dyDescent="0.35">
      <c r="A2006">
        <v>0</v>
      </c>
      <c r="B2006">
        <v>0</v>
      </c>
      <c r="C2006">
        <v>0</v>
      </c>
      <c r="D2006">
        <v>0</v>
      </c>
      <c r="E2006">
        <v>0</v>
      </c>
    </row>
    <row r="2007" spans="1:5" x14ac:dyDescent="0.35">
      <c r="A2007">
        <v>0</v>
      </c>
      <c r="B2007">
        <v>0</v>
      </c>
      <c r="C2007">
        <v>0</v>
      </c>
      <c r="D2007">
        <v>0</v>
      </c>
      <c r="E2007">
        <v>0</v>
      </c>
    </row>
    <row r="2008" spans="1:5" x14ac:dyDescent="0.35">
      <c r="A2008">
        <v>0</v>
      </c>
      <c r="B2008">
        <v>0</v>
      </c>
      <c r="C2008">
        <v>0</v>
      </c>
      <c r="D2008">
        <v>0</v>
      </c>
      <c r="E2008">
        <v>0</v>
      </c>
    </row>
    <row r="2009" spans="1:5" x14ac:dyDescent="0.35">
      <c r="A2009">
        <v>0</v>
      </c>
      <c r="B2009">
        <v>0</v>
      </c>
      <c r="C2009">
        <v>0</v>
      </c>
      <c r="D2009">
        <v>0</v>
      </c>
      <c r="E2009">
        <v>0</v>
      </c>
    </row>
    <row r="2010" spans="1:5" x14ac:dyDescent="0.35">
      <c r="A2010">
        <v>0</v>
      </c>
      <c r="B2010">
        <v>0</v>
      </c>
      <c r="C2010">
        <v>0</v>
      </c>
      <c r="D2010">
        <v>0</v>
      </c>
      <c r="E2010">
        <v>0</v>
      </c>
    </row>
    <row r="2011" spans="1:5" x14ac:dyDescent="0.35">
      <c r="A2011">
        <v>0</v>
      </c>
      <c r="B2011">
        <v>0</v>
      </c>
      <c r="C2011">
        <v>0</v>
      </c>
      <c r="D2011">
        <v>0</v>
      </c>
      <c r="E2011">
        <v>0</v>
      </c>
    </row>
    <row r="2012" spans="1:5" x14ac:dyDescent="0.35">
      <c r="A2012">
        <v>0</v>
      </c>
      <c r="B2012">
        <v>0</v>
      </c>
      <c r="C2012">
        <v>0</v>
      </c>
      <c r="D2012">
        <v>0</v>
      </c>
      <c r="E2012">
        <v>0</v>
      </c>
    </row>
    <row r="2013" spans="1:5" x14ac:dyDescent="0.35">
      <c r="A2013">
        <v>0</v>
      </c>
      <c r="B2013">
        <v>0</v>
      </c>
      <c r="C2013">
        <v>0</v>
      </c>
      <c r="D2013">
        <v>0</v>
      </c>
      <c r="E2013">
        <v>0</v>
      </c>
    </row>
    <row r="2014" spans="1:5" x14ac:dyDescent="0.35">
      <c r="A2014">
        <v>0</v>
      </c>
      <c r="B2014">
        <v>0</v>
      </c>
      <c r="C2014">
        <v>0</v>
      </c>
      <c r="D2014">
        <v>0</v>
      </c>
      <c r="E2014">
        <v>0</v>
      </c>
    </row>
    <row r="2015" spans="1:5" x14ac:dyDescent="0.35">
      <c r="A2015">
        <v>0</v>
      </c>
      <c r="B2015">
        <v>0</v>
      </c>
      <c r="C2015">
        <v>0</v>
      </c>
      <c r="D2015">
        <v>0</v>
      </c>
      <c r="E2015">
        <v>0</v>
      </c>
    </row>
    <row r="2016" spans="1:5" x14ac:dyDescent="0.35">
      <c r="A2016">
        <v>0</v>
      </c>
      <c r="B2016">
        <v>0</v>
      </c>
      <c r="C2016">
        <v>0</v>
      </c>
      <c r="D2016">
        <v>0</v>
      </c>
      <c r="E2016">
        <v>0</v>
      </c>
    </row>
    <row r="2017" spans="1:5" x14ac:dyDescent="0.35">
      <c r="A2017">
        <v>0</v>
      </c>
      <c r="B2017">
        <v>0</v>
      </c>
      <c r="C2017">
        <v>0</v>
      </c>
      <c r="D2017">
        <v>0</v>
      </c>
      <c r="E2017">
        <v>0</v>
      </c>
    </row>
    <row r="2018" spans="1:5" x14ac:dyDescent="0.35">
      <c r="A2018">
        <v>0</v>
      </c>
      <c r="B2018">
        <v>0</v>
      </c>
      <c r="C2018">
        <v>0</v>
      </c>
      <c r="D2018">
        <v>0</v>
      </c>
      <c r="E2018">
        <v>0</v>
      </c>
    </row>
    <row r="2019" spans="1:5" x14ac:dyDescent="0.35">
      <c r="A2019">
        <v>0</v>
      </c>
      <c r="B2019">
        <v>0</v>
      </c>
      <c r="C2019">
        <v>0</v>
      </c>
      <c r="D2019">
        <v>0</v>
      </c>
      <c r="E2019">
        <v>0</v>
      </c>
    </row>
    <row r="2020" spans="1:5" x14ac:dyDescent="0.35">
      <c r="A2020">
        <v>0</v>
      </c>
      <c r="B2020">
        <v>0</v>
      </c>
      <c r="C2020">
        <v>0</v>
      </c>
      <c r="D2020">
        <v>0</v>
      </c>
      <c r="E2020">
        <v>0</v>
      </c>
    </row>
    <row r="2021" spans="1:5" x14ac:dyDescent="0.35">
      <c r="A2021">
        <v>0</v>
      </c>
      <c r="B2021">
        <v>0</v>
      </c>
      <c r="C2021">
        <v>0</v>
      </c>
      <c r="D2021">
        <v>0</v>
      </c>
      <c r="E2021">
        <v>0</v>
      </c>
    </row>
    <row r="2022" spans="1:5" x14ac:dyDescent="0.35">
      <c r="A2022">
        <v>0</v>
      </c>
      <c r="B2022">
        <v>0</v>
      </c>
      <c r="C2022">
        <v>0</v>
      </c>
      <c r="D2022">
        <v>0</v>
      </c>
      <c r="E2022">
        <v>0</v>
      </c>
    </row>
    <row r="2023" spans="1:5" x14ac:dyDescent="0.35">
      <c r="A2023">
        <v>0</v>
      </c>
      <c r="B2023">
        <v>0</v>
      </c>
      <c r="C2023">
        <v>0</v>
      </c>
      <c r="D2023">
        <v>0</v>
      </c>
      <c r="E2023">
        <v>0</v>
      </c>
    </row>
    <row r="2024" spans="1:5" x14ac:dyDescent="0.35">
      <c r="A2024">
        <v>0</v>
      </c>
      <c r="B2024">
        <v>0</v>
      </c>
      <c r="C2024">
        <v>0</v>
      </c>
      <c r="D2024">
        <v>0</v>
      </c>
      <c r="E2024">
        <v>0</v>
      </c>
    </row>
    <row r="2025" spans="1:5" x14ac:dyDescent="0.35">
      <c r="A2025">
        <v>0</v>
      </c>
      <c r="B2025">
        <v>0</v>
      </c>
      <c r="C2025">
        <v>0</v>
      </c>
      <c r="D2025">
        <v>0</v>
      </c>
      <c r="E2025">
        <v>0</v>
      </c>
    </row>
    <row r="2026" spans="1:5" x14ac:dyDescent="0.35">
      <c r="A2026">
        <v>0</v>
      </c>
      <c r="B2026">
        <v>0</v>
      </c>
      <c r="C2026">
        <v>0</v>
      </c>
      <c r="D2026">
        <v>0</v>
      </c>
      <c r="E2026">
        <v>0</v>
      </c>
    </row>
    <row r="2027" spans="1:5" x14ac:dyDescent="0.35">
      <c r="A2027">
        <v>0</v>
      </c>
      <c r="B2027">
        <v>0</v>
      </c>
      <c r="C2027">
        <v>0</v>
      </c>
      <c r="D2027">
        <v>0</v>
      </c>
      <c r="E2027">
        <v>0</v>
      </c>
    </row>
    <row r="2028" spans="1:5" x14ac:dyDescent="0.35">
      <c r="A2028">
        <v>0</v>
      </c>
      <c r="B2028">
        <v>0</v>
      </c>
      <c r="C2028">
        <v>0</v>
      </c>
      <c r="D2028">
        <v>0</v>
      </c>
      <c r="E2028">
        <v>0</v>
      </c>
    </row>
    <row r="2029" spans="1:5" x14ac:dyDescent="0.35">
      <c r="A2029">
        <v>0</v>
      </c>
      <c r="B2029">
        <v>0</v>
      </c>
      <c r="C2029">
        <v>0</v>
      </c>
      <c r="D2029">
        <v>0</v>
      </c>
      <c r="E2029">
        <v>0</v>
      </c>
    </row>
    <row r="2030" spans="1:5" x14ac:dyDescent="0.35">
      <c r="A2030">
        <v>0</v>
      </c>
      <c r="B2030">
        <v>0</v>
      </c>
      <c r="C2030">
        <v>0</v>
      </c>
      <c r="D2030">
        <v>0</v>
      </c>
      <c r="E2030">
        <v>0</v>
      </c>
    </row>
    <row r="2031" spans="1:5" x14ac:dyDescent="0.35">
      <c r="A2031">
        <v>0</v>
      </c>
      <c r="B2031">
        <v>0</v>
      </c>
      <c r="C2031">
        <v>0</v>
      </c>
      <c r="D2031">
        <v>0</v>
      </c>
      <c r="E2031">
        <v>0</v>
      </c>
    </row>
    <row r="2032" spans="1:5" x14ac:dyDescent="0.35">
      <c r="A2032">
        <v>0</v>
      </c>
      <c r="B2032">
        <v>0</v>
      </c>
      <c r="C2032">
        <v>0</v>
      </c>
      <c r="D2032">
        <v>0</v>
      </c>
      <c r="E2032">
        <v>0</v>
      </c>
    </row>
    <row r="2033" spans="1:5" x14ac:dyDescent="0.35">
      <c r="A2033">
        <v>0</v>
      </c>
      <c r="B2033">
        <v>0</v>
      </c>
      <c r="C2033">
        <v>0</v>
      </c>
      <c r="D2033">
        <v>0</v>
      </c>
      <c r="E2033">
        <v>0</v>
      </c>
    </row>
    <row r="2034" spans="1:5" x14ac:dyDescent="0.35">
      <c r="A2034">
        <v>0</v>
      </c>
      <c r="B2034">
        <v>0</v>
      </c>
      <c r="C2034">
        <v>0</v>
      </c>
      <c r="D2034">
        <v>0</v>
      </c>
      <c r="E2034">
        <v>0</v>
      </c>
    </row>
    <row r="2035" spans="1:5" x14ac:dyDescent="0.35">
      <c r="A2035">
        <v>0</v>
      </c>
      <c r="B2035">
        <v>0</v>
      </c>
      <c r="C2035">
        <v>0</v>
      </c>
      <c r="D2035">
        <v>0</v>
      </c>
      <c r="E2035">
        <v>0</v>
      </c>
    </row>
    <row r="2036" spans="1:5" x14ac:dyDescent="0.35">
      <c r="A2036">
        <v>0</v>
      </c>
      <c r="B2036">
        <v>0</v>
      </c>
      <c r="C2036">
        <v>0</v>
      </c>
      <c r="D2036">
        <v>0</v>
      </c>
      <c r="E2036">
        <v>0</v>
      </c>
    </row>
    <row r="2037" spans="1:5" x14ac:dyDescent="0.35">
      <c r="A2037">
        <v>0</v>
      </c>
      <c r="B2037">
        <v>0</v>
      </c>
      <c r="C2037">
        <v>0</v>
      </c>
      <c r="D2037">
        <v>0</v>
      </c>
      <c r="E2037">
        <v>0</v>
      </c>
    </row>
    <row r="2038" spans="1:5" x14ac:dyDescent="0.35">
      <c r="A2038">
        <v>0</v>
      </c>
      <c r="B2038">
        <v>0</v>
      </c>
      <c r="C2038">
        <v>0</v>
      </c>
      <c r="D2038">
        <v>0</v>
      </c>
      <c r="E2038">
        <v>0</v>
      </c>
    </row>
    <row r="2039" spans="1:5" x14ac:dyDescent="0.35">
      <c r="A2039">
        <v>0</v>
      </c>
      <c r="B2039">
        <v>0</v>
      </c>
      <c r="C2039">
        <v>0</v>
      </c>
      <c r="D2039">
        <v>0</v>
      </c>
      <c r="E2039">
        <v>0</v>
      </c>
    </row>
    <row r="2040" spans="1:5" x14ac:dyDescent="0.35">
      <c r="A2040">
        <v>0</v>
      </c>
      <c r="B2040">
        <v>0</v>
      </c>
      <c r="C2040">
        <v>0</v>
      </c>
      <c r="D2040">
        <v>0</v>
      </c>
      <c r="E2040">
        <v>0</v>
      </c>
    </row>
    <row r="2041" spans="1:5" x14ac:dyDescent="0.35">
      <c r="A2041">
        <v>0</v>
      </c>
      <c r="B2041">
        <v>0</v>
      </c>
      <c r="C2041">
        <v>0</v>
      </c>
      <c r="D2041">
        <v>0</v>
      </c>
      <c r="E2041">
        <v>0</v>
      </c>
    </row>
    <row r="2042" spans="1:5" x14ac:dyDescent="0.35">
      <c r="A2042">
        <v>0</v>
      </c>
      <c r="B2042">
        <v>0</v>
      </c>
      <c r="C2042">
        <v>0</v>
      </c>
      <c r="D2042">
        <v>0</v>
      </c>
      <c r="E2042">
        <v>0</v>
      </c>
    </row>
    <row r="2043" spans="1:5" x14ac:dyDescent="0.35">
      <c r="A2043">
        <v>0</v>
      </c>
      <c r="B2043">
        <v>0</v>
      </c>
      <c r="C2043">
        <v>0</v>
      </c>
      <c r="D2043">
        <v>0</v>
      </c>
      <c r="E2043">
        <v>0</v>
      </c>
    </row>
    <row r="2044" spans="1:5" x14ac:dyDescent="0.35">
      <c r="A2044">
        <v>0</v>
      </c>
      <c r="B2044">
        <v>0</v>
      </c>
      <c r="C2044">
        <v>0</v>
      </c>
      <c r="D2044">
        <v>0</v>
      </c>
      <c r="E2044">
        <v>0</v>
      </c>
    </row>
    <row r="2045" spans="1:5" x14ac:dyDescent="0.35">
      <c r="A2045">
        <v>0</v>
      </c>
      <c r="B2045">
        <v>0</v>
      </c>
      <c r="C2045">
        <v>0</v>
      </c>
      <c r="D2045">
        <v>0</v>
      </c>
      <c r="E2045">
        <v>0</v>
      </c>
    </row>
    <row r="2046" spans="1:5" x14ac:dyDescent="0.35">
      <c r="A2046">
        <v>0</v>
      </c>
      <c r="B2046">
        <v>0</v>
      </c>
      <c r="C2046">
        <v>0</v>
      </c>
      <c r="D2046">
        <v>0</v>
      </c>
      <c r="E2046">
        <v>0</v>
      </c>
    </row>
    <row r="2047" spans="1:5" x14ac:dyDescent="0.35">
      <c r="A2047">
        <v>0</v>
      </c>
      <c r="B2047">
        <v>0</v>
      </c>
      <c r="C2047">
        <v>0</v>
      </c>
      <c r="D2047">
        <v>0</v>
      </c>
      <c r="E2047">
        <v>0</v>
      </c>
    </row>
    <row r="2048" spans="1:5" x14ac:dyDescent="0.35">
      <c r="A2048">
        <v>0</v>
      </c>
      <c r="B2048">
        <v>0</v>
      </c>
      <c r="C2048">
        <v>0</v>
      </c>
      <c r="D2048">
        <v>0</v>
      </c>
      <c r="E2048">
        <v>0</v>
      </c>
    </row>
    <row r="2049" spans="1:5" x14ac:dyDescent="0.35">
      <c r="A2049">
        <v>0</v>
      </c>
      <c r="B2049">
        <v>0</v>
      </c>
      <c r="C2049">
        <v>0</v>
      </c>
      <c r="D2049">
        <v>0</v>
      </c>
      <c r="E2049">
        <v>0</v>
      </c>
    </row>
    <row r="2050" spans="1:5" x14ac:dyDescent="0.35">
      <c r="A2050">
        <v>0</v>
      </c>
      <c r="B2050">
        <v>0</v>
      </c>
      <c r="C2050">
        <v>0</v>
      </c>
      <c r="D2050">
        <v>0</v>
      </c>
      <c r="E2050">
        <v>0</v>
      </c>
    </row>
    <row r="2051" spans="1:5" x14ac:dyDescent="0.35">
      <c r="A2051">
        <v>0</v>
      </c>
      <c r="B2051">
        <v>0</v>
      </c>
      <c r="C2051">
        <v>0</v>
      </c>
      <c r="D2051">
        <v>0</v>
      </c>
      <c r="E2051">
        <v>0</v>
      </c>
    </row>
    <row r="2052" spans="1:5" x14ac:dyDescent="0.35">
      <c r="A2052">
        <v>0</v>
      </c>
      <c r="B2052">
        <v>0</v>
      </c>
      <c r="C2052">
        <v>0</v>
      </c>
      <c r="D2052">
        <v>0</v>
      </c>
      <c r="E2052">
        <v>0</v>
      </c>
    </row>
    <row r="2053" spans="1:5" x14ac:dyDescent="0.35">
      <c r="A2053">
        <v>0</v>
      </c>
      <c r="B2053">
        <v>0</v>
      </c>
      <c r="C2053">
        <v>0</v>
      </c>
      <c r="D2053">
        <v>0</v>
      </c>
      <c r="E2053">
        <v>0</v>
      </c>
    </row>
    <row r="2054" spans="1:5" x14ac:dyDescent="0.35">
      <c r="A2054">
        <v>0</v>
      </c>
      <c r="B2054">
        <v>0</v>
      </c>
      <c r="C2054">
        <v>0</v>
      </c>
      <c r="D2054">
        <v>0</v>
      </c>
      <c r="E2054">
        <v>0</v>
      </c>
    </row>
    <row r="2055" spans="1:5" x14ac:dyDescent="0.35">
      <c r="A2055">
        <v>0</v>
      </c>
      <c r="B2055">
        <v>0</v>
      </c>
      <c r="C2055">
        <v>0</v>
      </c>
      <c r="D2055">
        <v>0</v>
      </c>
      <c r="E2055">
        <v>0</v>
      </c>
    </row>
    <row r="2056" spans="1:5" x14ac:dyDescent="0.35">
      <c r="A2056">
        <v>0</v>
      </c>
      <c r="B2056">
        <v>0</v>
      </c>
      <c r="C2056">
        <v>0</v>
      </c>
      <c r="D2056">
        <v>0</v>
      </c>
      <c r="E2056">
        <v>0</v>
      </c>
    </row>
    <row r="2057" spans="1:5" x14ac:dyDescent="0.35">
      <c r="A2057">
        <v>0</v>
      </c>
      <c r="B2057">
        <v>0</v>
      </c>
      <c r="C2057">
        <v>0</v>
      </c>
      <c r="D2057">
        <v>0</v>
      </c>
      <c r="E2057">
        <v>0</v>
      </c>
    </row>
    <row r="2058" spans="1:5" x14ac:dyDescent="0.35">
      <c r="A2058">
        <v>0</v>
      </c>
      <c r="B2058">
        <v>0</v>
      </c>
      <c r="C2058">
        <v>0</v>
      </c>
      <c r="D2058">
        <v>0</v>
      </c>
      <c r="E2058">
        <v>0</v>
      </c>
    </row>
    <row r="2059" spans="1:5" x14ac:dyDescent="0.35">
      <c r="A2059">
        <v>0</v>
      </c>
      <c r="B2059">
        <v>0</v>
      </c>
      <c r="C2059">
        <v>0</v>
      </c>
      <c r="D2059">
        <v>0</v>
      </c>
      <c r="E2059">
        <v>0</v>
      </c>
    </row>
    <row r="2060" spans="1:5" x14ac:dyDescent="0.35">
      <c r="A2060">
        <v>0</v>
      </c>
      <c r="B2060">
        <v>0</v>
      </c>
      <c r="C2060">
        <v>0</v>
      </c>
      <c r="D2060">
        <v>0</v>
      </c>
      <c r="E2060">
        <v>0</v>
      </c>
    </row>
    <row r="2061" spans="1:5" x14ac:dyDescent="0.35">
      <c r="A2061">
        <v>0</v>
      </c>
      <c r="B2061">
        <v>0</v>
      </c>
      <c r="C2061">
        <v>0</v>
      </c>
      <c r="D2061">
        <v>0</v>
      </c>
      <c r="E2061">
        <v>0</v>
      </c>
    </row>
    <row r="2062" spans="1:5" x14ac:dyDescent="0.35">
      <c r="A2062">
        <v>0</v>
      </c>
      <c r="B2062">
        <v>0</v>
      </c>
      <c r="C2062">
        <v>0</v>
      </c>
      <c r="D2062">
        <v>0</v>
      </c>
      <c r="E2062">
        <v>0</v>
      </c>
    </row>
    <row r="2063" spans="1:5" x14ac:dyDescent="0.35">
      <c r="A2063">
        <v>0</v>
      </c>
      <c r="B2063">
        <v>0</v>
      </c>
      <c r="C2063">
        <v>0</v>
      </c>
      <c r="D2063">
        <v>0</v>
      </c>
      <c r="E2063">
        <v>0</v>
      </c>
    </row>
    <row r="2064" spans="1:5" x14ac:dyDescent="0.35">
      <c r="A2064">
        <v>0</v>
      </c>
      <c r="B2064">
        <v>0</v>
      </c>
      <c r="C2064">
        <v>0</v>
      </c>
      <c r="D2064">
        <v>0</v>
      </c>
      <c r="E2064">
        <v>0</v>
      </c>
    </row>
    <row r="2065" spans="1:5" x14ac:dyDescent="0.35">
      <c r="A2065">
        <v>0</v>
      </c>
      <c r="B2065">
        <v>0</v>
      </c>
      <c r="C2065">
        <v>0</v>
      </c>
      <c r="D2065">
        <v>0</v>
      </c>
      <c r="E2065">
        <v>0</v>
      </c>
    </row>
    <row r="2066" spans="1:5" x14ac:dyDescent="0.35">
      <c r="A2066">
        <v>0</v>
      </c>
      <c r="B2066">
        <v>0</v>
      </c>
      <c r="C2066">
        <v>0</v>
      </c>
      <c r="D2066">
        <v>0</v>
      </c>
      <c r="E2066">
        <v>0</v>
      </c>
    </row>
    <row r="2067" spans="1:5" x14ac:dyDescent="0.35">
      <c r="A2067">
        <v>0</v>
      </c>
      <c r="B2067">
        <v>0</v>
      </c>
      <c r="C2067">
        <v>0</v>
      </c>
      <c r="D2067">
        <v>0</v>
      </c>
      <c r="E2067">
        <v>0</v>
      </c>
    </row>
    <row r="2068" spans="1:5" x14ac:dyDescent="0.35">
      <c r="A2068">
        <v>0</v>
      </c>
      <c r="B2068">
        <v>0</v>
      </c>
      <c r="C2068">
        <v>0</v>
      </c>
      <c r="D2068">
        <v>0</v>
      </c>
      <c r="E2068">
        <v>0</v>
      </c>
    </row>
    <row r="2069" spans="1:5" x14ac:dyDescent="0.35">
      <c r="A2069">
        <v>0</v>
      </c>
      <c r="B2069">
        <v>0</v>
      </c>
      <c r="C2069">
        <v>0</v>
      </c>
      <c r="D2069">
        <v>0</v>
      </c>
      <c r="E2069">
        <v>0</v>
      </c>
    </row>
    <row r="2070" spans="1:5" x14ac:dyDescent="0.35">
      <c r="A2070">
        <v>0</v>
      </c>
      <c r="B2070">
        <v>0</v>
      </c>
      <c r="C2070">
        <v>0</v>
      </c>
      <c r="D2070">
        <v>0</v>
      </c>
      <c r="E2070">
        <v>0</v>
      </c>
    </row>
    <row r="2071" spans="1:5" x14ac:dyDescent="0.35">
      <c r="A2071">
        <v>0</v>
      </c>
      <c r="B2071">
        <v>0</v>
      </c>
      <c r="C2071">
        <v>0</v>
      </c>
      <c r="D2071">
        <v>0</v>
      </c>
      <c r="E2071">
        <v>0</v>
      </c>
    </row>
    <row r="2072" spans="1:5" x14ac:dyDescent="0.35">
      <c r="A2072">
        <v>0</v>
      </c>
      <c r="B2072">
        <v>0</v>
      </c>
      <c r="C2072">
        <v>0</v>
      </c>
      <c r="D2072">
        <v>0</v>
      </c>
      <c r="E2072">
        <v>0</v>
      </c>
    </row>
    <row r="2073" spans="1:5" x14ac:dyDescent="0.35">
      <c r="A2073">
        <v>0</v>
      </c>
      <c r="B2073">
        <v>0</v>
      </c>
      <c r="C2073">
        <v>0</v>
      </c>
      <c r="D2073">
        <v>0</v>
      </c>
      <c r="E2073">
        <v>0</v>
      </c>
    </row>
    <row r="2074" spans="1:5" x14ac:dyDescent="0.35">
      <c r="A2074">
        <v>0</v>
      </c>
      <c r="B2074">
        <v>0</v>
      </c>
      <c r="C2074">
        <v>0</v>
      </c>
      <c r="D2074">
        <v>0</v>
      </c>
      <c r="E2074">
        <v>0</v>
      </c>
    </row>
    <row r="2075" spans="1:5" x14ac:dyDescent="0.35">
      <c r="A2075">
        <v>0</v>
      </c>
      <c r="B2075">
        <v>0</v>
      </c>
      <c r="C2075">
        <v>0</v>
      </c>
      <c r="D2075">
        <v>0</v>
      </c>
      <c r="E2075">
        <v>0</v>
      </c>
    </row>
    <row r="2076" spans="1:5" x14ac:dyDescent="0.35">
      <c r="A2076">
        <v>0</v>
      </c>
      <c r="B2076">
        <v>0</v>
      </c>
      <c r="C2076">
        <v>0</v>
      </c>
      <c r="D2076">
        <v>0</v>
      </c>
      <c r="E2076">
        <v>0</v>
      </c>
    </row>
    <row r="2077" spans="1:5" x14ac:dyDescent="0.35">
      <c r="A2077">
        <v>0</v>
      </c>
      <c r="B2077">
        <v>0</v>
      </c>
      <c r="C2077">
        <v>0</v>
      </c>
      <c r="D2077">
        <v>0</v>
      </c>
      <c r="E2077">
        <v>0</v>
      </c>
    </row>
    <row r="2078" spans="1:5" x14ac:dyDescent="0.35">
      <c r="A2078">
        <v>0</v>
      </c>
      <c r="B2078">
        <v>0</v>
      </c>
      <c r="C2078">
        <v>0</v>
      </c>
      <c r="D2078">
        <v>0</v>
      </c>
      <c r="E2078">
        <v>0</v>
      </c>
    </row>
    <row r="2079" spans="1:5" x14ac:dyDescent="0.35">
      <c r="A2079">
        <v>0</v>
      </c>
      <c r="B2079">
        <v>0</v>
      </c>
      <c r="C2079">
        <v>0</v>
      </c>
      <c r="D2079">
        <v>0</v>
      </c>
      <c r="E2079">
        <v>0</v>
      </c>
    </row>
    <row r="2080" spans="1:5" x14ac:dyDescent="0.35">
      <c r="A2080">
        <v>0</v>
      </c>
      <c r="B2080">
        <v>0</v>
      </c>
      <c r="C2080">
        <v>0</v>
      </c>
      <c r="D2080">
        <v>0</v>
      </c>
      <c r="E2080">
        <v>0</v>
      </c>
    </row>
    <row r="2081" spans="1:5" x14ac:dyDescent="0.35">
      <c r="A2081">
        <v>0</v>
      </c>
      <c r="B2081">
        <v>0</v>
      </c>
      <c r="C2081">
        <v>0</v>
      </c>
      <c r="D2081">
        <v>0</v>
      </c>
      <c r="E2081">
        <v>0</v>
      </c>
    </row>
    <row r="2082" spans="1:5" x14ac:dyDescent="0.35">
      <c r="A2082">
        <v>0</v>
      </c>
      <c r="B2082">
        <v>0</v>
      </c>
      <c r="C2082">
        <v>0</v>
      </c>
      <c r="D2082">
        <v>0</v>
      </c>
      <c r="E2082">
        <v>0</v>
      </c>
    </row>
    <row r="2083" spans="1:5" x14ac:dyDescent="0.35">
      <c r="A2083">
        <v>0</v>
      </c>
      <c r="B2083">
        <v>0</v>
      </c>
      <c r="C2083">
        <v>0</v>
      </c>
      <c r="D2083">
        <v>0</v>
      </c>
      <c r="E2083">
        <v>0</v>
      </c>
    </row>
    <row r="2084" spans="1:5" x14ac:dyDescent="0.35">
      <c r="A2084">
        <v>0</v>
      </c>
      <c r="B2084">
        <v>0</v>
      </c>
      <c r="C2084">
        <v>0</v>
      </c>
      <c r="D2084">
        <v>0</v>
      </c>
      <c r="E2084">
        <v>0</v>
      </c>
    </row>
    <row r="2085" spans="1:5" x14ac:dyDescent="0.35">
      <c r="A2085">
        <v>0</v>
      </c>
      <c r="B2085">
        <v>0</v>
      </c>
      <c r="C2085">
        <v>0</v>
      </c>
      <c r="D2085">
        <v>0</v>
      </c>
      <c r="E2085">
        <v>0</v>
      </c>
    </row>
    <row r="2086" spans="1:5" x14ac:dyDescent="0.35">
      <c r="A2086">
        <v>0</v>
      </c>
      <c r="B2086">
        <v>0</v>
      </c>
      <c r="C2086">
        <v>0</v>
      </c>
      <c r="D2086">
        <v>0</v>
      </c>
      <c r="E2086">
        <v>0</v>
      </c>
    </row>
    <row r="2087" spans="1:5" x14ac:dyDescent="0.35">
      <c r="A2087">
        <v>0</v>
      </c>
      <c r="B2087">
        <v>0</v>
      </c>
      <c r="C2087">
        <v>0</v>
      </c>
      <c r="D2087">
        <v>0</v>
      </c>
      <c r="E2087">
        <v>0</v>
      </c>
    </row>
    <row r="2088" spans="1:5" x14ac:dyDescent="0.35">
      <c r="A2088">
        <v>0</v>
      </c>
      <c r="B2088">
        <v>0</v>
      </c>
      <c r="C2088">
        <v>0</v>
      </c>
      <c r="D2088">
        <v>0</v>
      </c>
      <c r="E2088">
        <v>0</v>
      </c>
    </row>
    <row r="2089" spans="1:5" x14ac:dyDescent="0.35">
      <c r="A2089">
        <v>0</v>
      </c>
      <c r="B2089">
        <v>0</v>
      </c>
      <c r="C2089">
        <v>0</v>
      </c>
      <c r="D2089">
        <v>0</v>
      </c>
      <c r="E2089">
        <v>0</v>
      </c>
    </row>
    <row r="2090" spans="1:5" x14ac:dyDescent="0.35">
      <c r="A2090">
        <v>0</v>
      </c>
      <c r="B2090">
        <v>0</v>
      </c>
      <c r="C2090">
        <v>0</v>
      </c>
      <c r="D2090">
        <v>0</v>
      </c>
      <c r="E2090">
        <v>0</v>
      </c>
    </row>
    <row r="2091" spans="1:5" x14ac:dyDescent="0.35">
      <c r="A2091">
        <v>0</v>
      </c>
      <c r="B2091">
        <v>0</v>
      </c>
      <c r="C2091">
        <v>0</v>
      </c>
      <c r="D2091">
        <v>0</v>
      </c>
      <c r="E2091">
        <v>0</v>
      </c>
    </row>
    <row r="2092" spans="1:5" x14ac:dyDescent="0.35">
      <c r="A2092">
        <v>0</v>
      </c>
      <c r="B2092">
        <v>0</v>
      </c>
      <c r="C2092">
        <v>0</v>
      </c>
      <c r="D2092">
        <v>0</v>
      </c>
      <c r="E2092">
        <v>0</v>
      </c>
    </row>
    <row r="2093" spans="1:5" x14ac:dyDescent="0.35">
      <c r="A2093">
        <v>0</v>
      </c>
      <c r="B2093">
        <v>0</v>
      </c>
      <c r="C2093">
        <v>0</v>
      </c>
      <c r="D2093">
        <v>0</v>
      </c>
      <c r="E2093">
        <v>0</v>
      </c>
    </row>
    <row r="2094" spans="1:5" x14ac:dyDescent="0.35">
      <c r="A2094">
        <v>0</v>
      </c>
      <c r="B2094">
        <v>0</v>
      </c>
      <c r="C2094">
        <v>0</v>
      </c>
      <c r="D2094">
        <v>0</v>
      </c>
      <c r="E2094">
        <v>0</v>
      </c>
    </row>
    <row r="2095" spans="1:5" x14ac:dyDescent="0.35">
      <c r="A2095">
        <v>0</v>
      </c>
      <c r="B2095">
        <v>0</v>
      </c>
      <c r="C2095">
        <v>0</v>
      </c>
      <c r="D2095">
        <v>0</v>
      </c>
      <c r="E2095">
        <v>0</v>
      </c>
    </row>
    <row r="2096" spans="1:5" x14ac:dyDescent="0.35">
      <c r="A2096">
        <v>0</v>
      </c>
      <c r="B2096">
        <v>0</v>
      </c>
      <c r="C2096">
        <v>0</v>
      </c>
      <c r="D2096">
        <v>0</v>
      </c>
      <c r="E2096">
        <v>0</v>
      </c>
    </row>
    <row r="2097" spans="1:5" x14ac:dyDescent="0.35">
      <c r="A2097">
        <v>0</v>
      </c>
      <c r="B2097">
        <v>0</v>
      </c>
      <c r="C2097">
        <v>0</v>
      </c>
      <c r="D2097">
        <v>0</v>
      </c>
      <c r="E2097">
        <v>0</v>
      </c>
    </row>
    <row r="2098" spans="1:5" x14ac:dyDescent="0.35">
      <c r="A2098">
        <v>0</v>
      </c>
      <c r="B2098">
        <v>0</v>
      </c>
      <c r="C2098">
        <v>0</v>
      </c>
      <c r="D2098">
        <v>0</v>
      </c>
      <c r="E2098">
        <v>0</v>
      </c>
    </row>
    <row r="2099" spans="1:5" x14ac:dyDescent="0.35">
      <c r="A2099">
        <v>0</v>
      </c>
      <c r="B2099">
        <v>0</v>
      </c>
      <c r="C2099">
        <v>0</v>
      </c>
      <c r="D2099">
        <v>0</v>
      </c>
      <c r="E2099">
        <v>0</v>
      </c>
    </row>
    <row r="2100" spans="1:5" x14ac:dyDescent="0.35">
      <c r="A2100">
        <v>0</v>
      </c>
      <c r="B2100">
        <v>0</v>
      </c>
      <c r="C2100">
        <v>0</v>
      </c>
      <c r="D2100">
        <v>0</v>
      </c>
      <c r="E2100">
        <v>0</v>
      </c>
    </row>
    <row r="2101" spans="1:5" x14ac:dyDescent="0.35">
      <c r="A2101">
        <v>0</v>
      </c>
      <c r="B2101">
        <v>0</v>
      </c>
      <c r="C2101">
        <v>0</v>
      </c>
      <c r="D2101">
        <v>0</v>
      </c>
      <c r="E2101">
        <v>0</v>
      </c>
    </row>
    <row r="2102" spans="1:5" x14ac:dyDescent="0.35">
      <c r="A2102">
        <v>0</v>
      </c>
      <c r="B2102">
        <v>0</v>
      </c>
      <c r="C2102">
        <v>0</v>
      </c>
      <c r="D2102">
        <v>0</v>
      </c>
      <c r="E2102">
        <v>0</v>
      </c>
    </row>
    <row r="2103" spans="1:5" x14ac:dyDescent="0.35">
      <c r="A2103">
        <v>0</v>
      </c>
      <c r="B2103">
        <v>0</v>
      </c>
      <c r="C2103">
        <v>0</v>
      </c>
      <c r="D2103">
        <v>0</v>
      </c>
      <c r="E2103">
        <v>0</v>
      </c>
    </row>
    <row r="2104" spans="1:5" x14ac:dyDescent="0.35">
      <c r="A2104">
        <v>0</v>
      </c>
      <c r="B2104">
        <v>0</v>
      </c>
      <c r="C2104">
        <v>0</v>
      </c>
      <c r="D2104">
        <v>0</v>
      </c>
      <c r="E2104">
        <v>0</v>
      </c>
    </row>
    <row r="2105" spans="1:5" x14ac:dyDescent="0.35">
      <c r="A2105">
        <v>0</v>
      </c>
      <c r="B2105">
        <v>0</v>
      </c>
      <c r="C2105">
        <v>0</v>
      </c>
      <c r="D2105">
        <v>0</v>
      </c>
      <c r="E2105">
        <v>0</v>
      </c>
    </row>
    <row r="2106" spans="1:5" x14ac:dyDescent="0.35">
      <c r="A2106">
        <v>0</v>
      </c>
      <c r="B2106">
        <v>0</v>
      </c>
      <c r="C2106">
        <v>0</v>
      </c>
      <c r="D2106">
        <v>0</v>
      </c>
      <c r="E2106">
        <v>0</v>
      </c>
    </row>
    <row r="2107" spans="1:5" x14ac:dyDescent="0.35">
      <c r="A2107">
        <v>0</v>
      </c>
      <c r="B2107">
        <v>0</v>
      </c>
      <c r="C2107">
        <v>0</v>
      </c>
      <c r="D2107">
        <v>0</v>
      </c>
      <c r="E2107">
        <v>0</v>
      </c>
    </row>
    <row r="2108" spans="1:5" x14ac:dyDescent="0.35">
      <c r="A2108">
        <v>0</v>
      </c>
      <c r="B2108">
        <v>0</v>
      </c>
      <c r="C2108">
        <v>0</v>
      </c>
      <c r="D2108">
        <v>0</v>
      </c>
      <c r="E2108">
        <v>0</v>
      </c>
    </row>
    <row r="2109" spans="1:5" x14ac:dyDescent="0.35">
      <c r="A2109">
        <v>0</v>
      </c>
      <c r="B2109">
        <v>0</v>
      </c>
      <c r="C2109">
        <v>0</v>
      </c>
      <c r="D2109">
        <v>0</v>
      </c>
      <c r="E2109">
        <v>0</v>
      </c>
    </row>
    <row r="2110" spans="1:5" x14ac:dyDescent="0.35">
      <c r="A2110">
        <v>0</v>
      </c>
      <c r="B2110">
        <v>0</v>
      </c>
      <c r="C2110">
        <v>0</v>
      </c>
      <c r="D2110">
        <v>0</v>
      </c>
      <c r="E2110">
        <v>0</v>
      </c>
    </row>
    <row r="2111" spans="1:5" x14ac:dyDescent="0.35">
      <c r="A2111">
        <v>0</v>
      </c>
      <c r="B2111">
        <v>0</v>
      </c>
      <c r="C2111">
        <v>0</v>
      </c>
      <c r="D2111">
        <v>0</v>
      </c>
      <c r="E2111">
        <v>0</v>
      </c>
    </row>
    <row r="2112" spans="1:5" x14ac:dyDescent="0.35">
      <c r="A2112">
        <v>0</v>
      </c>
      <c r="B2112">
        <v>0</v>
      </c>
      <c r="C2112">
        <v>0</v>
      </c>
      <c r="D2112">
        <v>0</v>
      </c>
      <c r="E2112">
        <v>0</v>
      </c>
    </row>
    <row r="2113" spans="1:5" x14ac:dyDescent="0.35">
      <c r="A2113">
        <v>0</v>
      </c>
      <c r="B2113">
        <v>0</v>
      </c>
      <c r="C2113">
        <v>0</v>
      </c>
      <c r="D2113">
        <v>0</v>
      </c>
      <c r="E2113">
        <v>0</v>
      </c>
    </row>
    <row r="2114" spans="1:5" x14ac:dyDescent="0.35">
      <c r="A2114">
        <v>0</v>
      </c>
      <c r="B2114">
        <v>0</v>
      </c>
      <c r="C2114">
        <v>0</v>
      </c>
      <c r="D2114">
        <v>0</v>
      </c>
      <c r="E2114">
        <v>0</v>
      </c>
    </row>
    <row r="2115" spans="1:5" x14ac:dyDescent="0.35">
      <c r="A2115">
        <v>0</v>
      </c>
      <c r="B2115">
        <v>0</v>
      </c>
      <c r="C2115">
        <v>0</v>
      </c>
      <c r="D2115">
        <v>0</v>
      </c>
      <c r="E2115">
        <v>0</v>
      </c>
    </row>
    <row r="2116" spans="1:5" x14ac:dyDescent="0.35">
      <c r="A2116">
        <v>0</v>
      </c>
      <c r="B2116">
        <v>0</v>
      </c>
      <c r="C2116">
        <v>0</v>
      </c>
      <c r="D2116">
        <v>0</v>
      </c>
      <c r="E2116">
        <v>0</v>
      </c>
    </row>
    <row r="2117" spans="1:5" x14ac:dyDescent="0.35">
      <c r="A2117">
        <v>0</v>
      </c>
      <c r="B2117">
        <v>0</v>
      </c>
      <c r="C2117">
        <v>0</v>
      </c>
      <c r="D2117">
        <v>0</v>
      </c>
      <c r="E2117">
        <v>0</v>
      </c>
    </row>
    <row r="2118" spans="1:5" x14ac:dyDescent="0.35">
      <c r="A2118">
        <v>0</v>
      </c>
      <c r="B2118">
        <v>0</v>
      </c>
      <c r="C2118">
        <v>0</v>
      </c>
      <c r="D2118">
        <v>0</v>
      </c>
      <c r="E2118">
        <v>0</v>
      </c>
    </row>
    <row r="2119" spans="1:5" x14ac:dyDescent="0.35">
      <c r="A2119">
        <v>0</v>
      </c>
      <c r="B2119">
        <v>0</v>
      </c>
      <c r="C2119">
        <v>0</v>
      </c>
      <c r="D2119">
        <v>0</v>
      </c>
      <c r="E2119">
        <v>0</v>
      </c>
    </row>
    <row r="2120" spans="1:5" x14ac:dyDescent="0.35">
      <c r="A2120">
        <v>0</v>
      </c>
      <c r="B2120">
        <v>0</v>
      </c>
      <c r="C2120">
        <v>0</v>
      </c>
      <c r="D2120">
        <v>0</v>
      </c>
      <c r="E2120">
        <v>0</v>
      </c>
    </row>
    <row r="2121" spans="1:5" x14ac:dyDescent="0.35">
      <c r="A2121">
        <v>0</v>
      </c>
      <c r="B2121">
        <v>0</v>
      </c>
      <c r="C2121">
        <v>0</v>
      </c>
      <c r="D2121">
        <v>0</v>
      </c>
      <c r="E2121">
        <v>0</v>
      </c>
    </row>
    <row r="2122" spans="1:5" x14ac:dyDescent="0.35">
      <c r="A2122">
        <v>0</v>
      </c>
      <c r="B2122">
        <v>0</v>
      </c>
      <c r="C2122">
        <v>0</v>
      </c>
      <c r="D2122">
        <v>0</v>
      </c>
      <c r="E2122">
        <v>0</v>
      </c>
    </row>
    <row r="2123" spans="1:5" x14ac:dyDescent="0.35">
      <c r="A2123">
        <v>0</v>
      </c>
      <c r="B2123">
        <v>0</v>
      </c>
      <c r="C2123">
        <v>0</v>
      </c>
      <c r="D2123">
        <v>0</v>
      </c>
      <c r="E2123">
        <v>0</v>
      </c>
    </row>
    <row r="2124" spans="1:5" x14ac:dyDescent="0.35">
      <c r="A2124">
        <v>0</v>
      </c>
      <c r="B2124">
        <v>0</v>
      </c>
      <c r="C2124">
        <v>0</v>
      </c>
      <c r="D2124">
        <v>0</v>
      </c>
      <c r="E2124">
        <v>0</v>
      </c>
    </row>
    <row r="2125" spans="1:5" x14ac:dyDescent="0.35">
      <c r="A2125">
        <v>0</v>
      </c>
      <c r="B2125">
        <v>0</v>
      </c>
      <c r="C2125">
        <v>0</v>
      </c>
      <c r="D2125">
        <v>0</v>
      </c>
      <c r="E2125">
        <v>0</v>
      </c>
    </row>
    <row r="2126" spans="1:5" x14ac:dyDescent="0.35">
      <c r="A2126">
        <v>0</v>
      </c>
      <c r="B2126">
        <v>0</v>
      </c>
      <c r="C2126">
        <v>0</v>
      </c>
      <c r="D2126">
        <v>0</v>
      </c>
      <c r="E2126">
        <v>0</v>
      </c>
    </row>
    <row r="2127" spans="1:5" x14ac:dyDescent="0.35">
      <c r="A2127">
        <v>0</v>
      </c>
      <c r="B2127">
        <v>0</v>
      </c>
      <c r="C2127">
        <v>0</v>
      </c>
      <c r="D2127">
        <v>0</v>
      </c>
      <c r="E2127">
        <v>0</v>
      </c>
    </row>
    <row r="2128" spans="1:5" x14ac:dyDescent="0.35">
      <c r="A2128">
        <v>0</v>
      </c>
      <c r="B2128">
        <v>0</v>
      </c>
      <c r="C2128">
        <v>0</v>
      </c>
      <c r="D2128">
        <v>0</v>
      </c>
      <c r="E2128">
        <v>0</v>
      </c>
    </row>
    <row r="2129" spans="1:5" x14ac:dyDescent="0.35">
      <c r="A2129">
        <v>0</v>
      </c>
      <c r="B2129">
        <v>0</v>
      </c>
      <c r="C2129">
        <v>0</v>
      </c>
      <c r="D2129">
        <v>0</v>
      </c>
      <c r="E2129">
        <v>0</v>
      </c>
    </row>
    <row r="2130" spans="1:5" x14ac:dyDescent="0.35">
      <c r="A2130">
        <v>0</v>
      </c>
      <c r="B2130">
        <v>0</v>
      </c>
      <c r="C2130">
        <v>0</v>
      </c>
      <c r="D2130">
        <v>0</v>
      </c>
      <c r="E2130">
        <v>0</v>
      </c>
    </row>
    <row r="2131" spans="1:5" x14ac:dyDescent="0.35">
      <c r="A2131">
        <v>0</v>
      </c>
      <c r="B2131">
        <v>0</v>
      </c>
      <c r="C2131">
        <v>0</v>
      </c>
      <c r="D2131">
        <v>0</v>
      </c>
      <c r="E2131">
        <v>0</v>
      </c>
    </row>
    <row r="2132" spans="1:5" x14ac:dyDescent="0.35">
      <c r="A2132">
        <v>0</v>
      </c>
      <c r="B2132">
        <v>0</v>
      </c>
      <c r="C2132">
        <v>0</v>
      </c>
      <c r="D2132">
        <v>0</v>
      </c>
      <c r="E2132">
        <v>0</v>
      </c>
    </row>
    <row r="2133" spans="1:5" x14ac:dyDescent="0.35">
      <c r="A2133">
        <v>0</v>
      </c>
      <c r="B2133">
        <v>0</v>
      </c>
      <c r="C2133">
        <v>0</v>
      </c>
      <c r="D2133">
        <v>0</v>
      </c>
      <c r="E2133">
        <v>0</v>
      </c>
    </row>
    <row r="2134" spans="1:5" x14ac:dyDescent="0.35">
      <c r="A2134">
        <v>0</v>
      </c>
      <c r="B2134">
        <v>0</v>
      </c>
      <c r="C2134">
        <v>0</v>
      </c>
      <c r="D2134">
        <v>0</v>
      </c>
      <c r="E2134">
        <v>0</v>
      </c>
    </row>
    <row r="2135" spans="1:5" x14ac:dyDescent="0.35">
      <c r="A2135">
        <v>0</v>
      </c>
      <c r="B2135">
        <v>0</v>
      </c>
      <c r="C2135">
        <v>0</v>
      </c>
      <c r="D2135">
        <v>0</v>
      </c>
      <c r="E2135">
        <v>0</v>
      </c>
    </row>
    <row r="2136" spans="1:5" x14ac:dyDescent="0.35">
      <c r="A2136">
        <v>0</v>
      </c>
      <c r="B2136">
        <v>0</v>
      </c>
      <c r="C2136">
        <v>0</v>
      </c>
      <c r="D2136">
        <v>0</v>
      </c>
      <c r="E2136">
        <v>0</v>
      </c>
    </row>
    <row r="2137" spans="1:5" x14ac:dyDescent="0.35">
      <c r="A2137">
        <v>0</v>
      </c>
      <c r="B2137">
        <v>0</v>
      </c>
      <c r="C2137">
        <v>0</v>
      </c>
      <c r="D2137">
        <v>0</v>
      </c>
      <c r="E2137">
        <v>0</v>
      </c>
    </row>
    <row r="2138" spans="1:5" x14ac:dyDescent="0.35">
      <c r="A2138">
        <v>0</v>
      </c>
      <c r="B2138">
        <v>0</v>
      </c>
      <c r="C2138">
        <v>0</v>
      </c>
      <c r="D2138">
        <v>0</v>
      </c>
      <c r="E2138">
        <v>0</v>
      </c>
    </row>
    <row r="2139" spans="1:5" x14ac:dyDescent="0.35">
      <c r="A2139">
        <v>0</v>
      </c>
      <c r="B2139">
        <v>0</v>
      </c>
      <c r="C2139">
        <v>0</v>
      </c>
      <c r="D2139">
        <v>0</v>
      </c>
      <c r="E2139">
        <v>0</v>
      </c>
    </row>
    <row r="2140" spans="1:5" x14ac:dyDescent="0.35">
      <c r="A2140">
        <v>0</v>
      </c>
      <c r="B2140">
        <v>0</v>
      </c>
      <c r="C2140">
        <v>0</v>
      </c>
      <c r="D2140">
        <v>0</v>
      </c>
      <c r="E2140">
        <v>0</v>
      </c>
    </row>
    <row r="2141" spans="1:5" x14ac:dyDescent="0.35">
      <c r="A2141">
        <v>0</v>
      </c>
      <c r="B2141">
        <v>0</v>
      </c>
      <c r="C2141">
        <v>0</v>
      </c>
      <c r="D2141">
        <v>0</v>
      </c>
      <c r="E2141">
        <v>0</v>
      </c>
    </row>
    <row r="2142" spans="1:5" x14ac:dyDescent="0.35">
      <c r="A2142">
        <v>0</v>
      </c>
      <c r="B2142">
        <v>0</v>
      </c>
      <c r="C2142">
        <v>0</v>
      </c>
      <c r="D2142">
        <v>0</v>
      </c>
      <c r="E2142">
        <v>0</v>
      </c>
    </row>
    <row r="2143" spans="1:5" x14ac:dyDescent="0.35">
      <c r="A2143">
        <v>0</v>
      </c>
      <c r="B2143">
        <v>0</v>
      </c>
      <c r="C2143">
        <v>0</v>
      </c>
      <c r="D2143">
        <v>0</v>
      </c>
      <c r="E2143">
        <v>0</v>
      </c>
    </row>
    <row r="2144" spans="1:5" x14ac:dyDescent="0.35">
      <c r="A2144">
        <v>0</v>
      </c>
      <c r="B2144">
        <v>0</v>
      </c>
      <c r="C2144">
        <v>0</v>
      </c>
      <c r="D2144">
        <v>0</v>
      </c>
      <c r="E2144">
        <v>0</v>
      </c>
    </row>
    <row r="2145" spans="1:5" x14ac:dyDescent="0.35">
      <c r="A2145">
        <v>0</v>
      </c>
      <c r="B2145">
        <v>0</v>
      </c>
      <c r="C2145">
        <v>0</v>
      </c>
      <c r="D2145">
        <v>0</v>
      </c>
      <c r="E2145">
        <v>0</v>
      </c>
    </row>
    <row r="2146" spans="1:5" x14ac:dyDescent="0.35">
      <c r="A2146">
        <v>0</v>
      </c>
      <c r="B2146">
        <v>0</v>
      </c>
      <c r="C2146">
        <v>0</v>
      </c>
      <c r="D2146">
        <v>0</v>
      </c>
      <c r="E2146">
        <v>0</v>
      </c>
    </row>
    <row r="2147" spans="1:5" x14ac:dyDescent="0.35">
      <c r="A2147">
        <v>0</v>
      </c>
      <c r="B2147">
        <v>0</v>
      </c>
      <c r="C2147">
        <v>0</v>
      </c>
      <c r="D2147">
        <v>0</v>
      </c>
      <c r="E2147">
        <v>0</v>
      </c>
    </row>
    <row r="2148" spans="1:5" x14ac:dyDescent="0.35">
      <c r="A2148">
        <v>0</v>
      </c>
      <c r="B2148">
        <v>0</v>
      </c>
      <c r="C2148">
        <v>0</v>
      </c>
      <c r="D2148">
        <v>0</v>
      </c>
      <c r="E2148">
        <v>0</v>
      </c>
    </row>
    <row r="2149" spans="1:5" x14ac:dyDescent="0.35">
      <c r="A2149">
        <v>0</v>
      </c>
      <c r="B2149">
        <v>0</v>
      </c>
      <c r="C2149">
        <v>0</v>
      </c>
      <c r="D2149">
        <v>0</v>
      </c>
      <c r="E2149">
        <v>0</v>
      </c>
    </row>
    <row r="2150" spans="1:5" x14ac:dyDescent="0.35">
      <c r="A2150">
        <v>0</v>
      </c>
      <c r="B2150">
        <v>0</v>
      </c>
      <c r="C2150">
        <v>0</v>
      </c>
      <c r="D2150">
        <v>0</v>
      </c>
      <c r="E2150">
        <v>0</v>
      </c>
    </row>
    <row r="2151" spans="1:5" x14ac:dyDescent="0.35">
      <c r="A2151">
        <v>0</v>
      </c>
      <c r="B2151">
        <v>0</v>
      </c>
      <c r="C2151">
        <v>0</v>
      </c>
      <c r="D2151">
        <v>0</v>
      </c>
      <c r="E2151">
        <v>0</v>
      </c>
    </row>
    <row r="2152" spans="1:5" x14ac:dyDescent="0.35">
      <c r="A2152">
        <v>0</v>
      </c>
      <c r="B2152">
        <v>0</v>
      </c>
      <c r="C2152">
        <v>0</v>
      </c>
      <c r="D2152">
        <v>0</v>
      </c>
      <c r="E2152">
        <v>0</v>
      </c>
    </row>
    <row r="2153" spans="1:5" x14ac:dyDescent="0.35">
      <c r="A2153">
        <v>0</v>
      </c>
      <c r="B2153">
        <v>0</v>
      </c>
      <c r="C2153">
        <v>0</v>
      </c>
      <c r="D2153">
        <v>0</v>
      </c>
      <c r="E2153">
        <v>0</v>
      </c>
    </row>
    <row r="2154" spans="1:5" x14ac:dyDescent="0.35">
      <c r="A2154">
        <v>0</v>
      </c>
      <c r="B2154">
        <v>0</v>
      </c>
      <c r="C2154">
        <v>0</v>
      </c>
      <c r="D2154">
        <v>0</v>
      </c>
      <c r="E2154">
        <v>0</v>
      </c>
    </row>
    <row r="2155" spans="1:5" x14ac:dyDescent="0.35">
      <c r="A2155">
        <v>0</v>
      </c>
      <c r="B2155">
        <v>0</v>
      </c>
      <c r="C2155">
        <v>0</v>
      </c>
      <c r="D2155">
        <v>0</v>
      </c>
      <c r="E2155">
        <v>0</v>
      </c>
    </row>
    <row r="2156" spans="1:5" x14ac:dyDescent="0.35">
      <c r="A2156">
        <v>0</v>
      </c>
      <c r="B2156">
        <v>0</v>
      </c>
      <c r="C2156">
        <v>0</v>
      </c>
      <c r="D2156">
        <v>0</v>
      </c>
      <c r="E2156">
        <v>0</v>
      </c>
    </row>
    <row r="2157" spans="1:5" x14ac:dyDescent="0.35">
      <c r="A2157">
        <v>0</v>
      </c>
      <c r="B2157">
        <v>0</v>
      </c>
      <c r="C2157">
        <v>0</v>
      </c>
      <c r="D2157">
        <v>0</v>
      </c>
      <c r="E2157">
        <v>0</v>
      </c>
    </row>
    <row r="2158" spans="1:5" x14ac:dyDescent="0.35">
      <c r="A2158">
        <v>0</v>
      </c>
      <c r="B2158">
        <v>0</v>
      </c>
      <c r="C2158">
        <v>0</v>
      </c>
      <c r="D2158">
        <v>0</v>
      </c>
      <c r="E2158">
        <v>0</v>
      </c>
    </row>
    <row r="2159" spans="1:5" x14ac:dyDescent="0.35">
      <c r="A2159">
        <v>0</v>
      </c>
      <c r="B2159">
        <v>0</v>
      </c>
      <c r="C2159">
        <v>0</v>
      </c>
      <c r="D2159">
        <v>0</v>
      </c>
      <c r="E2159">
        <v>0</v>
      </c>
    </row>
    <row r="2160" spans="1:5" x14ac:dyDescent="0.35">
      <c r="A2160">
        <v>0</v>
      </c>
      <c r="B2160">
        <v>0</v>
      </c>
      <c r="C2160">
        <v>0</v>
      </c>
      <c r="D2160">
        <v>0</v>
      </c>
      <c r="E2160">
        <v>0</v>
      </c>
    </row>
    <row r="2161" spans="1:5" x14ac:dyDescent="0.35">
      <c r="A2161">
        <v>0</v>
      </c>
      <c r="B2161">
        <v>0</v>
      </c>
      <c r="C2161">
        <v>0</v>
      </c>
      <c r="D2161">
        <v>0</v>
      </c>
      <c r="E2161">
        <v>0</v>
      </c>
    </row>
    <row r="2162" spans="1:5" x14ac:dyDescent="0.35">
      <c r="A2162">
        <v>0</v>
      </c>
      <c r="B2162">
        <v>0</v>
      </c>
      <c r="C2162">
        <v>0</v>
      </c>
      <c r="D2162">
        <v>0</v>
      </c>
      <c r="E2162">
        <v>0</v>
      </c>
    </row>
    <row r="2163" spans="1:5" x14ac:dyDescent="0.35">
      <c r="A2163">
        <v>0</v>
      </c>
      <c r="B2163">
        <v>0</v>
      </c>
      <c r="C2163">
        <v>0</v>
      </c>
      <c r="D2163">
        <v>0</v>
      </c>
      <c r="E2163">
        <v>0</v>
      </c>
    </row>
    <row r="2164" spans="1:5" x14ac:dyDescent="0.35">
      <c r="A2164">
        <v>0</v>
      </c>
      <c r="B2164">
        <v>0</v>
      </c>
      <c r="C2164">
        <v>0</v>
      </c>
      <c r="D2164">
        <v>0</v>
      </c>
      <c r="E2164">
        <v>0</v>
      </c>
    </row>
    <row r="2165" spans="1:5" x14ac:dyDescent="0.35">
      <c r="A2165">
        <v>0</v>
      </c>
      <c r="B2165">
        <v>0</v>
      </c>
      <c r="C2165">
        <v>0</v>
      </c>
      <c r="D2165">
        <v>0</v>
      </c>
      <c r="E2165">
        <v>0</v>
      </c>
    </row>
    <row r="2166" spans="1:5" x14ac:dyDescent="0.35">
      <c r="A2166">
        <v>0</v>
      </c>
      <c r="B2166">
        <v>0</v>
      </c>
      <c r="C2166">
        <v>0</v>
      </c>
      <c r="D2166">
        <v>0</v>
      </c>
      <c r="E2166">
        <v>0</v>
      </c>
    </row>
    <row r="2167" spans="1:5" x14ac:dyDescent="0.35">
      <c r="A2167">
        <v>0</v>
      </c>
      <c r="B2167">
        <v>0</v>
      </c>
      <c r="C2167">
        <v>0</v>
      </c>
      <c r="D2167">
        <v>0</v>
      </c>
      <c r="E2167">
        <v>0</v>
      </c>
    </row>
    <row r="2168" spans="1:5" x14ac:dyDescent="0.35">
      <c r="A2168">
        <v>0</v>
      </c>
      <c r="B2168">
        <v>0</v>
      </c>
      <c r="C2168">
        <v>0</v>
      </c>
      <c r="D2168">
        <v>0</v>
      </c>
      <c r="E2168">
        <v>0</v>
      </c>
    </row>
    <row r="2169" spans="1:5" x14ac:dyDescent="0.35">
      <c r="A2169">
        <v>0</v>
      </c>
      <c r="B2169">
        <v>0</v>
      </c>
      <c r="C2169">
        <v>0</v>
      </c>
      <c r="D2169">
        <v>0</v>
      </c>
      <c r="E2169">
        <v>0</v>
      </c>
    </row>
    <row r="2170" spans="1:5" x14ac:dyDescent="0.35">
      <c r="A2170">
        <v>0</v>
      </c>
      <c r="B2170">
        <v>0</v>
      </c>
      <c r="C2170">
        <v>0</v>
      </c>
      <c r="D2170">
        <v>0</v>
      </c>
      <c r="E2170">
        <v>0</v>
      </c>
    </row>
    <row r="2171" spans="1:5" x14ac:dyDescent="0.35">
      <c r="A2171">
        <v>0</v>
      </c>
      <c r="B2171">
        <v>0</v>
      </c>
      <c r="C2171">
        <v>0</v>
      </c>
      <c r="D2171">
        <v>0</v>
      </c>
      <c r="E2171">
        <v>0</v>
      </c>
    </row>
    <row r="2172" spans="1:5" x14ac:dyDescent="0.35">
      <c r="A2172">
        <v>0</v>
      </c>
      <c r="B2172">
        <v>0</v>
      </c>
      <c r="C2172">
        <v>0</v>
      </c>
      <c r="D2172">
        <v>0</v>
      </c>
      <c r="E2172">
        <v>0</v>
      </c>
    </row>
    <row r="2173" spans="1:5" x14ac:dyDescent="0.35">
      <c r="A2173">
        <v>0</v>
      </c>
      <c r="B2173">
        <v>0</v>
      </c>
      <c r="C2173">
        <v>0</v>
      </c>
      <c r="D2173">
        <v>0</v>
      </c>
      <c r="E2173">
        <v>0</v>
      </c>
    </row>
    <row r="2174" spans="1:5" x14ac:dyDescent="0.35">
      <c r="A2174">
        <v>0</v>
      </c>
      <c r="B2174">
        <v>0</v>
      </c>
      <c r="C2174">
        <v>0</v>
      </c>
      <c r="D2174">
        <v>0</v>
      </c>
      <c r="E2174">
        <v>0</v>
      </c>
    </row>
    <row r="2175" spans="1:5" x14ac:dyDescent="0.35">
      <c r="A2175">
        <v>0</v>
      </c>
      <c r="B2175">
        <v>0</v>
      </c>
      <c r="C2175">
        <v>0</v>
      </c>
      <c r="D2175">
        <v>0</v>
      </c>
      <c r="E2175">
        <v>0</v>
      </c>
    </row>
    <row r="2176" spans="1:5" x14ac:dyDescent="0.35">
      <c r="A2176">
        <v>0</v>
      </c>
      <c r="B2176">
        <v>0</v>
      </c>
      <c r="C2176">
        <v>0</v>
      </c>
      <c r="D2176">
        <v>0</v>
      </c>
      <c r="E2176">
        <v>0</v>
      </c>
    </row>
    <row r="2177" spans="1:5" x14ac:dyDescent="0.35">
      <c r="A2177">
        <v>0</v>
      </c>
      <c r="B2177">
        <v>0</v>
      </c>
      <c r="C2177">
        <v>0</v>
      </c>
      <c r="D2177">
        <v>0</v>
      </c>
      <c r="E2177">
        <v>0</v>
      </c>
    </row>
    <row r="2178" spans="1:5" x14ac:dyDescent="0.35">
      <c r="A2178">
        <v>0</v>
      </c>
      <c r="B2178">
        <v>0</v>
      </c>
      <c r="C2178">
        <v>0</v>
      </c>
      <c r="D2178">
        <v>0</v>
      </c>
      <c r="E2178">
        <v>0</v>
      </c>
    </row>
    <row r="2179" spans="1:5" x14ac:dyDescent="0.35">
      <c r="A2179">
        <v>0</v>
      </c>
      <c r="B2179">
        <v>0</v>
      </c>
      <c r="C2179">
        <v>0</v>
      </c>
      <c r="D2179">
        <v>0</v>
      </c>
      <c r="E2179">
        <v>0</v>
      </c>
    </row>
    <row r="2180" spans="1:5" x14ac:dyDescent="0.35">
      <c r="A2180">
        <v>0</v>
      </c>
      <c r="B2180">
        <v>0</v>
      </c>
      <c r="C2180">
        <v>0</v>
      </c>
      <c r="D2180">
        <v>0</v>
      </c>
      <c r="E2180">
        <v>0</v>
      </c>
    </row>
    <row r="2181" spans="1:5" x14ac:dyDescent="0.35">
      <c r="A2181">
        <v>0</v>
      </c>
      <c r="B2181">
        <v>0</v>
      </c>
      <c r="C2181">
        <v>0</v>
      </c>
      <c r="D2181">
        <v>0</v>
      </c>
      <c r="E2181">
        <v>0</v>
      </c>
    </row>
    <row r="2182" spans="1:5" x14ac:dyDescent="0.35">
      <c r="A2182">
        <v>0</v>
      </c>
      <c r="B2182">
        <v>0</v>
      </c>
      <c r="C2182">
        <v>0</v>
      </c>
      <c r="D2182">
        <v>0</v>
      </c>
      <c r="E2182">
        <v>0</v>
      </c>
    </row>
    <row r="2183" spans="1:5" x14ac:dyDescent="0.35">
      <c r="A2183">
        <v>0</v>
      </c>
      <c r="B2183">
        <v>0</v>
      </c>
      <c r="C2183">
        <v>0</v>
      </c>
      <c r="D2183">
        <v>0</v>
      </c>
      <c r="E2183">
        <v>0</v>
      </c>
    </row>
    <row r="2184" spans="1:5" x14ac:dyDescent="0.35">
      <c r="A2184">
        <v>0</v>
      </c>
      <c r="B2184">
        <v>0</v>
      </c>
      <c r="C2184">
        <v>0</v>
      </c>
      <c r="D2184">
        <v>0</v>
      </c>
      <c r="E2184">
        <v>0</v>
      </c>
    </row>
    <row r="2185" spans="1:5" x14ac:dyDescent="0.35">
      <c r="A2185">
        <v>0</v>
      </c>
      <c r="B2185">
        <v>0</v>
      </c>
      <c r="C2185">
        <v>0</v>
      </c>
      <c r="D2185">
        <v>0</v>
      </c>
      <c r="E2185">
        <v>0</v>
      </c>
    </row>
    <row r="2186" spans="1:5" x14ac:dyDescent="0.35">
      <c r="A2186">
        <v>0</v>
      </c>
      <c r="B2186">
        <v>0</v>
      </c>
      <c r="C2186">
        <v>0</v>
      </c>
      <c r="D2186">
        <v>0</v>
      </c>
      <c r="E2186">
        <v>0</v>
      </c>
    </row>
    <row r="2187" spans="1:5" x14ac:dyDescent="0.35">
      <c r="A2187">
        <v>0</v>
      </c>
      <c r="B2187">
        <v>0</v>
      </c>
      <c r="C2187">
        <v>0</v>
      </c>
      <c r="D2187">
        <v>0</v>
      </c>
      <c r="E2187">
        <v>0</v>
      </c>
    </row>
    <row r="2188" spans="1:5" x14ac:dyDescent="0.35">
      <c r="A2188">
        <v>0</v>
      </c>
      <c r="B2188">
        <v>0</v>
      </c>
      <c r="C2188">
        <v>0</v>
      </c>
      <c r="D2188">
        <v>0</v>
      </c>
      <c r="E2188">
        <v>0</v>
      </c>
    </row>
    <row r="2189" spans="1:5" x14ac:dyDescent="0.35">
      <c r="A2189">
        <v>0</v>
      </c>
      <c r="B2189">
        <v>0</v>
      </c>
      <c r="C2189">
        <v>0</v>
      </c>
      <c r="D2189">
        <v>0</v>
      </c>
      <c r="E2189">
        <v>0</v>
      </c>
    </row>
    <row r="2190" spans="1:5" x14ac:dyDescent="0.35">
      <c r="A2190">
        <v>0</v>
      </c>
      <c r="B2190">
        <v>0</v>
      </c>
      <c r="C2190">
        <v>0</v>
      </c>
      <c r="D2190">
        <v>0</v>
      </c>
      <c r="E2190">
        <v>0</v>
      </c>
    </row>
    <row r="2191" spans="1:5" x14ac:dyDescent="0.35">
      <c r="A2191">
        <v>0</v>
      </c>
      <c r="B2191">
        <v>0</v>
      </c>
      <c r="C2191">
        <v>0</v>
      </c>
      <c r="D2191">
        <v>0</v>
      </c>
      <c r="E2191">
        <v>0</v>
      </c>
    </row>
    <row r="2192" spans="1:5" x14ac:dyDescent="0.35">
      <c r="A2192">
        <v>0</v>
      </c>
      <c r="B2192">
        <v>0</v>
      </c>
      <c r="C2192">
        <v>0</v>
      </c>
      <c r="D2192">
        <v>0</v>
      </c>
      <c r="E2192">
        <v>0</v>
      </c>
    </row>
    <row r="2193" spans="1:5" x14ac:dyDescent="0.35">
      <c r="A2193">
        <v>0</v>
      </c>
      <c r="B2193">
        <v>0</v>
      </c>
      <c r="C2193">
        <v>0</v>
      </c>
      <c r="D2193">
        <v>0</v>
      </c>
      <c r="E2193">
        <v>0</v>
      </c>
    </row>
    <row r="2194" spans="1:5" x14ac:dyDescent="0.35">
      <c r="A2194">
        <v>0</v>
      </c>
      <c r="B2194">
        <v>0</v>
      </c>
      <c r="C2194">
        <v>0</v>
      </c>
      <c r="D2194">
        <v>0</v>
      </c>
      <c r="E2194">
        <v>0</v>
      </c>
    </row>
    <row r="2195" spans="1:5" x14ac:dyDescent="0.35">
      <c r="A2195">
        <v>0</v>
      </c>
      <c r="B2195">
        <v>0</v>
      </c>
      <c r="C2195">
        <v>0</v>
      </c>
      <c r="D2195">
        <v>0</v>
      </c>
      <c r="E2195">
        <v>0</v>
      </c>
    </row>
    <row r="2196" spans="1:5" x14ac:dyDescent="0.35">
      <c r="A2196">
        <v>0</v>
      </c>
      <c r="B2196">
        <v>0</v>
      </c>
      <c r="C2196">
        <v>0</v>
      </c>
      <c r="D2196">
        <v>0</v>
      </c>
      <c r="E2196">
        <v>0</v>
      </c>
    </row>
    <row r="2197" spans="1:5" x14ac:dyDescent="0.35">
      <c r="A2197">
        <v>0</v>
      </c>
      <c r="B2197">
        <v>0</v>
      </c>
      <c r="C2197">
        <v>0</v>
      </c>
      <c r="D2197">
        <v>0</v>
      </c>
      <c r="E2197">
        <v>0</v>
      </c>
    </row>
    <row r="2198" spans="1:5" x14ac:dyDescent="0.35">
      <c r="A2198">
        <v>0</v>
      </c>
      <c r="B2198">
        <v>0</v>
      </c>
      <c r="C2198">
        <v>0</v>
      </c>
      <c r="D2198">
        <v>0</v>
      </c>
      <c r="E2198">
        <v>0</v>
      </c>
    </row>
    <row r="2199" spans="1:5" x14ac:dyDescent="0.35">
      <c r="A2199">
        <v>0</v>
      </c>
      <c r="B2199">
        <v>0</v>
      </c>
      <c r="C2199">
        <v>0</v>
      </c>
      <c r="D2199">
        <v>0</v>
      </c>
      <c r="E2199">
        <v>0</v>
      </c>
    </row>
    <row r="2200" spans="1:5" x14ac:dyDescent="0.35">
      <c r="A2200">
        <v>0</v>
      </c>
      <c r="B2200">
        <v>0</v>
      </c>
      <c r="C2200">
        <v>0</v>
      </c>
      <c r="D2200">
        <v>0</v>
      </c>
      <c r="E2200">
        <v>0</v>
      </c>
    </row>
    <row r="2201" spans="1:5" x14ac:dyDescent="0.35">
      <c r="A2201">
        <v>0</v>
      </c>
      <c r="B2201">
        <v>0</v>
      </c>
      <c r="C2201">
        <v>0</v>
      </c>
      <c r="D2201">
        <v>0</v>
      </c>
      <c r="E2201">
        <v>0</v>
      </c>
    </row>
    <row r="2202" spans="1:5" x14ac:dyDescent="0.35">
      <c r="A2202">
        <v>0</v>
      </c>
      <c r="B2202">
        <v>0</v>
      </c>
      <c r="C2202">
        <v>0</v>
      </c>
      <c r="D2202">
        <v>0</v>
      </c>
      <c r="E2202">
        <v>0</v>
      </c>
    </row>
    <row r="2203" spans="1:5" x14ac:dyDescent="0.35">
      <c r="A2203">
        <v>0</v>
      </c>
      <c r="B2203">
        <v>0</v>
      </c>
      <c r="C2203">
        <v>0</v>
      </c>
      <c r="D2203">
        <v>0</v>
      </c>
      <c r="E2203">
        <v>0</v>
      </c>
    </row>
    <row r="2204" spans="1:5" x14ac:dyDescent="0.35">
      <c r="A2204">
        <v>0</v>
      </c>
      <c r="B2204">
        <v>0</v>
      </c>
      <c r="C2204">
        <v>0</v>
      </c>
      <c r="D2204">
        <v>0</v>
      </c>
      <c r="E2204">
        <v>0</v>
      </c>
    </row>
    <row r="2205" spans="1:5" x14ac:dyDescent="0.35">
      <c r="A2205">
        <v>0</v>
      </c>
      <c r="B2205">
        <v>0</v>
      </c>
      <c r="C2205">
        <v>0</v>
      </c>
      <c r="D2205">
        <v>0</v>
      </c>
      <c r="E2205">
        <v>0</v>
      </c>
    </row>
    <row r="2206" spans="1:5" x14ac:dyDescent="0.35">
      <c r="A2206">
        <v>0</v>
      </c>
      <c r="B2206">
        <v>0</v>
      </c>
      <c r="C2206">
        <v>0</v>
      </c>
      <c r="D2206">
        <v>0</v>
      </c>
      <c r="E2206">
        <v>0</v>
      </c>
    </row>
    <row r="2207" spans="1:5" x14ac:dyDescent="0.35">
      <c r="A2207">
        <v>0</v>
      </c>
      <c r="B2207">
        <v>0</v>
      </c>
      <c r="C2207">
        <v>0</v>
      </c>
      <c r="D2207">
        <v>0</v>
      </c>
      <c r="E2207">
        <v>0</v>
      </c>
    </row>
    <row r="2208" spans="1:5" x14ac:dyDescent="0.35">
      <c r="A2208">
        <v>0</v>
      </c>
      <c r="B2208">
        <v>0</v>
      </c>
      <c r="C2208">
        <v>0</v>
      </c>
      <c r="D2208">
        <v>0</v>
      </c>
      <c r="E2208">
        <v>0</v>
      </c>
    </row>
    <row r="2209" spans="1:5" x14ac:dyDescent="0.35">
      <c r="A2209">
        <v>0</v>
      </c>
      <c r="B2209">
        <v>0</v>
      </c>
      <c r="C2209">
        <v>0</v>
      </c>
      <c r="D2209">
        <v>0</v>
      </c>
      <c r="E2209">
        <v>0</v>
      </c>
    </row>
    <row r="2210" spans="1:5" x14ac:dyDescent="0.35">
      <c r="A2210">
        <v>0</v>
      </c>
      <c r="B2210">
        <v>0</v>
      </c>
      <c r="C2210">
        <v>0</v>
      </c>
      <c r="D2210">
        <v>0</v>
      </c>
      <c r="E2210">
        <v>0</v>
      </c>
    </row>
    <row r="2211" spans="1:5" x14ac:dyDescent="0.35">
      <c r="A2211">
        <v>0</v>
      </c>
      <c r="B2211">
        <v>0</v>
      </c>
      <c r="C2211">
        <v>0</v>
      </c>
      <c r="D2211">
        <v>0</v>
      </c>
      <c r="E2211">
        <v>0</v>
      </c>
    </row>
    <row r="2212" spans="1:5" x14ac:dyDescent="0.35">
      <c r="A2212">
        <v>0</v>
      </c>
      <c r="B2212">
        <v>0</v>
      </c>
      <c r="C2212">
        <v>0</v>
      </c>
      <c r="D2212">
        <v>0</v>
      </c>
      <c r="E2212">
        <v>0</v>
      </c>
    </row>
    <row r="2213" spans="1:5" x14ac:dyDescent="0.35">
      <c r="A2213">
        <v>0</v>
      </c>
      <c r="B2213">
        <v>0</v>
      </c>
      <c r="C2213">
        <v>0</v>
      </c>
      <c r="D2213">
        <v>0</v>
      </c>
      <c r="E2213">
        <v>0</v>
      </c>
    </row>
    <row r="2214" spans="1:5" x14ac:dyDescent="0.35">
      <c r="A2214">
        <v>0</v>
      </c>
      <c r="B2214">
        <v>0</v>
      </c>
      <c r="C2214">
        <v>0</v>
      </c>
      <c r="D2214">
        <v>0</v>
      </c>
      <c r="E2214">
        <v>0</v>
      </c>
    </row>
    <row r="2215" spans="1:5" x14ac:dyDescent="0.35">
      <c r="A2215">
        <v>0</v>
      </c>
      <c r="B2215">
        <v>0</v>
      </c>
      <c r="C2215">
        <v>0</v>
      </c>
      <c r="D2215">
        <v>0</v>
      </c>
      <c r="E2215">
        <v>0</v>
      </c>
    </row>
    <row r="2216" spans="1:5" x14ac:dyDescent="0.35">
      <c r="A2216">
        <v>0</v>
      </c>
      <c r="B2216">
        <v>0</v>
      </c>
      <c r="C2216">
        <v>0</v>
      </c>
      <c r="D2216">
        <v>0</v>
      </c>
      <c r="E2216">
        <v>0</v>
      </c>
    </row>
    <row r="2217" spans="1:5" x14ac:dyDescent="0.35">
      <c r="A2217">
        <v>0</v>
      </c>
      <c r="B2217">
        <v>0</v>
      </c>
      <c r="C2217">
        <v>0</v>
      </c>
      <c r="D2217">
        <v>0</v>
      </c>
      <c r="E2217">
        <v>0</v>
      </c>
    </row>
    <row r="2218" spans="1:5" x14ac:dyDescent="0.35">
      <c r="A2218">
        <v>0</v>
      </c>
      <c r="B2218">
        <v>0</v>
      </c>
      <c r="C2218">
        <v>0</v>
      </c>
      <c r="D2218">
        <v>0</v>
      </c>
      <c r="E2218">
        <v>0</v>
      </c>
    </row>
    <row r="2219" spans="1:5" x14ac:dyDescent="0.35">
      <c r="A2219">
        <v>0</v>
      </c>
      <c r="B2219">
        <v>0</v>
      </c>
      <c r="C2219">
        <v>0</v>
      </c>
      <c r="D2219">
        <v>0</v>
      </c>
      <c r="E2219">
        <v>0</v>
      </c>
    </row>
    <row r="2220" spans="1:5" x14ac:dyDescent="0.35">
      <c r="A2220">
        <v>0</v>
      </c>
      <c r="B2220">
        <v>0</v>
      </c>
      <c r="C2220">
        <v>0</v>
      </c>
      <c r="D2220">
        <v>0</v>
      </c>
      <c r="E2220">
        <v>0</v>
      </c>
    </row>
    <row r="2221" spans="1:5" x14ac:dyDescent="0.35">
      <c r="A2221">
        <v>0</v>
      </c>
      <c r="B2221">
        <v>0</v>
      </c>
      <c r="C2221">
        <v>0</v>
      </c>
      <c r="D2221">
        <v>0</v>
      </c>
      <c r="E2221">
        <v>0</v>
      </c>
    </row>
    <row r="2222" spans="1:5" x14ac:dyDescent="0.35">
      <c r="A2222">
        <v>0</v>
      </c>
      <c r="B2222">
        <v>0</v>
      </c>
      <c r="C2222">
        <v>0</v>
      </c>
      <c r="D2222">
        <v>0</v>
      </c>
      <c r="E2222">
        <v>0</v>
      </c>
    </row>
    <row r="2223" spans="1:5" x14ac:dyDescent="0.35">
      <c r="A2223">
        <v>0</v>
      </c>
      <c r="B2223">
        <v>0</v>
      </c>
      <c r="C2223">
        <v>0</v>
      </c>
      <c r="D2223">
        <v>0</v>
      </c>
      <c r="E2223">
        <v>0</v>
      </c>
    </row>
    <row r="2224" spans="1:5" x14ac:dyDescent="0.35">
      <c r="A2224">
        <v>0</v>
      </c>
      <c r="B2224">
        <v>0</v>
      </c>
      <c r="C2224">
        <v>0</v>
      </c>
      <c r="D2224">
        <v>0</v>
      </c>
      <c r="E2224">
        <v>0</v>
      </c>
    </row>
    <row r="2225" spans="1:5" x14ac:dyDescent="0.35">
      <c r="A2225">
        <v>0</v>
      </c>
      <c r="B2225">
        <v>0</v>
      </c>
      <c r="C2225">
        <v>0</v>
      </c>
      <c r="D2225">
        <v>0</v>
      </c>
      <c r="E2225">
        <v>0</v>
      </c>
    </row>
    <row r="2226" spans="1:5" x14ac:dyDescent="0.35">
      <c r="A2226">
        <v>0</v>
      </c>
      <c r="B2226">
        <v>0</v>
      </c>
      <c r="C2226">
        <v>0</v>
      </c>
      <c r="D2226">
        <v>0</v>
      </c>
      <c r="E2226">
        <v>0</v>
      </c>
    </row>
    <row r="2227" spans="1:5" x14ac:dyDescent="0.35">
      <c r="A2227">
        <v>0</v>
      </c>
      <c r="B2227">
        <v>0</v>
      </c>
      <c r="C2227">
        <v>0</v>
      </c>
      <c r="D2227">
        <v>0</v>
      </c>
      <c r="E2227">
        <v>0</v>
      </c>
    </row>
    <row r="2228" spans="1:5" x14ac:dyDescent="0.35">
      <c r="A2228">
        <v>0</v>
      </c>
      <c r="B2228">
        <v>0</v>
      </c>
      <c r="C2228">
        <v>0</v>
      </c>
      <c r="D2228">
        <v>0</v>
      </c>
      <c r="E2228">
        <v>0</v>
      </c>
    </row>
    <row r="2229" spans="1:5" x14ac:dyDescent="0.35">
      <c r="A2229">
        <v>0</v>
      </c>
      <c r="B2229">
        <v>0</v>
      </c>
      <c r="C2229">
        <v>0</v>
      </c>
      <c r="D2229">
        <v>0</v>
      </c>
      <c r="E2229">
        <v>0</v>
      </c>
    </row>
    <row r="2230" spans="1:5" x14ac:dyDescent="0.35">
      <c r="A2230">
        <v>0</v>
      </c>
      <c r="B2230">
        <v>0</v>
      </c>
      <c r="C2230">
        <v>0</v>
      </c>
      <c r="D2230">
        <v>0</v>
      </c>
      <c r="E2230">
        <v>0</v>
      </c>
    </row>
    <row r="2231" spans="1:5" x14ac:dyDescent="0.35">
      <c r="A2231">
        <v>0</v>
      </c>
      <c r="B2231">
        <v>0</v>
      </c>
      <c r="C2231">
        <v>0</v>
      </c>
      <c r="D2231">
        <v>0</v>
      </c>
      <c r="E2231">
        <v>0</v>
      </c>
    </row>
    <row r="2232" spans="1:5" x14ac:dyDescent="0.35">
      <c r="A2232">
        <v>0</v>
      </c>
      <c r="B2232">
        <v>0</v>
      </c>
      <c r="C2232">
        <v>0</v>
      </c>
      <c r="D2232">
        <v>0</v>
      </c>
      <c r="E2232">
        <v>0</v>
      </c>
    </row>
    <row r="2233" spans="1:5" x14ac:dyDescent="0.35">
      <c r="A2233">
        <v>0</v>
      </c>
      <c r="B2233">
        <v>0</v>
      </c>
      <c r="C2233">
        <v>0</v>
      </c>
      <c r="D2233">
        <v>0</v>
      </c>
      <c r="E2233">
        <v>0</v>
      </c>
    </row>
    <row r="2234" spans="1:5" x14ac:dyDescent="0.35">
      <c r="A2234">
        <v>0</v>
      </c>
      <c r="B2234">
        <v>0</v>
      </c>
      <c r="C2234">
        <v>0</v>
      </c>
      <c r="D2234">
        <v>0</v>
      </c>
      <c r="E2234">
        <v>0</v>
      </c>
    </row>
    <row r="2235" spans="1:5" x14ac:dyDescent="0.35">
      <c r="A2235">
        <v>0</v>
      </c>
      <c r="B2235">
        <v>0</v>
      </c>
      <c r="C2235">
        <v>0</v>
      </c>
      <c r="D2235">
        <v>0</v>
      </c>
      <c r="E2235">
        <v>0</v>
      </c>
    </row>
    <row r="2236" spans="1:5" x14ac:dyDescent="0.35">
      <c r="A2236">
        <v>0</v>
      </c>
      <c r="B2236">
        <v>0</v>
      </c>
      <c r="C2236">
        <v>0</v>
      </c>
      <c r="D2236">
        <v>0</v>
      </c>
      <c r="E2236">
        <v>0</v>
      </c>
    </row>
    <row r="2237" spans="1:5" x14ac:dyDescent="0.35">
      <c r="A2237">
        <v>0</v>
      </c>
      <c r="B2237">
        <v>0</v>
      </c>
      <c r="C2237">
        <v>0</v>
      </c>
      <c r="D2237">
        <v>0</v>
      </c>
      <c r="E2237">
        <v>0</v>
      </c>
    </row>
    <row r="2238" spans="1:5" x14ac:dyDescent="0.35">
      <c r="A2238">
        <v>0</v>
      </c>
      <c r="B2238">
        <v>0</v>
      </c>
      <c r="C2238">
        <v>0</v>
      </c>
      <c r="D2238">
        <v>0</v>
      </c>
      <c r="E2238">
        <v>0</v>
      </c>
    </row>
    <row r="2239" spans="1:5" x14ac:dyDescent="0.35">
      <c r="A2239">
        <v>0</v>
      </c>
      <c r="B2239">
        <v>0</v>
      </c>
      <c r="C2239">
        <v>0</v>
      </c>
      <c r="D2239">
        <v>0</v>
      </c>
      <c r="E2239">
        <v>0</v>
      </c>
    </row>
    <row r="2240" spans="1:5" x14ac:dyDescent="0.35">
      <c r="A2240">
        <v>0</v>
      </c>
      <c r="B2240">
        <v>0</v>
      </c>
      <c r="C2240">
        <v>0</v>
      </c>
      <c r="D2240">
        <v>0</v>
      </c>
      <c r="E2240">
        <v>0</v>
      </c>
    </row>
    <row r="2241" spans="1:5" x14ac:dyDescent="0.35">
      <c r="A2241">
        <v>0</v>
      </c>
      <c r="B2241">
        <v>0</v>
      </c>
      <c r="C2241">
        <v>0</v>
      </c>
      <c r="D2241">
        <v>0</v>
      </c>
      <c r="E2241">
        <v>0</v>
      </c>
    </row>
    <row r="2242" spans="1:5" x14ac:dyDescent="0.35">
      <c r="A2242">
        <v>0</v>
      </c>
      <c r="B2242">
        <v>0</v>
      </c>
      <c r="C2242">
        <v>0</v>
      </c>
      <c r="D2242">
        <v>0</v>
      </c>
      <c r="E2242">
        <v>0</v>
      </c>
    </row>
    <row r="2243" spans="1:5" x14ac:dyDescent="0.35">
      <c r="A2243">
        <v>0</v>
      </c>
      <c r="B2243">
        <v>0</v>
      </c>
      <c r="C2243">
        <v>0</v>
      </c>
      <c r="D2243">
        <v>0</v>
      </c>
      <c r="E2243">
        <v>0</v>
      </c>
    </row>
    <row r="2244" spans="1:5" x14ac:dyDescent="0.35">
      <c r="A2244">
        <v>0</v>
      </c>
      <c r="B2244">
        <v>0</v>
      </c>
      <c r="C2244">
        <v>0</v>
      </c>
      <c r="D2244">
        <v>0</v>
      </c>
      <c r="E2244">
        <v>0</v>
      </c>
    </row>
    <row r="2245" spans="1:5" x14ac:dyDescent="0.35">
      <c r="A2245">
        <v>0</v>
      </c>
      <c r="B2245">
        <v>0</v>
      </c>
      <c r="C2245">
        <v>0</v>
      </c>
      <c r="D2245">
        <v>0</v>
      </c>
      <c r="E2245">
        <v>0</v>
      </c>
    </row>
    <row r="2246" spans="1:5" x14ac:dyDescent="0.35">
      <c r="A2246">
        <v>0</v>
      </c>
      <c r="B2246">
        <v>0</v>
      </c>
      <c r="C2246">
        <v>0</v>
      </c>
      <c r="D2246">
        <v>0</v>
      </c>
      <c r="E2246">
        <v>0</v>
      </c>
    </row>
    <row r="2247" spans="1:5" x14ac:dyDescent="0.35">
      <c r="A2247">
        <v>0</v>
      </c>
      <c r="B2247">
        <v>0</v>
      </c>
      <c r="C2247">
        <v>0</v>
      </c>
      <c r="D2247">
        <v>0</v>
      </c>
      <c r="E2247">
        <v>0</v>
      </c>
    </row>
    <row r="2248" spans="1:5" x14ac:dyDescent="0.35">
      <c r="A2248">
        <v>0</v>
      </c>
      <c r="B2248">
        <v>0</v>
      </c>
      <c r="C2248">
        <v>0</v>
      </c>
      <c r="D2248">
        <v>0</v>
      </c>
      <c r="E2248">
        <v>0</v>
      </c>
    </row>
    <row r="2249" spans="1:5" x14ac:dyDescent="0.35">
      <c r="A2249">
        <v>0</v>
      </c>
      <c r="B2249">
        <v>0</v>
      </c>
      <c r="C2249">
        <v>0</v>
      </c>
      <c r="D2249">
        <v>0</v>
      </c>
      <c r="E2249">
        <v>0</v>
      </c>
    </row>
    <row r="2250" spans="1:5" x14ac:dyDescent="0.35">
      <c r="A2250">
        <v>0</v>
      </c>
      <c r="B2250">
        <v>0</v>
      </c>
      <c r="C2250">
        <v>0</v>
      </c>
      <c r="D2250">
        <v>0</v>
      </c>
      <c r="E2250">
        <v>0</v>
      </c>
    </row>
    <row r="2251" spans="1:5" x14ac:dyDescent="0.35">
      <c r="A2251">
        <v>0</v>
      </c>
      <c r="B2251">
        <v>0</v>
      </c>
      <c r="C2251">
        <v>0</v>
      </c>
      <c r="D2251">
        <v>0</v>
      </c>
      <c r="E2251">
        <v>0</v>
      </c>
    </row>
    <row r="2252" spans="1:5" x14ac:dyDescent="0.35">
      <c r="A2252">
        <v>0</v>
      </c>
      <c r="B2252">
        <v>0</v>
      </c>
      <c r="C2252">
        <v>0</v>
      </c>
      <c r="D2252">
        <v>0</v>
      </c>
      <c r="E2252">
        <v>0</v>
      </c>
    </row>
    <row r="2253" spans="1:5" x14ac:dyDescent="0.35">
      <c r="A2253">
        <v>0</v>
      </c>
      <c r="B2253">
        <v>0</v>
      </c>
      <c r="C2253">
        <v>0</v>
      </c>
      <c r="D2253">
        <v>0</v>
      </c>
      <c r="E2253">
        <v>0</v>
      </c>
    </row>
    <row r="2254" spans="1:5" x14ac:dyDescent="0.35">
      <c r="A2254">
        <v>0</v>
      </c>
      <c r="B2254">
        <v>0</v>
      </c>
      <c r="C2254">
        <v>0</v>
      </c>
      <c r="D2254">
        <v>0</v>
      </c>
      <c r="E2254">
        <v>0</v>
      </c>
    </row>
    <row r="2255" spans="1:5" x14ac:dyDescent="0.35">
      <c r="A2255">
        <v>0</v>
      </c>
      <c r="B2255">
        <v>0</v>
      </c>
      <c r="C2255">
        <v>0</v>
      </c>
      <c r="D2255">
        <v>0</v>
      </c>
      <c r="E2255">
        <v>0</v>
      </c>
    </row>
    <row r="2256" spans="1:5" x14ac:dyDescent="0.35">
      <c r="A2256">
        <v>0</v>
      </c>
      <c r="B2256">
        <v>0</v>
      </c>
      <c r="C2256">
        <v>0</v>
      </c>
      <c r="D2256">
        <v>0</v>
      </c>
      <c r="E2256">
        <v>0</v>
      </c>
    </row>
    <row r="2257" spans="1:5" x14ac:dyDescent="0.35">
      <c r="A2257">
        <v>0</v>
      </c>
      <c r="B2257">
        <v>0</v>
      </c>
      <c r="C2257">
        <v>0</v>
      </c>
      <c r="D2257">
        <v>0</v>
      </c>
      <c r="E2257">
        <v>0</v>
      </c>
    </row>
    <row r="2258" spans="1:5" x14ac:dyDescent="0.35">
      <c r="A2258">
        <v>0</v>
      </c>
      <c r="B2258">
        <v>0</v>
      </c>
      <c r="C2258">
        <v>0</v>
      </c>
      <c r="D2258">
        <v>0</v>
      </c>
      <c r="E2258">
        <v>0</v>
      </c>
    </row>
    <row r="2259" spans="1:5" x14ac:dyDescent="0.35">
      <c r="A2259">
        <v>0</v>
      </c>
      <c r="B2259">
        <v>0</v>
      </c>
      <c r="C2259">
        <v>0</v>
      </c>
      <c r="D2259">
        <v>0</v>
      </c>
      <c r="E2259">
        <v>0</v>
      </c>
    </row>
    <row r="2260" spans="1:5" x14ac:dyDescent="0.35">
      <c r="A2260">
        <v>0</v>
      </c>
      <c r="B2260">
        <v>0</v>
      </c>
      <c r="C2260">
        <v>0</v>
      </c>
      <c r="D2260">
        <v>0</v>
      </c>
      <c r="E2260">
        <v>0</v>
      </c>
    </row>
    <row r="2261" spans="1:5" x14ac:dyDescent="0.35">
      <c r="A2261">
        <v>0</v>
      </c>
      <c r="B2261">
        <v>0</v>
      </c>
      <c r="C2261">
        <v>0</v>
      </c>
      <c r="D2261">
        <v>0</v>
      </c>
      <c r="E2261">
        <v>0</v>
      </c>
    </row>
    <row r="2262" spans="1:5" x14ac:dyDescent="0.35">
      <c r="A2262">
        <v>0</v>
      </c>
      <c r="B2262">
        <v>0</v>
      </c>
      <c r="C2262">
        <v>0</v>
      </c>
      <c r="D2262">
        <v>0</v>
      </c>
      <c r="E2262">
        <v>0</v>
      </c>
    </row>
    <row r="2263" spans="1:5" x14ac:dyDescent="0.35">
      <c r="A2263">
        <v>0</v>
      </c>
      <c r="B2263">
        <v>0</v>
      </c>
      <c r="C2263">
        <v>0</v>
      </c>
      <c r="D2263">
        <v>0</v>
      </c>
      <c r="E2263">
        <v>0</v>
      </c>
    </row>
    <row r="2264" spans="1:5" x14ac:dyDescent="0.35">
      <c r="A2264">
        <v>0</v>
      </c>
      <c r="B2264">
        <v>0</v>
      </c>
      <c r="C2264">
        <v>0</v>
      </c>
      <c r="D2264">
        <v>0</v>
      </c>
      <c r="E2264">
        <v>0</v>
      </c>
    </row>
    <row r="2265" spans="1:5" x14ac:dyDescent="0.35">
      <c r="A2265">
        <v>0</v>
      </c>
      <c r="B2265">
        <v>0</v>
      </c>
      <c r="C2265">
        <v>0</v>
      </c>
      <c r="D2265">
        <v>0</v>
      </c>
      <c r="E2265">
        <v>0</v>
      </c>
    </row>
    <row r="2266" spans="1:5" x14ac:dyDescent="0.35">
      <c r="A2266">
        <v>0</v>
      </c>
      <c r="B2266">
        <v>0</v>
      </c>
      <c r="C2266">
        <v>0</v>
      </c>
      <c r="D2266">
        <v>0</v>
      </c>
      <c r="E2266">
        <v>0</v>
      </c>
    </row>
    <row r="2267" spans="1:5" x14ac:dyDescent="0.35">
      <c r="A2267">
        <v>0</v>
      </c>
      <c r="B2267">
        <v>0</v>
      </c>
      <c r="C2267">
        <v>0</v>
      </c>
      <c r="D2267">
        <v>0</v>
      </c>
      <c r="E2267">
        <v>0</v>
      </c>
    </row>
    <row r="2268" spans="1:5" x14ac:dyDescent="0.35">
      <c r="A2268">
        <v>0</v>
      </c>
      <c r="B2268">
        <v>0</v>
      </c>
      <c r="C2268">
        <v>0</v>
      </c>
      <c r="D2268">
        <v>0</v>
      </c>
      <c r="E2268">
        <v>0</v>
      </c>
    </row>
    <row r="2269" spans="1:5" x14ac:dyDescent="0.35">
      <c r="A2269">
        <v>0</v>
      </c>
      <c r="B2269">
        <v>0</v>
      </c>
      <c r="C2269">
        <v>0</v>
      </c>
      <c r="D2269">
        <v>0</v>
      </c>
      <c r="E2269">
        <v>0</v>
      </c>
    </row>
    <row r="2270" spans="1:5" x14ac:dyDescent="0.35">
      <c r="A2270">
        <v>0</v>
      </c>
      <c r="B2270">
        <v>0</v>
      </c>
      <c r="C2270">
        <v>0</v>
      </c>
      <c r="D2270">
        <v>0</v>
      </c>
      <c r="E2270">
        <v>0</v>
      </c>
    </row>
    <row r="2271" spans="1:5" x14ac:dyDescent="0.35">
      <c r="A2271">
        <v>0</v>
      </c>
      <c r="B2271">
        <v>0</v>
      </c>
      <c r="C2271">
        <v>0</v>
      </c>
      <c r="D2271">
        <v>0</v>
      </c>
      <c r="E2271">
        <v>0</v>
      </c>
    </row>
    <row r="2272" spans="1:5" x14ac:dyDescent="0.35">
      <c r="A2272">
        <v>0</v>
      </c>
      <c r="B2272">
        <v>0</v>
      </c>
      <c r="C2272">
        <v>0</v>
      </c>
      <c r="D2272">
        <v>0</v>
      </c>
      <c r="E2272">
        <v>0</v>
      </c>
    </row>
    <row r="2273" spans="1:5" x14ac:dyDescent="0.35">
      <c r="A2273">
        <v>0</v>
      </c>
      <c r="B2273">
        <v>0</v>
      </c>
      <c r="C2273">
        <v>0</v>
      </c>
      <c r="D2273">
        <v>0</v>
      </c>
      <c r="E2273">
        <v>0</v>
      </c>
    </row>
    <row r="2274" spans="1:5" x14ac:dyDescent="0.35">
      <c r="A2274">
        <v>0</v>
      </c>
      <c r="B2274">
        <v>0</v>
      </c>
      <c r="C2274">
        <v>0</v>
      </c>
      <c r="D2274">
        <v>0</v>
      </c>
      <c r="E2274">
        <v>0</v>
      </c>
    </row>
    <row r="2275" spans="1:5" x14ac:dyDescent="0.35">
      <c r="A2275">
        <v>0</v>
      </c>
      <c r="B2275">
        <v>0</v>
      </c>
      <c r="C2275">
        <v>0</v>
      </c>
      <c r="D2275">
        <v>0</v>
      </c>
      <c r="E2275">
        <v>0</v>
      </c>
    </row>
    <row r="2276" spans="1:5" x14ac:dyDescent="0.35">
      <c r="A2276">
        <v>0</v>
      </c>
      <c r="B2276">
        <v>0</v>
      </c>
      <c r="C2276">
        <v>0</v>
      </c>
      <c r="D2276">
        <v>0</v>
      </c>
      <c r="E2276">
        <v>0</v>
      </c>
    </row>
    <row r="2277" spans="1:5" x14ac:dyDescent="0.35">
      <c r="A2277">
        <v>0</v>
      </c>
      <c r="B2277">
        <v>0</v>
      </c>
      <c r="C2277">
        <v>0</v>
      </c>
      <c r="D2277">
        <v>0</v>
      </c>
      <c r="E2277">
        <v>0</v>
      </c>
    </row>
    <row r="2278" spans="1:5" x14ac:dyDescent="0.35">
      <c r="A2278">
        <v>0</v>
      </c>
      <c r="B2278">
        <v>0</v>
      </c>
      <c r="C2278">
        <v>0</v>
      </c>
      <c r="D2278">
        <v>0</v>
      </c>
      <c r="E2278">
        <v>0</v>
      </c>
    </row>
    <row r="2279" spans="1:5" x14ac:dyDescent="0.35">
      <c r="A2279">
        <v>0</v>
      </c>
      <c r="B2279">
        <v>0</v>
      </c>
      <c r="C2279">
        <v>0</v>
      </c>
      <c r="D2279">
        <v>0</v>
      </c>
      <c r="E2279">
        <v>0</v>
      </c>
    </row>
    <row r="2280" spans="1:5" x14ac:dyDescent="0.35">
      <c r="A2280">
        <v>0</v>
      </c>
      <c r="B2280">
        <v>0</v>
      </c>
      <c r="C2280">
        <v>0</v>
      </c>
      <c r="D2280">
        <v>0</v>
      </c>
      <c r="E2280">
        <v>0</v>
      </c>
    </row>
    <row r="2281" spans="1:5" x14ac:dyDescent="0.35">
      <c r="A2281">
        <v>0</v>
      </c>
      <c r="B2281">
        <v>0</v>
      </c>
      <c r="C2281">
        <v>0</v>
      </c>
      <c r="D2281">
        <v>0</v>
      </c>
      <c r="E2281">
        <v>0</v>
      </c>
    </row>
    <row r="2282" spans="1:5" x14ac:dyDescent="0.35">
      <c r="A2282">
        <v>0</v>
      </c>
      <c r="B2282">
        <v>0</v>
      </c>
      <c r="C2282">
        <v>0</v>
      </c>
      <c r="D2282">
        <v>0</v>
      </c>
      <c r="E2282">
        <v>0</v>
      </c>
    </row>
    <row r="2283" spans="1:5" x14ac:dyDescent="0.35">
      <c r="A2283">
        <v>0</v>
      </c>
      <c r="B2283">
        <v>0</v>
      </c>
      <c r="C2283">
        <v>0</v>
      </c>
      <c r="D2283">
        <v>0</v>
      </c>
      <c r="E2283">
        <v>0</v>
      </c>
    </row>
    <row r="2284" spans="1:5" x14ac:dyDescent="0.35">
      <c r="A2284">
        <v>0</v>
      </c>
      <c r="B2284">
        <v>0</v>
      </c>
      <c r="C2284">
        <v>0</v>
      </c>
      <c r="D2284">
        <v>0</v>
      </c>
      <c r="E2284">
        <v>0</v>
      </c>
    </row>
    <row r="2285" spans="1:5" x14ac:dyDescent="0.35">
      <c r="A2285">
        <v>0</v>
      </c>
      <c r="B2285">
        <v>0</v>
      </c>
      <c r="C2285">
        <v>0</v>
      </c>
      <c r="D2285">
        <v>0</v>
      </c>
      <c r="E2285">
        <v>0</v>
      </c>
    </row>
    <row r="2286" spans="1:5" x14ac:dyDescent="0.35">
      <c r="A2286">
        <v>0</v>
      </c>
      <c r="B2286">
        <v>0</v>
      </c>
      <c r="C2286">
        <v>0</v>
      </c>
      <c r="D2286">
        <v>0</v>
      </c>
      <c r="E2286">
        <v>0</v>
      </c>
    </row>
    <row r="2287" spans="1:5" x14ac:dyDescent="0.35">
      <c r="A2287">
        <v>0</v>
      </c>
      <c r="B2287">
        <v>0</v>
      </c>
      <c r="C2287">
        <v>0</v>
      </c>
      <c r="D2287">
        <v>0</v>
      </c>
      <c r="E2287">
        <v>0</v>
      </c>
    </row>
    <row r="2288" spans="1:5" x14ac:dyDescent="0.35">
      <c r="A2288">
        <v>0</v>
      </c>
      <c r="B2288">
        <v>0</v>
      </c>
      <c r="C2288">
        <v>0</v>
      </c>
      <c r="D2288">
        <v>0</v>
      </c>
      <c r="E2288">
        <v>0</v>
      </c>
    </row>
    <row r="2289" spans="1:5" x14ac:dyDescent="0.35">
      <c r="A2289">
        <v>0</v>
      </c>
      <c r="B2289">
        <v>0</v>
      </c>
      <c r="C2289">
        <v>0</v>
      </c>
      <c r="D2289">
        <v>0</v>
      </c>
      <c r="E2289">
        <v>0</v>
      </c>
    </row>
    <row r="2290" spans="1:5" x14ac:dyDescent="0.35">
      <c r="A2290">
        <v>0</v>
      </c>
      <c r="B2290">
        <v>0</v>
      </c>
      <c r="C2290">
        <v>0</v>
      </c>
      <c r="D2290">
        <v>0</v>
      </c>
      <c r="E2290">
        <v>0</v>
      </c>
    </row>
    <row r="2291" spans="1:5" x14ac:dyDescent="0.35">
      <c r="A2291">
        <v>0</v>
      </c>
      <c r="B2291">
        <v>0</v>
      </c>
      <c r="C2291">
        <v>0</v>
      </c>
      <c r="D2291">
        <v>0</v>
      </c>
      <c r="E2291">
        <v>0</v>
      </c>
    </row>
    <row r="2292" spans="1:5" x14ac:dyDescent="0.35">
      <c r="A2292">
        <v>0</v>
      </c>
      <c r="B2292">
        <v>0</v>
      </c>
      <c r="C2292">
        <v>0</v>
      </c>
      <c r="D2292">
        <v>0</v>
      </c>
      <c r="E2292">
        <v>0</v>
      </c>
    </row>
    <row r="2293" spans="1:5" x14ac:dyDescent="0.35">
      <c r="A2293">
        <v>0</v>
      </c>
      <c r="B2293">
        <v>0</v>
      </c>
      <c r="C2293">
        <v>0</v>
      </c>
      <c r="D2293">
        <v>0</v>
      </c>
      <c r="E2293">
        <v>0</v>
      </c>
    </row>
    <row r="2294" spans="1:5" x14ac:dyDescent="0.35">
      <c r="A2294">
        <v>0</v>
      </c>
      <c r="B2294">
        <v>0</v>
      </c>
      <c r="C2294">
        <v>0</v>
      </c>
      <c r="D2294">
        <v>0</v>
      </c>
      <c r="E2294">
        <v>0</v>
      </c>
    </row>
    <row r="2295" spans="1:5" x14ac:dyDescent="0.35">
      <c r="A2295">
        <v>0</v>
      </c>
      <c r="B2295">
        <v>0</v>
      </c>
      <c r="C2295">
        <v>0</v>
      </c>
      <c r="D2295">
        <v>0</v>
      </c>
      <c r="E2295">
        <v>0</v>
      </c>
    </row>
    <row r="2296" spans="1:5" x14ac:dyDescent="0.35">
      <c r="A2296">
        <v>0</v>
      </c>
      <c r="B2296">
        <v>0</v>
      </c>
      <c r="C2296">
        <v>0</v>
      </c>
      <c r="D2296">
        <v>0</v>
      </c>
      <c r="E2296">
        <v>0</v>
      </c>
    </row>
    <row r="2297" spans="1:5" x14ac:dyDescent="0.35">
      <c r="A2297">
        <v>0</v>
      </c>
      <c r="B2297">
        <v>0</v>
      </c>
      <c r="C2297">
        <v>0</v>
      </c>
      <c r="D2297">
        <v>0</v>
      </c>
      <c r="E2297">
        <v>0</v>
      </c>
    </row>
    <row r="2298" spans="1:5" x14ac:dyDescent="0.35">
      <c r="A2298">
        <v>0</v>
      </c>
      <c r="B2298">
        <v>0</v>
      </c>
      <c r="C2298">
        <v>0</v>
      </c>
      <c r="D2298">
        <v>0</v>
      </c>
      <c r="E2298">
        <v>0</v>
      </c>
    </row>
    <row r="2299" spans="1:5" x14ac:dyDescent="0.35">
      <c r="A2299">
        <v>0</v>
      </c>
      <c r="B2299">
        <v>0</v>
      </c>
      <c r="C2299">
        <v>0</v>
      </c>
      <c r="D2299">
        <v>0</v>
      </c>
      <c r="E2299">
        <v>0</v>
      </c>
    </row>
    <row r="2300" spans="1:5" x14ac:dyDescent="0.35">
      <c r="A2300">
        <v>0</v>
      </c>
      <c r="B2300">
        <v>0</v>
      </c>
      <c r="C2300">
        <v>0</v>
      </c>
      <c r="D2300">
        <v>0</v>
      </c>
      <c r="E2300">
        <v>0</v>
      </c>
    </row>
    <row r="2301" spans="1:5" x14ac:dyDescent="0.35">
      <c r="A2301">
        <v>0</v>
      </c>
      <c r="B2301">
        <v>0</v>
      </c>
      <c r="C2301">
        <v>0</v>
      </c>
      <c r="D2301">
        <v>0</v>
      </c>
      <c r="E2301">
        <v>0</v>
      </c>
    </row>
    <row r="2302" spans="1:5" x14ac:dyDescent="0.35">
      <c r="A2302">
        <v>0</v>
      </c>
      <c r="B2302">
        <v>0</v>
      </c>
      <c r="C2302">
        <v>0</v>
      </c>
      <c r="D2302">
        <v>0</v>
      </c>
      <c r="E2302">
        <v>0</v>
      </c>
    </row>
    <row r="2303" spans="1:5" x14ac:dyDescent="0.35">
      <c r="A2303">
        <v>0</v>
      </c>
      <c r="B2303">
        <v>0</v>
      </c>
      <c r="C2303">
        <v>0</v>
      </c>
      <c r="D2303">
        <v>0</v>
      </c>
      <c r="E2303">
        <v>0</v>
      </c>
    </row>
    <row r="2304" spans="1:5" x14ac:dyDescent="0.35">
      <c r="A2304">
        <v>0</v>
      </c>
      <c r="B2304">
        <v>0</v>
      </c>
      <c r="C2304">
        <v>0</v>
      </c>
      <c r="D2304">
        <v>0</v>
      </c>
      <c r="E2304">
        <v>0</v>
      </c>
    </row>
    <row r="2305" spans="1:5" x14ac:dyDescent="0.35">
      <c r="A2305">
        <v>0</v>
      </c>
      <c r="B2305">
        <v>0</v>
      </c>
      <c r="C2305">
        <v>0</v>
      </c>
      <c r="D2305">
        <v>0</v>
      </c>
      <c r="E2305">
        <v>0</v>
      </c>
    </row>
    <row r="2306" spans="1:5" x14ac:dyDescent="0.35">
      <c r="A2306">
        <v>0</v>
      </c>
      <c r="B2306">
        <v>0</v>
      </c>
      <c r="C2306">
        <v>0</v>
      </c>
      <c r="D2306">
        <v>0</v>
      </c>
      <c r="E2306">
        <v>0</v>
      </c>
    </row>
    <row r="2307" spans="1:5" x14ac:dyDescent="0.35">
      <c r="A2307">
        <v>0</v>
      </c>
      <c r="B2307">
        <v>0</v>
      </c>
      <c r="C2307">
        <v>0</v>
      </c>
      <c r="D2307">
        <v>0</v>
      </c>
      <c r="E2307">
        <v>0</v>
      </c>
    </row>
    <row r="2308" spans="1:5" x14ac:dyDescent="0.35">
      <c r="A2308">
        <v>0</v>
      </c>
      <c r="B2308">
        <v>0</v>
      </c>
      <c r="C2308">
        <v>0</v>
      </c>
      <c r="D2308">
        <v>0</v>
      </c>
      <c r="E2308">
        <v>0</v>
      </c>
    </row>
    <row r="2309" spans="1:5" x14ac:dyDescent="0.35">
      <c r="A2309">
        <v>0</v>
      </c>
      <c r="B2309">
        <v>0</v>
      </c>
      <c r="C2309">
        <v>0</v>
      </c>
      <c r="D2309">
        <v>0</v>
      </c>
      <c r="E2309">
        <v>0</v>
      </c>
    </row>
    <row r="2310" spans="1:5" x14ac:dyDescent="0.35">
      <c r="A2310">
        <v>0</v>
      </c>
      <c r="B2310">
        <v>0</v>
      </c>
      <c r="C2310">
        <v>0</v>
      </c>
      <c r="D2310">
        <v>0</v>
      </c>
      <c r="E2310">
        <v>0</v>
      </c>
    </row>
    <row r="2311" spans="1:5" x14ac:dyDescent="0.35">
      <c r="A2311">
        <v>0</v>
      </c>
      <c r="B2311">
        <v>0</v>
      </c>
      <c r="C2311">
        <v>0</v>
      </c>
      <c r="D2311">
        <v>0</v>
      </c>
      <c r="E2311">
        <v>0</v>
      </c>
    </row>
    <row r="2312" spans="1:5" x14ac:dyDescent="0.35">
      <c r="A2312">
        <v>0</v>
      </c>
      <c r="B2312">
        <v>0</v>
      </c>
      <c r="C2312">
        <v>0</v>
      </c>
      <c r="D2312">
        <v>0</v>
      </c>
      <c r="E2312">
        <v>0</v>
      </c>
    </row>
    <row r="2313" spans="1:5" x14ac:dyDescent="0.35">
      <c r="A2313">
        <v>0</v>
      </c>
      <c r="B2313">
        <v>0</v>
      </c>
      <c r="C2313">
        <v>0</v>
      </c>
      <c r="D2313">
        <v>0</v>
      </c>
      <c r="E2313">
        <v>0</v>
      </c>
    </row>
    <row r="2314" spans="1:5" x14ac:dyDescent="0.35">
      <c r="A2314">
        <v>0</v>
      </c>
      <c r="B2314">
        <v>0</v>
      </c>
      <c r="C2314">
        <v>0</v>
      </c>
      <c r="D2314">
        <v>0</v>
      </c>
      <c r="E2314">
        <v>0</v>
      </c>
    </row>
    <row r="2315" spans="1:5" x14ac:dyDescent="0.35">
      <c r="A2315">
        <v>0</v>
      </c>
      <c r="B2315">
        <v>0</v>
      </c>
      <c r="C2315">
        <v>0</v>
      </c>
      <c r="D2315">
        <v>0</v>
      </c>
      <c r="E2315">
        <v>0</v>
      </c>
    </row>
    <row r="2316" spans="1:5" x14ac:dyDescent="0.35">
      <c r="A2316">
        <v>0</v>
      </c>
      <c r="B2316">
        <v>0</v>
      </c>
      <c r="C2316">
        <v>0</v>
      </c>
      <c r="D2316">
        <v>0</v>
      </c>
      <c r="E2316">
        <v>0</v>
      </c>
    </row>
    <row r="2317" spans="1:5" x14ac:dyDescent="0.35">
      <c r="A2317">
        <v>0</v>
      </c>
      <c r="B2317">
        <v>0</v>
      </c>
      <c r="C2317">
        <v>0</v>
      </c>
      <c r="D2317">
        <v>0</v>
      </c>
      <c r="E2317">
        <v>0</v>
      </c>
    </row>
    <row r="2318" spans="1:5" x14ac:dyDescent="0.35">
      <c r="A2318">
        <v>0</v>
      </c>
      <c r="B2318">
        <v>0</v>
      </c>
      <c r="C2318">
        <v>0</v>
      </c>
      <c r="D2318">
        <v>0</v>
      </c>
      <c r="E2318">
        <v>0</v>
      </c>
    </row>
    <row r="2319" spans="1:5" x14ac:dyDescent="0.35">
      <c r="A2319">
        <v>0</v>
      </c>
      <c r="B2319">
        <v>0</v>
      </c>
      <c r="C2319">
        <v>0</v>
      </c>
      <c r="D2319">
        <v>0</v>
      </c>
      <c r="E2319">
        <v>0</v>
      </c>
    </row>
    <row r="2320" spans="1:5" x14ac:dyDescent="0.35">
      <c r="A2320">
        <v>0</v>
      </c>
      <c r="B2320">
        <v>0</v>
      </c>
      <c r="C2320">
        <v>0</v>
      </c>
      <c r="D2320">
        <v>0</v>
      </c>
      <c r="E2320">
        <v>0</v>
      </c>
    </row>
    <row r="2321" spans="1:5" x14ac:dyDescent="0.35">
      <c r="A2321">
        <v>0</v>
      </c>
      <c r="B2321">
        <v>0</v>
      </c>
      <c r="C2321">
        <v>0</v>
      </c>
      <c r="D2321">
        <v>0</v>
      </c>
      <c r="E2321">
        <v>0</v>
      </c>
    </row>
    <row r="2322" spans="1:5" x14ac:dyDescent="0.35">
      <c r="A2322">
        <v>0</v>
      </c>
      <c r="B2322">
        <v>0</v>
      </c>
      <c r="C2322">
        <v>0</v>
      </c>
      <c r="D2322">
        <v>0</v>
      </c>
      <c r="E2322">
        <v>0</v>
      </c>
    </row>
    <row r="2323" spans="1:5" x14ac:dyDescent="0.35">
      <c r="A2323">
        <v>0</v>
      </c>
      <c r="B2323">
        <v>0</v>
      </c>
      <c r="C2323">
        <v>0</v>
      </c>
      <c r="D2323">
        <v>0</v>
      </c>
      <c r="E2323">
        <v>0</v>
      </c>
    </row>
    <row r="2324" spans="1:5" x14ac:dyDescent="0.35">
      <c r="A2324">
        <v>0</v>
      </c>
      <c r="B2324">
        <v>0</v>
      </c>
      <c r="C2324">
        <v>0</v>
      </c>
      <c r="D2324">
        <v>0</v>
      </c>
      <c r="E2324">
        <v>0</v>
      </c>
    </row>
    <row r="2325" spans="1:5" x14ac:dyDescent="0.35">
      <c r="A2325">
        <v>0</v>
      </c>
      <c r="B2325">
        <v>0</v>
      </c>
      <c r="C2325">
        <v>0</v>
      </c>
      <c r="D2325">
        <v>0</v>
      </c>
      <c r="E2325">
        <v>0</v>
      </c>
    </row>
    <row r="2326" spans="1:5" x14ac:dyDescent="0.35">
      <c r="A2326">
        <v>0</v>
      </c>
      <c r="B2326">
        <v>0</v>
      </c>
      <c r="C2326">
        <v>0</v>
      </c>
      <c r="D2326">
        <v>0</v>
      </c>
      <c r="E2326">
        <v>0</v>
      </c>
    </row>
    <row r="2327" spans="1:5" x14ac:dyDescent="0.35">
      <c r="A2327">
        <v>0</v>
      </c>
      <c r="B2327">
        <v>0</v>
      </c>
      <c r="C2327">
        <v>0</v>
      </c>
      <c r="D2327">
        <v>0</v>
      </c>
      <c r="E2327">
        <v>0</v>
      </c>
    </row>
    <row r="2328" spans="1:5" x14ac:dyDescent="0.35">
      <c r="A2328">
        <v>0</v>
      </c>
      <c r="B2328">
        <v>0</v>
      </c>
      <c r="C2328">
        <v>0</v>
      </c>
      <c r="D2328">
        <v>0</v>
      </c>
      <c r="E2328">
        <v>0</v>
      </c>
    </row>
    <row r="2329" spans="1:5" x14ac:dyDescent="0.35">
      <c r="A2329">
        <v>0</v>
      </c>
      <c r="B2329">
        <v>0</v>
      </c>
      <c r="C2329">
        <v>0</v>
      </c>
      <c r="D2329">
        <v>0</v>
      </c>
      <c r="E2329">
        <v>0</v>
      </c>
    </row>
    <row r="2330" spans="1:5" x14ac:dyDescent="0.35">
      <c r="A2330">
        <v>0</v>
      </c>
      <c r="B2330">
        <v>0</v>
      </c>
      <c r="C2330">
        <v>0</v>
      </c>
      <c r="D2330">
        <v>0</v>
      </c>
      <c r="E2330">
        <v>0</v>
      </c>
    </row>
    <row r="2331" spans="1:5" x14ac:dyDescent="0.35">
      <c r="A2331">
        <v>0</v>
      </c>
      <c r="B2331">
        <v>0</v>
      </c>
      <c r="C2331">
        <v>0</v>
      </c>
      <c r="D2331">
        <v>0</v>
      </c>
      <c r="E2331">
        <v>0</v>
      </c>
    </row>
    <row r="2332" spans="1:5" x14ac:dyDescent="0.35">
      <c r="A2332">
        <v>0</v>
      </c>
      <c r="B2332">
        <v>0</v>
      </c>
      <c r="C2332">
        <v>0</v>
      </c>
      <c r="D2332">
        <v>0</v>
      </c>
      <c r="E2332">
        <v>0</v>
      </c>
    </row>
    <row r="2333" spans="1:5" x14ac:dyDescent="0.35">
      <c r="A2333">
        <v>0</v>
      </c>
      <c r="B2333">
        <v>0</v>
      </c>
      <c r="C2333">
        <v>0</v>
      </c>
      <c r="D2333">
        <v>0</v>
      </c>
      <c r="E2333">
        <v>0</v>
      </c>
    </row>
    <row r="2334" spans="1:5" x14ac:dyDescent="0.35">
      <c r="A2334">
        <v>0</v>
      </c>
      <c r="B2334">
        <v>0</v>
      </c>
      <c r="C2334">
        <v>0</v>
      </c>
      <c r="D2334">
        <v>0</v>
      </c>
      <c r="E2334">
        <v>0</v>
      </c>
    </row>
    <row r="2335" spans="1:5" x14ac:dyDescent="0.35">
      <c r="A2335">
        <v>0</v>
      </c>
      <c r="B2335">
        <v>0</v>
      </c>
      <c r="C2335">
        <v>0</v>
      </c>
      <c r="D2335">
        <v>0</v>
      </c>
      <c r="E2335">
        <v>0</v>
      </c>
    </row>
    <row r="2336" spans="1:5" x14ac:dyDescent="0.35">
      <c r="A2336">
        <v>0</v>
      </c>
      <c r="B2336">
        <v>0</v>
      </c>
      <c r="C2336">
        <v>0</v>
      </c>
      <c r="D2336">
        <v>0</v>
      </c>
      <c r="E2336">
        <v>0</v>
      </c>
    </row>
    <row r="2337" spans="1:5" x14ac:dyDescent="0.35">
      <c r="A2337">
        <v>0</v>
      </c>
      <c r="B2337">
        <v>0</v>
      </c>
      <c r="C2337">
        <v>0</v>
      </c>
      <c r="D2337">
        <v>0</v>
      </c>
      <c r="E2337">
        <v>0</v>
      </c>
    </row>
    <row r="2338" spans="1:5" x14ac:dyDescent="0.35">
      <c r="A2338">
        <v>0</v>
      </c>
      <c r="B2338">
        <v>0</v>
      </c>
      <c r="C2338">
        <v>0</v>
      </c>
      <c r="D2338">
        <v>0</v>
      </c>
      <c r="E2338">
        <v>0</v>
      </c>
    </row>
    <row r="2339" spans="1:5" x14ac:dyDescent="0.35">
      <c r="A2339">
        <v>0</v>
      </c>
      <c r="B2339">
        <v>0</v>
      </c>
      <c r="C2339">
        <v>0</v>
      </c>
      <c r="D2339">
        <v>0</v>
      </c>
      <c r="E2339">
        <v>0</v>
      </c>
    </row>
    <row r="2340" spans="1:5" x14ac:dyDescent="0.35">
      <c r="A2340">
        <v>0</v>
      </c>
      <c r="B2340">
        <v>0</v>
      </c>
      <c r="C2340">
        <v>0</v>
      </c>
      <c r="D2340">
        <v>0</v>
      </c>
      <c r="E2340">
        <v>0</v>
      </c>
    </row>
    <row r="2341" spans="1:5" x14ac:dyDescent="0.35">
      <c r="A2341">
        <v>0</v>
      </c>
      <c r="B2341">
        <v>0</v>
      </c>
      <c r="C2341">
        <v>0</v>
      </c>
      <c r="D2341">
        <v>0</v>
      </c>
      <c r="E2341">
        <v>0</v>
      </c>
    </row>
    <row r="2342" spans="1:5" x14ac:dyDescent="0.35">
      <c r="A2342">
        <v>0</v>
      </c>
      <c r="B2342">
        <v>0</v>
      </c>
      <c r="C2342">
        <v>0</v>
      </c>
      <c r="D2342">
        <v>0</v>
      </c>
      <c r="E2342">
        <v>0</v>
      </c>
    </row>
    <row r="2343" spans="1:5" x14ac:dyDescent="0.35">
      <c r="A2343">
        <v>0</v>
      </c>
      <c r="B2343">
        <v>0</v>
      </c>
      <c r="C2343">
        <v>0</v>
      </c>
      <c r="D2343">
        <v>0</v>
      </c>
      <c r="E2343">
        <v>0</v>
      </c>
    </row>
    <row r="2344" spans="1:5" x14ac:dyDescent="0.35">
      <c r="A2344">
        <v>0</v>
      </c>
      <c r="B2344">
        <v>0</v>
      </c>
      <c r="C2344">
        <v>0</v>
      </c>
      <c r="D2344">
        <v>0</v>
      </c>
      <c r="E2344">
        <v>0</v>
      </c>
    </row>
    <row r="2345" spans="1:5" x14ac:dyDescent="0.35">
      <c r="A2345">
        <v>0</v>
      </c>
      <c r="B2345">
        <v>0</v>
      </c>
      <c r="C2345">
        <v>0</v>
      </c>
      <c r="D2345">
        <v>0</v>
      </c>
      <c r="E2345">
        <v>0</v>
      </c>
    </row>
    <row r="2346" spans="1:5" x14ac:dyDescent="0.35">
      <c r="A2346">
        <v>0</v>
      </c>
      <c r="B2346">
        <v>0</v>
      </c>
      <c r="C2346">
        <v>0</v>
      </c>
      <c r="D2346">
        <v>0</v>
      </c>
      <c r="E2346">
        <v>0</v>
      </c>
    </row>
    <row r="2347" spans="1:5" x14ac:dyDescent="0.35">
      <c r="A2347">
        <v>0</v>
      </c>
      <c r="B2347">
        <v>0</v>
      </c>
      <c r="C2347">
        <v>0</v>
      </c>
      <c r="D2347">
        <v>0</v>
      </c>
      <c r="E2347">
        <v>0</v>
      </c>
    </row>
    <row r="2348" spans="1:5" x14ac:dyDescent="0.35">
      <c r="A2348">
        <v>0</v>
      </c>
      <c r="B2348">
        <v>0</v>
      </c>
      <c r="C2348">
        <v>0</v>
      </c>
      <c r="D2348">
        <v>0</v>
      </c>
      <c r="E2348">
        <v>0</v>
      </c>
    </row>
    <row r="2349" spans="1:5" x14ac:dyDescent="0.35">
      <c r="A2349">
        <v>0</v>
      </c>
      <c r="B2349">
        <v>0</v>
      </c>
      <c r="C2349">
        <v>0</v>
      </c>
      <c r="D2349">
        <v>0</v>
      </c>
      <c r="E2349">
        <v>0</v>
      </c>
    </row>
    <row r="2350" spans="1:5" x14ac:dyDescent="0.35">
      <c r="A2350">
        <v>0</v>
      </c>
      <c r="B2350">
        <v>0</v>
      </c>
      <c r="C2350">
        <v>0</v>
      </c>
      <c r="D2350">
        <v>0</v>
      </c>
      <c r="E2350">
        <v>0</v>
      </c>
    </row>
    <row r="2351" spans="1:5" x14ac:dyDescent="0.35">
      <c r="A2351">
        <v>0</v>
      </c>
      <c r="B2351">
        <v>0</v>
      </c>
      <c r="C2351">
        <v>0</v>
      </c>
      <c r="D2351">
        <v>0</v>
      </c>
      <c r="E2351">
        <v>0</v>
      </c>
    </row>
    <row r="2352" spans="1:5" x14ac:dyDescent="0.35">
      <c r="A2352">
        <v>0</v>
      </c>
      <c r="B2352">
        <v>0</v>
      </c>
      <c r="C2352">
        <v>0</v>
      </c>
      <c r="D2352">
        <v>0</v>
      </c>
      <c r="E2352">
        <v>0</v>
      </c>
    </row>
    <row r="2353" spans="1:5" x14ac:dyDescent="0.35">
      <c r="A2353">
        <v>0</v>
      </c>
      <c r="B2353">
        <v>0</v>
      </c>
      <c r="C2353">
        <v>0</v>
      </c>
      <c r="D2353">
        <v>0</v>
      </c>
      <c r="E2353">
        <v>0</v>
      </c>
    </row>
    <row r="2354" spans="1:5" x14ac:dyDescent="0.35">
      <c r="A2354">
        <v>0</v>
      </c>
      <c r="B2354">
        <v>0</v>
      </c>
      <c r="C2354">
        <v>0</v>
      </c>
      <c r="D2354">
        <v>0</v>
      </c>
      <c r="E2354">
        <v>0</v>
      </c>
    </row>
    <row r="2355" spans="1:5" x14ac:dyDescent="0.35">
      <c r="A2355">
        <v>0</v>
      </c>
      <c r="B2355">
        <v>0</v>
      </c>
      <c r="C2355">
        <v>0</v>
      </c>
      <c r="D2355">
        <v>0</v>
      </c>
      <c r="E2355">
        <v>0</v>
      </c>
    </row>
    <row r="2356" spans="1:5" x14ac:dyDescent="0.35">
      <c r="A2356">
        <v>0</v>
      </c>
      <c r="B2356">
        <v>0</v>
      </c>
      <c r="C2356">
        <v>0</v>
      </c>
      <c r="D2356">
        <v>0</v>
      </c>
      <c r="E2356">
        <v>0</v>
      </c>
    </row>
    <row r="2357" spans="1:5" x14ac:dyDescent="0.35">
      <c r="A2357">
        <v>0</v>
      </c>
      <c r="B2357">
        <v>0</v>
      </c>
      <c r="C2357">
        <v>0</v>
      </c>
      <c r="D2357">
        <v>0</v>
      </c>
      <c r="E2357">
        <v>0</v>
      </c>
    </row>
    <row r="2358" spans="1:5" x14ac:dyDescent="0.35">
      <c r="A2358">
        <v>0</v>
      </c>
      <c r="B2358">
        <v>0</v>
      </c>
      <c r="C2358">
        <v>0</v>
      </c>
      <c r="D2358">
        <v>0</v>
      </c>
      <c r="E2358">
        <v>0</v>
      </c>
    </row>
    <row r="2359" spans="1:5" x14ac:dyDescent="0.35">
      <c r="A2359">
        <v>0</v>
      </c>
      <c r="B2359">
        <v>0</v>
      </c>
      <c r="C2359">
        <v>0</v>
      </c>
      <c r="D2359">
        <v>0</v>
      </c>
      <c r="E2359">
        <v>0</v>
      </c>
    </row>
    <row r="2360" spans="1:5" x14ac:dyDescent="0.35">
      <c r="A2360">
        <v>0</v>
      </c>
      <c r="B2360">
        <v>0</v>
      </c>
      <c r="C2360">
        <v>0</v>
      </c>
      <c r="D2360">
        <v>0</v>
      </c>
      <c r="E2360">
        <v>0</v>
      </c>
    </row>
    <row r="2361" spans="1:5" x14ac:dyDescent="0.35">
      <c r="A2361">
        <v>0</v>
      </c>
      <c r="B2361">
        <v>0</v>
      </c>
      <c r="C2361">
        <v>0</v>
      </c>
      <c r="D2361">
        <v>0</v>
      </c>
      <c r="E2361">
        <v>0</v>
      </c>
    </row>
    <row r="2362" spans="1:5" x14ac:dyDescent="0.35">
      <c r="A2362">
        <v>0</v>
      </c>
      <c r="B2362">
        <v>0</v>
      </c>
      <c r="C2362">
        <v>0</v>
      </c>
      <c r="D2362">
        <v>0</v>
      </c>
      <c r="E2362">
        <v>0</v>
      </c>
    </row>
    <row r="2363" spans="1:5" x14ac:dyDescent="0.35">
      <c r="A2363">
        <v>0</v>
      </c>
      <c r="B2363">
        <v>0</v>
      </c>
      <c r="C2363">
        <v>0</v>
      </c>
      <c r="D2363">
        <v>0</v>
      </c>
      <c r="E2363">
        <v>0</v>
      </c>
    </row>
    <row r="2364" spans="1:5" x14ac:dyDescent="0.35">
      <c r="A2364">
        <v>0</v>
      </c>
      <c r="B2364">
        <v>0</v>
      </c>
      <c r="C2364">
        <v>0</v>
      </c>
      <c r="D2364">
        <v>0</v>
      </c>
      <c r="E2364">
        <v>0</v>
      </c>
    </row>
    <row r="2365" spans="1:5" x14ac:dyDescent="0.35">
      <c r="A2365">
        <v>0</v>
      </c>
      <c r="B2365">
        <v>0</v>
      </c>
      <c r="C2365">
        <v>0</v>
      </c>
      <c r="D2365">
        <v>0</v>
      </c>
      <c r="E2365">
        <v>0</v>
      </c>
    </row>
    <row r="2366" spans="1:5" x14ac:dyDescent="0.35">
      <c r="A2366">
        <v>0</v>
      </c>
      <c r="B2366">
        <v>0</v>
      </c>
      <c r="C2366">
        <v>0</v>
      </c>
      <c r="D2366">
        <v>0</v>
      </c>
      <c r="E2366">
        <v>0</v>
      </c>
    </row>
    <row r="2367" spans="1:5" x14ac:dyDescent="0.35">
      <c r="A2367">
        <v>0</v>
      </c>
      <c r="B2367">
        <v>0</v>
      </c>
      <c r="C2367">
        <v>0</v>
      </c>
      <c r="D2367">
        <v>0</v>
      </c>
      <c r="E2367">
        <v>0</v>
      </c>
    </row>
    <row r="2368" spans="1:5" x14ac:dyDescent="0.35">
      <c r="A2368">
        <v>0</v>
      </c>
      <c r="B2368">
        <v>0</v>
      </c>
      <c r="C2368">
        <v>0</v>
      </c>
      <c r="D2368">
        <v>0</v>
      </c>
      <c r="E2368">
        <v>0</v>
      </c>
    </row>
    <row r="2369" spans="1:5" x14ac:dyDescent="0.35">
      <c r="A2369">
        <v>0</v>
      </c>
      <c r="B2369">
        <v>0</v>
      </c>
      <c r="C2369">
        <v>0</v>
      </c>
      <c r="D2369">
        <v>0</v>
      </c>
      <c r="E2369">
        <v>0</v>
      </c>
    </row>
    <row r="2370" spans="1:5" x14ac:dyDescent="0.35">
      <c r="A2370">
        <v>0</v>
      </c>
      <c r="B2370">
        <v>0</v>
      </c>
      <c r="C2370">
        <v>0</v>
      </c>
      <c r="D2370">
        <v>0</v>
      </c>
      <c r="E2370">
        <v>0</v>
      </c>
    </row>
    <row r="2371" spans="1:5" x14ac:dyDescent="0.35">
      <c r="A2371">
        <v>0</v>
      </c>
      <c r="B2371">
        <v>0</v>
      </c>
      <c r="C2371">
        <v>0</v>
      </c>
      <c r="D2371">
        <v>0</v>
      </c>
      <c r="E2371">
        <v>0</v>
      </c>
    </row>
    <row r="2372" spans="1:5" x14ac:dyDescent="0.35">
      <c r="A2372">
        <v>0</v>
      </c>
      <c r="B2372">
        <v>0</v>
      </c>
      <c r="C2372">
        <v>0</v>
      </c>
      <c r="D2372">
        <v>0</v>
      </c>
      <c r="E2372">
        <v>0</v>
      </c>
    </row>
    <row r="2373" spans="1:5" x14ac:dyDescent="0.35">
      <c r="A2373">
        <v>0</v>
      </c>
      <c r="B2373">
        <v>0</v>
      </c>
      <c r="C2373">
        <v>0</v>
      </c>
      <c r="D2373">
        <v>0</v>
      </c>
      <c r="E2373">
        <v>0</v>
      </c>
    </row>
    <row r="2374" spans="1:5" x14ac:dyDescent="0.35">
      <c r="A2374">
        <v>0</v>
      </c>
      <c r="B2374">
        <v>0</v>
      </c>
      <c r="C2374">
        <v>0</v>
      </c>
      <c r="D2374">
        <v>0</v>
      </c>
      <c r="E2374">
        <v>0</v>
      </c>
    </row>
    <row r="2375" spans="1:5" x14ac:dyDescent="0.35">
      <c r="A2375">
        <v>0</v>
      </c>
      <c r="B2375">
        <v>0</v>
      </c>
      <c r="C2375">
        <v>0</v>
      </c>
      <c r="D2375">
        <v>0</v>
      </c>
      <c r="E2375">
        <v>0</v>
      </c>
    </row>
    <row r="2376" spans="1:5" x14ac:dyDescent="0.35">
      <c r="A2376">
        <v>0</v>
      </c>
      <c r="B2376">
        <v>0</v>
      </c>
      <c r="C2376">
        <v>0</v>
      </c>
      <c r="D2376">
        <v>0</v>
      </c>
      <c r="E2376">
        <v>0</v>
      </c>
    </row>
    <row r="2377" spans="1:5" x14ac:dyDescent="0.35">
      <c r="A2377">
        <v>0</v>
      </c>
      <c r="B2377">
        <v>0</v>
      </c>
      <c r="C2377">
        <v>0</v>
      </c>
      <c r="D2377">
        <v>0</v>
      </c>
      <c r="E2377">
        <v>0</v>
      </c>
    </row>
    <row r="2378" spans="1:5" x14ac:dyDescent="0.35">
      <c r="A2378">
        <v>0</v>
      </c>
      <c r="B2378">
        <v>0</v>
      </c>
      <c r="C2378">
        <v>0</v>
      </c>
      <c r="D2378">
        <v>0</v>
      </c>
      <c r="E2378">
        <v>0</v>
      </c>
    </row>
    <row r="2379" spans="1:5" x14ac:dyDescent="0.35">
      <c r="A2379">
        <v>0</v>
      </c>
      <c r="B2379">
        <v>0</v>
      </c>
      <c r="C2379">
        <v>0</v>
      </c>
      <c r="D2379">
        <v>0</v>
      </c>
      <c r="E2379">
        <v>0</v>
      </c>
    </row>
    <row r="2380" spans="1:5" x14ac:dyDescent="0.35">
      <c r="A2380">
        <v>0</v>
      </c>
      <c r="B2380">
        <v>0</v>
      </c>
      <c r="C2380">
        <v>0</v>
      </c>
      <c r="D2380">
        <v>0</v>
      </c>
      <c r="E2380">
        <v>0</v>
      </c>
    </row>
    <row r="2381" spans="1:5" x14ac:dyDescent="0.35">
      <c r="A2381">
        <v>0</v>
      </c>
      <c r="B2381">
        <v>0</v>
      </c>
      <c r="C2381">
        <v>0</v>
      </c>
      <c r="D2381">
        <v>0</v>
      </c>
      <c r="E2381">
        <v>0</v>
      </c>
    </row>
    <row r="2382" spans="1:5" x14ac:dyDescent="0.35">
      <c r="A2382">
        <v>0</v>
      </c>
      <c r="B2382">
        <v>0</v>
      </c>
      <c r="C2382">
        <v>0</v>
      </c>
      <c r="D2382">
        <v>0</v>
      </c>
      <c r="E2382">
        <v>0</v>
      </c>
    </row>
    <row r="2383" spans="1:5" x14ac:dyDescent="0.35">
      <c r="A2383">
        <v>0</v>
      </c>
      <c r="B2383">
        <v>0</v>
      </c>
      <c r="C2383">
        <v>0</v>
      </c>
      <c r="D2383">
        <v>0</v>
      </c>
      <c r="E2383">
        <v>0</v>
      </c>
    </row>
    <row r="2384" spans="1:5" x14ac:dyDescent="0.35">
      <c r="A2384">
        <v>0</v>
      </c>
      <c r="B2384">
        <v>0</v>
      </c>
      <c r="C2384">
        <v>0</v>
      </c>
      <c r="D2384">
        <v>0</v>
      </c>
      <c r="E2384">
        <v>0</v>
      </c>
    </row>
    <row r="2385" spans="1:5" x14ac:dyDescent="0.35">
      <c r="A2385">
        <v>0</v>
      </c>
      <c r="B2385">
        <v>0</v>
      </c>
      <c r="C2385">
        <v>0</v>
      </c>
      <c r="D2385">
        <v>0</v>
      </c>
      <c r="E2385">
        <v>0</v>
      </c>
    </row>
    <row r="2386" spans="1:5" x14ac:dyDescent="0.35">
      <c r="A2386">
        <v>0</v>
      </c>
      <c r="B2386">
        <v>0</v>
      </c>
      <c r="C2386">
        <v>0</v>
      </c>
      <c r="D2386">
        <v>0</v>
      </c>
      <c r="E2386">
        <v>0</v>
      </c>
    </row>
    <row r="2387" spans="1:5" x14ac:dyDescent="0.35">
      <c r="A2387">
        <v>0</v>
      </c>
      <c r="B2387">
        <v>0</v>
      </c>
      <c r="C2387">
        <v>0</v>
      </c>
      <c r="D2387">
        <v>0</v>
      </c>
      <c r="E2387">
        <v>0</v>
      </c>
    </row>
    <row r="2388" spans="1:5" x14ac:dyDescent="0.35">
      <c r="A2388">
        <v>0</v>
      </c>
      <c r="B2388">
        <v>0</v>
      </c>
      <c r="C2388">
        <v>0</v>
      </c>
      <c r="D2388">
        <v>0</v>
      </c>
      <c r="E2388">
        <v>0</v>
      </c>
    </row>
    <row r="2389" spans="1:5" x14ac:dyDescent="0.35">
      <c r="A2389">
        <v>0</v>
      </c>
      <c r="B2389">
        <v>0</v>
      </c>
      <c r="C2389">
        <v>0</v>
      </c>
      <c r="D2389">
        <v>0</v>
      </c>
      <c r="E2389">
        <v>0</v>
      </c>
    </row>
    <row r="2390" spans="1:5" x14ac:dyDescent="0.35">
      <c r="A2390">
        <v>0</v>
      </c>
      <c r="B2390">
        <v>0</v>
      </c>
      <c r="C2390">
        <v>0</v>
      </c>
      <c r="D2390">
        <v>0</v>
      </c>
      <c r="E2390">
        <v>0</v>
      </c>
    </row>
    <row r="2391" spans="1:5" x14ac:dyDescent="0.35">
      <c r="A2391">
        <v>0</v>
      </c>
      <c r="B2391">
        <v>0</v>
      </c>
      <c r="C2391">
        <v>0</v>
      </c>
      <c r="D2391">
        <v>0</v>
      </c>
      <c r="E2391">
        <v>0</v>
      </c>
    </row>
    <row r="2392" spans="1:5" x14ac:dyDescent="0.35">
      <c r="A2392">
        <v>0</v>
      </c>
      <c r="B2392">
        <v>0</v>
      </c>
      <c r="C2392">
        <v>0</v>
      </c>
      <c r="D2392">
        <v>0</v>
      </c>
      <c r="E2392">
        <v>0</v>
      </c>
    </row>
    <row r="2393" spans="1:5" x14ac:dyDescent="0.35">
      <c r="A2393">
        <v>0</v>
      </c>
      <c r="B2393">
        <v>0</v>
      </c>
      <c r="C2393">
        <v>0</v>
      </c>
      <c r="D2393">
        <v>0</v>
      </c>
      <c r="E2393">
        <v>0</v>
      </c>
    </row>
    <row r="2394" spans="1:5" x14ac:dyDescent="0.35">
      <c r="A2394">
        <v>0</v>
      </c>
      <c r="B2394">
        <v>0</v>
      </c>
      <c r="C2394">
        <v>0</v>
      </c>
      <c r="D2394">
        <v>0</v>
      </c>
      <c r="E2394">
        <v>0</v>
      </c>
    </row>
    <row r="2395" spans="1:5" x14ac:dyDescent="0.35">
      <c r="A2395">
        <v>0</v>
      </c>
      <c r="B2395">
        <v>0</v>
      </c>
      <c r="C2395">
        <v>0</v>
      </c>
      <c r="D2395">
        <v>0</v>
      </c>
      <c r="E2395">
        <v>0</v>
      </c>
    </row>
    <row r="2396" spans="1:5" x14ac:dyDescent="0.35">
      <c r="A2396">
        <v>0</v>
      </c>
      <c r="B2396">
        <v>0</v>
      </c>
      <c r="C2396">
        <v>0</v>
      </c>
      <c r="D2396">
        <v>0</v>
      </c>
      <c r="E2396">
        <v>0</v>
      </c>
    </row>
    <row r="2397" spans="1:5" x14ac:dyDescent="0.35">
      <c r="A2397">
        <v>0</v>
      </c>
      <c r="B2397">
        <v>0</v>
      </c>
      <c r="C2397">
        <v>0</v>
      </c>
      <c r="D2397">
        <v>0</v>
      </c>
      <c r="E2397">
        <v>0</v>
      </c>
    </row>
    <row r="2398" spans="1:5" x14ac:dyDescent="0.35">
      <c r="A2398">
        <v>0</v>
      </c>
      <c r="B2398">
        <v>0</v>
      </c>
      <c r="C2398">
        <v>0</v>
      </c>
      <c r="D2398">
        <v>0</v>
      </c>
      <c r="E2398">
        <v>0</v>
      </c>
    </row>
    <row r="2399" spans="1:5" x14ac:dyDescent="0.35">
      <c r="A2399">
        <v>0</v>
      </c>
      <c r="B2399">
        <v>0</v>
      </c>
      <c r="C2399">
        <v>0</v>
      </c>
      <c r="D2399">
        <v>0</v>
      </c>
      <c r="E2399">
        <v>0</v>
      </c>
    </row>
    <row r="2400" spans="1:5" x14ac:dyDescent="0.35">
      <c r="A2400">
        <v>0</v>
      </c>
      <c r="B2400">
        <v>0</v>
      </c>
      <c r="C2400">
        <v>0</v>
      </c>
      <c r="D2400">
        <v>0</v>
      </c>
      <c r="E2400">
        <v>0</v>
      </c>
    </row>
    <row r="2401" spans="1:5" x14ac:dyDescent="0.35">
      <c r="A2401">
        <v>0</v>
      </c>
      <c r="B2401">
        <v>0</v>
      </c>
      <c r="C2401">
        <v>0</v>
      </c>
      <c r="D2401">
        <v>0</v>
      </c>
      <c r="E2401">
        <v>0</v>
      </c>
    </row>
    <row r="2402" spans="1:5" x14ac:dyDescent="0.35">
      <c r="A2402">
        <v>0</v>
      </c>
      <c r="B2402">
        <v>0</v>
      </c>
      <c r="C2402">
        <v>0</v>
      </c>
      <c r="D2402">
        <v>0</v>
      </c>
      <c r="E2402">
        <v>0</v>
      </c>
    </row>
    <row r="2403" spans="1:5" x14ac:dyDescent="0.35">
      <c r="A2403">
        <v>0</v>
      </c>
      <c r="B2403">
        <v>0</v>
      </c>
      <c r="C2403">
        <v>0</v>
      </c>
      <c r="D2403">
        <v>0</v>
      </c>
      <c r="E2403">
        <v>0</v>
      </c>
    </row>
    <row r="2404" spans="1:5" x14ac:dyDescent="0.35">
      <c r="A2404">
        <v>0</v>
      </c>
      <c r="B2404">
        <v>0</v>
      </c>
      <c r="C2404">
        <v>0</v>
      </c>
      <c r="D2404">
        <v>0</v>
      </c>
      <c r="E2404">
        <v>0</v>
      </c>
    </row>
    <row r="2405" spans="1:5" x14ac:dyDescent="0.35">
      <c r="A2405">
        <v>0</v>
      </c>
      <c r="B2405">
        <v>0</v>
      </c>
      <c r="C2405">
        <v>0</v>
      </c>
      <c r="D2405">
        <v>0</v>
      </c>
      <c r="E2405">
        <v>0</v>
      </c>
    </row>
    <row r="2406" spans="1:5" x14ac:dyDescent="0.35">
      <c r="A2406">
        <v>0</v>
      </c>
      <c r="B2406">
        <v>0</v>
      </c>
      <c r="C2406">
        <v>0</v>
      </c>
      <c r="D2406">
        <v>0</v>
      </c>
      <c r="E2406">
        <v>0</v>
      </c>
    </row>
    <row r="2407" spans="1:5" x14ac:dyDescent="0.35">
      <c r="A2407">
        <v>0</v>
      </c>
      <c r="B2407">
        <v>0</v>
      </c>
      <c r="C2407">
        <v>0</v>
      </c>
      <c r="D2407">
        <v>0</v>
      </c>
      <c r="E2407">
        <v>0</v>
      </c>
    </row>
    <row r="2408" spans="1:5" x14ac:dyDescent="0.35">
      <c r="A2408">
        <v>0</v>
      </c>
      <c r="B2408">
        <v>0</v>
      </c>
      <c r="C2408">
        <v>0</v>
      </c>
      <c r="D2408">
        <v>0</v>
      </c>
      <c r="E2408">
        <v>0</v>
      </c>
    </row>
    <row r="2409" spans="1:5" x14ac:dyDescent="0.35">
      <c r="A2409">
        <v>0</v>
      </c>
      <c r="B2409">
        <v>0</v>
      </c>
      <c r="C2409">
        <v>0</v>
      </c>
      <c r="D2409">
        <v>0</v>
      </c>
      <c r="E2409">
        <v>0</v>
      </c>
    </row>
    <row r="2410" spans="1:5" x14ac:dyDescent="0.35">
      <c r="A2410">
        <v>0</v>
      </c>
      <c r="B2410">
        <v>0</v>
      </c>
      <c r="C2410">
        <v>0</v>
      </c>
      <c r="D2410">
        <v>0</v>
      </c>
      <c r="E2410">
        <v>0</v>
      </c>
    </row>
    <row r="2411" spans="1:5" x14ac:dyDescent="0.35">
      <c r="A2411">
        <v>0</v>
      </c>
      <c r="B2411">
        <v>0</v>
      </c>
      <c r="C2411">
        <v>0</v>
      </c>
      <c r="D2411">
        <v>0</v>
      </c>
      <c r="E2411">
        <v>0</v>
      </c>
    </row>
    <row r="2412" spans="1:5" x14ac:dyDescent="0.35">
      <c r="A2412">
        <v>0</v>
      </c>
      <c r="B2412">
        <v>0</v>
      </c>
      <c r="C2412">
        <v>0</v>
      </c>
      <c r="D2412">
        <v>0</v>
      </c>
      <c r="E2412">
        <v>0</v>
      </c>
    </row>
    <row r="2413" spans="1:5" x14ac:dyDescent="0.35">
      <c r="A2413">
        <v>0</v>
      </c>
      <c r="B2413">
        <v>0</v>
      </c>
      <c r="C2413">
        <v>0</v>
      </c>
      <c r="D2413">
        <v>0</v>
      </c>
      <c r="E2413">
        <v>0</v>
      </c>
    </row>
    <row r="2414" spans="1:5" x14ac:dyDescent="0.35">
      <c r="A2414">
        <v>0</v>
      </c>
      <c r="B2414">
        <v>0</v>
      </c>
      <c r="C2414">
        <v>0</v>
      </c>
      <c r="D2414">
        <v>0</v>
      </c>
      <c r="E2414">
        <v>0</v>
      </c>
    </row>
    <row r="2415" spans="1:5" x14ac:dyDescent="0.35">
      <c r="A2415">
        <v>0</v>
      </c>
      <c r="B2415">
        <v>0</v>
      </c>
      <c r="C2415">
        <v>0</v>
      </c>
      <c r="D2415">
        <v>0</v>
      </c>
      <c r="E2415">
        <v>0</v>
      </c>
    </row>
    <row r="2416" spans="1:5" x14ac:dyDescent="0.35">
      <c r="A2416">
        <v>0</v>
      </c>
      <c r="B2416">
        <v>0</v>
      </c>
      <c r="C2416">
        <v>0</v>
      </c>
      <c r="D2416">
        <v>0</v>
      </c>
      <c r="E2416">
        <v>0</v>
      </c>
    </row>
    <row r="2417" spans="1:5" x14ac:dyDescent="0.35">
      <c r="A2417">
        <v>0</v>
      </c>
      <c r="B2417">
        <v>0</v>
      </c>
      <c r="C2417">
        <v>0</v>
      </c>
      <c r="D2417">
        <v>0</v>
      </c>
      <c r="E2417">
        <v>0</v>
      </c>
    </row>
    <row r="2418" spans="1:5" x14ac:dyDescent="0.35">
      <c r="A2418">
        <v>0</v>
      </c>
      <c r="B2418">
        <v>0</v>
      </c>
      <c r="C2418">
        <v>0</v>
      </c>
      <c r="D2418">
        <v>0</v>
      </c>
      <c r="E2418">
        <v>0</v>
      </c>
    </row>
    <row r="2419" spans="1:5" x14ac:dyDescent="0.35">
      <c r="A2419">
        <v>0</v>
      </c>
      <c r="B2419">
        <v>0</v>
      </c>
      <c r="C2419">
        <v>0</v>
      </c>
      <c r="D2419">
        <v>0</v>
      </c>
      <c r="E2419">
        <v>0</v>
      </c>
    </row>
    <row r="2420" spans="1:5" x14ac:dyDescent="0.35">
      <c r="A2420">
        <v>0</v>
      </c>
      <c r="B2420">
        <v>0</v>
      </c>
      <c r="C2420">
        <v>0</v>
      </c>
      <c r="D2420">
        <v>0</v>
      </c>
      <c r="E2420">
        <v>0</v>
      </c>
    </row>
    <row r="2421" spans="1:5" x14ac:dyDescent="0.35">
      <c r="A2421">
        <v>0</v>
      </c>
      <c r="B2421">
        <v>0</v>
      </c>
      <c r="C2421">
        <v>0</v>
      </c>
      <c r="D2421">
        <v>0</v>
      </c>
      <c r="E2421">
        <v>0</v>
      </c>
    </row>
    <row r="2422" spans="1:5" x14ac:dyDescent="0.35">
      <c r="A2422">
        <v>0</v>
      </c>
      <c r="B2422">
        <v>0</v>
      </c>
      <c r="C2422">
        <v>0</v>
      </c>
      <c r="D2422">
        <v>0</v>
      </c>
      <c r="E2422">
        <v>0</v>
      </c>
    </row>
    <row r="2423" spans="1:5" x14ac:dyDescent="0.35">
      <c r="A2423">
        <v>0</v>
      </c>
      <c r="B2423">
        <v>0</v>
      </c>
      <c r="C2423">
        <v>0</v>
      </c>
      <c r="D2423">
        <v>0</v>
      </c>
      <c r="E2423">
        <v>0</v>
      </c>
    </row>
    <row r="2424" spans="1:5" x14ac:dyDescent="0.35">
      <c r="A2424">
        <v>0</v>
      </c>
      <c r="B2424">
        <v>0</v>
      </c>
      <c r="C2424">
        <v>0</v>
      </c>
      <c r="D2424">
        <v>0</v>
      </c>
      <c r="E2424">
        <v>0</v>
      </c>
    </row>
    <row r="2425" spans="1:5" x14ac:dyDescent="0.35">
      <c r="A2425">
        <v>0</v>
      </c>
      <c r="B2425">
        <v>0</v>
      </c>
      <c r="C2425">
        <v>0</v>
      </c>
      <c r="D2425">
        <v>0</v>
      </c>
      <c r="E2425">
        <v>0</v>
      </c>
    </row>
    <row r="2426" spans="1:5" x14ac:dyDescent="0.35">
      <c r="A2426">
        <v>0</v>
      </c>
      <c r="B2426">
        <v>0</v>
      </c>
      <c r="C2426">
        <v>0</v>
      </c>
      <c r="D2426">
        <v>0</v>
      </c>
      <c r="E2426">
        <v>0</v>
      </c>
    </row>
    <row r="2427" spans="1:5" x14ac:dyDescent="0.35">
      <c r="A2427">
        <v>0</v>
      </c>
      <c r="B2427">
        <v>0</v>
      </c>
      <c r="C2427">
        <v>0</v>
      </c>
      <c r="D2427">
        <v>0</v>
      </c>
      <c r="E2427">
        <v>0</v>
      </c>
    </row>
    <row r="2428" spans="1:5" x14ac:dyDescent="0.35">
      <c r="A2428">
        <v>0</v>
      </c>
      <c r="B2428">
        <v>0</v>
      </c>
      <c r="C2428">
        <v>0</v>
      </c>
      <c r="D2428">
        <v>0</v>
      </c>
      <c r="E2428">
        <v>0</v>
      </c>
    </row>
    <row r="2429" spans="1:5" x14ac:dyDescent="0.35">
      <c r="A2429">
        <v>0</v>
      </c>
      <c r="B2429">
        <v>0</v>
      </c>
      <c r="C2429">
        <v>0</v>
      </c>
      <c r="D2429">
        <v>0</v>
      </c>
      <c r="E2429">
        <v>0</v>
      </c>
    </row>
    <row r="2430" spans="1:5" x14ac:dyDescent="0.35">
      <c r="A2430">
        <v>0</v>
      </c>
      <c r="B2430">
        <v>0</v>
      </c>
      <c r="C2430">
        <v>0</v>
      </c>
      <c r="D2430">
        <v>0</v>
      </c>
      <c r="E2430">
        <v>0</v>
      </c>
    </row>
    <row r="2431" spans="1:5" x14ac:dyDescent="0.35">
      <c r="A2431">
        <v>0</v>
      </c>
      <c r="B2431">
        <v>0</v>
      </c>
      <c r="C2431">
        <v>0</v>
      </c>
      <c r="D2431">
        <v>0</v>
      </c>
      <c r="E2431">
        <v>0</v>
      </c>
    </row>
    <row r="2432" spans="1:5" x14ac:dyDescent="0.35">
      <c r="A2432">
        <v>0</v>
      </c>
      <c r="B2432">
        <v>0</v>
      </c>
      <c r="C2432">
        <v>0</v>
      </c>
      <c r="D2432">
        <v>0</v>
      </c>
      <c r="E2432">
        <v>0</v>
      </c>
    </row>
    <row r="2433" spans="1:5" x14ac:dyDescent="0.35">
      <c r="A2433">
        <v>0</v>
      </c>
      <c r="B2433">
        <v>0</v>
      </c>
      <c r="C2433">
        <v>0</v>
      </c>
      <c r="D2433">
        <v>0</v>
      </c>
      <c r="E2433">
        <v>0</v>
      </c>
    </row>
    <row r="2434" spans="1:5" x14ac:dyDescent="0.35">
      <c r="A2434">
        <v>0</v>
      </c>
      <c r="B2434">
        <v>0</v>
      </c>
      <c r="C2434">
        <v>0</v>
      </c>
      <c r="D2434">
        <v>0</v>
      </c>
      <c r="E2434">
        <v>0</v>
      </c>
    </row>
    <row r="2435" spans="1:5" x14ac:dyDescent="0.35">
      <c r="A2435">
        <v>0</v>
      </c>
      <c r="B2435">
        <v>0</v>
      </c>
      <c r="C2435">
        <v>0</v>
      </c>
      <c r="D2435">
        <v>0</v>
      </c>
      <c r="E2435">
        <v>0</v>
      </c>
    </row>
    <row r="2436" spans="1:5" x14ac:dyDescent="0.35">
      <c r="A2436">
        <v>0</v>
      </c>
      <c r="B2436">
        <v>0</v>
      </c>
      <c r="C2436">
        <v>0</v>
      </c>
      <c r="D2436">
        <v>0</v>
      </c>
      <c r="E2436">
        <v>0</v>
      </c>
    </row>
    <row r="2437" spans="1:5" x14ac:dyDescent="0.35">
      <c r="A2437">
        <v>0</v>
      </c>
      <c r="B2437">
        <v>0</v>
      </c>
      <c r="C2437">
        <v>0</v>
      </c>
      <c r="D2437">
        <v>0</v>
      </c>
      <c r="E2437">
        <v>0</v>
      </c>
    </row>
    <row r="2438" spans="1:5" x14ac:dyDescent="0.35">
      <c r="A2438">
        <v>0</v>
      </c>
      <c r="B2438">
        <v>0</v>
      </c>
      <c r="C2438">
        <v>0</v>
      </c>
      <c r="D2438">
        <v>0</v>
      </c>
      <c r="E2438">
        <v>0</v>
      </c>
    </row>
    <row r="2439" spans="1:5" x14ac:dyDescent="0.35">
      <c r="A2439">
        <v>0</v>
      </c>
      <c r="B2439">
        <v>0</v>
      </c>
      <c r="C2439">
        <v>0</v>
      </c>
      <c r="D2439">
        <v>0</v>
      </c>
      <c r="E2439">
        <v>0</v>
      </c>
    </row>
    <row r="2440" spans="1:5" x14ac:dyDescent="0.35">
      <c r="A2440">
        <v>0</v>
      </c>
      <c r="B2440">
        <v>0</v>
      </c>
      <c r="C2440">
        <v>0</v>
      </c>
      <c r="D2440">
        <v>0</v>
      </c>
      <c r="E2440">
        <v>0</v>
      </c>
    </row>
    <row r="2441" spans="1:5" x14ac:dyDescent="0.35">
      <c r="A2441">
        <v>0</v>
      </c>
      <c r="B2441">
        <v>0</v>
      </c>
      <c r="C2441">
        <v>0</v>
      </c>
      <c r="D2441">
        <v>0</v>
      </c>
      <c r="E2441">
        <v>0</v>
      </c>
    </row>
    <row r="2442" spans="1:5" x14ac:dyDescent="0.35">
      <c r="A2442">
        <v>0</v>
      </c>
      <c r="B2442">
        <v>0</v>
      </c>
      <c r="C2442">
        <v>0</v>
      </c>
      <c r="D2442">
        <v>0</v>
      </c>
      <c r="E2442">
        <v>0</v>
      </c>
    </row>
    <row r="2443" spans="1:5" x14ac:dyDescent="0.35">
      <c r="A2443">
        <v>0</v>
      </c>
      <c r="B2443">
        <v>0</v>
      </c>
      <c r="C2443">
        <v>0</v>
      </c>
      <c r="D2443">
        <v>0</v>
      </c>
      <c r="E2443">
        <v>0</v>
      </c>
    </row>
    <row r="2444" spans="1:5" x14ac:dyDescent="0.35">
      <c r="A2444">
        <v>0</v>
      </c>
      <c r="B2444">
        <v>0</v>
      </c>
      <c r="C2444">
        <v>0</v>
      </c>
      <c r="D2444">
        <v>0</v>
      </c>
      <c r="E2444">
        <v>0</v>
      </c>
    </row>
    <row r="2445" spans="1:5" x14ac:dyDescent="0.35">
      <c r="A2445">
        <v>0</v>
      </c>
      <c r="B2445">
        <v>0</v>
      </c>
      <c r="C2445">
        <v>0</v>
      </c>
      <c r="D2445">
        <v>0</v>
      </c>
      <c r="E2445">
        <v>0</v>
      </c>
    </row>
    <row r="2446" spans="1:5" x14ac:dyDescent="0.35">
      <c r="A2446">
        <v>0</v>
      </c>
      <c r="B2446">
        <v>0</v>
      </c>
      <c r="C2446">
        <v>0</v>
      </c>
      <c r="D2446">
        <v>0</v>
      </c>
      <c r="E2446">
        <v>0</v>
      </c>
    </row>
    <row r="2447" spans="1:5" x14ac:dyDescent="0.35">
      <c r="A2447">
        <v>0</v>
      </c>
      <c r="B2447">
        <v>0</v>
      </c>
      <c r="C2447">
        <v>0</v>
      </c>
      <c r="D2447">
        <v>0</v>
      </c>
      <c r="E2447">
        <v>0</v>
      </c>
    </row>
    <row r="2448" spans="1:5" x14ac:dyDescent="0.35">
      <c r="A2448">
        <v>0</v>
      </c>
      <c r="B2448">
        <v>0</v>
      </c>
      <c r="C2448">
        <v>0</v>
      </c>
      <c r="D2448">
        <v>0</v>
      </c>
      <c r="E2448">
        <v>0</v>
      </c>
    </row>
    <row r="2449" spans="1:5" x14ac:dyDescent="0.35">
      <c r="A2449">
        <v>0</v>
      </c>
      <c r="B2449">
        <v>0</v>
      </c>
      <c r="C2449">
        <v>0</v>
      </c>
      <c r="D2449">
        <v>0</v>
      </c>
      <c r="E2449">
        <v>0</v>
      </c>
    </row>
    <row r="2450" spans="1:5" x14ac:dyDescent="0.35">
      <c r="A2450">
        <v>0</v>
      </c>
      <c r="B2450">
        <v>0</v>
      </c>
      <c r="C2450">
        <v>0</v>
      </c>
      <c r="D2450">
        <v>0</v>
      </c>
      <c r="E2450">
        <v>0</v>
      </c>
    </row>
    <row r="2451" spans="1:5" x14ac:dyDescent="0.35">
      <c r="A2451">
        <v>0</v>
      </c>
      <c r="B2451">
        <v>0</v>
      </c>
      <c r="C2451">
        <v>0</v>
      </c>
      <c r="D2451">
        <v>0</v>
      </c>
      <c r="E2451">
        <v>0</v>
      </c>
    </row>
    <row r="2452" spans="1:5" x14ac:dyDescent="0.35">
      <c r="A2452">
        <v>0</v>
      </c>
      <c r="B2452">
        <v>0</v>
      </c>
      <c r="C2452">
        <v>0</v>
      </c>
      <c r="D2452">
        <v>0</v>
      </c>
      <c r="E2452">
        <v>0</v>
      </c>
    </row>
    <row r="2453" spans="1:5" x14ac:dyDescent="0.35">
      <c r="A2453">
        <v>0</v>
      </c>
      <c r="B2453">
        <v>0</v>
      </c>
      <c r="C2453">
        <v>0</v>
      </c>
      <c r="D2453">
        <v>0</v>
      </c>
      <c r="E2453">
        <v>0</v>
      </c>
    </row>
    <row r="2454" spans="1:5" x14ac:dyDescent="0.35">
      <c r="A2454">
        <v>0</v>
      </c>
      <c r="B2454">
        <v>0</v>
      </c>
      <c r="C2454">
        <v>0</v>
      </c>
      <c r="D2454">
        <v>0</v>
      </c>
      <c r="E2454">
        <v>0</v>
      </c>
    </row>
    <row r="2455" spans="1:5" x14ac:dyDescent="0.35">
      <c r="A2455">
        <v>0</v>
      </c>
      <c r="B2455">
        <v>0</v>
      </c>
      <c r="C2455">
        <v>0</v>
      </c>
      <c r="D2455">
        <v>0</v>
      </c>
      <c r="E2455">
        <v>0</v>
      </c>
    </row>
    <row r="2456" spans="1:5" x14ac:dyDescent="0.35">
      <c r="A2456">
        <v>0</v>
      </c>
      <c r="B2456">
        <v>0</v>
      </c>
      <c r="C2456">
        <v>0</v>
      </c>
      <c r="D2456">
        <v>0</v>
      </c>
      <c r="E2456">
        <v>0</v>
      </c>
    </row>
    <row r="2457" spans="1:5" x14ac:dyDescent="0.35">
      <c r="A2457">
        <v>0</v>
      </c>
      <c r="B2457">
        <v>0</v>
      </c>
      <c r="C2457">
        <v>0</v>
      </c>
      <c r="D2457">
        <v>0</v>
      </c>
      <c r="E2457">
        <v>0</v>
      </c>
    </row>
    <row r="2458" spans="1:5" x14ac:dyDescent="0.35">
      <c r="A2458">
        <v>0</v>
      </c>
      <c r="B2458">
        <v>0</v>
      </c>
      <c r="C2458">
        <v>0</v>
      </c>
      <c r="D2458">
        <v>0</v>
      </c>
      <c r="E2458">
        <v>0</v>
      </c>
    </row>
    <row r="2459" spans="1:5" x14ac:dyDescent="0.35">
      <c r="A2459">
        <v>0</v>
      </c>
      <c r="B2459">
        <v>0</v>
      </c>
      <c r="C2459">
        <v>0</v>
      </c>
      <c r="D2459">
        <v>0</v>
      </c>
      <c r="E2459">
        <v>0</v>
      </c>
    </row>
    <row r="2460" spans="1:5" x14ac:dyDescent="0.35">
      <c r="A2460">
        <v>0</v>
      </c>
      <c r="B2460">
        <v>0</v>
      </c>
      <c r="C2460">
        <v>0</v>
      </c>
      <c r="D2460">
        <v>0</v>
      </c>
      <c r="E2460">
        <v>0</v>
      </c>
    </row>
    <row r="2461" spans="1:5" x14ac:dyDescent="0.35">
      <c r="A2461">
        <v>0</v>
      </c>
      <c r="B2461">
        <v>0</v>
      </c>
      <c r="C2461">
        <v>0</v>
      </c>
      <c r="D2461">
        <v>0</v>
      </c>
      <c r="E2461">
        <v>0</v>
      </c>
    </row>
    <row r="2462" spans="1:5" x14ac:dyDescent="0.35">
      <c r="A2462">
        <v>0</v>
      </c>
      <c r="B2462">
        <v>0</v>
      </c>
      <c r="C2462">
        <v>0</v>
      </c>
      <c r="D2462">
        <v>0</v>
      </c>
      <c r="E2462">
        <v>0</v>
      </c>
    </row>
    <row r="2463" spans="1:5" x14ac:dyDescent="0.35">
      <c r="A2463">
        <v>0</v>
      </c>
      <c r="B2463">
        <v>0</v>
      </c>
      <c r="C2463">
        <v>0</v>
      </c>
      <c r="D2463">
        <v>0</v>
      </c>
      <c r="E2463">
        <v>0</v>
      </c>
    </row>
    <row r="2464" spans="1:5" x14ac:dyDescent="0.35">
      <c r="A2464">
        <v>0</v>
      </c>
      <c r="B2464">
        <v>0</v>
      </c>
      <c r="C2464">
        <v>0</v>
      </c>
      <c r="D2464">
        <v>0</v>
      </c>
      <c r="E2464">
        <v>0</v>
      </c>
    </row>
    <row r="2465" spans="1:5" x14ac:dyDescent="0.35">
      <c r="A2465">
        <v>0</v>
      </c>
      <c r="B2465">
        <v>0</v>
      </c>
      <c r="C2465">
        <v>0</v>
      </c>
      <c r="D2465">
        <v>0</v>
      </c>
      <c r="E2465">
        <v>0</v>
      </c>
    </row>
    <row r="2466" spans="1:5" x14ac:dyDescent="0.35">
      <c r="A2466">
        <v>0</v>
      </c>
      <c r="B2466">
        <v>0</v>
      </c>
      <c r="C2466">
        <v>0</v>
      </c>
      <c r="D2466">
        <v>0</v>
      </c>
      <c r="E2466">
        <v>0</v>
      </c>
    </row>
    <row r="2467" spans="1:5" x14ac:dyDescent="0.35">
      <c r="A2467">
        <v>0</v>
      </c>
      <c r="B2467">
        <v>0</v>
      </c>
      <c r="C2467">
        <v>0</v>
      </c>
      <c r="D2467">
        <v>0</v>
      </c>
      <c r="E2467">
        <v>0</v>
      </c>
    </row>
    <row r="2468" spans="1:5" x14ac:dyDescent="0.35">
      <c r="A2468">
        <v>0</v>
      </c>
      <c r="B2468">
        <v>0</v>
      </c>
      <c r="C2468">
        <v>0</v>
      </c>
      <c r="D2468">
        <v>0</v>
      </c>
      <c r="E2468">
        <v>0</v>
      </c>
    </row>
    <row r="2469" spans="1:5" x14ac:dyDescent="0.35">
      <c r="A2469">
        <v>0</v>
      </c>
      <c r="B2469">
        <v>0</v>
      </c>
      <c r="C2469">
        <v>0</v>
      </c>
      <c r="D2469">
        <v>0</v>
      </c>
      <c r="E2469">
        <v>0</v>
      </c>
    </row>
    <row r="2470" spans="1:5" x14ac:dyDescent="0.35">
      <c r="A2470">
        <v>0</v>
      </c>
      <c r="B2470">
        <v>0</v>
      </c>
      <c r="C2470">
        <v>0</v>
      </c>
      <c r="D2470">
        <v>0</v>
      </c>
      <c r="E2470">
        <v>0</v>
      </c>
    </row>
    <row r="2471" spans="1:5" x14ac:dyDescent="0.35">
      <c r="A2471">
        <v>0</v>
      </c>
      <c r="B2471">
        <v>0</v>
      </c>
      <c r="C2471">
        <v>0</v>
      </c>
      <c r="D2471">
        <v>0</v>
      </c>
      <c r="E2471">
        <v>0</v>
      </c>
    </row>
    <row r="2472" spans="1:5" x14ac:dyDescent="0.35">
      <c r="A2472">
        <v>0</v>
      </c>
      <c r="B2472">
        <v>0</v>
      </c>
      <c r="C2472">
        <v>0</v>
      </c>
      <c r="D2472">
        <v>0</v>
      </c>
      <c r="E2472">
        <v>0</v>
      </c>
    </row>
    <row r="2473" spans="1:5" x14ac:dyDescent="0.35">
      <c r="A2473">
        <v>0</v>
      </c>
      <c r="B2473">
        <v>0</v>
      </c>
      <c r="C2473">
        <v>0</v>
      </c>
      <c r="D2473">
        <v>0</v>
      </c>
      <c r="E2473">
        <v>0</v>
      </c>
    </row>
    <row r="2474" spans="1:5" x14ac:dyDescent="0.35">
      <c r="A2474">
        <v>0</v>
      </c>
      <c r="B2474">
        <v>0</v>
      </c>
      <c r="C2474">
        <v>0</v>
      </c>
      <c r="D2474">
        <v>0</v>
      </c>
      <c r="E2474">
        <v>0</v>
      </c>
    </row>
    <row r="2475" spans="1:5" x14ac:dyDescent="0.35">
      <c r="A2475">
        <v>0</v>
      </c>
      <c r="B2475">
        <v>0</v>
      </c>
      <c r="C2475">
        <v>0</v>
      </c>
      <c r="D2475">
        <v>0</v>
      </c>
      <c r="E2475">
        <v>0</v>
      </c>
    </row>
    <row r="2476" spans="1:5" x14ac:dyDescent="0.35">
      <c r="A2476">
        <v>0</v>
      </c>
      <c r="B2476">
        <v>0</v>
      </c>
      <c r="C2476">
        <v>0</v>
      </c>
      <c r="D2476">
        <v>0</v>
      </c>
      <c r="E2476">
        <v>0</v>
      </c>
    </row>
    <row r="2477" spans="1:5" x14ac:dyDescent="0.35">
      <c r="A2477">
        <v>0</v>
      </c>
      <c r="B2477">
        <v>0</v>
      </c>
      <c r="C2477">
        <v>0</v>
      </c>
      <c r="D2477">
        <v>0</v>
      </c>
      <c r="E2477">
        <v>0</v>
      </c>
    </row>
    <row r="2478" spans="1:5" x14ac:dyDescent="0.35">
      <c r="A2478">
        <v>0</v>
      </c>
      <c r="B2478">
        <v>0</v>
      </c>
      <c r="C2478">
        <v>0</v>
      </c>
      <c r="D2478">
        <v>0</v>
      </c>
      <c r="E2478">
        <v>0</v>
      </c>
    </row>
    <row r="2479" spans="1:5" x14ac:dyDescent="0.35">
      <c r="A2479">
        <v>0</v>
      </c>
      <c r="B2479">
        <v>0</v>
      </c>
      <c r="C2479">
        <v>0</v>
      </c>
      <c r="D2479">
        <v>0</v>
      </c>
      <c r="E2479">
        <v>0</v>
      </c>
    </row>
    <row r="2480" spans="1:5" x14ac:dyDescent="0.35">
      <c r="A2480">
        <v>0</v>
      </c>
      <c r="B2480">
        <v>0</v>
      </c>
      <c r="C2480">
        <v>0</v>
      </c>
      <c r="D2480">
        <v>0</v>
      </c>
      <c r="E2480">
        <v>0</v>
      </c>
    </row>
    <row r="2481" spans="1:5" x14ac:dyDescent="0.35">
      <c r="A2481">
        <v>0</v>
      </c>
      <c r="B2481">
        <v>0</v>
      </c>
      <c r="C2481">
        <v>0</v>
      </c>
      <c r="D2481">
        <v>0</v>
      </c>
      <c r="E2481">
        <v>0</v>
      </c>
    </row>
    <row r="2482" spans="1:5" x14ac:dyDescent="0.35">
      <c r="A2482">
        <v>0</v>
      </c>
      <c r="B2482">
        <v>0</v>
      </c>
      <c r="C2482">
        <v>0</v>
      </c>
      <c r="D2482">
        <v>0</v>
      </c>
      <c r="E2482">
        <v>0</v>
      </c>
    </row>
    <row r="2483" spans="1:5" x14ac:dyDescent="0.35">
      <c r="A2483">
        <v>0</v>
      </c>
      <c r="B2483">
        <v>0</v>
      </c>
      <c r="C2483">
        <v>0</v>
      </c>
      <c r="D2483">
        <v>0</v>
      </c>
      <c r="E2483">
        <v>0</v>
      </c>
    </row>
    <row r="2484" spans="1:5" x14ac:dyDescent="0.35">
      <c r="A2484">
        <v>0</v>
      </c>
      <c r="B2484">
        <v>0</v>
      </c>
      <c r="C2484">
        <v>0</v>
      </c>
      <c r="D2484">
        <v>0</v>
      </c>
      <c r="E2484">
        <v>0</v>
      </c>
    </row>
    <row r="2485" spans="1:5" x14ac:dyDescent="0.35">
      <c r="A2485">
        <v>0</v>
      </c>
      <c r="B2485">
        <v>0</v>
      </c>
      <c r="C2485">
        <v>0</v>
      </c>
      <c r="D2485">
        <v>0</v>
      </c>
      <c r="E2485">
        <v>0</v>
      </c>
    </row>
    <row r="2486" spans="1:5" x14ac:dyDescent="0.35">
      <c r="A2486">
        <v>0</v>
      </c>
      <c r="B2486">
        <v>0</v>
      </c>
      <c r="C2486">
        <v>0</v>
      </c>
      <c r="D2486">
        <v>0</v>
      </c>
      <c r="E2486">
        <v>0</v>
      </c>
    </row>
    <row r="2487" spans="1:5" x14ac:dyDescent="0.35">
      <c r="A2487">
        <v>0</v>
      </c>
      <c r="B2487">
        <v>0</v>
      </c>
      <c r="C2487">
        <v>0</v>
      </c>
      <c r="D2487">
        <v>0</v>
      </c>
      <c r="E2487">
        <v>0</v>
      </c>
    </row>
    <row r="2488" spans="1:5" x14ac:dyDescent="0.35">
      <c r="A2488">
        <v>0</v>
      </c>
      <c r="B2488">
        <v>0</v>
      </c>
      <c r="C2488">
        <v>0</v>
      </c>
      <c r="D2488">
        <v>0</v>
      </c>
      <c r="E2488">
        <v>0</v>
      </c>
    </row>
    <row r="2489" spans="1:5" x14ac:dyDescent="0.35">
      <c r="A2489">
        <v>0</v>
      </c>
      <c r="B2489">
        <v>0</v>
      </c>
      <c r="C2489">
        <v>0</v>
      </c>
      <c r="D2489">
        <v>0</v>
      </c>
      <c r="E2489">
        <v>0</v>
      </c>
    </row>
    <row r="2490" spans="1:5" x14ac:dyDescent="0.35">
      <c r="A2490">
        <v>0</v>
      </c>
      <c r="B2490">
        <v>0</v>
      </c>
      <c r="C2490">
        <v>0</v>
      </c>
      <c r="D2490">
        <v>0</v>
      </c>
      <c r="E2490">
        <v>0</v>
      </c>
    </row>
    <row r="2491" spans="1:5" x14ac:dyDescent="0.35">
      <c r="A2491">
        <v>0</v>
      </c>
      <c r="B2491">
        <v>0</v>
      </c>
      <c r="C2491">
        <v>0</v>
      </c>
      <c r="D2491">
        <v>0</v>
      </c>
      <c r="E2491">
        <v>0</v>
      </c>
    </row>
    <row r="2492" spans="1:5" x14ac:dyDescent="0.35">
      <c r="A2492">
        <v>0</v>
      </c>
      <c r="B2492">
        <v>0</v>
      </c>
      <c r="C2492">
        <v>0</v>
      </c>
      <c r="D2492">
        <v>0</v>
      </c>
      <c r="E2492">
        <v>0</v>
      </c>
    </row>
    <row r="2493" spans="1:5" x14ac:dyDescent="0.35">
      <c r="A2493">
        <v>0</v>
      </c>
      <c r="B2493">
        <v>0</v>
      </c>
      <c r="C2493">
        <v>0</v>
      </c>
      <c r="D2493">
        <v>0</v>
      </c>
      <c r="E2493">
        <v>0</v>
      </c>
    </row>
    <row r="2494" spans="1:5" x14ac:dyDescent="0.35">
      <c r="A2494">
        <v>0</v>
      </c>
      <c r="B2494">
        <v>0</v>
      </c>
      <c r="C2494">
        <v>0</v>
      </c>
      <c r="D2494">
        <v>0</v>
      </c>
      <c r="E2494">
        <v>0</v>
      </c>
    </row>
    <row r="2495" spans="1:5" x14ac:dyDescent="0.35">
      <c r="A2495">
        <v>0</v>
      </c>
      <c r="B2495">
        <v>0</v>
      </c>
      <c r="C2495">
        <v>0</v>
      </c>
      <c r="D2495">
        <v>0</v>
      </c>
      <c r="E2495">
        <v>0</v>
      </c>
    </row>
    <row r="2496" spans="1:5" x14ac:dyDescent="0.35">
      <c r="A2496">
        <v>0</v>
      </c>
      <c r="B2496">
        <v>0</v>
      </c>
      <c r="C2496">
        <v>0</v>
      </c>
      <c r="D2496">
        <v>0</v>
      </c>
      <c r="E2496">
        <v>0</v>
      </c>
    </row>
    <row r="2497" spans="1:5" x14ac:dyDescent="0.35">
      <c r="A2497">
        <v>0</v>
      </c>
      <c r="B2497">
        <v>0</v>
      </c>
      <c r="C2497">
        <v>0</v>
      </c>
      <c r="D2497">
        <v>0</v>
      </c>
      <c r="E2497">
        <v>0</v>
      </c>
    </row>
    <row r="2498" spans="1:5" x14ac:dyDescent="0.35">
      <c r="A2498">
        <v>0</v>
      </c>
      <c r="B2498">
        <v>0</v>
      </c>
      <c r="C2498">
        <v>0</v>
      </c>
      <c r="D2498">
        <v>0</v>
      </c>
      <c r="E2498">
        <v>0</v>
      </c>
    </row>
    <row r="2499" spans="1:5" x14ac:dyDescent="0.35">
      <c r="A2499">
        <v>0</v>
      </c>
      <c r="B2499">
        <v>0</v>
      </c>
      <c r="C2499">
        <v>0</v>
      </c>
      <c r="D2499">
        <v>0</v>
      </c>
      <c r="E2499">
        <v>0</v>
      </c>
    </row>
    <row r="2500" spans="1:5" x14ac:dyDescent="0.35">
      <c r="A2500">
        <v>0</v>
      </c>
      <c r="B2500">
        <v>0</v>
      </c>
      <c r="C2500">
        <v>0</v>
      </c>
      <c r="D2500">
        <v>0</v>
      </c>
      <c r="E2500">
        <v>0</v>
      </c>
    </row>
    <row r="2501" spans="1:5" x14ac:dyDescent="0.35">
      <c r="A2501">
        <v>0</v>
      </c>
      <c r="B2501">
        <v>0</v>
      </c>
      <c r="C2501">
        <v>0</v>
      </c>
      <c r="D2501">
        <v>0</v>
      </c>
      <c r="E2501">
        <v>0</v>
      </c>
    </row>
    <row r="2502" spans="1:5" x14ac:dyDescent="0.35">
      <c r="A2502">
        <v>0</v>
      </c>
      <c r="B2502">
        <v>0</v>
      </c>
      <c r="C2502">
        <v>0</v>
      </c>
      <c r="D2502">
        <v>0</v>
      </c>
      <c r="E2502">
        <v>0</v>
      </c>
    </row>
    <row r="2503" spans="1:5" x14ac:dyDescent="0.35">
      <c r="A2503">
        <v>0</v>
      </c>
      <c r="B2503">
        <v>0</v>
      </c>
      <c r="C2503">
        <v>0</v>
      </c>
      <c r="D2503">
        <v>0</v>
      </c>
      <c r="E2503">
        <v>0</v>
      </c>
    </row>
    <row r="2504" spans="1:5" x14ac:dyDescent="0.35">
      <c r="A2504">
        <v>0</v>
      </c>
      <c r="B2504">
        <v>0</v>
      </c>
      <c r="C2504">
        <v>0</v>
      </c>
      <c r="D2504">
        <v>0</v>
      </c>
      <c r="E2504">
        <v>0</v>
      </c>
    </row>
    <row r="2505" spans="1:5" x14ac:dyDescent="0.35">
      <c r="A2505">
        <v>0</v>
      </c>
      <c r="B2505">
        <v>0</v>
      </c>
      <c r="C2505">
        <v>0</v>
      </c>
      <c r="D2505">
        <v>0</v>
      </c>
      <c r="E2505">
        <v>0</v>
      </c>
    </row>
    <row r="2506" spans="1:5" x14ac:dyDescent="0.35">
      <c r="A2506">
        <v>0</v>
      </c>
      <c r="B2506">
        <v>0</v>
      </c>
      <c r="C2506">
        <v>0</v>
      </c>
      <c r="D2506">
        <v>0</v>
      </c>
      <c r="E2506">
        <v>0</v>
      </c>
    </row>
    <row r="2507" spans="1:5" x14ac:dyDescent="0.35">
      <c r="A2507">
        <v>0</v>
      </c>
      <c r="B2507">
        <v>0</v>
      </c>
      <c r="C2507">
        <v>0</v>
      </c>
      <c r="D2507">
        <v>0</v>
      </c>
      <c r="E2507">
        <v>0</v>
      </c>
    </row>
    <row r="2508" spans="1:5" x14ac:dyDescent="0.35">
      <c r="A2508">
        <v>0</v>
      </c>
      <c r="B2508">
        <v>0</v>
      </c>
      <c r="C2508">
        <v>0</v>
      </c>
      <c r="D2508">
        <v>0</v>
      </c>
      <c r="E2508">
        <v>0</v>
      </c>
    </row>
    <row r="2509" spans="1:5" x14ac:dyDescent="0.35">
      <c r="A2509">
        <v>0</v>
      </c>
      <c r="B2509">
        <v>0</v>
      </c>
      <c r="C2509">
        <v>0</v>
      </c>
      <c r="D2509">
        <v>0</v>
      </c>
      <c r="E2509">
        <v>0</v>
      </c>
    </row>
    <row r="2510" spans="1:5" x14ac:dyDescent="0.35">
      <c r="A2510">
        <v>0</v>
      </c>
      <c r="B2510">
        <v>0</v>
      </c>
      <c r="C2510">
        <v>0</v>
      </c>
      <c r="D2510">
        <v>0</v>
      </c>
      <c r="E2510">
        <v>0</v>
      </c>
    </row>
    <row r="2511" spans="1:5" x14ac:dyDescent="0.35">
      <c r="A2511">
        <v>0</v>
      </c>
      <c r="B2511">
        <v>0</v>
      </c>
      <c r="C2511">
        <v>0</v>
      </c>
      <c r="D2511">
        <v>0</v>
      </c>
      <c r="E2511">
        <v>0</v>
      </c>
    </row>
    <row r="2512" spans="1:5" x14ac:dyDescent="0.35">
      <c r="A2512">
        <v>0</v>
      </c>
      <c r="B2512">
        <v>0</v>
      </c>
      <c r="C2512">
        <v>0</v>
      </c>
      <c r="D2512">
        <v>0</v>
      </c>
      <c r="E2512">
        <v>0</v>
      </c>
    </row>
    <row r="2513" spans="1:5" x14ac:dyDescent="0.35">
      <c r="A2513">
        <v>0</v>
      </c>
      <c r="B2513">
        <v>0</v>
      </c>
      <c r="C2513">
        <v>0</v>
      </c>
      <c r="D2513">
        <v>0</v>
      </c>
      <c r="E2513">
        <v>0</v>
      </c>
    </row>
    <row r="2514" spans="1:5" x14ac:dyDescent="0.35">
      <c r="A2514">
        <v>0</v>
      </c>
      <c r="B2514">
        <v>0</v>
      </c>
      <c r="C2514">
        <v>0</v>
      </c>
      <c r="D2514">
        <v>0</v>
      </c>
      <c r="E2514">
        <v>0</v>
      </c>
    </row>
    <row r="2515" spans="1:5" x14ac:dyDescent="0.35">
      <c r="A2515">
        <v>0</v>
      </c>
      <c r="B2515">
        <v>0</v>
      </c>
      <c r="C2515">
        <v>0</v>
      </c>
      <c r="D2515">
        <v>0</v>
      </c>
      <c r="E2515">
        <v>0</v>
      </c>
    </row>
    <row r="2516" spans="1:5" x14ac:dyDescent="0.35">
      <c r="A2516">
        <v>0</v>
      </c>
      <c r="B2516">
        <v>0</v>
      </c>
      <c r="C2516">
        <v>0</v>
      </c>
      <c r="D2516">
        <v>0</v>
      </c>
      <c r="E2516">
        <v>0</v>
      </c>
    </row>
    <row r="2517" spans="1:5" x14ac:dyDescent="0.35">
      <c r="A2517">
        <v>0</v>
      </c>
      <c r="B2517">
        <v>0</v>
      </c>
      <c r="C2517">
        <v>0</v>
      </c>
      <c r="D2517">
        <v>0</v>
      </c>
      <c r="E2517">
        <v>0</v>
      </c>
    </row>
    <row r="2518" spans="1:5" x14ac:dyDescent="0.35">
      <c r="A2518">
        <v>0</v>
      </c>
      <c r="B2518">
        <v>0</v>
      </c>
      <c r="C2518">
        <v>0</v>
      </c>
      <c r="D2518">
        <v>0</v>
      </c>
      <c r="E2518">
        <v>0</v>
      </c>
    </row>
    <row r="2519" spans="1:5" x14ac:dyDescent="0.35">
      <c r="A2519">
        <v>0</v>
      </c>
      <c r="B2519">
        <v>0</v>
      </c>
      <c r="C2519">
        <v>0</v>
      </c>
      <c r="D2519">
        <v>0</v>
      </c>
      <c r="E2519">
        <v>0</v>
      </c>
    </row>
    <row r="2520" spans="1:5" x14ac:dyDescent="0.35">
      <c r="A2520">
        <v>0</v>
      </c>
      <c r="B2520">
        <v>0</v>
      </c>
      <c r="C2520">
        <v>0</v>
      </c>
      <c r="D2520">
        <v>0</v>
      </c>
      <c r="E2520">
        <v>0</v>
      </c>
    </row>
    <row r="2521" spans="1:5" x14ac:dyDescent="0.35">
      <c r="A2521">
        <v>0</v>
      </c>
      <c r="B2521">
        <v>0</v>
      </c>
      <c r="C2521">
        <v>0</v>
      </c>
      <c r="D2521">
        <v>0</v>
      </c>
      <c r="E2521">
        <v>0</v>
      </c>
    </row>
    <row r="2522" spans="1:5" x14ac:dyDescent="0.35">
      <c r="A2522">
        <v>0</v>
      </c>
      <c r="B2522">
        <v>0</v>
      </c>
      <c r="C2522">
        <v>0</v>
      </c>
      <c r="D2522">
        <v>0</v>
      </c>
      <c r="E2522">
        <v>0</v>
      </c>
    </row>
    <row r="2523" spans="1:5" x14ac:dyDescent="0.35">
      <c r="A2523">
        <v>0</v>
      </c>
      <c r="B2523">
        <v>0</v>
      </c>
      <c r="C2523">
        <v>0</v>
      </c>
      <c r="D2523">
        <v>0</v>
      </c>
      <c r="E2523">
        <v>0</v>
      </c>
    </row>
    <row r="2524" spans="1:5" x14ac:dyDescent="0.35">
      <c r="A2524">
        <v>0</v>
      </c>
      <c r="B2524">
        <v>0</v>
      </c>
      <c r="C2524">
        <v>0</v>
      </c>
      <c r="D2524">
        <v>0</v>
      </c>
      <c r="E2524">
        <v>0</v>
      </c>
    </row>
    <row r="2525" spans="1:5" x14ac:dyDescent="0.35">
      <c r="A2525">
        <v>0</v>
      </c>
      <c r="B2525">
        <v>0</v>
      </c>
      <c r="C2525">
        <v>0</v>
      </c>
      <c r="D2525">
        <v>0</v>
      </c>
      <c r="E2525">
        <v>0</v>
      </c>
    </row>
    <row r="2526" spans="1:5" x14ac:dyDescent="0.35">
      <c r="A2526">
        <v>0</v>
      </c>
      <c r="B2526">
        <v>0</v>
      </c>
      <c r="C2526">
        <v>0</v>
      </c>
      <c r="D2526">
        <v>0</v>
      </c>
      <c r="E2526">
        <v>0</v>
      </c>
    </row>
    <row r="2527" spans="1:5" x14ac:dyDescent="0.35">
      <c r="A2527">
        <v>0</v>
      </c>
      <c r="B2527">
        <v>0</v>
      </c>
      <c r="C2527">
        <v>0</v>
      </c>
      <c r="D2527">
        <v>0</v>
      </c>
      <c r="E2527">
        <v>0</v>
      </c>
    </row>
    <row r="2528" spans="1:5" x14ac:dyDescent="0.35">
      <c r="A2528">
        <v>0</v>
      </c>
      <c r="B2528">
        <v>0</v>
      </c>
      <c r="C2528">
        <v>0</v>
      </c>
      <c r="D2528">
        <v>0</v>
      </c>
      <c r="E2528">
        <v>0</v>
      </c>
    </row>
    <row r="2529" spans="1:5" x14ac:dyDescent="0.35">
      <c r="A2529">
        <v>0</v>
      </c>
      <c r="B2529">
        <v>0</v>
      </c>
      <c r="C2529">
        <v>0</v>
      </c>
      <c r="D2529">
        <v>0</v>
      </c>
      <c r="E2529">
        <v>0</v>
      </c>
    </row>
    <row r="2530" spans="1:5" x14ac:dyDescent="0.35">
      <c r="A2530">
        <v>0</v>
      </c>
      <c r="B2530">
        <v>0</v>
      </c>
      <c r="C2530">
        <v>0</v>
      </c>
      <c r="D2530">
        <v>0</v>
      </c>
      <c r="E2530">
        <v>0</v>
      </c>
    </row>
    <row r="2531" spans="1:5" x14ac:dyDescent="0.35">
      <c r="A2531">
        <v>0</v>
      </c>
      <c r="B2531">
        <v>0</v>
      </c>
      <c r="C2531">
        <v>0</v>
      </c>
      <c r="D2531">
        <v>0</v>
      </c>
      <c r="E2531">
        <v>0</v>
      </c>
    </row>
    <row r="2532" spans="1:5" x14ac:dyDescent="0.35">
      <c r="A2532">
        <v>0</v>
      </c>
      <c r="B2532">
        <v>0</v>
      </c>
      <c r="C2532">
        <v>0</v>
      </c>
      <c r="D2532">
        <v>0</v>
      </c>
      <c r="E2532">
        <v>0</v>
      </c>
    </row>
    <row r="2533" spans="1:5" x14ac:dyDescent="0.35">
      <c r="A2533">
        <v>0</v>
      </c>
      <c r="B2533">
        <v>0</v>
      </c>
      <c r="C2533">
        <v>0</v>
      </c>
      <c r="D2533">
        <v>0</v>
      </c>
      <c r="E2533">
        <v>0</v>
      </c>
    </row>
    <row r="2534" spans="1:5" x14ac:dyDescent="0.35">
      <c r="A2534">
        <v>0</v>
      </c>
      <c r="B2534">
        <v>0</v>
      </c>
      <c r="C2534">
        <v>0</v>
      </c>
      <c r="D2534">
        <v>0</v>
      </c>
      <c r="E2534">
        <v>0</v>
      </c>
    </row>
    <row r="2535" spans="1:5" x14ac:dyDescent="0.35">
      <c r="A2535">
        <v>0</v>
      </c>
      <c r="B2535">
        <v>0</v>
      </c>
      <c r="C2535">
        <v>0</v>
      </c>
      <c r="D2535">
        <v>0</v>
      </c>
      <c r="E2535">
        <v>0</v>
      </c>
    </row>
    <row r="2536" spans="1:5" x14ac:dyDescent="0.35">
      <c r="A2536">
        <v>0</v>
      </c>
      <c r="B2536">
        <v>0</v>
      </c>
      <c r="C2536">
        <v>0</v>
      </c>
      <c r="D2536">
        <v>0</v>
      </c>
      <c r="E2536">
        <v>0</v>
      </c>
    </row>
    <row r="2537" spans="1:5" x14ac:dyDescent="0.35">
      <c r="A2537">
        <v>0</v>
      </c>
      <c r="B2537">
        <v>0</v>
      </c>
      <c r="C2537">
        <v>0</v>
      </c>
      <c r="D2537">
        <v>0</v>
      </c>
      <c r="E2537">
        <v>0</v>
      </c>
    </row>
    <row r="2538" spans="1:5" x14ac:dyDescent="0.35">
      <c r="A2538">
        <v>0</v>
      </c>
      <c r="B2538">
        <v>0</v>
      </c>
      <c r="C2538">
        <v>0</v>
      </c>
      <c r="D2538">
        <v>0</v>
      </c>
      <c r="E2538">
        <v>0</v>
      </c>
    </row>
    <row r="2539" spans="1:5" x14ac:dyDescent="0.35">
      <c r="A2539">
        <v>0</v>
      </c>
      <c r="B2539">
        <v>0</v>
      </c>
      <c r="C2539">
        <v>0</v>
      </c>
      <c r="D2539">
        <v>0</v>
      </c>
      <c r="E2539">
        <v>0</v>
      </c>
    </row>
    <row r="2540" spans="1:5" x14ac:dyDescent="0.35">
      <c r="A2540">
        <v>0</v>
      </c>
      <c r="B2540">
        <v>0</v>
      </c>
      <c r="C2540">
        <v>0</v>
      </c>
      <c r="D2540">
        <v>0</v>
      </c>
      <c r="E2540">
        <v>0</v>
      </c>
    </row>
    <row r="2541" spans="1:5" x14ac:dyDescent="0.35">
      <c r="A2541">
        <v>0</v>
      </c>
      <c r="B2541">
        <v>0</v>
      </c>
      <c r="C2541">
        <v>0</v>
      </c>
      <c r="D2541">
        <v>0</v>
      </c>
      <c r="E2541">
        <v>0</v>
      </c>
    </row>
    <row r="2542" spans="1:5" x14ac:dyDescent="0.35">
      <c r="A2542">
        <v>0</v>
      </c>
      <c r="B2542">
        <v>0</v>
      </c>
      <c r="C2542">
        <v>0</v>
      </c>
      <c r="D2542">
        <v>0</v>
      </c>
      <c r="E2542">
        <v>0</v>
      </c>
    </row>
    <row r="2543" spans="1:5" x14ac:dyDescent="0.35">
      <c r="A2543">
        <v>0</v>
      </c>
      <c r="B2543">
        <v>0</v>
      </c>
      <c r="C2543">
        <v>0</v>
      </c>
      <c r="D2543">
        <v>0</v>
      </c>
      <c r="E2543">
        <v>0</v>
      </c>
    </row>
    <row r="2544" spans="1:5" x14ac:dyDescent="0.35">
      <c r="A2544">
        <v>0</v>
      </c>
      <c r="B2544">
        <v>0</v>
      </c>
      <c r="C2544">
        <v>0</v>
      </c>
      <c r="D2544">
        <v>0</v>
      </c>
      <c r="E2544">
        <v>0</v>
      </c>
    </row>
    <row r="2545" spans="1:5" x14ac:dyDescent="0.35">
      <c r="A2545">
        <v>0</v>
      </c>
      <c r="B2545">
        <v>0</v>
      </c>
      <c r="C2545">
        <v>0</v>
      </c>
      <c r="D2545">
        <v>0</v>
      </c>
      <c r="E2545">
        <v>0</v>
      </c>
    </row>
    <row r="2546" spans="1:5" x14ac:dyDescent="0.35">
      <c r="A2546">
        <v>0</v>
      </c>
      <c r="B2546">
        <v>0</v>
      </c>
      <c r="C2546">
        <v>0</v>
      </c>
      <c r="D2546">
        <v>0</v>
      </c>
      <c r="E2546">
        <v>0</v>
      </c>
    </row>
    <row r="2547" spans="1:5" x14ac:dyDescent="0.35">
      <c r="A2547">
        <v>0</v>
      </c>
      <c r="B2547">
        <v>0</v>
      </c>
      <c r="C2547">
        <v>0</v>
      </c>
      <c r="D2547">
        <v>0</v>
      </c>
      <c r="E2547">
        <v>0</v>
      </c>
    </row>
    <row r="2548" spans="1:5" x14ac:dyDescent="0.35">
      <c r="A2548">
        <v>0</v>
      </c>
      <c r="B2548">
        <v>0</v>
      </c>
      <c r="C2548">
        <v>0</v>
      </c>
      <c r="D2548">
        <v>0</v>
      </c>
      <c r="E2548">
        <v>0</v>
      </c>
    </row>
    <row r="2549" spans="1:5" x14ac:dyDescent="0.35">
      <c r="A2549">
        <v>0</v>
      </c>
      <c r="B2549">
        <v>0</v>
      </c>
      <c r="C2549">
        <v>0</v>
      </c>
      <c r="D2549">
        <v>0</v>
      </c>
      <c r="E2549">
        <v>0</v>
      </c>
    </row>
    <row r="2550" spans="1:5" x14ac:dyDescent="0.35">
      <c r="A2550">
        <v>0</v>
      </c>
      <c r="B2550">
        <v>0</v>
      </c>
      <c r="C2550">
        <v>0</v>
      </c>
      <c r="D2550">
        <v>0</v>
      </c>
      <c r="E2550">
        <v>0</v>
      </c>
    </row>
    <row r="2551" spans="1:5" x14ac:dyDescent="0.35">
      <c r="A2551">
        <v>0</v>
      </c>
      <c r="B2551">
        <v>0</v>
      </c>
      <c r="C2551">
        <v>0</v>
      </c>
      <c r="D2551">
        <v>0</v>
      </c>
      <c r="E2551">
        <v>0</v>
      </c>
    </row>
    <row r="2552" spans="1:5" x14ac:dyDescent="0.35">
      <c r="A2552">
        <v>0</v>
      </c>
      <c r="B2552">
        <v>0</v>
      </c>
      <c r="C2552">
        <v>0</v>
      </c>
      <c r="D2552">
        <v>0</v>
      </c>
      <c r="E2552">
        <v>0</v>
      </c>
    </row>
    <row r="2553" spans="1:5" x14ac:dyDescent="0.35">
      <c r="A2553">
        <v>0</v>
      </c>
      <c r="B2553">
        <v>0</v>
      </c>
      <c r="C2553">
        <v>0</v>
      </c>
      <c r="D2553">
        <v>0</v>
      </c>
      <c r="E2553">
        <v>0</v>
      </c>
    </row>
    <row r="2554" spans="1:5" x14ac:dyDescent="0.35">
      <c r="A2554">
        <v>0</v>
      </c>
      <c r="B2554">
        <v>0</v>
      </c>
      <c r="C2554">
        <v>0</v>
      </c>
      <c r="D2554">
        <v>0</v>
      </c>
      <c r="E2554">
        <v>0</v>
      </c>
    </row>
    <row r="2555" spans="1:5" x14ac:dyDescent="0.35">
      <c r="A2555">
        <v>0</v>
      </c>
      <c r="B2555">
        <v>0</v>
      </c>
      <c r="C2555">
        <v>0</v>
      </c>
      <c r="D2555">
        <v>0</v>
      </c>
      <c r="E2555">
        <v>0</v>
      </c>
    </row>
    <row r="2556" spans="1:5" x14ac:dyDescent="0.35">
      <c r="A2556">
        <v>0</v>
      </c>
      <c r="B2556">
        <v>0</v>
      </c>
      <c r="C2556">
        <v>0</v>
      </c>
      <c r="D2556">
        <v>0</v>
      </c>
      <c r="E2556">
        <v>0</v>
      </c>
    </row>
    <row r="2557" spans="1:5" x14ac:dyDescent="0.35">
      <c r="A2557">
        <v>0</v>
      </c>
      <c r="B2557">
        <v>0</v>
      </c>
      <c r="C2557">
        <v>0</v>
      </c>
      <c r="D2557">
        <v>0</v>
      </c>
      <c r="E2557">
        <v>0</v>
      </c>
    </row>
    <row r="2558" spans="1:5" x14ac:dyDescent="0.35">
      <c r="A2558">
        <v>0</v>
      </c>
      <c r="B2558">
        <v>0</v>
      </c>
      <c r="C2558">
        <v>0</v>
      </c>
      <c r="D2558">
        <v>0</v>
      </c>
      <c r="E2558">
        <v>0</v>
      </c>
    </row>
    <row r="2559" spans="1:5" x14ac:dyDescent="0.35">
      <c r="A2559">
        <v>0</v>
      </c>
      <c r="B2559">
        <v>0</v>
      </c>
      <c r="C2559">
        <v>0</v>
      </c>
      <c r="D2559">
        <v>0</v>
      </c>
      <c r="E2559">
        <v>0</v>
      </c>
    </row>
    <row r="2560" spans="1:5" x14ac:dyDescent="0.35">
      <c r="A2560">
        <v>0</v>
      </c>
      <c r="B2560">
        <v>0</v>
      </c>
      <c r="C2560">
        <v>0</v>
      </c>
      <c r="D2560">
        <v>0</v>
      </c>
      <c r="E2560">
        <v>0</v>
      </c>
    </row>
    <row r="2561" spans="1:5" x14ac:dyDescent="0.35">
      <c r="A2561">
        <v>0</v>
      </c>
      <c r="B2561">
        <v>0</v>
      </c>
      <c r="C2561">
        <v>0</v>
      </c>
      <c r="D2561">
        <v>0</v>
      </c>
      <c r="E2561">
        <v>0</v>
      </c>
    </row>
    <row r="2562" spans="1:5" x14ac:dyDescent="0.35">
      <c r="A2562">
        <v>0</v>
      </c>
      <c r="B2562">
        <v>0</v>
      </c>
      <c r="C2562">
        <v>0</v>
      </c>
      <c r="D2562">
        <v>0</v>
      </c>
      <c r="E2562">
        <v>0</v>
      </c>
    </row>
    <row r="2563" spans="1:5" x14ac:dyDescent="0.35">
      <c r="A2563">
        <v>0</v>
      </c>
      <c r="B2563">
        <v>0</v>
      </c>
      <c r="C2563">
        <v>0</v>
      </c>
      <c r="D2563">
        <v>0</v>
      </c>
      <c r="E2563">
        <v>0</v>
      </c>
    </row>
    <row r="2564" spans="1:5" x14ac:dyDescent="0.35">
      <c r="A2564">
        <v>0</v>
      </c>
      <c r="B2564">
        <v>0</v>
      </c>
      <c r="C2564">
        <v>0</v>
      </c>
      <c r="D2564">
        <v>0</v>
      </c>
      <c r="E2564">
        <v>0</v>
      </c>
    </row>
    <row r="2565" spans="1:5" x14ac:dyDescent="0.35">
      <c r="A2565">
        <v>0</v>
      </c>
      <c r="B2565">
        <v>0</v>
      </c>
      <c r="C2565">
        <v>0</v>
      </c>
      <c r="D2565">
        <v>0</v>
      </c>
      <c r="E2565">
        <v>0</v>
      </c>
    </row>
    <row r="2566" spans="1:5" x14ac:dyDescent="0.35">
      <c r="A2566">
        <v>0</v>
      </c>
      <c r="B2566">
        <v>0</v>
      </c>
      <c r="C2566">
        <v>0</v>
      </c>
      <c r="D2566">
        <v>0</v>
      </c>
      <c r="E2566">
        <v>0</v>
      </c>
    </row>
    <row r="2567" spans="1:5" x14ac:dyDescent="0.35">
      <c r="A2567">
        <v>0</v>
      </c>
      <c r="B2567">
        <v>0</v>
      </c>
      <c r="C2567">
        <v>0</v>
      </c>
      <c r="D2567">
        <v>0</v>
      </c>
      <c r="E2567">
        <v>0</v>
      </c>
    </row>
    <row r="2568" spans="1:5" x14ac:dyDescent="0.35">
      <c r="A2568">
        <v>0</v>
      </c>
      <c r="B2568">
        <v>0</v>
      </c>
      <c r="C2568">
        <v>0</v>
      </c>
      <c r="D2568">
        <v>0</v>
      </c>
      <c r="E2568">
        <v>0</v>
      </c>
    </row>
    <row r="2569" spans="1:5" x14ac:dyDescent="0.35">
      <c r="A2569">
        <v>0</v>
      </c>
      <c r="B2569">
        <v>0</v>
      </c>
      <c r="C2569">
        <v>0</v>
      </c>
      <c r="D2569">
        <v>0</v>
      </c>
      <c r="E2569">
        <v>0</v>
      </c>
    </row>
    <row r="2570" spans="1:5" x14ac:dyDescent="0.35">
      <c r="A2570">
        <v>0</v>
      </c>
      <c r="B2570">
        <v>0</v>
      </c>
      <c r="C2570">
        <v>0</v>
      </c>
      <c r="D2570">
        <v>0</v>
      </c>
      <c r="E2570">
        <v>0</v>
      </c>
    </row>
    <row r="2571" spans="1:5" x14ac:dyDescent="0.35">
      <c r="A2571">
        <v>0</v>
      </c>
      <c r="B2571">
        <v>0</v>
      </c>
      <c r="C2571">
        <v>0</v>
      </c>
      <c r="D2571">
        <v>0</v>
      </c>
      <c r="E2571">
        <v>0</v>
      </c>
    </row>
    <row r="2572" spans="1:5" x14ac:dyDescent="0.35">
      <c r="A2572">
        <v>0</v>
      </c>
      <c r="B2572">
        <v>0</v>
      </c>
      <c r="C2572">
        <v>0</v>
      </c>
      <c r="D2572">
        <v>0</v>
      </c>
      <c r="E2572">
        <v>0</v>
      </c>
    </row>
    <row r="2573" spans="1:5" x14ac:dyDescent="0.35">
      <c r="A2573">
        <v>0</v>
      </c>
      <c r="B2573">
        <v>0</v>
      </c>
      <c r="C2573">
        <v>0</v>
      </c>
      <c r="D2573">
        <v>0</v>
      </c>
      <c r="E2573">
        <v>0</v>
      </c>
    </row>
    <row r="2574" spans="1:5" x14ac:dyDescent="0.35">
      <c r="A2574">
        <v>0</v>
      </c>
      <c r="B2574">
        <v>0</v>
      </c>
      <c r="C2574">
        <v>0</v>
      </c>
      <c r="D2574">
        <v>0</v>
      </c>
      <c r="E2574">
        <v>0</v>
      </c>
    </row>
    <row r="2575" spans="1:5" x14ac:dyDescent="0.35">
      <c r="A2575">
        <v>0</v>
      </c>
      <c r="B2575">
        <v>0</v>
      </c>
      <c r="C2575">
        <v>0</v>
      </c>
      <c r="D2575">
        <v>0</v>
      </c>
      <c r="E2575">
        <v>0</v>
      </c>
    </row>
    <row r="2576" spans="1:5" x14ac:dyDescent="0.35">
      <c r="A2576">
        <v>0</v>
      </c>
      <c r="B2576">
        <v>0</v>
      </c>
      <c r="C2576">
        <v>0</v>
      </c>
      <c r="D2576">
        <v>0</v>
      </c>
      <c r="E2576">
        <v>0</v>
      </c>
    </row>
    <row r="2577" spans="1:5" x14ac:dyDescent="0.35">
      <c r="A2577">
        <v>0</v>
      </c>
      <c r="B2577">
        <v>0</v>
      </c>
      <c r="C2577">
        <v>0</v>
      </c>
      <c r="D2577">
        <v>0</v>
      </c>
      <c r="E2577">
        <v>0</v>
      </c>
    </row>
    <row r="2578" spans="1:5" x14ac:dyDescent="0.35">
      <c r="A2578">
        <v>0</v>
      </c>
      <c r="B2578">
        <v>0</v>
      </c>
      <c r="C2578">
        <v>0</v>
      </c>
      <c r="D2578">
        <v>0</v>
      </c>
      <c r="E2578">
        <v>0</v>
      </c>
    </row>
    <row r="2579" spans="1:5" x14ac:dyDescent="0.35">
      <c r="A2579">
        <v>0</v>
      </c>
      <c r="B2579">
        <v>0</v>
      </c>
      <c r="C2579">
        <v>0</v>
      </c>
      <c r="D2579">
        <v>0</v>
      </c>
      <c r="E2579">
        <v>0</v>
      </c>
    </row>
    <row r="2580" spans="1:5" x14ac:dyDescent="0.35">
      <c r="A2580">
        <v>0</v>
      </c>
      <c r="B2580">
        <v>0</v>
      </c>
      <c r="C2580">
        <v>0</v>
      </c>
      <c r="D2580">
        <v>0</v>
      </c>
      <c r="E2580">
        <v>0</v>
      </c>
    </row>
    <row r="2581" spans="1:5" x14ac:dyDescent="0.35">
      <c r="A2581">
        <v>0</v>
      </c>
      <c r="B2581">
        <v>0</v>
      </c>
      <c r="C2581">
        <v>0</v>
      </c>
      <c r="D2581">
        <v>0</v>
      </c>
      <c r="E2581">
        <v>0</v>
      </c>
    </row>
    <row r="2582" spans="1:5" x14ac:dyDescent="0.35">
      <c r="A2582">
        <v>0</v>
      </c>
      <c r="B2582">
        <v>0</v>
      </c>
      <c r="C2582">
        <v>0</v>
      </c>
      <c r="D2582">
        <v>0</v>
      </c>
      <c r="E2582">
        <v>0</v>
      </c>
    </row>
    <row r="2583" spans="1:5" x14ac:dyDescent="0.35">
      <c r="A2583">
        <v>0</v>
      </c>
      <c r="B2583">
        <v>0</v>
      </c>
      <c r="C2583">
        <v>0</v>
      </c>
      <c r="D2583">
        <v>0</v>
      </c>
      <c r="E2583">
        <v>0</v>
      </c>
    </row>
    <row r="2584" spans="1:5" x14ac:dyDescent="0.35">
      <c r="A2584">
        <v>0</v>
      </c>
      <c r="B2584">
        <v>0</v>
      </c>
      <c r="C2584">
        <v>0</v>
      </c>
      <c r="D2584">
        <v>0</v>
      </c>
      <c r="E2584">
        <v>0</v>
      </c>
    </row>
    <row r="2585" spans="1:5" x14ac:dyDescent="0.35">
      <c r="A2585">
        <v>0</v>
      </c>
      <c r="B2585">
        <v>0</v>
      </c>
      <c r="C2585">
        <v>0</v>
      </c>
      <c r="D2585">
        <v>0</v>
      </c>
      <c r="E2585">
        <v>0</v>
      </c>
    </row>
    <row r="2586" spans="1:5" x14ac:dyDescent="0.35">
      <c r="A2586">
        <v>0</v>
      </c>
      <c r="B2586">
        <v>0</v>
      </c>
      <c r="C2586">
        <v>0</v>
      </c>
      <c r="D2586">
        <v>0</v>
      </c>
      <c r="E2586">
        <v>0</v>
      </c>
    </row>
    <row r="2587" spans="1:5" x14ac:dyDescent="0.35">
      <c r="A2587">
        <v>0</v>
      </c>
      <c r="B2587">
        <v>0</v>
      </c>
      <c r="C2587">
        <v>0</v>
      </c>
      <c r="D2587">
        <v>0</v>
      </c>
      <c r="E2587">
        <v>0</v>
      </c>
    </row>
    <row r="2588" spans="1:5" x14ac:dyDescent="0.35">
      <c r="A2588">
        <v>0</v>
      </c>
      <c r="B2588">
        <v>0</v>
      </c>
      <c r="C2588">
        <v>0</v>
      </c>
      <c r="D2588">
        <v>0</v>
      </c>
      <c r="E2588">
        <v>0</v>
      </c>
    </row>
    <row r="2589" spans="1:5" x14ac:dyDescent="0.35">
      <c r="A2589">
        <v>0</v>
      </c>
      <c r="B2589">
        <v>0</v>
      </c>
      <c r="C2589">
        <v>0</v>
      </c>
      <c r="D2589">
        <v>0</v>
      </c>
      <c r="E2589">
        <v>0</v>
      </c>
    </row>
    <row r="2590" spans="1:5" x14ac:dyDescent="0.35">
      <c r="A2590">
        <v>0</v>
      </c>
      <c r="B2590">
        <v>0</v>
      </c>
      <c r="C2590">
        <v>0</v>
      </c>
      <c r="D2590">
        <v>0</v>
      </c>
      <c r="E2590">
        <v>0</v>
      </c>
    </row>
    <row r="2591" spans="1:5" x14ac:dyDescent="0.35">
      <c r="A2591">
        <v>0</v>
      </c>
      <c r="B2591">
        <v>0</v>
      </c>
      <c r="C2591">
        <v>0</v>
      </c>
      <c r="D2591">
        <v>0</v>
      </c>
      <c r="E2591">
        <v>0</v>
      </c>
    </row>
    <row r="2592" spans="1:5" x14ac:dyDescent="0.35">
      <c r="A2592">
        <v>0</v>
      </c>
      <c r="B2592">
        <v>0</v>
      </c>
      <c r="C2592">
        <v>0</v>
      </c>
      <c r="D2592">
        <v>0</v>
      </c>
      <c r="E2592">
        <v>0</v>
      </c>
    </row>
    <row r="2593" spans="1:5" x14ac:dyDescent="0.35">
      <c r="A2593">
        <v>0</v>
      </c>
      <c r="B2593">
        <v>0</v>
      </c>
      <c r="C2593">
        <v>0</v>
      </c>
      <c r="D2593">
        <v>0</v>
      </c>
      <c r="E2593">
        <v>0</v>
      </c>
    </row>
    <row r="2594" spans="1:5" x14ac:dyDescent="0.35">
      <c r="A2594">
        <v>0</v>
      </c>
      <c r="B2594">
        <v>0</v>
      </c>
      <c r="C2594">
        <v>0</v>
      </c>
      <c r="D2594">
        <v>0</v>
      </c>
      <c r="E2594">
        <v>0</v>
      </c>
    </row>
    <row r="2595" spans="1:5" x14ac:dyDescent="0.35">
      <c r="A2595">
        <v>0</v>
      </c>
      <c r="B2595">
        <v>0</v>
      </c>
      <c r="C2595">
        <v>0</v>
      </c>
      <c r="D2595">
        <v>0</v>
      </c>
      <c r="E2595">
        <v>0</v>
      </c>
    </row>
    <row r="2596" spans="1:5" x14ac:dyDescent="0.35">
      <c r="A2596">
        <v>0</v>
      </c>
      <c r="B2596">
        <v>0</v>
      </c>
      <c r="C2596">
        <v>0</v>
      </c>
      <c r="D2596">
        <v>0</v>
      </c>
      <c r="E2596">
        <v>0</v>
      </c>
    </row>
    <row r="2597" spans="1:5" x14ac:dyDescent="0.35">
      <c r="A2597">
        <v>0</v>
      </c>
      <c r="B2597">
        <v>0</v>
      </c>
      <c r="C2597">
        <v>0</v>
      </c>
      <c r="D2597">
        <v>0</v>
      </c>
      <c r="E2597">
        <v>0</v>
      </c>
    </row>
    <row r="2598" spans="1:5" x14ac:dyDescent="0.35">
      <c r="A2598">
        <v>0</v>
      </c>
      <c r="B2598">
        <v>0</v>
      </c>
      <c r="C2598">
        <v>0</v>
      </c>
      <c r="D2598">
        <v>0</v>
      </c>
      <c r="E2598">
        <v>0</v>
      </c>
    </row>
    <row r="2599" spans="1:5" x14ac:dyDescent="0.35">
      <c r="A2599">
        <v>0</v>
      </c>
      <c r="B2599">
        <v>0</v>
      </c>
      <c r="C2599">
        <v>0</v>
      </c>
      <c r="D2599">
        <v>0</v>
      </c>
      <c r="E2599">
        <v>0</v>
      </c>
    </row>
    <row r="2600" spans="1:5" x14ac:dyDescent="0.35">
      <c r="A2600">
        <v>0</v>
      </c>
      <c r="B2600">
        <v>0</v>
      </c>
      <c r="C2600">
        <v>0</v>
      </c>
      <c r="D2600">
        <v>0</v>
      </c>
      <c r="E2600">
        <v>0</v>
      </c>
    </row>
    <row r="2601" spans="1:5" x14ac:dyDescent="0.35">
      <c r="A2601">
        <v>0</v>
      </c>
      <c r="B2601">
        <v>0</v>
      </c>
      <c r="C2601">
        <v>0</v>
      </c>
      <c r="D2601">
        <v>0</v>
      </c>
      <c r="E2601">
        <v>0</v>
      </c>
    </row>
    <row r="2602" spans="1:5" x14ac:dyDescent="0.35">
      <c r="A2602">
        <v>0</v>
      </c>
      <c r="B2602">
        <v>0</v>
      </c>
      <c r="C2602">
        <v>0</v>
      </c>
      <c r="D2602">
        <v>0</v>
      </c>
      <c r="E2602">
        <v>0</v>
      </c>
    </row>
    <row r="2603" spans="1:5" x14ac:dyDescent="0.35">
      <c r="A2603">
        <v>0</v>
      </c>
      <c r="B2603">
        <v>0</v>
      </c>
      <c r="C2603">
        <v>0</v>
      </c>
      <c r="D2603">
        <v>0</v>
      </c>
      <c r="E2603">
        <v>0</v>
      </c>
    </row>
    <row r="2604" spans="1:5" x14ac:dyDescent="0.35">
      <c r="A2604">
        <v>0</v>
      </c>
      <c r="B2604">
        <v>0</v>
      </c>
      <c r="C2604">
        <v>0</v>
      </c>
      <c r="D2604">
        <v>0</v>
      </c>
      <c r="E2604">
        <v>0</v>
      </c>
    </row>
    <row r="2605" spans="1:5" x14ac:dyDescent="0.35">
      <c r="A2605">
        <v>0</v>
      </c>
      <c r="B2605">
        <v>0</v>
      </c>
      <c r="C2605">
        <v>0</v>
      </c>
      <c r="D2605">
        <v>0</v>
      </c>
      <c r="E2605">
        <v>0</v>
      </c>
    </row>
    <row r="2606" spans="1:5" x14ac:dyDescent="0.35">
      <c r="A2606">
        <v>0</v>
      </c>
      <c r="B2606">
        <v>0</v>
      </c>
      <c r="C2606">
        <v>0</v>
      </c>
      <c r="D2606">
        <v>0</v>
      </c>
      <c r="E2606">
        <v>0</v>
      </c>
    </row>
    <row r="2607" spans="1:5" x14ac:dyDescent="0.35">
      <c r="A2607">
        <v>0</v>
      </c>
      <c r="B2607">
        <v>0</v>
      </c>
      <c r="C2607">
        <v>0</v>
      </c>
      <c r="D2607">
        <v>0</v>
      </c>
      <c r="E2607">
        <v>0</v>
      </c>
    </row>
    <row r="2608" spans="1:5" x14ac:dyDescent="0.35">
      <c r="A2608">
        <v>0</v>
      </c>
      <c r="B2608">
        <v>0</v>
      </c>
      <c r="C2608">
        <v>0</v>
      </c>
      <c r="D2608">
        <v>0</v>
      </c>
      <c r="E2608">
        <v>0</v>
      </c>
    </row>
    <row r="2609" spans="1:5" x14ac:dyDescent="0.35">
      <c r="A2609">
        <v>0</v>
      </c>
      <c r="B2609">
        <v>0</v>
      </c>
      <c r="C2609">
        <v>0</v>
      </c>
      <c r="D2609">
        <v>0</v>
      </c>
      <c r="E2609">
        <v>0</v>
      </c>
    </row>
    <row r="2610" spans="1:5" x14ac:dyDescent="0.35">
      <c r="A2610">
        <v>0</v>
      </c>
      <c r="B2610">
        <v>0</v>
      </c>
      <c r="C2610">
        <v>0</v>
      </c>
      <c r="D2610">
        <v>0</v>
      </c>
      <c r="E2610">
        <v>0</v>
      </c>
    </row>
    <row r="2611" spans="1:5" x14ac:dyDescent="0.35">
      <c r="A2611">
        <v>0</v>
      </c>
      <c r="B2611">
        <v>0</v>
      </c>
      <c r="C2611">
        <v>0</v>
      </c>
      <c r="D2611">
        <v>0</v>
      </c>
      <c r="E2611">
        <v>0</v>
      </c>
    </row>
    <row r="2612" spans="1:5" x14ac:dyDescent="0.35">
      <c r="A2612">
        <v>0</v>
      </c>
      <c r="B2612">
        <v>0</v>
      </c>
      <c r="C2612">
        <v>0</v>
      </c>
      <c r="D2612">
        <v>0</v>
      </c>
      <c r="E2612">
        <v>0</v>
      </c>
    </row>
    <row r="2613" spans="1:5" x14ac:dyDescent="0.35">
      <c r="A2613">
        <v>0</v>
      </c>
      <c r="B2613">
        <v>0</v>
      </c>
      <c r="C2613">
        <v>0</v>
      </c>
      <c r="D2613">
        <v>0</v>
      </c>
      <c r="E2613">
        <v>0</v>
      </c>
    </row>
    <row r="2614" spans="1:5" x14ac:dyDescent="0.35">
      <c r="A2614">
        <v>0</v>
      </c>
      <c r="B2614">
        <v>0</v>
      </c>
      <c r="C2614">
        <v>0</v>
      </c>
      <c r="D2614">
        <v>0</v>
      </c>
      <c r="E2614">
        <v>0</v>
      </c>
    </row>
    <row r="2615" spans="1:5" x14ac:dyDescent="0.35">
      <c r="A2615">
        <v>0</v>
      </c>
      <c r="B2615">
        <v>0</v>
      </c>
      <c r="C2615">
        <v>0</v>
      </c>
      <c r="D2615">
        <v>0</v>
      </c>
      <c r="E2615">
        <v>0</v>
      </c>
    </row>
    <row r="2616" spans="1:5" x14ac:dyDescent="0.35">
      <c r="A2616">
        <v>0</v>
      </c>
      <c r="B2616">
        <v>0</v>
      </c>
      <c r="C2616">
        <v>0</v>
      </c>
      <c r="D2616">
        <v>0</v>
      </c>
      <c r="E2616">
        <v>0</v>
      </c>
    </row>
    <row r="2617" spans="1:5" x14ac:dyDescent="0.35">
      <c r="A2617">
        <v>0</v>
      </c>
      <c r="B2617">
        <v>0</v>
      </c>
      <c r="C2617">
        <v>0</v>
      </c>
      <c r="D2617">
        <v>0</v>
      </c>
      <c r="E2617">
        <v>0</v>
      </c>
    </row>
    <row r="2618" spans="1:5" x14ac:dyDescent="0.35">
      <c r="A2618">
        <v>0</v>
      </c>
      <c r="B2618">
        <v>0</v>
      </c>
      <c r="C2618">
        <v>0</v>
      </c>
      <c r="D2618">
        <v>0</v>
      </c>
      <c r="E2618">
        <v>0</v>
      </c>
    </row>
    <row r="2619" spans="1:5" x14ac:dyDescent="0.35">
      <c r="A2619">
        <v>0</v>
      </c>
      <c r="B2619">
        <v>0</v>
      </c>
      <c r="C2619">
        <v>0</v>
      </c>
      <c r="D2619">
        <v>0</v>
      </c>
      <c r="E2619">
        <v>0</v>
      </c>
    </row>
    <row r="2620" spans="1:5" x14ac:dyDescent="0.35">
      <c r="A2620">
        <v>0</v>
      </c>
      <c r="B2620">
        <v>0</v>
      </c>
      <c r="C2620">
        <v>0</v>
      </c>
      <c r="D2620">
        <v>0</v>
      </c>
      <c r="E2620">
        <v>0</v>
      </c>
    </row>
    <row r="2621" spans="1:5" x14ac:dyDescent="0.35">
      <c r="A2621">
        <v>0</v>
      </c>
      <c r="B2621">
        <v>0</v>
      </c>
      <c r="C2621">
        <v>0</v>
      </c>
      <c r="D2621">
        <v>0</v>
      </c>
      <c r="E2621">
        <v>0</v>
      </c>
    </row>
    <row r="2622" spans="1:5" x14ac:dyDescent="0.35">
      <c r="A2622">
        <v>0</v>
      </c>
      <c r="B2622">
        <v>0</v>
      </c>
      <c r="C2622">
        <v>0</v>
      </c>
      <c r="D2622">
        <v>0</v>
      </c>
      <c r="E2622">
        <v>0</v>
      </c>
    </row>
    <row r="2623" spans="1:5" x14ac:dyDescent="0.35">
      <c r="A2623">
        <v>0</v>
      </c>
      <c r="B2623">
        <v>0</v>
      </c>
      <c r="C2623">
        <v>0</v>
      </c>
      <c r="D2623">
        <v>0</v>
      </c>
      <c r="E2623">
        <v>0</v>
      </c>
    </row>
    <row r="2624" spans="1:5" x14ac:dyDescent="0.35">
      <c r="A2624">
        <v>0</v>
      </c>
      <c r="B2624">
        <v>0</v>
      </c>
      <c r="C2624">
        <v>0</v>
      </c>
      <c r="D2624">
        <v>0</v>
      </c>
      <c r="E2624">
        <v>0</v>
      </c>
    </row>
    <row r="2625" spans="1:5" x14ac:dyDescent="0.35">
      <c r="A2625">
        <v>0</v>
      </c>
      <c r="B2625">
        <v>0</v>
      </c>
      <c r="C2625">
        <v>0</v>
      </c>
      <c r="D2625">
        <v>0</v>
      </c>
      <c r="E2625">
        <v>0</v>
      </c>
    </row>
    <row r="2626" spans="1:5" x14ac:dyDescent="0.35">
      <c r="A2626">
        <v>0</v>
      </c>
      <c r="B2626">
        <v>0</v>
      </c>
      <c r="C2626">
        <v>0</v>
      </c>
      <c r="D2626">
        <v>0</v>
      </c>
      <c r="E2626">
        <v>0</v>
      </c>
    </row>
    <row r="2627" spans="1:5" x14ac:dyDescent="0.35">
      <c r="A2627">
        <v>0</v>
      </c>
      <c r="B2627">
        <v>0</v>
      </c>
      <c r="C2627">
        <v>0</v>
      </c>
      <c r="D2627">
        <v>0</v>
      </c>
      <c r="E2627">
        <v>0</v>
      </c>
    </row>
    <row r="2628" spans="1:5" x14ac:dyDescent="0.35">
      <c r="A2628">
        <v>0</v>
      </c>
      <c r="B2628">
        <v>0</v>
      </c>
      <c r="C2628">
        <v>0</v>
      </c>
      <c r="D2628">
        <v>0</v>
      </c>
      <c r="E2628">
        <v>0</v>
      </c>
    </row>
    <row r="2629" spans="1:5" x14ac:dyDescent="0.35">
      <c r="A2629">
        <v>0</v>
      </c>
      <c r="B2629">
        <v>0</v>
      </c>
      <c r="C2629">
        <v>0</v>
      </c>
      <c r="D2629">
        <v>0</v>
      </c>
      <c r="E2629">
        <v>0</v>
      </c>
    </row>
    <row r="2630" spans="1:5" x14ac:dyDescent="0.35">
      <c r="A2630">
        <v>0</v>
      </c>
      <c r="B2630">
        <v>0</v>
      </c>
      <c r="C2630">
        <v>0</v>
      </c>
      <c r="D2630">
        <v>0</v>
      </c>
      <c r="E2630">
        <v>0</v>
      </c>
    </row>
    <row r="2631" spans="1:5" x14ac:dyDescent="0.35">
      <c r="A2631">
        <v>0</v>
      </c>
      <c r="B2631">
        <v>0</v>
      </c>
      <c r="C2631">
        <v>0</v>
      </c>
      <c r="D2631">
        <v>0</v>
      </c>
      <c r="E2631">
        <v>0</v>
      </c>
    </row>
    <row r="2632" spans="1:5" x14ac:dyDescent="0.35">
      <c r="A2632">
        <v>0</v>
      </c>
      <c r="B2632">
        <v>0</v>
      </c>
      <c r="C2632">
        <v>0</v>
      </c>
      <c r="D2632">
        <v>0</v>
      </c>
      <c r="E2632">
        <v>0</v>
      </c>
    </row>
    <row r="2633" spans="1:5" x14ac:dyDescent="0.35">
      <c r="A2633">
        <v>0</v>
      </c>
      <c r="B2633">
        <v>0</v>
      </c>
      <c r="C2633">
        <v>0</v>
      </c>
      <c r="D2633">
        <v>0</v>
      </c>
      <c r="E2633">
        <v>0</v>
      </c>
    </row>
    <row r="2634" spans="1:5" x14ac:dyDescent="0.35">
      <c r="A2634">
        <v>0</v>
      </c>
      <c r="B2634">
        <v>0</v>
      </c>
      <c r="C2634">
        <v>0</v>
      </c>
      <c r="D2634">
        <v>0</v>
      </c>
      <c r="E2634">
        <v>0</v>
      </c>
    </row>
    <row r="2635" spans="1:5" x14ac:dyDescent="0.35">
      <c r="A2635">
        <v>0</v>
      </c>
      <c r="B2635">
        <v>0</v>
      </c>
      <c r="C2635">
        <v>0</v>
      </c>
      <c r="D2635">
        <v>0</v>
      </c>
      <c r="E2635">
        <v>0</v>
      </c>
    </row>
    <row r="2636" spans="1:5" x14ac:dyDescent="0.35">
      <c r="A2636">
        <v>0</v>
      </c>
      <c r="B2636">
        <v>0</v>
      </c>
      <c r="C2636">
        <v>0</v>
      </c>
      <c r="D2636">
        <v>0</v>
      </c>
      <c r="E2636">
        <v>0</v>
      </c>
    </row>
    <row r="2637" spans="1:5" x14ac:dyDescent="0.35">
      <c r="A2637">
        <v>0</v>
      </c>
      <c r="B2637">
        <v>0</v>
      </c>
      <c r="C2637">
        <v>0</v>
      </c>
      <c r="D2637">
        <v>0</v>
      </c>
      <c r="E2637">
        <v>0</v>
      </c>
    </row>
    <row r="2638" spans="1:5" x14ac:dyDescent="0.35">
      <c r="A2638">
        <v>0</v>
      </c>
      <c r="B2638">
        <v>0</v>
      </c>
      <c r="C2638">
        <v>0</v>
      </c>
      <c r="D2638">
        <v>0</v>
      </c>
      <c r="E2638">
        <v>0</v>
      </c>
    </row>
    <row r="2639" spans="1:5" x14ac:dyDescent="0.35">
      <c r="A2639">
        <v>0</v>
      </c>
      <c r="B2639">
        <v>0</v>
      </c>
      <c r="C2639">
        <v>0</v>
      </c>
      <c r="D2639">
        <v>0</v>
      </c>
      <c r="E2639">
        <v>0</v>
      </c>
    </row>
    <row r="2640" spans="1:5" x14ac:dyDescent="0.35">
      <c r="A2640">
        <v>0</v>
      </c>
      <c r="B2640">
        <v>0</v>
      </c>
      <c r="C2640">
        <v>0</v>
      </c>
      <c r="D2640">
        <v>0</v>
      </c>
      <c r="E2640">
        <v>0</v>
      </c>
    </row>
    <row r="2641" spans="1:5" x14ac:dyDescent="0.35">
      <c r="A2641">
        <v>0</v>
      </c>
      <c r="B2641">
        <v>0</v>
      </c>
      <c r="C2641">
        <v>0</v>
      </c>
      <c r="D2641">
        <v>0</v>
      </c>
      <c r="E2641">
        <v>0</v>
      </c>
    </row>
    <row r="2642" spans="1:5" x14ac:dyDescent="0.35">
      <c r="A2642">
        <v>0</v>
      </c>
      <c r="B2642">
        <v>0</v>
      </c>
      <c r="C2642">
        <v>0</v>
      </c>
      <c r="D2642">
        <v>0</v>
      </c>
      <c r="E2642">
        <v>0</v>
      </c>
    </row>
    <row r="2643" spans="1:5" x14ac:dyDescent="0.35">
      <c r="A2643">
        <v>0</v>
      </c>
      <c r="B2643">
        <v>0</v>
      </c>
      <c r="C2643">
        <v>0</v>
      </c>
      <c r="D2643">
        <v>0</v>
      </c>
      <c r="E2643">
        <v>0</v>
      </c>
    </row>
    <row r="2644" spans="1:5" x14ac:dyDescent="0.35">
      <c r="A2644">
        <v>0</v>
      </c>
      <c r="B2644">
        <v>0</v>
      </c>
      <c r="C2644">
        <v>0</v>
      </c>
      <c r="D2644">
        <v>0</v>
      </c>
      <c r="E2644">
        <v>0</v>
      </c>
    </row>
    <row r="2645" spans="1:5" x14ac:dyDescent="0.35">
      <c r="A2645">
        <v>0</v>
      </c>
      <c r="B2645">
        <v>0</v>
      </c>
      <c r="C2645">
        <v>0</v>
      </c>
      <c r="D2645">
        <v>0</v>
      </c>
      <c r="E2645">
        <v>0</v>
      </c>
    </row>
    <row r="2646" spans="1:5" x14ac:dyDescent="0.35">
      <c r="A2646">
        <v>0</v>
      </c>
      <c r="B2646">
        <v>0</v>
      </c>
      <c r="C2646">
        <v>0</v>
      </c>
      <c r="D2646">
        <v>0</v>
      </c>
      <c r="E2646">
        <v>0</v>
      </c>
    </row>
    <row r="2647" spans="1:5" x14ac:dyDescent="0.35">
      <c r="A2647">
        <v>0</v>
      </c>
      <c r="B2647">
        <v>0</v>
      </c>
      <c r="C2647">
        <v>0</v>
      </c>
      <c r="D2647">
        <v>0</v>
      </c>
      <c r="E2647">
        <v>0</v>
      </c>
    </row>
    <row r="2648" spans="1:5" x14ac:dyDescent="0.35">
      <c r="A2648">
        <v>0</v>
      </c>
      <c r="B2648">
        <v>0</v>
      </c>
      <c r="C2648">
        <v>0</v>
      </c>
      <c r="D2648">
        <v>0</v>
      </c>
      <c r="E2648">
        <v>0</v>
      </c>
    </row>
    <row r="2649" spans="1:5" x14ac:dyDescent="0.35">
      <c r="A2649">
        <v>0</v>
      </c>
      <c r="B2649">
        <v>0</v>
      </c>
      <c r="C2649">
        <v>0</v>
      </c>
      <c r="D2649">
        <v>0</v>
      </c>
      <c r="E2649">
        <v>0</v>
      </c>
    </row>
    <row r="2650" spans="1:5" x14ac:dyDescent="0.35">
      <c r="A2650">
        <v>0</v>
      </c>
      <c r="B2650">
        <v>0</v>
      </c>
      <c r="C2650">
        <v>0</v>
      </c>
      <c r="D2650">
        <v>0</v>
      </c>
      <c r="E2650">
        <v>0</v>
      </c>
    </row>
    <row r="2651" spans="1:5" x14ac:dyDescent="0.35">
      <c r="A2651">
        <v>0</v>
      </c>
      <c r="B2651">
        <v>0</v>
      </c>
      <c r="C2651">
        <v>0</v>
      </c>
      <c r="D2651">
        <v>0</v>
      </c>
      <c r="E2651">
        <v>0</v>
      </c>
    </row>
    <row r="2652" spans="1:5" x14ac:dyDescent="0.35">
      <c r="A2652">
        <v>0</v>
      </c>
      <c r="B2652">
        <v>0</v>
      </c>
      <c r="C2652">
        <v>0</v>
      </c>
      <c r="D2652">
        <v>0</v>
      </c>
      <c r="E2652">
        <v>0</v>
      </c>
    </row>
    <row r="2653" spans="1:5" x14ac:dyDescent="0.35">
      <c r="A2653">
        <v>0</v>
      </c>
      <c r="B2653">
        <v>0</v>
      </c>
      <c r="C2653">
        <v>0</v>
      </c>
      <c r="D2653">
        <v>0</v>
      </c>
      <c r="E2653">
        <v>0</v>
      </c>
    </row>
    <row r="2654" spans="1:5" x14ac:dyDescent="0.35">
      <c r="A2654">
        <v>0</v>
      </c>
      <c r="B2654">
        <v>0</v>
      </c>
      <c r="C2654">
        <v>0</v>
      </c>
      <c r="D2654">
        <v>0</v>
      </c>
      <c r="E2654">
        <v>0</v>
      </c>
    </row>
    <row r="2655" spans="1:5" x14ac:dyDescent="0.35">
      <c r="A2655">
        <v>0</v>
      </c>
      <c r="B2655">
        <v>0</v>
      </c>
      <c r="C2655">
        <v>0</v>
      </c>
      <c r="D2655">
        <v>0</v>
      </c>
      <c r="E2655">
        <v>0</v>
      </c>
    </row>
    <row r="2656" spans="1:5" x14ac:dyDescent="0.35">
      <c r="A2656">
        <v>0</v>
      </c>
      <c r="B2656">
        <v>0</v>
      </c>
      <c r="C2656">
        <v>0</v>
      </c>
      <c r="D2656">
        <v>0</v>
      </c>
      <c r="E2656">
        <v>0</v>
      </c>
    </row>
    <row r="2657" spans="1:5" x14ac:dyDescent="0.35">
      <c r="A2657">
        <v>0</v>
      </c>
      <c r="B2657">
        <v>0</v>
      </c>
      <c r="C2657">
        <v>0</v>
      </c>
      <c r="D2657">
        <v>0</v>
      </c>
      <c r="E2657">
        <v>0</v>
      </c>
    </row>
    <row r="2658" spans="1:5" x14ac:dyDescent="0.35">
      <c r="A2658">
        <v>0</v>
      </c>
      <c r="B2658">
        <v>0</v>
      </c>
      <c r="C2658">
        <v>0</v>
      </c>
      <c r="D2658">
        <v>0</v>
      </c>
      <c r="E2658">
        <v>0</v>
      </c>
    </row>
    <row r="2659" spans="1:5" x14ac:dyDescent="0.35">
      <c r="A2659">
        <v>0</v>
      </c>
      <c r="B2659">
        <v>0</v>
      </c>
      <c r="C2659">
        <v>0</v>
      </c>
      <c r="D2659">
        <v>0</v>
      </c>
      <c r="E2659">
        <v>0</v>
      </c>
    </row>
    <row r="2660" spans="1:5" x14ac:dyDescent="0.35">
      <c r="A2660">
        <v>0</v>
      </c>
      <c r="B2660">
        <v>0</v>
      </c>
      <c r="C2660">
        <v>0</v>
      </c>
      <c r="D2660">
        <v>0</v>
      </c>
      <c r="E2660">
        <v>0</v>
      </c>
    </row>
    <row r="2661" spans="1:5" x14ac:dyDescent="0.35">
      <c r="A2661">
        <v>0</v>
      </c>
      <c r="B2661">
        <v>0</v>
      </c>
      <c r="C2661">
        <v>0</v>
      </c>
      <c r="D2661">
        <v>0</v>
      </c>
      <c r="E2661">
        <v>0</v>
      </c>
    </row>
    <row r="2662" spans="1:5" x14ac:dyDescent="0.35">
      <c r="A2662">
        <v>0</v>
      </c>
      <c r="B2662">
        <v>0</v>
      </c>
      <c r="C2662">
        <v>0</v>
      </c>
      <c r="D2662">
        <v>0</v>
      </c>
      <c r="E2662">
        <v>0</v>
      </c>
    </row>
    <row r="2663" spans="1:5" x14ac:dyDescent="0.35">
      <c r="A2663">
        <v>0</v>
      </c>
      <c r="B2663">
        <v>0</v>
      </c>
      <c r="C2663">
        <v>0</v>
      </c>
      <c r="D2663">
        <v>0</v>
      </c>
      <c r="E2663">
        <v>0</v>
      </c>
    </row>
    <row r="2664" spans="1:5" x14ac:dyDescent="0.35">
      <c r="A2664">
        <v>0</v>
      </c>
      <c r="B2664">
        <v>0</v>
      </c>
      <c r="C2664">
        <v>0</v>
      </c>
      <c r="D2664">
        <v>0</v>
      </c>
      <c r="E2664">
        <v>0</v>
      </c>
    </row>
    <row r="2665" spans="1:5" x14ac:dyDescent="0.35">
      <c r="A2665">
        <v>0</v>
      </c>
      <c r="B2665">
        <v>0</v>
      </c>
      <c r="C2665">
        <v>0</v>
      </c>
      <c r="D2665">
        <v>0</v>
      </c>
      <c r="E2665">
        <v>0</v>
      </c>
    </row>
    <row r="2666" spans="1:5" x14ac:dyDescent="0.35">
      <c r="A2666">
        <v>0</v>
      </c>
      <c r="B2666">
        <v>0</v>
      </c>
      <c r="C2666">
        <v>0</v>
      </c>
      <c r="D2666">
        <v>0</v>
      </c>
      <c r="E2666">
        <v>0</v>
      </c>
    </row>
    <row r="2667" spans="1:5" x14ac:dyDescent="0.35">
      <c r="A2667">
        <v>0</v>
      </c>
      <c r="B2667">
        <v>0</v>
      </c>
      <c r="C2667">
        <v>0</v>
      </c>
      <c r="D2667">
        <v>0</v>
      </c>
      <c r="E2667">
        <v>0</v>
      </c>
    </row>
    <row r="2668" spans="1:5" x14ac:dyDescent="0.35">
      <c r="A2668">
        <v>0</v>
      </c>
      <c r="B2668">
        <v>0</v>
      </c>
      <c r="C2668">
        <v>0</v>
      </c>
      <c r="D2668">
        <v>0</v>
      </c>
      <c r="E2668">
        <v>0</v>
      </c>
    </row>
    <row r="2669" spans="1:5" x14ac:dyDescent="0.35">
      <c r="A2669">
        <v>0</v>
      </c>
      <c r="B2669">
        <v>0</v>
      </c>
      <c r="C2669">
        <v>0</v>
      </c>
      <c r="D2669">
        <v>0</v>
      </c>
      <c r="E2669">
        <v>0</v>
      </c>
    </row>
    <row r="2670" spans="1:5" x14ac:dyDescent="0.35">
      <c r="A2670">
        <v>0</v>
      </c>
      <c r="B2670">
        <v>0</v>
      </c>
      <c r="C2670">
        <v>0</v>
      </c>
      <c r="D2670">
        <v>0</v>
      </c>
      <c r="E2670">
        <v>0</v>
      </c>
    </row>
    <row r="2671" spans="1:5" x14ac:dyDescent="0.35">
      <c r="A2671">
        <v>0</v>
      </c>
      <c r="B2671">
        <v>0</v>
      </c>
      <c r="C2671">
        <v>0</v>
      </c>
      <c r="D2671">
        <v>0</v>
      </c>
      <c r="E2671">
        <v>0</v>
      </c>
    </row>
    <row r="2672" spans="1:5" x14ac:dyDescent="0.35">
      <c r="A2672">
        <v>0</v>
      </c>
      <c r="B2672">
        <v>0</v>
      </c>
      <c r="C2672">
        <v>0</v>
      </c>
      <c r="D2672">
        <v>0</v>
      </c>
      <c r="E2672">
        <v>0</v>
      </c>
    </row>
    <row r="2673" spans="1:5" x14ac:dyDescent="0.35">
      <c r="A2673">
        <v>0</v>
      </c>
      <c r="B2673">
        <v>0</v>
      </c>
      <c r="C2673">
        <v>0</v>
      </c>
      <c r="D2673">
        <v>0</v>
      </c>
      <c r="E2673">
        <v>0</v>
      </c>
    </row>
    <row r="2674" spans="1:5" x14ac:dyDescent="0.35">
      <c r="A2674">
        <v>0</v>
      </c>
      <c r="B2674">
        <v>0</v>
      </c>
      <c r="C2674">
        <v>0</v>
      </c>
      <c r="D2674">
        <v>0</v>
      </c>
      <c r="E2674">
        <v>0</v>
      </c>
    </row>
    <row r="2675" spans="1:5" x14ac:dyDescent="0.35">
      <c r="A2675">
        <v>0</v>
      </c>
      <c r="B2675">
        <v>0</v>
      </c>
      <c r="C2675">
        <v>0</v>
      </c>
      <c r="D2675">
        <v>0</v>
      </c>
      <c r="E2675">
        <v>0</v>
      </c>
    </row>
    <row r="2676" spans="1:5" x14ac:dyDescent="0.35">
      <c r="A2676">
        <v>0</v>
      </c>
      <c r="B2676">
        <v>0</v>
      </c>
      <c r="C2676">
        <v>0</v>
      </c>
      <c r="D2676">
        <v>0</v>
      </c>
      <c r="E2676">
        <v>0</v>
      </c>
    </row>
    <row r="2677" spans="1:5" x14ac:dyDescent="0.35">
      <c r="A2677">
        <v>0</v>
      </c>
      <c r="B2677">
        <v>0</v>
      </c>
      <c r="C2677">
        <v>0</v>
      </c>
      <c r="D2677">
        <v>0</v>
      </c>
      <c r="E2677">
        <v>0</v>
      </c>
    </row>
    <row r="2678" spans="1:5" x14ac:dyDescent="0.35">
      <c r="A2678">
        <v>0</v>
      </c>
      <c r="B2678">
        <v>0</v>
      </c>
      <c r="C2678">
        <v>0</v>
      </c>
      <c r="D2678">
        <v>0</v>
      </c>
      <c r="E2678">
        <v>0</v>
      </c>
    </row>
    <row r="2679" spans="1:5" x14ac:dyDescent="0.35">
      <c r="A2679">
        <v>0</v>
      </c>
      <c r="B2679">
        <v>0</v>
      </c>
      <c r="C2679">
        <v>0</v>
      </c>
      <c r="D2679">
        <v>0</v>
      </c>
      <c r="E2679">
        <v>0</v>
      </c>
    </row>
    <row r="2680" spans="1:5" x14ac:dyDescent="0.35">
      <c r="A2680">
        <v>0</v>
      </c>
      <c r="B2680">
        <v>0</v>
      </c>
      <c r="C2680">
        <v>0</v>
      </c>
      <c r="D2680">
        <v>0</v>
      </c>
      <c r="E2680">
        <v>0</v>
      </c>
    </row>
    <row r="2681" spans="1:5" x14ac:dyDescent="0.35">
      <c r="A2681">
        <v>0</v>
      </c>
      <c r="B2681">
        <v>0</v>
      </c>
      <c r="C2681">
        <v>0</v>
      </c>
      <c r="D2681">
        <v>0</v>
      </c>
      <c r="E2681">
        <v>0</v>
      </c>
    </row>
    <row r="2682" spans="1:5" x14ac:dyDescent="0.35">
      <c r="A2682">
        <v>0</v>
      </c>
      <c r="B2682">
        <v>0</v>
      </c>
      <c r="C2682">
        <v>0</v>
      </c>
      <c r="D2682">
        <v>0</v>
      </c>
      <c r="E2682">
        <v>0</v>
      </c>
    </row>
    <row r="2683" spans="1:5" x14ac:dyDescent="0.35">
      <c r="A2683">
        <v>0</v>
      </c>
      <c r="B2683">
        <v>0</v>
      </c>
      <c r="C2683">
        <v>0</v>
      </c>
      <c r="D2683">
        <v>0</v>
      </c>
      <c r="E2683">
        <v>0</v>
      </c>
    </row>
    <row r="2684" spans="1:5" x14ac:dyDescent="0.35">
      <c r="A2684">
        <v>0</v>
      </c>
      <c r="B2684">
        <v>0</v>
      </c>
      <c r="C2684">
        <v>0</v>
      </c>
      <c r="D2684">
        <v>0</v>
      </c>
      <c r="E2684">
        <v>0</v>
      </c>
    </row>
    <row r="2685" spans="1:5" x14ac:dyDescent="0.35">
      <c r="A2685">
        <v>0</v>
      </c>
      <c r="B2685">
        <v>0</v>
      </c>
      <c r="C2685">
        <v>0</v>
      </c>
      <c r="D2685">
        <v>0</v>
      </c>
      <c r="E2685">
        <v>0</v>
      </c>
    </row>
    <row r="2686" spans="1:5" x14ac:dyDescent="0.35">
      <c r="A2686">
        <v>0</v>
      </c>
      <c r="B2686">
        <v>0</v>
      </c>
      <c r="C2686">
        <v>0</v>
      </c>
      <c r="D2686">
        <v>0</v>
      </c>
      <c r="E2686">
        <v>0</v>
      </c>
    </row>
    <row r="2687" spans="1:5" x14ac:dyDescent="0.35">
      <c r="A2687">
        <v>0</v>
      </c>
      <c r="B2687">
        <v>0</v>
      </c>
      <c r="C2687">
        <v>0</v>
      </c>
      <c r="D2687">
        <v>0</v>
      </c>
      <c r="E2687">
        <v>0</v>
      </c>
    </row>
    <row r="2688" spans="1:5" x14ac:dyDescent="0.35">
      <c r="A2688">
        <v>0</v>
      </c>
      <c r="B2688">
        <v>0</v>
      </c>
      <c r="C2688">
        <v>0</v>
      </c>
      <c r="D2688">
        <v>0</v>
      </c>
      <c r="E2688">
        <v>0</v>
      </c>
    </row>
    <row r="2689" spans="1:5" x14ac:dyDescent="0.35">
      <c r="A2689">
        <v>0</v>
      </c>
      <c r="B2689">
        <v>0</v>
      </c>
      <c r="C2689">
        <v>0</v>
      </c>
      <c r="D2689">
        <v>0</v>
      </c>
      <c r="E2689">
        <v>0</v>
      </c>
    </row>
    <row r="2690" spans="1:5" x14ac:dyDescent="0.35">
      <c r="A2690">
        <v>0</v>
      </c>
      <c r="B2690">
        <v>0</v>
      </c>
      <c r="C2690">
        <v>0</v>
      </c>
      <c r="D2690">
        <v>0</v>
      </c>
      <c r="E2690">
        <v>0</v>
      </c>
    </row>
    <row r="2691" spans="1:5" x14ac:dyDescent="0.35">
      <c r="A2691">
        <v>0</v>
      </c>
      <c r="B2691">
        <v>0</v>
      </c>
      <c r="C2691">
        <v>0</v>
      </c>
      <c r="D2691">
        <v>0</v>
      </c>
      <c r="E2691">
        <v>0</v>
      </c>
    </row>
    <row r="2692" spans="1:5" x14ac:dyDescent="0.35">
      <c r="A2692">
        <v>0</v>
      </c>
      <c r="B2692">
        <v>0</v>
      </c>
      <c r="C2692">
        <v>0</v>
      </c>
      <c r="D2692">
        <v>0</v>
      </c>
      <c r="E2692">
        <v>0</v>
      </c>
    </row>
    <row r="2693" spans="1:5" x14ac:dyDescent="0.35">
      <c r="A2693">
        <v>0</v>
      </c>
      <c r="B2693">
        <v>0</v>
      </c>
      <c r="C2693">
        <v>0</v>
      </c>
      <c r="D2693">
        <v>0</v>
      </c>
      <c r="E2693">
        <v>0</v>
      </c>
    </row>
    <row r="2694" spans="1:5" x14ac:dyDescent="0.35">
      <c r="A2694">
        <v>0</v>
      </c>
      <c r="B2694">
        <v>0</v>
      </c>
      <c r="C2694">
        <v>0</v>
      </c>
      <c r="D2694">
        <v>0</v>
      </c>
      <c r="E2694">
        <v>0</v>
      </c>
    </row>
    <row r="2695" spans="1:5" x14ac:dyDescent="0.35">
      <c r="A2695">
        <v>0</v>
      </c>
      <c r="B2695">
        <v>0</v>
      </c>
      <c r="C2695">
        <v>0</v>
      </c>
      <c r="D2695">
        <v>0</v>
      </c>
      <c r="E2695">
        <v>0</v>
      </c>
    </row>
    <row r="2696" spans="1:5" x14ac:dyDescent="0.35">
      <c r="A2696">
        <v>0</v>
      </c>
      <c r="B2696">
        <v>0</v>
      </c>
      <c r="C2696">
        <v>0</v>
      </c>
      <c r="D2696">
        <v>0</v>
      </c>
      <c r="E2696">
        <v>0</v>
      </c>
    </row>
    <row r="2697" spans="1:5" x14ac:dyDescent="0.35">
      <c r="A2697">
        <v>0</v>
      </c>
      <c r="B2697">
        <v>0</v>
      </c>
      <c r="C2697">
        <v>0</v>
      </c>
      <c r="D2697">
        <v>0</v>
      </c>
      <c r="E2697">
        <v>0</v>
      </c>
    </row>
    <row r="2698" spans="1:5" x14ac:dyDescent="0.35">
      <c r="A2698">
        <v>0</v>
      </c>
      <c r="B2698">
        <v>0</v>
      </c>
      <c r="C2698">
        <v>0</v>
      </c>
      <c r="D2698">
        <v>0</v>
      </c>
      <c r="E2698">
        <v>0</v>
      </c>
    </row>
    <row r="2699" spans="1:5" x14ac:dyDescent="0.35">
      <c r="A2699">
        <v>0</v>
      </c>
      <c r="B2699">
        <v>0</v>
      </c>
      <c r="C2699">
        <v>0</v>
      </c>
      <c r="D2699">
        <v>0</v>
      </c>
      <c r="E2699">
        <v>0</v>
      </c>
    </row>
    <row r="2700" spans="1:5" x14ac:dyDescent="0.35">
      <c r="A2700">
        <v>0</v>
      </c>
      <c r="B2700">
        <v>0</v>
      </c>
      <c r="C2700">
        <v>0</v>
      </c>
      <c r="D2700">
        <v>0</v>
      </c>
      <c r="E2700">
        <v>0</v>
      </c>
    </row>
    <row r="2701" spans="1:5" x14ac:dyDescent="0.35">
      <c r="A2701">
        <v>0</v>
      </c>
      <c r="B2701">
        <v>0</v>
      </c>
      <c r="C2701">
        <v>0</v>
      </c>
      <c r="D2701">
        <v>0</v>
      </c>
      <c r="E2701">
        <v>0</v>
      </c>
    </row>
    <row r="2702" spans="1:5" x14ac:dyDescent="0.35">
      <c r="A2702">
        <v>0</v>
      </c>
      <c r="B2702">
        <v>0</v>
      </c>
      <c r="C2702">
        <v>0</v>
      </c>
      <c r="D2702">
        <v>0</v>
      </c>
      <c r="E2702">
        <v>0</v>
      </c>
    </row>
    <row r="2703" spans="1:5" x14ac:dyDescent="0.35">
      <c r="A2703">
        <v>0</v>
      </c>
      <c r="B2703">
        <v>0</v>
      </c>
      <c r="C2703">
        <v>0</v>
      </c>
      <c r="D2703">
        <v>0</v>
      </c>
      <c r="E2703">
        <v>0</v>
      </c>
    </row>
    <row r="2704" spans="1:5" x14ac:dyDescent="0.35">
      <c r="A2704">
        <v>0</v>
      </c>
      <c r="B2704">
        <v>0</v>
      </c>
      <c r="C2704">
        <v>0</v>
      </c>
      <c r="D2704">
        <v>0</v>
      </c>
      <c r="E2704">
        <v>0</v>
      </c>
    </row>
    <row r="2705" spans="1:5" x14ac:dyDescent="0.35">
      <c r="A2705">
        <v>0</v>
      </c>
      <c r="B2705">
        <v>0</v>
      </c>
      <c r="C2705">
        <v>0</v>
      </c>
      <c r="D2705">
        <v>0</v>
      </c>
      <c r="E2705">
        <v>0</v>
      </c>
    </row>
    <row r="2706" spans="1:5" x14ac:dyDescent="0.35">
      <c r="A2706">
        <v>0</v>
      </c>
      <c r="B2706">
        <v>0</v>
      </c>
      <c r="C2706">
        <v>0</v>
      </c>
      <c r="D2706">
        <v>0</v>
      </c>
      <c r="E2706">
        <v>0</v>
      </c>
    </row>
    <row r="2707" spans="1:5" x14ac:dyDescent="0.35">
      <c r="A2707">
        <v>0</v>
      </c>
      <c r="B2707">
        <v>0</v>
      </c>
      <c r="C2707">
        <v>0</v>
      </c>
      <c r="D2707">
        <v>0</v>
      </c>
      <c r="E2707">
        <v>0</v>
      </c>
    </row>
    <row r="2708" spans="1:5" x14ac:dyDescent="0.35">
      <c r="A2708">
        <v>0</v>
      </c>
      <c r="B2708">
        <v>0</v>
      </c>
      <c r="C2708">
        <v>0</v>
      </c>
      <c r="D2708">
        <v>0</v>
      </c>
      <c r="E2708">
        <v>0</v>
      </c>
    </row>
    <row r="2709" spans="1:5" x14ac:dyDescent="0.35">
      <c r="A2709">
        <v>0</v>
      </c>
      <c r="B2709">
        <v>0</v>
      </c>
      <c r="C2709">
        <v>0</v>
      </c>
      <c r="D2709">
        <v>0</v>
      </c>
      <c r="E2709">
        <v>0</v>
      </c>
    </row>
    <row r="2710" spans="1:5" x14ac:dyDescent="0.35">
      <c r="A2710">
        <v>0</v>
      </c>
      <c r="B2710">
        <v>0</v>
      </c>
      <c r="C2710">
        <v>0</v>
      </c>
      <c r="D2710">
        <v>0</v>
      </c>
      <c r="E2710">
        <v>0</v>
      </c>
    </row>
    <row r="2711" spans="1:5" x14ac:dyDescent="0.35">
      <c r="A2711">
        <v>0</v>
      </c>
      <c r="B2711">
        <v>0</v>
      </c>
      <c r="C2711">
        <v>0</v>
      </c>
      <c r="D2711">
        <v>0</v>
      </c>
      <c r="E2711">
        <v>0</v>
      </c>
    </row>
    <row r="2712" spans="1:5" x14ac:dyDescent="0.35">
      <c r="A2712">
        <v>0</v>
      </c>
      <c r="B2712">
        <v>0</v>
      </c>
      <c r="C2712">
        <v>0</v>
      </c>
      <c r="D2712">
        <v>0</v>
      </c>
      <c r="E2712">
        <v>0</v>
      </c>
    </row>
    <row r="2713" spans="1:5" x14ac:dyDescent="0.35">
      <c r="A2713">
        <v>0</v>
      </c>
      <c r="B2713">
        <v>0</v>
      </c>
      <c r="C2713">
        <v>0</v>
      </c>
      <c r="D2713">
        <v>0</v>
      </c>
      <c r="E2713">
        <v>0</v>
      </c>
    </row>
    <row r="2714" spans="1:5" x14ac:dyDescent="0.35">
      <c r="A2714">
        <v>0</v>
      </c>
      <c r="B2714">
        <v>0</v>
      </c>
      <c r="C2714">
        <v>0</v>
      </c>
      <c r="D2714">
        <v>0</v>
      </c>
      <c r="E2714">
        <v>0</v>
      </c>
    </row>
    <row r="2715" spans="1:5" x14ac:dyDescent="0.35">
      <c r="A2715">
        <v>0</v>
      </c>
      <c r="B2715">
        <v>0</v>
      </c>
      <c r="C2715">
        <v>0</v>
      </c>
      <c r="D2715">
        <v>0</v>
      </c>
      <c r="E2715">
        <v>0</v>
      </c>
    </row>
    <row r="2716" spans="1:5" x14ac:dyDescent="0.35">
      <c r="A2716">
        <v>0</v>
      </c>
      <c r="B2716">
        <v>0</v>
      </c>
      <c r="C2716">
        <v>0</v>
      </c>
      <c r="D2716">
        <v>0</v>
      </c>
      <c r="E2716">
        <v>0</v>
      </c>
    </row>
    <row r="2717" spans="1:5" x14ac:dyDescent="0.35">
      <c r="A2717">
        <v>0</v>
      </c>
      <c r="B2717">
        <v>0</v>
      </c>
      <c r="C2717">
        <v>0</v>
      </c>
      <c r="D2717">
        <v>0</v>
      </c>
      <c r="E2717">
        <v>0</v>
      </c>
    </row>
    <row r="2718" spans="1:5" x14ac:dyDescent="0.35">
      <c r="A2718">
        <v>0</v>
      </c>
      <c r="B2718">
        <v>0</v>
      </c>
      <c r="C2718">
        <v>0</v>
      </c>
      <c r="D2718">
        <v>0</v>
      </c>
      <c r="E2718">
        <v>0</v>
      </c>
    </row>
    <row r="2719" spans="1:5" x14ac:dyDescent="0.35">
      <c r="A2719">
        <v>0</v>
      </c>
      <c r="B2719">
        <v>0</v>
      </c>
      <c r="C2719">
        <v>0</v>
      </c>
      <c r="D2719">
        <v>0</v>
      </c>
      <c r="E2719">
        <v>0</v>
      </c>
    </row>
    <row r="2720" spans="1:5" x14ac:dyDescent="0.35">
      <c r="A2720">
        <v>0</v>
      </c>
      <c r="B2720">
        <v>0</v>
      </c>
      <c r="C2720">
        <v>0</v>
      </c>
      <c r="D2720">
        <v>0</v>
      </c>
      <c r="E2720">
        <v>0</v>
      </c>
    </row>
    <row r="2721" spans="1:5" x14ac:dyDescent="0.35">
      <c r="A2721">
        <v>0</v>
      </c>
      <c r="B2721">
        <v>0</v>
      </c>
      <c r="C2721">
        <v>0</v>
      </c>
      <c r="D2721">
        <v>0</v>
      </c>
      <c r="E2721">
        <v>0</v>
      </c>
    </row>
    <row r="2722" spans="1:5" x14ac:dyDescent="0.35">
      <c r="A2722">
        <v>0</v>
      </c>
      <c r="B2722">
        <v>0</v>
      </c>
      <c r="C2722">
        <v>0</v>
      </c>
      <c r="D2722">
        <v>0</v>
      </c>
      <c r="E2722">
        <v>0</v>
      </c>
    </row>
    <row r="2723" spans="1:5" x14ac:dyDescent="0.35">
      <c r="A2723">
        <v>0</v>
      </c>
      <c r="B2723">
        <v>0</v>
      </c>
      <c r="C2723">
        <v>0</v>
      </c>
      <c r="D2723">
        <v>0</v>
      </c>
      <c r="E2723">
        <v>0</v>
      </c>
    </row>
    <row r="2724" spans="1:5" x14ac:dyDescent="0.35">
      <c r="A2724">
        <v>0</v>
      </c>
      <c r="B2724">
        <v>0</v>
      </c>
      <c r="C2724">
        <v>0</v>
      </c>
      <c r="D2724">
        <v>0</v>
      </c>
      <c r="E2724">
        <v>0</v>
      </c>
    </row>
    <row r="2725" spans="1:5" x14ac:dyDescent="0.35">
      <c r="A2725">
        <v>0</v>
      </c>
      <c r="B2725">
        <v>0</v>
      </c>
      <c r="C2725">
        <v>0</v>
      </c>
      <c r="D2725">
        <v>0</v>
      </c>
      <c r="E2725">
        <v>0</v>
      </c>
    </row>
    <row r="2726" spans="1:5" x14ac:dyDescent="0.35">
      <c r="A2726">
        <v>0</v>
      </c>
      <c r="B2726">
        <v>0</v>
      </c>
      <c r="C2726">
        <v>0</v>
      </c>
      <c r="D2726">
        <v>0</v>
      </c>
      <c r="E2726">
        <v>0</v>
      </c>
    </row>
    <row r="2727" spans="1:5" x14ac:dyDescent="0.35">
      <c r="A2727">
        <v>0</v>
      </c>
      <c r="B2727">
        <v>0</v>
      </c>
      <c r="C2727">
        <v>0</v>
      </c>
      <c r="D2727">
        <v>0</v>
      </c>
      <c r="E2727">
        <v>0</v>
      </c>
    </row>
    <row r="2728" spans="1:5" x14ac:dyDescent="0.35">
      <c r="A2728">
        <v>0</v>
      </c>
      <c r="B2728">
        <v>0</v>
      </c>
      <c r="C2728">
        <v>0</v>
      </c>
      <c r="D2728">
        <v>0</v>
      </c>
      <c r="E2728">
        <v>0</v>
      </c>
    </row>
    <row r="2729" spans="1:5" x14ac:dyDescent="0.35">
      <c r="A2729">
        <v>0</v>
      </c>
      <c r="B2729">
        <v>0</v>
      </c>
      <c r="C2729">
        <v>0</v>
      </c>
      <c r="D2729">
        <v>0</v>
      </c>
      <c r="E2729">
        <v>0</v>
      </c>
    </row>
    <row r="2730" spans="1:5" x14ac:dyDescent="0.35">
      <c r="A2730">
        <v>0</v>
      </c>
      <c r="B2730">
        <v>0</v>
      </c>
      <c r="C2730">
        <v>0</v>
      </c>
      <c r="D2730">
        <v>0</v>
      </c>
      <c r="E2730">
        <v>0</v>
      </c>
    </row>
    <row r="2731" spans="1:5" x14ac:dyDescent="0.35">
      <c r="A2731">
        <v>0</v>
      </c>
      <c r="B2731">
        <v>0</v>
      </c>
      <c r="C2731">
        <v>0</v>
      </c>
      <c r="D2731">
        <v>0</v>
      </c>
      <c r="E2731">
        <v>0</v>
      </c>
    </row>
    <row r="2732" spans="1:5" x14ac:dyDescent="0.35">
      <c r="A2732">
        <v>0</v>
      </c>
      <c r="B2732">
        <v>0</v>
      </c>
      <c r="C2732">
        <v>0</v>
      </c>
      <c r="D2732">
        <v>0</v>
      </c>
      <c r="E2732">
        <v>0</v>
      </c>
    </row>
    <row r="2733" spans="1:5" x14ac:dyDescent="0.35">
      <c r="A2733">
        <v>0</v>
      </c>
      <c r="B2733">
        <v>0</v>
      </c>
      <c r="C2733">
        <v>0</v>
      </c>
      <c r="D2733">
        <v>0</v>
      </c>
      <c r="E2733">
        <v>0</v>
      </c>
    </row>
    <row r="2734" spans="1:5" x14ac:dyDescent="0.35">
      <c r="A2734">
        <v>0</v>
      </c>
      <c r="B2734">
        <v>0</v>
      </c>
      <c r="C2734">
        <v>0</v>
      </c>
      <c r="D2734">
        <v>0</v>
      </c>
      <c r="E2734">
        <v>0</v>
      </c>
    </row>
    <row r="2735" spans="1:5" x14ac:dyDescent="0.35">
      <c r="A2735">
        <v>0</v>
      </c>
      <c r="B2735">
        <v>0</v>
      </c>
      <c r="C2735">
        <v>0</v>
      </c>
      <c r="D2735">
        <v>0</v>
      </c>
      <c r="E2735">
        <v>0</v>
      </c>
    </row>
    <row r="2736" spans="1:5" x14ac:dyDescent="0.35">
      <c r="A2736">
        <v>0</v>
      </c>
      <c r="B2736">
        <v>0</v>
      </c>
      <c r="C2736">
        <v>0</v>
      </c>
      <c r="D2736">
        <v>0</v>
      </c>
      <c r="E2736">
        <v>0</v>
      </c>
    </row>
    <row r="2737" spans="1:5" x14ac:dyDescent="0.35">
      <c r="A2737">
        <v>0</v>
      </c>
      <c r="B2737">
        <v>0</v>
      </c>
      <c r="C2737">
        <v>0</v>
      </c>
      <c r="D2737">
        <v>0</v>
      </c>
      <c r="E2737">
        <v>0</v>
      </c>
    </row>
    <row r="2738" spans="1:5" x14ac:dyDescent="0.35">
      <c r="A2738">
        <v>0</v>
      </c>
      <c r="B2738">
        <v>0</v>
      </c>
      <c r="C2738">
        <v>0</v>
      </c>
      <c r="D2738">
        <v>0</v>
      </c>
      <c r="E2738">
        <v>0</v>
      </c>
    </row>
    <row r="2739" spans="1:5" x14ac:dyDescent="0.35">
      <c r="A2739">
        <v>0</v>
      </c>
      <c r="B2739">
        <v>0</v>
      </c>
      <c r="C2739">
        <v>0</v>
      </c>
      <c r="D2739">
        <v>0</v>
      </c>
      <c r="E2739">
        <v>0</v>
      </c>
    </row>
    <row r="2740" spans="1:5" x14ac:dyDescent="0.35">
      <c r="A2740">
        <v>0</v>
      </c>
      <c r="B2740">
        <v>0</v>
      </c>
      <c r="C2740">
        <v>0</v>
      </c>
      <c r="D2740">
        <v>0</v>
      </c>
      <c r="E2740">
        <v>0</v>
      </c>
    </row>
    <row r="2741" spans="1:5" x14ac:dyDescent="0.35">
      <c r="A2741">
        <v>0</v>
      </c>
      <c r="B2741">
        <v>0</v>
      </c>
      <c r="C2741">
        <v>0</v>
      </c>
      <c r="D2741">
        <v>0</v>
      </c>
      <c r="E2741">
        <v>0</v>
      </c>
    </row>
    <row r="2742" spans="1:5" x14ac:dyDescent="0.35">
      <c r="A2742">
        <v>0</v>
      </c>
      <c r="B2742">
        <v>0</v>
      </c>
      <c r="C2742">
        <v>0</v>
      </c>
      <c r="D2742">
        <v>0</v>
      </c>
      <c r="E2742">
        <v>0</v>
      </c>
    </row>
    <row r="2743" spans="1:5" x14ac:dyDescent="0.35">
      <c r="A2743">
        <v>0</v>
      </c>
      <c r="B2743">
        <v>0</v>
      </c>
      <c r="C2743">
        <v>0</v>
      </c>
      <c r="D2743">
        <v>0</v>
      </c>
      <c r="E2743">
        <v>0</v>
      </c>
    </row>
    <row r="2744" spans="1:5" x14ac:dyDescent="0.35">
      <c r="A2744">
        <v>0</v>
      </c>
      <c r="B2744">
        <v>0</v>
      </c>
      <c r="C2744">
        <v>0</v>
      </c>
      <c r="D2744">
        <v>0</v>
      </c>
      <c r="E2744">
        <v>0</v>
      </c>
    </row>
    <row r="2745" spans="1:5" x14ac:dyDescent="0.35">
      <c r="A2745">
        <v>0</v>
      </c>
      <c r="B2745">
        <v>0</v>
      </c>
      <c r="C2745">
        <v>0</v>
      </c>
      <c r="D2745">
        <v>0</v>
      </c>
      <c r="E2745">
        <v>0</v>
      </c>
    </row>
    <row r="2746" spans="1:5" x14ac:dyDescent="0.35">
      <c r="A2746">
        <v>0</v>
      </c>
      <c r="B2746">
        <v>0</v>
      </c>
      <c r="C2746">
        <v>0</v>
      </c>
      <c r="D2746">
        <v>0</v>
      </c>
      <c r="E2746">
        <v>0</v>
      </c>
    </row>
    <row r="2747" spans="1:5" x14ac:dyDescent="0.35">
      <c r="A2747">
        <v>0</v>
      </c>
      <c r="B2747">
        <v>0</v>
      </c>
      <c r="C2747">
        <v>0</v>
      </c>
      <c r="D2747">
        <v>0</v>
      </c>
      <c r="E2747">
        <v>0</v>
      </c>
    </row>
    <row r="2748" spans="1:5" x14ac:dyDescent="0.35">
      <c r="A2748">
        <v>0</v>
      </c>
      <c r="B2748">
        <v>0</v>
      </c>
      <c r="C2748">
        <v>0</v>
      </c>
      <c r="D2748">
        <v>0</v>
      </c>
      <c r="E2748">
        <v>0</v>
      </c>
    </row>
    <row r="2749" spans="1:5" x14ac:dyDescent="0.35">
      <c r="A2749">
        <v>0</v>
      </c>
      <c r="B2749">
        <v>0</v>
      </c>
      <c r="C2749">
        <v>0</v>
      </c>
      <c r="D2749">
        <v>0</v>
      </c>
      <c r="E2749">
        <v>0</v>
      </c>
    </row>
    <row r="2750" spans="1:5" x14ac:dyDescent="0.35">
      <c r="A2750">
        <v>0</v>
      </c>
      <c r="B2750">
        <v>0</v>
      </c>
      <c r="C2750">
        <v>0</v>
      </c>
      <c r="D2750">
        <v>0</v>
      </c>
      <c r="E2750">
        <v>0</v>
      </c>
    </row>
    <row r="2751" spans="1:5" x14ac:dyDescent="0.35">
      <c r="A2751">
        <v>0</v>
      </c>
      <c r="B2751">
        <v>0</v>
      </c>
      <c r="C2751">
        <v>0</v>
      </c>
      <c r="D2751">
        <v>0</v>
      </c>
      <c r="E2751">
        <v>0</v>
      </c>
    </row>
    <row r="2752" spans="1:5" x14ac:dyDescent="0.35">
      <c r="A2752">
        <v>0</v>
      </c>
      <c r="B2752">
        <v>0</v>
      </c>
      <c r="C2752">
        <v>0</v>
      </c>
      <c r="D2752">
        <v>0</v>
      </c>
      <c r="E2752">
        <v>0</v>
      </c>
    </row>
    <row r="2753" spans="1:5" x14ac:dyDescent="0.35">
      <c r="A2753">
        <v>0</v>
      </c>
      <c r="B2753">
        <v>0</v>
      </c>
      <c r="C2753">
        <v>0</v>
      </c>
      <c r="D2753">
        <v>0</v>
      </c>
      <c r="E2753">
        <v>0</v>
      </c>
    </row>
    <row r="2754" spans="1:5" x14ac:dyDescent="0.35">
      <c r="A2754">
        <v>0</v>
      </c>
      <c r="B2754">
        <v>0</v>
      </c>
      <c r="C2754">
        <v>0</v>
      </c>
      <c r="D2754">
        <v>0</v>
      </c>
      <c r="E2754">
        <v>0</v>
      </c>
    </row>
    <row r="2755" spans="1:5" x14ac:dyDescent="0.35">
      <c r="A2755">
        <v>0</v>
      </c>
      <c r="B2755">
        <v>0</v>
      </c>
      <c r="C2755">
        <v>0</v>
      </c>
      <c r="D2755">
        <v>0</v>
      </c>
      <c r="E2755">
        <v>0</v>
      </c>
    </row>
    <row r="2756" spans="1:5" x14ac:dyDescent="0.35">
      <c r="A2756">
        <v>0</v>
      </c>
      <c r="B2756">
        <v>0</v>
      </c>
      <c r="C2756">
        <v>0</v>
      </c>
      <c r="D2756">
        <v>0</v>
      </c>
      <c r="E2756">
        <v>0</v>
      </c>
    </row>
    <row r="2757" spans="1:5" x14ac:dyDescent="0.35">
      <c r="A2757">
        <v>0</v>
      </c>
      <c r="B2757">
        <v>0</v>
      </c>
      <c r="C2757">
        <v>0</v>
      </c>
      <c r="D2757">
        <v>0</v>
      </c>
      <c r="E2757">
        <v>0</v>
      </c>
    </row>
    <row r="2758" spans="1:5" x14ac:dyDescent="0.35">
      <c r="A2758">
        <v>0</v>
      </c>
      <c r="B2758">
        <v>0</v>
      </c>
      <c r="C2758">
        <v>0</v>
      </c>
      <c r="D2758">
        <v>0</v>
      </c>
      <c r="E2758">
        <v>0</v>
      </c>
    </row>
    <row r="2759" spans="1:5" x14ac:dyDescent="0.35">
      <c r="A2759">
        <v>0</v>
      </c>
      <c r="B2759">
        <v>0</v>
      </c>
      <c r="C2759">
        <v>0</v>
      </c>
      <c r="D2759">
        <v>0</v>
      </c>
      <c r="E2759">
        <v>0</v>
      </c>
    </row>
    <row r="2760" spans="1:5" x14ac:dyDescent="0.35">
      <c r="A2760">
        <v>0</v>
      </c>
      <c r="B2760">
        <v>0</v>
      </c>
      <c r="C2760">
        <v>0</v>
      </c>
      <c r="D2760">
        <v>0</v>
      </c>
      <c r="E2760">
        <v>0</v>
      </c>
    </row>
    <row r="2761" spans="1:5" x14ac:dyDescent="0.35">
      <c r="A2761">
        <v>0</v>
      </c>
      <c r="B2761">
        <v>0</v>
      </c>
      <c r="C2761">
        <v>0</v>
      </c>
      <c r="D2761">
        <v>0</v>
      </c>
      <c r="E2761">
        <v>0</v>
      </c>
    </row>
    <row r="2762" spans="1:5" x14ac:dyDescent="0.35">
      <c r="A2762">
        <v>0</v>
      </c>
      <c r="B2762">
        <v>0</v>
      </c>
      <c r="C2762">
        <v>0</v>
      </c>
      <c r="D2762">
        <v>0</v>
      </c>
      <c r="E2762">
        <v>0</v>
      </c>
    </row>
    <row r="2763" spans="1:5" x14ac:dyDescent="0.35">
      <c r="A2763">
        <v>0</v>
      </c>
      <c r="B2763">
        <v>0</v>
      </c>
      <c r="C2763">
        <v>0</v>
      </c>
      <c r="D2763">
        <v>0</v>
      </c>
      <c r="E2763">
        <v>0</v>
      </c>
    </row>
    <row r="2764" spans="1:5" x14ac:dyDescent="0.35">
      <c r="A2764">
        <v>0</v>
      </c>
      <c r="B2764">
        <v>0</v>
      </c>
      <c r="C2764">
        <v>0</v>
      </c>
      <c r="D2764">
        <v>0</v>
      </c>
      <c r="E2764">
        <v>0</v>
      </c>
    </row>
    <row r="2765" spans="1:5" x14ac:dyDescent="0.35">
      <c r="A2765">
        <v>0</v>
      </c>
      <c r="B2765">
        <v>0</v>
      </c>
      <c r="C2765">
        <v>0</v>
      </c>
      <c r="D2765">
        <v>0</v>
      </c>
      <c r="E2765">
        <v>0</v>
      </c>
    </row>
    <row r="2766" spans="1:5" x14ac:dyDescent="0.35">
      <c r="A2766">
        <v>0</v>
      </c>
      <c r="B2766">
        <v>0</v>
      </c>
      <c r="C2766">
        <v>0</v>
      </c>
      <c r="D2766">
        <v>0</v>
      </c>
      <c r="E2766">
        <v>0</v>
      </c>
    </row>
    <row r="2767" spans="1:5" x14ac:dyDescent="0.35">
      <c r="A2767">
        <v>0</v>
      </c>
      <c r="B2767">
        <v>0</v>
      </c>
      <c r="C2767">
        <v>0</v>
      </c>
      <c r="D2767">
        <v>0</v>
      </c>
      <c r="E2767">
        <v>0</v>
      </c>
    </row>
    <row r="2768" spans="1:5" x14ac:dyDescent="0.35">
      <c r="A2768">
        <v>0</v>
      </c>
      <c r="B2768">
        <v>0</v>
      </c>
      <c r="C2768">
        <v>0</v>
      </c>
      <c r="D2768">
        <v>0</v>
      </c>
      <c r="E2768">
        <v>0</v>
      </c>
    </row>
    <row r="2769" spans="1:5" x14ac:dyDescent="0.35">
      <c r="A2769">
        <v>0</v>
      </c>
      <c r="B2769">
        <v>0</v>
      </c>
      <c r="C2769">
        <v>0</v>
      </c>
      <c r="D2769">
        <v>0</v>
      </c>
      <c r="E2769">
        <v>0</v>
      </c>
    </row>
    <row r="2770" spans="1:5" x14ac:dyDescent="0.35">
      <c r="A2770">
        <v>0</v>
      </c>
      <c r="B2770">
        <v>0</v>
      </c>
      <c r="C2770">
        <v>0</v>
      </c>
      <c r="D2770">
        <v>0</v>
      </c>
      <c r="E2770">
        <v>0</v>
      </c>
    </row>
    <row r="2771" spans="1:5" x14ac:dyDescent="0.35">
      <c r="A2771">
        <v>0</v>
      </c>
      <c r="B2771">
        <v>0</v>
      </c>
      <c r="C2771">
        <v>0</v>
      </c>
      <c r="D2771">
        <v>0</v>
      </c>
      <c r="E2771">
        <v>0</v>
      </c>
    </row>
    <row r="2772" spans="1:5" x14ac:dyDescent="0.35">
      <c r="A2772">
        <v>0</v>
      </c>
      <c r="B2772">
        <v>0</v>
      </c>
      <c r="C2772">
        <v>0</v>
      </c>
      <c r="D2772">
        <v>0</v>
      </c>
      <c r="E2772">
        <v>0</v>
      </c>
    </row>
    <row r="2773" spans="1:5" x14ac:dyDescent="0.35">
      <c r="A2773">
        <v>0</v>
      </c>
      <c r="B2773">
        <v>0</v>
      </c>
      <c r="C2773">
        <v>0</v>
      </c>
      <c r="D2773">
        <v>0</v>
      </c>
      <c r="E2773">
        <v>0</v>
      </c>
    </row>
    <row r="2774" spans="1:5" x14ac:dyDescent="0.35">
      <c r="A2774">
        <v>0</v>
      </c>
      <c r="B2774">
        <v>0</v>
      </c>
      <c r="C2774">
        <v>0</v>
      </c>
      <c r="D2774">
        <v>0</v>
      </c>
      <c r="E2774">
        <v>0</v>
      </c>
    </row>
    <row r="2775" spans="1:5" x14ac:dyDescent="0.35">
      <c r="A2775">
        <v>0</v>
      </c>
      <c r="B2775">
        <v>0</v>
      </c>
      <c r="C2775">
        <v>0</v>
      </c>
      <c r="D2775">
        <v>0</v>
      </c>
      <c r="E2775">
        <v>0</v>
      </c>
    </row>
    <row r="2776" spans="1:5" x14ac:dyDescent="0.35">
      <c r="A2776">
        <v>0</v>
      </c>
      <c r="B2776">
        <v>0</v>
      </c>
      <c r="C2776">
        <v>0</v>
      </c>
      <c r="D2776">
        <v>0</v>
      </c>
      <c r="E2776">
        <v>0</v>
      </c>
    </row>
    <row r="2777" spans="1:5" x14ac:dyDescent="0.35">
      <c r="A2777">
        <v>0</v>
      </c>
      <c r="B2777">
        <v>0</v>
      </c>
      <c r="C2777">
        <v>0</v>
      </c>
      <c r="D2777">
        <v>0</v>
      </c>
      <c r="E2777">
        <v>0</v>
      </c>
    </row>
    <row r="2778" spans="1:5" x14ac:dyDescent="0.35">
      <c r="A2778">
        <v>0</v>
      </c>
      <c r="B2778">
        <v>0</v>
      </c>
      <c r="C2778">
        <v>0</v>
      </c>
      <c r="D2778">
        <v>0</v>
      </c>
      <c r="E2778">
        <v>0</v>
      </c>
    </row>
    <row r="2779" spans="1:5" x14ac:dyDescent="0.35">
      <c r="A2779">
        <v>0</v>
      </c>
      <c r="B2779">
        <v>0</v>
      </c>
      <c r="C2779">
        <v>0</v>
      </c>
      <c r="D2779">
        <v>0</v>
      </c>
      <c r="E2779">
        <v>0</v>
      </c>
    </row>
    <row r="2780" spans="1:5" x14ac:dyDescent="0.35">
      <c r="A2780">
        <v>0</v>
      </c>
      <c r="B2780">
        <v>0</v>
      </c>
      <c r="C2780">
        <v>0</v>
      </c>
      <c r="D2780">
        <v>0</v>
      </c>
      <c r="E2780">
        <v>0</v>
      </c>
    </row>
    <row r="2781" spans="1:5" x14ac:dyDescent="0.35">
      <c r="A2781">
        <v>0</v>
      </c>
      <c r="B2781">
        <v>0</v>
      </c>
      <c r="C2781">
        <v>0</v>
      </c>
      <c r="D2781">
        <v>0</v>
      </c>
      <c r="E2781">
        <v>0</v>
      </c>
    </row>
    <row r="2782" spans="1:5" x14ac:dyDescent="0.35">
      <c r="A2782">
        <v>0</v>
      </c>
      <c r="B2782">
        <v>0</v>
      </c>
      <c r="C2782">
        <v>0</v>
      </c>
      <c r="D2782">
        <v>0</v>
      </c>
      <c r="E2782">
        <v>0</v>
      </c>
    </row>
    <row r="2783" spans="1:5" x14ac:dyDescent="0.35">
      <c r="A2783">
        <v>0</v>
      </c>
      <c r="B2783">
        <v>0</v>
      </c>
      <c r="C2783">
        <v>0</v>
      </c>
      <c r="D2783">
        <v>0</v>
      </c>
      <c r="E2783">
        <v>0</v>
      </c>
    </row>
    <row r="2784" spans="1:5" x14ac:dyDescent="0.35">
      <c r="A2784">
        <v>0</v>
      </c>
      <c r="B2784">
        <v>0</v>
      </c>
      <c r="C2784">
        <v>0</v>
      </c>
      <c r="D2784">
        <v>0</v>
      </c>
      <c r="E2784">
        <v>0</v>
      </c>
    </row>
    <row r="2785" spans="1:5" x14ac:dyDescent="0.35">
      <c r="A2785">
        <v>0</v>
      </c>
      <c r="B2785">
        <v>0</v>
      </c>
      <c r="C2785">
        <v>0</v>
      </c>
      <c r="D2785">
        <v>0</v>
      </c>
      <c r="E2785">
        <v>0</v>
      </c>
    </row>
    <row r="2786" spans="1:5" x14ac:dyDescent="0.35">
      <c r="A2786">
        <v>0</v>
      </c>
      <c r="B2786">
        <v>0</v>
      </c>
      <c r="C2786">
        <v>0</v>
      </c>
      <c r="D2786">
        <v>0</v>
      </c>
      <c r="E2786">
        <v>0</v>
      </c>
    </row>
    <row r="2787" spans="1:5" x14ac:dyDescent="0.35">
      <c r="A2787">
        <v>0</v>
      </c>
      <c r="B2787">
        <v>0</v>
      </c>
      <c r="C2787">
        <v>0</v>
      </c>
      <c r="D2787">
        <v>0</v>
      </c>
      <c r="E2787">
        <v>0</v>
      </c>
    </row>
    <row r="2788" spans="1:5" x14ac:dyDescent="0.35">
      <c r="A2788">
        <v>0</v>
      </c>
      <c r="B2788">
        <v>0</v>
      </c>
      <c r="C2788">
        <v>0</v>
      </c>
      <c r="D2788">
        <v>0</v>
      </c>
      <c r="E2788">
        <v>0</v>
      </c>
    </row>
    <row r="2789" spans="1:5" x14ac:dyDescent="0.35">
      <c r="A2789">
        <v>0</v>
      </c>
      <c r="B2789">
        <v>0</v>
      </c>
      <c r="C2789">
        <v>0</v>
      </c>
      <c r="D2789">
        <v>0</v>
      </c>
      <c r="E2789">
        <v>0</v>
      </c>
    </row>
    <row r="2790" spans="1:5" x14ac:dyDescent="0.35">
      <c r="A2790">
        <v>0</v>
      </c>
      <c r="B2790">
        <v>0</v>
      </c>
      <c r="C2790">
        <v>0</v>
      </c>
      <c r="D2790">
        <v>0</v>
      </c>
      <c r="E2790">
        <v>0</v>
      </c>
    </row>
    <row r="2791" spans="1:5" x14ac:dyDescent="0.35">
      <c r="A2791">
        <v>0</v>
      </c>
      <c r="B2791">
        <v>0</v>
      </c>
      <c r="C2791">
        <v>0</v>
      </c>
      <c r="D2791">
        <v>0</v>
      </c>
      <c r="E2791">
        <v>0</v>
      </c>
    </row>
    <row r="2792" spans="1:5" x14ac:dyDescent="0.35">
      <c r="A2792">
        <v>0</v>
      </c>
      <c r="B2792">
        <v>0</v>
      </c>
      <c r="C2792">
        <v>0</v>
      </c>
      <c r="D2792">
        <v>0</v>
      </c>
      <c r="E2792">
        <v>0</v>
      </c>
    </row>
    <row r="2793" spans="1:5" x14ac:dyDescent="0.35">
      <c r="A2793">
        <v>0</v>
      </c>
      <c r="B2793">
        <v>0</v>
      </c>
      <c r="C2793">
        <v>0</v>
      </c>
      <c r="D2793">
        <v>0</v>
      </c>
      <c r="E2793">
        <v>0</v>
      </c>
    </row>
    <row r="2794" spans="1:5" x14ac:dyDescent="0.35">
      <c r="A2794">
        <v>0</v>
      </c>
      <c r="B2794">
        <v>0</v>
      </c>
      <c r="C2794">
        <v>0</v>
      </c>
      <c r="D2794">
        <v>0</v>
      </c>
      <c r="E2794">
        <v>0</v>
      </c>
    </row>
    <row r="2795" spans="1:5" x14ac:dyDescent="0.35">
      <c r="A2795">
        <v>0</v>
      </c>
      <c r="B2795">
        <v>0</v>
      </c>
      <c r="C2795">
        <v>0</v>
      </c>
      <c r="D2795">
        <v>0</v>
      </c>
      <c r="E2795">
        <v>0</v>
      </c>
    </row>
    <row r="2796" spans="1:5" x14ac:dyDescent="0.35">
      <c r="A2796">
        <v>0</v>
      </c>
      <c r="B2796">
        <v>0</v>
      </c>
      <c r="C2796">
        <v>0</v>
      </c>
      <c r="D2796">
        <v>0</v>
      </c>
      <c r="E2796">
        <v>0</v>
      </c>
    </row>
    <row r="2797" spans="1:5" x14ac:dyDescent="0.35">
      <c r="A2797">
        <v>0</v>
      </c>
      <c r="B2797">
        <v>0</v>
      </c>
      <c r="C2797">
        <v>0</v>
      </c>
      <c r="D2797">
        <v>0</v>
      </c>
      <c r="E2797">
        <v>0</v>
      </c>
    </row>
    <row r="2798" spans="1:5" x14ac:dyDescent="0.35">
      <c r="A2798">
        <v>0</v>
      </c>
      <c r="B2798">
        <v>0</v>
      </c>
      <c r="C2798">
        <v>0</v>
      </c>
      <c r="D2798">
        <v>0</v>
      </c>
      <c r="E2798">
        <v>0</v>
      </c>
    </row>
    <row r="2799" spans="1:5" x14ac:dyDescent="0.35">
      <c r="A2799">
        <v>0</v>
      </c>
      <c r="B2799">
        <v>0</v>
      </c>
      <c r="C2799">
        <v>0</v>
      </c>
      <c r="D2799">
        <v>0</v>
      </c>
      <c r="E2799">
        <v>0</v>
      </c>
    </row>
    <row r="2800" spans="1:5" x14ac:dyDescent="0.35">
      <c r="A2800">
        <v>0</v>
      </c>
      <c r="B2800">
        <v>0</v>
      </c>
      <c r="C2800">
        <v>0</v>
      </c>
      <c r="D2800">
        <v>0</v>
      </c>
      <c r="E2800">
        <v>0</v>
      </c>
    </row>
    <row r="2801" spans="1:5" x14ac:dyDescent="0.35">
      <c r="A2801">
        <v>0</v>
      </c>
      <c r="B2801">
        <v>0</v>
      </c>
      <c r="C2801">
        <v>0</v>
      </c>
      <c r="D2801">
        <v>0</v>
      </c>
      <c r="E2801">
        <v>0</v>
      </c>
    </row>
    <row r="2802" spans="1:5" x14ac:dyDescent="0.35">
      <c r="A2802">
        <v>0</v>
      </c>
      <c r="B2802">
        <v>0</v>
      </c>
      <c r="C2802">
        <v>0</v>
      </c>
      <c r="D2802">
        <v>0</v>
      </c>
      <c r="E2802">
        <v>0</v>
      </c>
    </row>
    <row r="2803" spans="1:5" x14ac:dyDescent="0.35">
      <c r="A2803">
        <v>0</v>
      </c>
      <c r="B2803">
        <v>0</v>
      </c>
      <c r="C2803">
        <v>0</v>
      </c>
      <c r="D2803">
        <v>0</v>
      </c>
      <c r="E2803">
        <v>0</v>
      </c>
    </row>
    <row r="2804" spans="1:5" x14ac:dyDescent="0.35">
      <c r="A2804">
        <v>0</v>
      </c>
      <c r="B2804">
        <v>0</v>
      </c>
      <c r="C2804">
        <v>0</v>
      </c>
      <c r="D2804">
        <v>0</v>
      </c>
      <c r="E2804">
        <v>0</v>
      </c>
    </row>
    <row r="2805" spans="1:5" x14ac:dyDescent="0.35">
      <c r="A2805">
        <v>0</v>
      </c>
      <c r="B2805">
        <v>0</v>
      </c>
      <c r="C2805">
        <v>0</v>
      </c>
      <c r="D2805">
        <v>0</v>
      </c>
      <c r="E2805">
        <v>0</v>
      </c>
    </row>
    <row r="2806" spans="1:5" x14ac:dyDescent="0.35">
      <c r="A2806">
        <v>0</v>
      </c>
      <c r="B2806">
        <v>0</v>
      </c>
      <c r="C2806">
        <v>0</v>
      </c>
      <c r="D2806">
        <v>0</v>
      </c>
      <c r="E2806">
        <v>0</v>
      </c>
    </row>
    <row r="2807" spans="1:5" x14ac:dyDescent="0.35">
      <c r="A2807">
        <v>0</v>
      </c>
      <c r="B2807">
        <v>0</v>
      </c>
      <c r="C2807">
        <v>0</v>
      </c>
      <c r="D2807">
        <v>0</v>
      </c>
      <c r="E2807">
        <v>0</v>
      </c>
    </row>
    <row r="2808" spans="1:5" x14ac:dyDescent="0.35">
      <c r="A2808">
        <v>0</v>
      </c>
      <c r="B2808">
        <v>0</v>
      </c>
      <c r="C2808">
        <v>0</v>
      </c>
      <c r="D2808">
        <v>0</v>
      </c>
      <c r="E2808">
        <v>0</v>
      </c>
    </row>
    <row r="2809" spans="1:5" x14ac:dyDescent="0.35">
      <c r="A2809">
        <v>0</v>
      </c>
      <c r="B2809">
        <v>0</v>
      </c>
      <c r="C2809">
        <v>0</v>
      </c>
      <c r="D2809">
        <v>0</v>
      </c>
      <c r="E2809">
        <v>0</v>
      </c>
    </row>
    <row r="2810" spans="1:5" x14ac:dyDescent="0.35">
      <c r="A2810">
        <v>0</v>
      </c>
      <c r="B2810">
        <v>0</v>
      </c>
      <c r="C2810">
        <v>0</v>
      </c>
      <c r="D2810">
        <v>0</v>
      </c>
      <c r="E2810">
        <v>0</v>
      </c>
    </row>
    <row r="2811" spans="1:5" x14ac:dyDescent="0.35">
      <c r="A2811">
        <v>0</v>
      </c>
      <c r="B2811">
        <v>0</v>
      </c>
      <c r="C2811">
        <v>0</v>
      </c>
      <c r="D2811">
        <v>0</v>
      </c>
      <c r="E2811">
        <v>0</v>
      </c>
    </row>
    <row r="2812" spans="1:5" x14ac:dyDescent="0.35">
      <c r="A2812">
        <v>0</v>
      </c>
      <c r="B2812">
        <v>0</v>
      </c>
      <c r="C2812">
        <v>0</v>
      </c>
      <c r="D2812">
        <v>0</v>
      </c>
      <c r="E2812">
        <v>0</v>
      </c>
    </row>
    <row r="2813" spans="1:5" x14ac:dyDescent="0.35">
      <c r="A2813">
        <v>0</v>
      </c>
      <c r="B2813">
        <v>0</v>
      </c>
      <c r="C2813">
        <v>0</v>
      </c>
      <c r="D2813">
        <v>0</v>
      </c>
      <c r="E2813">
        <v>0</v>
      </c>
    </row>
    <row r="2814" spans="1:5" x14ac:dyDescent="0.35">
      <c r="A2814">
        <v>0</v>
      </c>
      <c r="B2814">
        <v>0</v>
      </c>
      <c r="C2814">
        <v>0</v>
      </c>
      <c r="D2814">
        <v>0</v>
      </c>
      <c r="E2814">
        <v>0</v>
      </c>
    </row>
    <row r="2815" spans="1:5" x14ac:dyDescent="0.35">
      <c r="A2815">
        <v>0</v>
      </c>
      <c r="B2815">
        <v>0</v>
      </c>
      <c r="C2815">
        <v>0</v>
      </c>
      <c r="D2815">
        <v>0</v>
      </c>
      <c r="E2815">
        <v>0</v>
      </c>
    </row>
    <row r="2816" spans="1:5" x14ac:dyDescent="0.35">
      <c r="A2816">
        <v>0</v>
      </c>
      <c r="B2816">
        <v>0</v>
      </c>
      <c r="C2816">
        <v>0</v>
      </c>
      <c r="D2816">
        <v>0</v>
      </c>
      <c r="E2816">
        <v>0</v>
      </c>
    </row>
    <row r="2817" spans="1:5" x14ac:dyDescent="0.35">
      <c r="A2817">
        <v>0</v>
      </c>
      <c r="B2817">
        <v>0</v>
      </c>
      <c r="C2817">
        <v>0</v>
      </c>
      <c r="D2817">
        <v>0</v>
      </c>
      <c r="E2817">
        <v>0</v>
      </c>
    </row>
    <row r="2818" spans="1:5" x14ac:dyDescent="0.35">
      <c r="A2818">
        <v>0</v>
      </c>
      <c r="B2818">
        <v>0</v>
      </c>
      <c r="C2818">
        <v>0</v>
      </c>
      <c r="D2818">
        <v>0</v>
      </c>
      <c r="E2818">
        <v>0</v>
      </c>
    </row>
    <row r="2819" spans="1:5" x14ac:dyDescent="0.35">
      <c r="A2819">
        <v>0</v>
      </c>
      <c r="B2819">
        <v>0</v>
      </c>
      <c r="C2819">
        <v>0</v>
      </c>
      <c r="D2819">
        <v>0</v>
      </c>
      <c r="E2819">
        <v>0</v>
      </c>
    </row>
    <row r="2820" spans="1:5" x14ac:dyDescent="0.35">
      <c r="A2820">
        <v>0</v>
      </c>
      <c r="B2820">
        <v>0</v>
      </c>
      <c r="C2820">
        <v>0</v>
      </c>
      <c r="D2820">
        <v>0</v>
      </c>
      <c r="E2820">
        <v>0</v>
      </c>
    </row>
    <row r="2821" spans="1:5" x14ac:dyDescent="0.35">
      <c r="A2821">
        <v>0</v>
      </c>
      <c r="B2821">
        <v>0</v>
      </c>
      <c r="C2821">
        <v>0</v>
      </c>
      <c r="D2821">
        <v>0</v>
      </c>
      <c r="E2821">
        <v>0</v>
      </c>
    </row>
    <row r="2822" spans="1:5" x14ac:dyDescent="0.35">
      <c r="A2822">
        <v>0</v>
      </c>
      <c r="B2822">
        <v>0</v>
      </c>
      <c r="C2822">
        <v>0</v>
      </c>
      <c r="D2822">
        <v>0</v>
      </c>
      <c r="E2822">
        <v>0</v>
      </c>
    </row>
    <row r="2823" spans="1:5" x14ac:dyDescent="0.35">
      <c r="A2823">
        <v>0</v>
      </c>
      <c r="B2823">
        <v>0</v>
      </c>
      <c r="C2823">
        <v>0</v>
      </c>
      <c r="D2823">
        <v>0</v>
      </c>
      <c r="E2823">
        <v>0</v>
      </c>
    </row>
    <row r="2824" spans="1:5" x14ac:dyDescent="0.35">
      <c r="A2824">
        <v>0</v>
      </c>
      <c r="B2824">
        <v>0</v>
      </c>
      <c r="C2824">
        <v>0</v>
      </c>
      <c r="D2824">
        <v>0</v>
      </c>
      <c r="E2824">
        <v>0</v>
      </c>
    </row>
    <row r="2825" spans="1:5" x14ac:dyDescent="0.35">
      <c r="A2825">
        <v>0</v>
      </c>
      <c r="B2825">
        <v>0</v>
      </c>
      <c r="C2825">
        <v>0</v>
      </c>
      <c r="D2825">
        <v>0</v>
      </c>
      <c r="E2825">
        <v>0</v>
      </c>
    </row>
    <row r="2826" spans="1:5" x14ac:dyDescent="0.35">
      <c r="A2826">
        <v>0</v>
      </c>
      <c r="B2826">
        <v>0</v>
      </c>
      <c r="C2826">
        <v>0</v>
      </c>
      <c r="D2826">
        <v>0</v>
      </c>
      <c r="E2826">
        <v>0</v>
      </c>
    </row>
    <row r="2827" spans="1:5" x14ac:dyDescent="0.35">
      <c r="A2827">
        <v>0</v>
      </c>
      <c r="B2827">
        <v>0</v>
      </c>
      <c r="C2827">
        <v>0</v>
      </c>
      <c r="D2827">
        <v>0</v>
      </c>
      <c r="E2827">
        <v>0</v>
      </c>
    </row>
    <row r="2828" spans="1:5" x14ac:dyDescent="0.35">
      <c r="A2828">
        <v>0</v>
      </c>
      <c r="B2828">
        <v>0</v>
      </c>
      <c r="C2828">
        <v>0</v>
      </c>
      <c r="D2828">
        <v>0</v>
      </c>
      <c r="E2828">
        <v>0</v>
      </c>
    </row>
    <row r="2829" spans="1:5" x14ac:dyDescent="0.35">
      <c r="A2829">
        <v>0</v>
      </c>
      <c r="B2829">
        <v>0</v>
      </c>
      <c r="C2829">
        <v>0</v>
      </c>
      <c r="D2829">
        <v>0</v>
      </c>
      <c r="E2829">
        <v>0</v>
      </c>
    </row>
    <row r="2830" spans="1:5" x14ac:dyDescent="0.35">
      <c r="A2830">
        <v>0</v>
      </c>
      <c r="B2830">
        <v>0</v>
      </c>
      <c r="C2830">
        <v>0</v>
      </c>
      <c r="D2830">
        <v>0</v>
      </c>
      <c r="E2830">
        <v>0</v>
      </c>
    </row>
    <row r="2831" spans="1:5" x14ac:dyDescent="0.35">
      <c r="A2831">
        <v>0</v>
      </c>
      <c r="B2831">
        <v>0</v>
      </c>
      <c r="C2831">
        <v>0</v>
      </c>
      <c r="D2831">
        <v>0</v>
      </c>
      <c r="E2831">
        <v>0</v>
      </c>
    </row>
    <row r="2832" spans="1:5" x14ac:dyDescent="0.35">
      <c r="A2832">
        <v>0</v>
      </c>
      <c r="B2832">
        <v>0</v>
      </c>
      <c r="C2832">
        <v>0</v>
      </c>
      <c r="D2832">
        <v>0</v>
      </c>
      <c r="E2832">
        <v>0</v>
      </c>
    </row>
    <row r="2833" spans="1:5" x14ac:dyDescent="0.35">
      <c r="A2833">
        <v>0</v>
      </c>
      <c r="B2833">
        <v>0</v>
      </c>
      <c r="C2833">
        <v>0</v>
      </c>
      <c r="D2833">
        <v>0</v>
      </c>
      <c r="E2833">
        <v>0</v>
      </c>
    </row>
    <row r="2834" spans="1:5" x14ac:dyDescent="0.35">
      <c r="A2834">
        <v>0</v>
      </c>
      <c r="B2834">
        <v>0</v>
      </c>
      <c r="C2834">
        <v>0</v>
      </c>
      <c r="D2834">
        <v>0</v>
      </c>
      <c r="E2834">
        <v>0</v>
      </c>
    </row>
    <row r="2835" spans="1:5" x14ac:dyDescent="0.35">
      <c r="A2835">
        <v>0</v>
      </c>
      <c r="B2835">
        <v>0</v>
      </c>
      <c r="C2835">
        <v>0</v>
      </c>
      <c r="D2835">
        <v>0</v>
      </c>
      <c r="E2835">
        <v>0</v>
      </c>
    </row>
    <row r="2836" spans="1:5" x14ac:dyDescent="0.35">
      <c r="A2836">
        <v>0</v>
      </c>
      <c r="B2836">
        <v>0</v>
      </c>
      <c r="C2836">
        <v>0</v>
      </c>
      <c r="D2836">
        <v>0</v>
      </c>
      <c r="E2836">
        <v>0</v>
      </c>
    </row>
    <row r="2837" spans="1:5" x14ac:dyDescent="0.35">
      <c r="A2837">
        <v>0</v>
      </c>
      <c r="B2837">
        <v>0</v>
      </c>
      <c r="C2837">
        <v>0</v>
      </c>
      <c r="D2837">
        <v>0</v>
      </c>
      <c r="E2837">
        <v>0</v>
      </c>
    </row>
    <row r="2838" spans="1:5" x14ac:dyDescent="0.35">
      <c r="A2838">
        <v>0</v>
      </c>
      <c r="B2838">
        <v>0</v>
      </c>
      <c r="C2838">
        <v>0</v>
      </c>
      <c r="D2838">
        <v>0</v>
      </c>
      <c r="E2838">
        <v>0</v>
      </c>
    </row>
    <row r="2839" spans="1:5" x14ac:dyDescent="0.35">
      <c r="A2839">
        <v>0</v>
      </c>
      <c r="B2839">
        <v>0</v>
      </c>
      <c r="C2839">
        <v>0</v>
      </c>
      <c r="D2839">
        <v>0</v>
      </c>
      <c r="E2839">
        <v>0</v>
      </c>
    </row>
    <row r="2840" spans="1:5" x14ac:dyDescent="0.35">
      <c r="A2840">
        <v>0</v>
      </c>
      <c r="B2840">
        <v>0</v>
      </c>
      <c r="C2840">
        <v>0</v>
      </c>
      <c r="D2840">
        <v>0</v>
      </c>
      <c r="E2840">
        <v>0</v>
      </c>
    </row>
    <row r="2841" spans="1:5" x14ac:dyDescent="0.35">
      <c r="A2841">
        <v>0</v>
      </c>
      <c r="B2841">
        <v>0</v>
      </c>
      <c r="C2841">
        <v>0</v>
      </c>
      <c r="D2841">
        <v>0</v>
      </c>
      <c r="E2841">
        <v>0</v>
      </c>
    </row>
    <row r="2842" spans="1:5" x14ac:dyDescent="0.35">
      <c r="A2842">
        <v>0</v>
      </c>
      <c r="B2842">
        <v>0</v>
      </c>
      <c r="C2842">
        <v>0</v>
      </c>
      <c r="D2842">
        <v>0</v>
      </c>
      <c r="E2842">
        <v>0</v>
      </c>
    </row>
    <row r="2843" spans="1:5" x14ac:dyDescent="0.35">
      <c r="A2843">
        <v>0</v>
      </c>
      <c r="B2843">
        <v>0</v>
      </c>
      <c r="C2843">
        <v>0</v>
      </c>
      <c r="D2843">
        <v>0</v>
      </c>
      <c r="E2843">
        <v>0</v>
      </c>
    </row>
    <row r="2844" spans="1:5" x14ac:dyDescent="0.35">
      <c r="A2844">
        <v>0</v>
      </c>
      <c r="B2844">
        <v>0</v>
      </c>
      <c r="C2844">
        <v>0</v>
      </c>
      <c r="D2844">
        <v>0</v>
      </c>
      <c r="E2844">
        <v>0</v>
      </c>
    </row>
    <row r="2845" spans="1:5" x14ac:dyDescent="0.35">
      <c r="A2845">
        <v>0</v>
      </c>
      <c r="B2845">
        <v>0</v>
      </c>
      <c r="C2845">
        <v>0</v>
      </c>
      <c r="D2845">
        <v>0</v>
      </c>
      <c r="E2845">
        <v>0</v>
      </c>
    </row>
    <row r="2846" spans="1:5" x14ac:dyDescent="0.35">
      <c r="A2846">
        <v>0</v>
      </c>
      <c r="B2846">
        <v>0</v>
      </c>
      <c r="C2846">
        <v>0</v>
      </c>
      <c r="D2846">
        <v>0</v>
      </c>
      <c r="E2846">
        <v>0</v>
      </c>
    </row>
    <row r="2847" spans="1:5" x14ac:dyDescent="0.35">
      <c r="A2847">
        <v>0</v>
      </c>
      <c r="B2847">
        <v>0</v>
      </c>
      <c r="C2847">
        <v>0</v>
      </c>
      <c r="D2847">
        <v>0</v>
      </c>
      <c r="E2847">
        <v>0</v>
      </c>
    </row>
    <row r="2848" spans="1:5" x14ac:dyDescent="0.35">
      <c r="A2848">
        <v>0</v>
      </c>
      <c r="B2848">
        <v>0</v>
      </c>
      <c r="C2848">
        <v>0</v>
      </c>
      <c r="D2848">
        <v>0</v>
      </c>
      <c r="E2848">
        <v>0</v>
      </c>
    </row>
    <row r="2849" spans="1:5" x14ac:dyDescent="0.35">
      <c r="A2849">
        <v>0</v>
      </c>
      <c r="B2849">
        <v>0</v>
      </c>
      <c r="C2849">
        <v>0</v>
      </c>
      <c r="D2849">
        <v>0</v>
      </c>
      <c r="E2849">
        <v>0</v>
      </c>
    </row>
    <row r="2850" spans="1:5" x14ac:dyDescent="0.35">
      <c r="A2850">
        <v>0</v>
      </c>
      <c r="B2850">
        <v>0</v>
      </c>
      <c r="C2850">
        <v>0</v>
      </c>
      <c r="D2850">
        <v>0</v>
      </c>
      <c r="E2850">
        <v>0</v>
      </c>
    </row>
    <row r="2851" spans="1:5" x14ac:dyDescent="0.35">
      <c r="A2851">
        <v>0</v>
      </c>
      <c r="B2851">
        <v>0</v>
      </c>
      <c r="C2851">
        <v>0</v>
      </c>
      <c r="D2851">
        <v>0</v>
      </c>
      <c r="E2851">
        <v>0</v>
      </c>
    </row>
    <row r="2852" spans="1:5" x14ac:dyDescent="0.35">
      <c r="A2852">
        <v>0</v>
      </c>
      <c r="B2852">
        <v>0</v>
      </c>
      <c r="C2852">
        <v>0</v>
      </c>
      <c r="D2852">
        <v>0</v>
      </c>
      <c r="E2852">
        <v>0</v>
      </c>
    </row>
    <row r="2853" spans="1:5" x14ac:dyDescent="0.35">
      <c r="A2853">
        <v>0</v>
      </c>
      <c r="B2853">
        <v>0</v>
      </c>
      <c r="C2853">
        <v>0</v>
      </c>
      <c r="D2853">
        <v>0</v>
      </c>
      <c r="E2853">
        <v>0</v>
      </c>
    </row>
    <row r="2854" spans="1:5" x14ac:dyDescent="0.35">
      <c r="A2854">
        <v>0</v>
      </c>
      <c r="B2854">
        <v>0</v>
      </c>
      <c r="C2854">
        <v>0</v>
      </c>
      <c r="D2854">
        <v>0</v>
      </c>
      <c r="E2854">
        <v>0</v>
      </c>
    </row>
    <row r="2855" spans="1:5" x14ac:dyDescent="0.35">
      <c r="A2855">
        <v>0</v>
      </c>
      <c r="B2855">
        <v>0</v>
      </c>
      <c r="C2855">
        <v>0</v>
      </c>
      <c r="D2855">
        <v>0</v>
      </c>
      <c r="E2855">
        <v>0</v>
      </c>
    </row>
    <row r="2856" spans="1:5" x14ac:dyDescent="0.35">
      <c r="A2856">
        <v>0</v>
      </c>
      <c r="B2856">
        <v>0</v>
      </c>
      <c r="C2856">
        <v>0</v>
      </c>
      <c r="D2856">
        <v>0</v>
      </c>
      <c r="E2856">
        <v>0</v>
      </c>
    </row>
    <row r="2857" spans="1:5" x14ac:dyDescent="0.35">
      <c r="A2857">
        <v>0</v>
      </c>
      <c r="B2857">
        <v>0</v>
      </c>
      <c r="C2857">
        <v>0</v>
      </c>
      <c r="D2857">
        <v>0</v>
      </c>
      <c r="E2857">
        <v>0</v>
      </c>
    </row>
    <row r="2858" spans="1:5" x14ac:dyDescent="0.35">
      <c r="A2858">
        <v>0</v>
      </c>
      <c r="B2858">
        <v>0</v>
      </c>
      <c r="C2858">
        <v>0</v>
      </c>
      <c r="D2858">
        <v>0</v>
      </c>
      <c r="E2858">
        <v>0</v>
      </c>
    </row>
    <row r="2859" spans="1:5" x14ac:dyDescent="0.35">
      <c r="A2859">
        <v>0</v>
      </c>
      <c r="B2859">
        <v>0</v>
      </c>
      <c r="C2859">
        <v>0</v>
      </c>
      <c r="D2859">
        <v>0</v>
      </c>
      <c r="E2859">
        <v>0</v>
      </c>
    </row>
    <row r="2860" spans="1:5" x14ac:dyDescent="0.35">
      <c r="A2860">
        <v>0</v>
      </c>
      <c r="B2860">
        <v>0</v>
      </c>
      <c r="C2860">
        <v>0</v>
      </c>
      <c r="D2860">
        <v>0</v>
      </c>
      <c r="E2860">
        <v>0</v>
      </c>
    </row>
    <row r="2861" spans="1:5" x14ac:dyDescent="0.35">
      <c r="A2861">
        <v>0</v>
      </c>
      <c r="B2861">
        <v>0</v>
      </c>
      <c r="C2861">
        <v>0</v>
      </c>
      <c r="D2861">
        <v>0</v>
      </c>
      <c r="E2861">
        <v>0</v>
      </c>
    </row>
    <row r="2862" spans="1:5" x14ac:dyDescent="0.35">
      <c r="A2862">
        <v>0</v>
      </c>
      <c r="B2862">
        <v>0</v>
      </c>
      <c r="C2862">
        <v>0</v>
      </c>
      <c r="D2862">
        <v>0</v>
      </c>
      <c r="E2862">
        <v>0</v>
      </c>
    </row>
    <row r="2863" spans="1:5" x14ac:dyDescent="0.35">
      <c r="A2863">
        <v>0</v>
      </c>
      <c r="B2863">
        <v>0</v>
      </c>
      <c r="C2863">
        <v>0</v>
      </c>
      <c r="D2863">
        <v>0</v>
      </c>
      <c r="E2863">
        <v>0</v>
      </c>
    </row>
    <row r="2864" spans="1:5" x14ac:dyDescent="0.35">
      <c r="A2864">
        <v>0</v>
      </c>
      <c r="B2864">
        <v>0</v>
      </c>
      <c r="C2864">
        <v>0</v>
      </c>
      <c r="D2864">
        <v>0</v>
      </c>
      <c r="E2864">
        <v>0</v>
      </c>
    </row>
    <row r="2865" spans="1:5" x14ac:dyDescent="0.35">
      <c r="A2865">
        <v>0</v>
      </c>
      <c r="B2865">
        <v>0</v>
      </c>
      <c r="C2865">
        <v>0</v>
      </c>
      <c r="D2865">
        <v>0</v>
      </c>
      <c r="E2865">
        <v>0</v>
      </c>
    </row>
    <row r="2866" spans="1:5" x14ac:dyDescent="0.35">
      <c r="A2866">
        <v>0</v>
      </c>
      <c r="B2866">
        <v>0</v>
      </c>
      <c r="C2866">
        <v>0</v>
      </c>
      <c r="D2866">
        <v>0</v>
      </c>
      <c r="E2866">
        <v>0</v>
      </c>
    </row>
    <row r="2867" spans="1:5" x14ac:dyDescent="0.35">
      <c r="A2867">
        <v>0</v>
      </c>
      <c r="B2867">
        <v>0</v>
      </c>
      <c r="C2867">
        <v>0</v>
      </c>
      <c r="D2867">
        <v>0</v>
      </c>
      <c r="E2867">
        <v>0</v>
      </c>
    </row>
    <row r="2868" spans="1:5" x14ac:dyDescent="0.35">
      <c r="A2868">
        <v>0</v>
      </c>
      <c r="B2868">
        <v>0</v>
      </c>
      <c r="C2868">
        <v>0</v>
      </c>
      <c r="D2868">
        <v>0</v>
      </c>
      <c r="E2868">
        <v>0</v>
      </c>
    </row>
    <row r="2869" spans="1:5" x14ac:dyDescent="0.35">
      <c r="A2869">
        <v>0</v>
      </c>
      <c r="B2869">
        <v>0</v>
      </c>
      <c r="C2869">
        <v>0</v>
      </c>
      <c r="D2869">
        <v>0</v>
      </c>
      <c r="E2869">
        <v>0</v>
      </c>
    </row>
    <row r="2870" spans="1:5" x14ac:dyDescent="0.35">
      <c r="A2870">
        <v>0</v>
      </c>
      <c r="B2870">
        <v>0</v>
      </c>
      <c r="C2870">
        <v>0</v>
      </c>
      <c r="D2870">
        <v>0</v>
      </c>
      <c r="E2870">
        <v>0</v>
      </c>
    </row>
    <row r="2871" spans="1:5" x14ac:dyDescent="0.35">
      <c r="A2871">
        <v>0</v>
      </c>
      <c r="B2871">
        <v>0</v>
      </c>
      <c r="C2871">
        <v>0</v>
      </c>
      <c r="D2871">
        <v>0</v>
      </c>
      <c r="E2871">
        <v>0</v>
      </c>
    </row>
    <row r="2872" spans="1:5" x14ac:dyDescent="0.35">
      <c r="A2872">
        <v>0</v>
      </c>
      <c r="B2872">
        <v>0</v>
      </c>
      <c r="C2872">
        <v>0</v>
      </c>
      <c r="D2872">
        <v>0</v>
      </c>
      <c r="E2872">
        <v>0</v>
      </c>
    </row>
    <row r="2873" spans="1:5" x14ac:dyDescent="0.35">
      <c r="A2873">
        <v>0</v>
      </c>
      <c r="B2873">
        <v>0</v>
      </c>
      <c r="C2873">
        <v>0</v>
      </c>
      <c r="D2873">
        <v>0</v>
      </c>
      <c r="E2873">
        <v>0</v>
      </c>
    </row>
    <row r="2874" spans="1:5" x14ac:dyDescent="0.35">
      <c r="A2874">
        <v>0</v>
      </c>
      <c r="B2874">
        <v>0</v>
      </c>
      <c r="C2874">
        <v>0</v>
      </c>
      <c r="D2874">
        <v>0</v>
      </c>
      <c r="E2874">
        <v>0</v>
      </c>
    </row>
    <row r="2875" spans="1:5" x14ac:dyDescent="0.35">
      <c r="A2875">
        <v>0</v>
      </c>
      <c r="B2875">
        <v>0</v>
      </c>
      <c r="C2875">
        <v>0</v>
      </c>
      <c r="D2875">
        <v>0</v>
      </c>
      <c r="E2875">
        <v>0</v>
      </c>
    </row>
    <row r="2876" spans="1:5" x14ac:dyDescent="0.35">
      <c r="A2876">
        <v>0</v>
      </c>
      <c r="B2876">
        <v>0</v>
      </c>
      <c r="C2876">
        <v>0</v>
      </c>
      <c r="D2876">
        <v>0</v>
      </c>
      <c r="E2876">
        <v>0</v>
      </c>
    </row>
    <row r="2877" spans="1:5" x14ac:dyDescent="0.35">
      <c r="A2877">
        <v>0</v>
      </c>
      <c r="B2877">
        <v>0</v>
      </c>
      <c r="C2877">
        <v>0</v>
      </c>
      <c r="D2877">
        <v>0</v>
      </c>
      <c r="E2877">
        <v>0</v>
      </c>
    </row>
    <row r="2878" spans="1:5" x14ac:dyDescent="0.35">
      <c r="A2878">
        <v>0</v>
      </c>
      <c r="B2878">
        <v>0</v>
      </c>
      <c r="C2878">
        <v>0</v>
      </c>
      <c r="D2878">
        <v>0</v>
      </c>
      <c r="E2878">
        <v>0</v>
      </c>
    </row>
    <row r="2879" spans="1:5" x14ac:dyDescent="0.35">
      <c r="A2879">
        <v>0</v>
      </c>
      <c r="B2879">
        <v>0</v>
      </c>
      <c r="C2879">
        <v>0</v>
      </c>
      <c r="D2879">
        <v>0</v>
      </c>
      <c r="E2879">
        <v>0</v>
      </c>
    </row>
    <row r="2880" spans="1:5" x14ac:dyDescent="0.35">
      <c r="A2880">
        <v>0</v>
      </c>
      <c r="B2880">
        <v>0</v>
      </c>
      <c r="C2880">
        <v>0</v>
      </c>
      <c r="D2880">
        <v>0</v>
      </c>
      <c r="E2880">
        <v>0</v>
      </c>
    </row>
    <row r="2881" spans="1:5" x14ac:dyDescent="0.35">
      <c r="A2881">
        <v>0</v>
      </c>
      <c r="B2881">
        <v>0</v>
      </c>
      <c r="C2881">
        <v>0</v>
      </c>
      <c r="D2881">
        <v>0</v>
      </c>
      <c r="E2881">
        <v>0</v>
      </c>
    </row>
    <row r="2882" spans="1:5" x14ac:dyDescent="0.35">
      <c r="A2882">
        <v>0</v>
      </c>
      <c r="B2882">
        <v>0</v>
      </c>
      <c r="C2882">
        <v>0</v>
      </c>
      <c r="D2882">
        <v>0</v>
      </c>
      <c r="E2882">
        <v>0</v>
      </c>
    </row>
    <row r="2883" spans="1:5" x14ac:dyDescent="0.35">
      <c r="A2883">
        <v>0</v>
      </c>
      <c r="B2883">
        <v>0</v>
      </c>
      <c r="C2883">
        <v>0</v>
      </c>
      <c r="D2883">
        <v>0</v>
      </c>
      <c r="E2883">
        <v>0</v>
      </c>
    </row>
    <row r="2884" spans="1:5" x14ac:dyDescent="0.35">
      <c r="A2884">
        <v>0</v>
      </c>
      <c r="B2884">
        <v>0</v>
      </c>
      <c r="C2884">
        <v>0</v>
      </c>
      <c r="D2884">
        <v>0</v>
      </c>
      <c r="E2884">
        <v>0</v>
      </c>
    </row>
    <row r="2885" spans="1:5" x14ac:dyDescent="0.35">
      <c r="A2885">
        <v>0</v>
      </c>
      <c r="B2885">
        <v>0</v>
      </c>
      <c r="C2885">
        <v>0</v>
      </c>
      <c r="D2885">
        <v>0</v>
      </c>
      <c r="E2885">
        <v>0</v>
      </c>
    </row>
    <row r="2886" spans="1:5" x14ac:dyDescent="0.35">
      <c r="A2886">
        <v>0</v>
      </c>
      <c r="B2886">
        <v>0</v>
      </c>
      <c r="C2886">
        <v>0</v>
      </c>
      <c r="D2886">
        <v>0</v>
      </c>
      <c r="E2886">
        <v>0</v>
      </c>
    </row>
    <row r="2887" spans="1:5" x14ac:dyDescent="0.35">
      <c r="A2887">
        <v>0</v>
      </c>
      <c r="B2887">
        <v>0</v>
      </c>
      <c r="C2887">
        <v>0</v>
      </c>
      <c r="D2887">
        <v>0</v>
      </c>
      <c r="E2887">
        <v>0</v>
      </c>
    </row>
    <row r="2888" spans="1:5" x14ac:dyDescent="0.35">
      <c r="A2888">
        <v>0</v>
      </c>
      <c r="B2888">
        <v>0</v>
      </c>
      <c r="C2888">
        <v>0</v>
      </c>
      <c r="D2888">
        <v>0</v>
      </c>
      <c r="E2888">
        <v>0</v>
      </c>
    </row>
    <row r="2889" spans="1:5" x14ac:dyDescent="0.35">
      <c r="A2889">
        <v>0</v>
      </c>
      <c r="B2889">
        <v>0</v>
      </c>
      <c r="C2889">
        <v>0</v>
      </c>
      <c r="D2889">
        <v>0</v>
      </c>
      <c r="E2889">
        <v>0</v>
      </c>
    </row>
    <row r="2890" spans="1:5" x14ac:dyDescent="0.35">
      <c r="A2890">
        <v>0</v>
      </c>
      <c r="B2890">
        <v>0</v>
      </c>
      <c r="C2890">
        <v>0</v>
      </c>
      <c r="D2890">
        <v>0</v>
      </c>
      <c r="E2890">
        <v>0</v>
      </c>
    </row>
    <row r="2891" spans="1:5" x14ac:dyDescent="0.35">
      <c r="A2891">
        <v>0</v>
      </c>
      <c r="B2891">
        <v>0</v>
      </c>
      <c r="C2891">
        <v>0</v>
      </c>
      <c r="D2891">
        <v>0</v>
      </c>
      <c r="E2891">
        <v>0</v>
      </c>
    </row>
    <row r="2892" spans="1:5" x14ac:dyDescent="0.35">
      <c r="A2892">
        <v>0</v>
      </c>
      <c r="B2892">
        <v>0</v>
      </c>
      <c r="C2892">
        <v>0</v>
      </c>
      <c r="D2892">
        <v>0</v>
      </c>
      <c r="E2892">
        <v>0</v>
      </c>
    </row>
    <row r="2893" spans="1:5" x14ac:dyDescent="0.35">
      <c r="A2893">
        <v>0</v>
      </c>
      <c r="B2893">
        <v>0</v>
      </c>
      <c r="C2893">
        <v>0</v>
      </c>
      <c r="D2893">
        <v>0</v>
      </c>
      <c r="E2893">
        <v>0</v>
      </c>
    </row>
    <row r="2894" spans="1:5" x14ac:dyDescent="0.35">
      <c r="A2894">
        <v>0</v>
      </c>
      <c r="B2894">
        <v>0</v>
      </c>
      <c r="C2894">
        <v>0</v>
      </c>
      <c r="D2894">
        <v>0</v>
      </c>
      <c r="E2894">
        <v>0</v>
      </c>
    </row>
    <row r="2895" spans="1:5" x14ac:dyDescent="0.35">
      <c r="A2895">
        <v>0</v>
      </c>
      <c r="B2895">
        <v>0</v>
      </c>
      <c r="C2895">
        <v>0</v>
      </c>
      <c r="D2895">
        <v>0</v>
      </c>
      <c r="E2895">
        <v>0</v>
      </c>
    </row>
    <row r="2896" spans="1:5" x14ac:dyDescent="0.35">
      <c r="A2896">
        <v>0</v>
      </c>
      <c r="B2896">
        <v>0</v>
      </c>
      <c r="C2896">
        <v>0</v>
      </c>
      <c r="D2896">
        <v>0</v>
      </c>
      <c r="E2896">
        <v>0</v>
      </c>
    </row>
    <row r="2897" spans="1:5" x14ac:dyDescent="0.35">
      <c r="A2897">
        <v>0</v>
      </c>
      <c r="B2897">
        <v>0</v>
      </c>
      <c r="C2897">
        <v>0</v>
      </c>
      <c r="D2897">
        <v>0</v>
      </c>
      <c r="E2897">
        <v>0</v>
      </c>
    </row>
    <row r="2898" spans="1:5" x14ac:dyDescent="0.35">
      <c r="A2898">
        <v>0</v>
      </c>
      <c r="B2898">
        <v>0</v>
      </c>
      <c r="C2898">
        <v>0</v>
      </c>
      <c r="D2898">
        <v>0</v>
      </c>
      <c r="E2898">
        <v>0</v>
      </c>
    </row>
    <row r="2899" spans="1:5" x14ac:dyDescent="0.35">
      <c r="A2899">
        <v>0</v>
      </c>
      <c r="B2899">
        <v>0</v>
      </c>
      <c r="C2899">
        <v>0</v>
      </c>
      <c r="D2899">
        <v>0</v>
      </c>
      <c r="E2899">
        <v>0</v>
      </c>
    </row>
    <row r="2900" spans="1:5" x14ac:dyDescent="0.35">
      <c r="A2900">
        <v>0</v>
      </c>
      <c r="B2900">
        <v>0</v>
      </c>
      <c r="C2900">
        <v>0</v>
      </c>
      <c r="D2900">
        <v>0</v>
      </c>
      <c r="E2900">
        <v>0</v>
      </c>
    </row>
    <row r="2901" spans="1:5" x14ac:dyDescent="0.35">
      <c r="A2901">
        <v>0</v>
      </c>
      <c r="B2901">
        <v>0</v>
      </c>
      <c r="C2901">
        <v>0</v>
      </c>
      <c r="D2901">
        <v>0</v>
      </c>
      <c r="E2901">
        <v>0</v>
      </c>
    </row>
    <row r="2902" spans="1:5" x14ac:dyDescent="0.35">
      <c r="A2902">
        <v>0</v>
      </c>
      <c r="B2902">
        <v>0</v>
      </c>
      <c r="C2902">
        <v>0</v>
      </c>
      <c r="D2902">
        <v>0</v>
      </c>
      <c r="E2902">
        <v>0</v>
      </c>
    </row>
    <row r="2903" spans="1:5" x14ac:dyDescent="0.35">
      <c r="A2903">
        <v>0</v>
      </c>
      <c r="B2903">
        <v>0</v>
      </c>
      <c r="C2903">
        <v>0</v>
      </c>
      <c r="D2903">
        <v>0</v>
      </c>
      <c r="E2903">
        <v>0</v>
      </c>
    </row>
    <row r="2904" spans="1:5" x14ac:dyDescent="0.35">
      <c r="A2904">
        <v>0</v>
      </c>
      <c r="B2904">
        <v>0</v>
      </c>
      <c r="C2904">
        <v>0</v>
      </c>
      <c r="D2904">
        <v>0</v>
      </c>
      <c r="E2904">
        <v>0</v>
      </c>
    </row>
    <row r="2905" spans="1:5" x14ac:dyDescent="0.35">
      <c r="A2905">
        <v>0</v>
      </c>
      <c r="B2905">
        <v>0</v>
      </c>
      <c r="C2905">
        <v>0</v>
      </c>
      <c r="D2905">
        <v>0</v>
      </c>
      <c r="E2905">
        <v>0</v>
      </c>
    </row>
    <row r="2906" spans="1:5" x14ac:dyDescent="0.35">
      <c r="A2906">
        <v>0</v>
      </c>
      <c r="B2906">
        <v>0</v>
      </c>
      <c r="C2906">
        <v>0</v>
      </c>
      <c r="D2906">
        <v>0</v>
      </c>
      <c r="E2906">
        <v>0</v>
      </c>
    </row>
    <row r="2907" spans="1:5" x14ac:dyDescent="0.35">
      <c r="A2907">
        <v>0</v>
      </c>
      <c r="B2907">
        <v>0</v>
      </c>
      <c r="C2907">
        <v>0</v>
      </c>
      <c r="D2907">
        <v>0</v>
      </c>
      <c r="E2907">
        <v>0</v>
      </c>
    </row>
    <row r="2908" spans="1:5" x14ac:dyDescent="0.35">
      <c r="A2908">
        <v>0</v>
      </c>
      <c r="B2908">
        <v>0</v>
      </c>
      <c r="C2908">
        <v>0</v>
      </c>
      <c r="D2908">
        <v>0</v>
      </c>
      <c r="E2908">
        <v>0</v>
      </c>
    </row>
    <row r="2909" spans="1:5" x14ac:dyDescent="0.35">
      <c r="A2909">
        <v>0</v>
      </c>
      <c r="B2909">
        <v>0</v>
      </c>
      <c r="C2909">
        <v>0</v>
      </c>
      <c r="D2909">
        <v>0</v>
      </c>
      <c r="E2909">
        <v>0</v>
      </c>
    </row>
    <row r="2910" spans="1:5" x14ac:dyDescent="0.35">
      <c r="A2910">
        <v>0</v>
      </c>
      <c r="B2910">
        <v>0</v>
      </c>
      <c r="C2910">
        <v>0</v>
      </c>
      <c r="D2910">
        <v>0</v>
      </c>
      <c r="E2910">
        <v>0</v>
      </c>
    </row>
    <row r="2911" spans="1:5" x14ac:dyDescent="0.35">
      <c r="A2911">
        <v>0</v>
      </c>
      <c r="B2911">
        <v>0</v>
      </c>
      <c r="C2911">
        <v>0</v>
      </c>
      <c r="D2911">
        <v>0</v>
      </c>
      <c r="E2911">
        <v>0</v>
      </c>
    </row>
    <row r="2912" spans="1:5" x14ac:dyDescent="0.35">
      <c r="A2912">
        <v>0</v>
      </c>
      <c r="B2912">
        <v>0</v>
      </c>
      <c r="C2912">
        <v>0</v>
      </c>
      <c r="D2912">
        <v>0</v>
      </c>
      <c r="E2912">
        <v>0</v>
      </c>
    </row>
    <row r="2913" spans="1:5" x14ac:dyDescent="0.35">
      <c r="A2913">
        <v>0</v>
      </c>
      <c r="B2913">
        <v>0</v>
      </c>
      <c r="C2913">
        <v>0</v>
      </c>
      <c r="D2913">
        <v>0</v>
      </c>
      <c r="E2913">
        <v>0</v>
      </c>
    </row>
    <row r="2914" spans="1:5" x14ac:dyDescent="0.35">
      <c r="A2914">
        <v>0</v>
      </c>
      <c r="B2914">
        <v>0</v>
      </c>
      <c r="C2914">
        <v>0</v>
      </c>
      <c r="D2914">
        <v>0</v>
      </c>
      <c r="E2914">
        <v>0</v>
      </c>
    </row>
    <row r="2915" spans="1:5" x14ac:dyDescent="0.35">
      <c r="A2915">
        <v>0</v>
      </c>
      <c r="B2915">
        <v>0</v>
      </c>
      <c r="C2915">
        <v>0</v>
      </c>
      <c r="D2915">
        <v>0</v>
      </c>
      <c r="E2915">
        <v>0</v>
      </c>
    </row>
    <row r="2916" spans="1:5" x14ac:dyDescent="0.35">
      <c r="A2916">
        <v>0</v>
      </c>
      <c r="B2916">
        <v>0</v>
      </c>
      <c r="C2916">
        <v>0</v>
      </c>
      <c r="D2916">
        <v>0</v>
      </c>
      <c r="E2916">
        <v>0</v>
      </c>
    </row>
    <row r="2917" spans="1:5" x14ac:dyDescent="0.35">
      <c r="A2917">
        <v>0</v>
      </c>
      <c r="B2917">
        <v>0</v>
      </c>
      <c r="C2917">
        <v>0</v>
      </c>
      <c r="D2917">
        <v>0</v>
      </c>
      <c r="E2917">
        <v>0</v>
      </c>
    </row>
    <row r="2918" spans="1:5" x14ac:dyDescent="0.35">
      <c r="A2918">
        <v>0</v>
      </c>
      <c r="B2918">
        <v>0</v>
      </c>
      <c r="C2918">
        <v>0</v>
      </c>
      <c r="D2918">
        <v>0</v>
      </c>
      <c r="E2918">
        <v>0</v>
      </c>
    </row>
    <row r="2919" spans="1:5" x14ac:dyDescent="0.35">
      <c r="A2919">
        <v>0</v>
      </c>
      <c r="B2919">
        <v>0</v>
      </c>
      <c r="C2919">
        <v>0</v>
      </c>
      <c r="D2919">
        <v>0</v>
      </c>
      <c r="E2919">
        <v>0</v>
      </c>
    </row>
    <row r="2920" spans="1:5" x14ac:dyDescent="0.35">
      <c r="A2920">
        <v>0</v>
      </c>
      <c r="B2920">
        <v>0</v>
      </c>
      <c r="C2920">
        <v>0</v>
      </c>
      <c r="D2920">
        <v>0</v>
      </c>
      <c r="E2920">
        <v>0</v>
      </c>
    </row>
    <row r="2921" spans="1:5" x14ac:dyDescent="0.35">
      <c r="A2921">
        <v>0</v>
      </c>
      <c r="B2921">
        <v>0</v>
      </c>
      <c r="C2921">
        <v>0</v>
      </c>
      <c r="D2921">
        <v>0</v>
      </c>
      <c r="E2921">
        <v>0</v>
      </c>
    </row>
    <row r="2922" spans="1:5" x14ac:dyDescent="0.35">
      <c r="A2922">
        <v>0</v>
      </c>
      <c r="B2922">
        <v>0</v>
      </c>
      <c r="C2922">
        <v>0</v>
      </c>
      <c r="D2922">
        <v>0</v>
      </c>
      <c r="E2922">
        <v>0</v>
      </c>
    </row>
    <row r="2923" spans="1:5" x14ac:dyDescent="0.35">
      <c r="A2923">
        <v>0</v>
      </c>
      <c r="B2923">
        <v>0</v>
      </c>
      <c r="C2923">
        <v>0</v>
      </c>
      <c r="D2923">
        <v>0</v>
      </c>
      <c r="E2923">
        <v>0</v>
      </c>
    </row>
    <row r="2924" spans="1:5" x14ac:dyDescent="0.35">
      <c r="A2924">
        <v>0</v>
      </c>
      <c r="B2924">
        <v>0</v>
      </c>
      <c r="C2924">
        <v>0</v>
      </c>
      <c r="D2924">
        <v>0</v>
      </c>
      <c r="E2924">
        <v>0</v>
      </c>
    </row>
    <row r="2925" spans="1:5" x14ac:dyDescent="0.35">
      <c r="A2925">
        <v>0</v>
      </c>
      <c r="B2925">
        <v>0</v>
      </c>
      <c r="C2925">
        <v>0</v>
      </c>
      <c r="D2925">
        <v>0</v>
      </c>
      <c r="E2925">
        <v>0</v>
      </c>
    </row>
    <row r="2926" spans="1:5" x14ac:dyDescent="0.35">
      <c r="A2926">
        <v>0</v>
      </c>
      <c r="B2926">
        <v>0</v>
      </c>
      <c r="C2926">
        <v>0</v>
      </c>
      <c r="D2926">
        <v>0</v>
      </c>
      <c r="E2926">
        <v>0</v>
      </c>
    </row>
    <row r="2927" spans="1:5" x14ac:dyDescent="0.35">
      <c r="A2927">
        <v>0</v>
      </c>
      <c r="B2927">
        <v>0</v>
      </c>
      <c r="C2927">
        <v>0</v>
      </c>
      <c r="D2927">
        <v>0</v>
      </c>
      <c r="E2927">
        <v>0</v>
      </c>
    </row>
    <row r="2928" spans="1:5" x14ac:dyDescent="0.35">
      <c r="A2928">
        <v>0</v>
      </c>
      <c r="B2928">
        <v>0</v>
      </c>
      <c r="C2928">
        <v>0</v>
      </c>
      <c r="D2928">
        <v>0</v>
      </c>
      <c r="E2928">
        <v>0</v>
      </c>
    </row>
    <row r="2929" spans="1:5" x14ac:dyDescent="0.35">
      <c r="A2929">
        <v>0</v>
      </c>
      <c r="B2929">
        <v>0</v>
      </c>
      <c r="C2929">
        <v>0</v>
      </c>
      <c r="D2929">
        <v>0</v>
      </c>
      <c r="E2929">
        <v>0</v>
      </c>
    </row>
    <row r="2930" spans="1:5" x14ac:dyDescent="0.35">
      <c r="A2930">
        <v>0</v>
      </c>
      <c r="B2930">
        <v>0</v>
      </c>
      <c r="C2930">
        <v>0</v>
      </c>
      <c r="D2930">
        <v>0</v>
      </c>
      <c r="E2930">
        <v>0</v>
      </c>
    </row>
    <row r="2931" spans="1:5" x14ac:dyDescent="0.35">
      <c r="A2931">
        <v>0</v>
      </c>
      <c r="B2931">
        <v>0</v>
      </c>
      <c r="C2931">
        <v>0</v>
      </c>
      <c r="D2931">
        <v>0</v>
      </c>
      <c r="E2931">
        <v>0</v>
      </c>
    </row>
    <row r="2932" spans="1:5" x14ac:dyDescent="0.35">
      <c r="A2932">
        <v>0</v>
      </c>
      <c r="B2932">
        <v>0</v>
      </c>
      <c r="C2932">
        <v>0</v>
      </c>
      <c r="D2932">
        <v>0</v>
      </c>
      <c r="E2932">
        <v>0</v>
      </c>
    </row>
    <row r="2933" spans="1:5" x14ac:dyDescent="0.35">
      <c r="A2933">
        <v>0</v>
      </c>
      <c r="B2933">
        <v>0</v>
      </c>
      <c r="C2933">
        <v>0</v>
      </c>
      <c r="D2933">
        <v>0</v>
      </c>
      <c r="E2933">
        <v>0</v>
      </c>
    </row>
    <row r="2934" spans="1:5" x14ac:dyDescent="0.35">
      <c r="A2934">
        <v>0</v>
      </c>
      <c r="B2934">
        <v>0</v>
      </c>
      <c r="C2934">
        <v>0</v>
      </c>
      <c r="D2934">
        <v>0</v>
      </c>
      <c r="E2934">
        <v>0</v>
      </c>
    </row>
    <row r="2935" spans="1:5" x14ac:dyDescent="0.35">
      <c r="A2935">
        <v>0</v>
      </c>
      <c r="B2935">
        <v>0</v>
      </c>
      <c r="C2935">
        <v>0</v>
      </c>
      <c r="D2935">
        <v>0</v>
      </c>
      <c r="E2935">
        <v>0</v>
      </c>
    </row>
    <row r="2936" spans="1:5" x14ac:dyDescent="0.35">
      <c r="A2936">
        <v>0</v>
      </c>
      <c r="B2936">
        <v>0</v>
      </c>
      <c r="C2936">
        <v>0</v>
      </c>
      <c r="D2936">
        <v>0</v>
      </c>
      <c r="E2936">
        <v>0</v>
      </c>
    </row>
    <row r="2937" spans="1:5" x14ac:dyDescent="0.35">
      <c r="A2937">
        <v>0</v>
      </c>
      <c r="B2937">
        <v>0</v>
      </c>
      <c r="C2937">
        <v>0</v>
      </c>
      <c r="D2937">
        <v>0</v>
      </c>
      <c r="E2937">
        <v>0</v>
      </c>
    </row>
    <row r="2938" spans="1:5" x14ac:dyDescent="0.35">
      <c r="A2938">
        <v>0</v>
      </c>
      <c r="B2938">
        <v>0</v>
      </c>
      <c r="C2938">
        <v>0</v>
      </c>
      <c r="D2938">
        <v>0</v>
      </c>
      <c r="E2938">
        <v>0</v>
      </c>
    </row>
    <row r="2939" spans="1:5" x14ac:dyDescent="0.35">
      <c r="A2939">
        <v>0</v>
      </c>
      <c r="B2939">
        <v>0</v>
      </c>
      <c r="C2939">
        <v>0</v>
      </c>
      <c r="D2939">
        <v>0</v>
      </c>
      <c r="E2939">
        <v>0</v>
      </c>
    </row>
    <row r="2940" spans="1:5" x14ac:dyDescent="0.35">
      <c r="A2940">
        <v>0</v>
      </c>
      <c r="B2940">
        <v>0</v>
      </c>
      <c r="C2940">
        <v>0</v>
      </c>
      <c r="D2940">
        <v>0</v>
      </c>
      <c r="E2940">
        <v>0</v>
      </c>
    </row>
    <row r="2941" spans="1:5" x14ac:dyDescent="0.35">
      <c r="A2941">
        <v>0</v>
      </c>
      <c r="B2941">
        <v>0</v>
      </c>
      <c r="C2941">
        <v>0</v>
      </c>
      <c r="D2941">
        <v>0</v>
      </c>
      <c r="E2941">
        <v>0</v>
      </c>
    </row>
    <row r="2942" spans="1:5" x14ac:dyDescent="0.35">
      <c r="A2942">
        <v>0</v>
      </c>
      <c r="B2942">
        <v>0</v>
      </c>
      <c r="C2942">
        <v>0</v>
      </c>
      <c r="D2942">
        <v>0</v>
      </c>
      <c r="E2942">
        <v>0</v>
      </c>
    </row>
    <row r="2943" spans="1:5" x14ac:dyDescent="0.35">
      <c r="A2943">
        <v>0</v>
      </c>
      <c r="B2943">
        <v>0</v>
      </c>
      <c r="C2943">
        <v>0</v>
      </c>
      <c r="D2943">
        <v>0</v>
      </c>
      <c r="E2943">
        <v>0</v>
      </c>
    </row>
    <row r="2944" spans="1:5" x14ac:dyDescent="0.35">
      <c r="A2944">
        <v>0</v>
      </c>
      <c r="B2944">
        <v>0</v>
      </c>
      <c r="C2944">
        <v>0</v>
      </c>
      <c r="D2944">
        <v>0</v>
      </c>
      <c r="E2944">
        <v>0</v>
      </c>
    </row>
    <row r="2945" spans="1:5" x14ac:dyDescent="0.35">
      <c r="A2945">
        <v>0</v>
      </c>
      <c r="B2945">
        <v>0</v>
      </c>
      <c r="C2945">
        <v>0</v>
      </c>
      <c r="D2945">
        <v>0</v>
      </c>
      <c r="E2945">
        <v>0</v>
      </c>
    </row>
    <row r="2946" spans="1:5" x14ac:dyDescent="0.35">
      <c r="A2946">
        <v>0</v>
      </c>
      <c r="B2946">
        <v>0</v>
      </c>
      <c r="C2946">
        <v>0</v>
      </c>
      <c r="D2946">
        <v>0</v>
      </c>
      <c r="E2946">
        <v>0</v>
      </c>
    </row>
    <row r="2947" spans="1:5" x14ac:dyDescent="0.35">
      <c r="A2947">
        <v>0</v>
      </c>
      <c r="B2947">
        <v>0</v>
      </c>
      <c r="C2947">
        <v>0</v>
      </c>
      <c r="D2947">
        <v>0</v>
      </c>
      <c r="E2947">
        <v>0</v>
      </c>
    </row>
    <row r="2948" spans="1:5" x14ac:dyDescent="0.35">
      <c r="A2948">
        <v>0</v>
      </c>
      <c r="B2948">
        <v>0</v>
      </c>
      <c r="C2948">
        <v>0</v>
      </c>
      <c r="D2948">
        <v>0</v>
      </c>
      <c r="E2948">
        <v>0</v>
      </c>
    </row>
    <row r="2949" spans="1:5" x14ac:dyDescent="0.35">
      <c r="A2949">
        <v>0</v>
      </c>
      <c r="B2949">
        <v>0</v>
      </c>
      <c r="C2949">
        <v>0</v>
      </c>
      <c r="D2949">
        <v>0</v>
      </c>
      <c r="E2949">
        <v>0</v>
      </c>
    </row>
    <row r="2950" spans="1:5" x14ac:dyDescent="0.35">
      <c r="A2950">
        <v>0</v>
      </c>
      <c r="B2950">
        <v>0</v>
      </c>
      <c r="C2950">
        <v>0</v>
      </c>
      <c r="D2950">
        <v>0</v>
      </c>
      <c r="E2950">
        <v>0</v>
      </c>
    </row>
    <row r="2951" spans="1:5" x14ac:dyDescent="0.35">
      <c r="A2951">
        <v>0</v>
      </c>
      <c r="B2951">
        <v>0</v>
      </c>
      <c r="C2951">
        <v>0</v>
      </c>
      <c r="D2951">
        <v>0</v>
      </c>
      <c r="E2951">
        <v>0</v>
      </c>
    </row>
    <row r="2952" spans="1:5" x14ac:dyDescent="0.35">
      <c r="A2952">
        <v>0</v>
      </c>
      <c r="B2952">
        <v>0</v>
      </c>
      <c r="C2952">
        <v>0</v>
      </c>
      <c r="D2952">
        <v>0</v>
      </c>
      <c r="E2952">
        <v>0</v>
      </c>
    </row>
    <row r="2953" spans="1:5" x14ac:dyDescent="0.35">
      <c r="A2953">
        <v>0</v>
      </c>
      <c r="B2953">
        <v>0</v>
      </c>
      <c r="C2953">
        <v>0</v>
      </c>
      <c r="D2953">
        <v>0</v>
      </c>
      <c r="E2953">
        <v>0</v>
      </c>
    </row>
    <row r="2954" spans="1:5" x14ac:dyDescent="0.35">
      <c r="A2954">
        <v>0</v>
      </c>
      <c r="B2954">
        <v>0</v>
      </c>
      <c r="C2954">
        <v>0</v>
      </c>
      <c r="D2954">
        <v>0</v>
      </c>
      <c r="E2954">
        <v>0</v>
      </c>
    </row>
    <row r="2955" spans="1:5" x14ac:dyDescent="0.35">
      <c r="A2955">
        <v>0</v>
      </c>
      <c r="B2955">
        <v>0</v>
      </c>
      <c r="C2955">
        <v>0</v>
      </c>
      <c r="D2955">
        <v>0</v>
      </c>
      <c r="E2955">
        <v>0</v>
      </c>
    </row>
    <row r="2956" spans="1:5" x14ac:dyDescent="0.35">
      <c r="A2956">
        <v>0</v>
      </c>
      <c r="B2956">
        <v>0</v>
      </c>
      <c r="C2956">
        <v>0</v>
      </c>
      <c r="D2956">
        <v>0</v>
      </c>
      <c r="E2956">
        <v>0</v>
      </c>
    </row>
    <row r="2957" spans="1:5" x14ac:dyDescent="0.35">
      <c r="A2957">
        <v>0</v>
      </c>
      <c r="B2957">
        <v>0</v>
      </c>
      <c r="C2957">
        <v>0</v>
      </c>
      <c r="D2957">
        <v>0</v>
      </c>
      <c r="E2957">
        <v>0</v>
      </c>
    </row>
    <row r="2958" spans="1:5" x14ac:dyDescent="0.35">
      <c r="A2958">
        <v>0</v>
      </c>
      <c r="B2958">
        <v>0</v>
      </c>
      <c r="C2958">
        <v>0</v>
      </c>
      <c r="D2958">
        <v>0</v>
      </c>
      <c r="E2958">
        <v>0</v>
      </c>
    </row>
    <row r="2959" spans="1:5" x14ac:dyDescent="0.35">
      <c r="A2959">
        <v>0</v>
      </c>
      <c r="B2959">
        <v>0</v>
      </c>
      <c r="C2959">
        <v>0</v>
      </c>
      <c r="D2959">
        <v>0</v>
      </c>
      <c r="E2959">
        <v>0</v>
      </c>
    </row>
    <row r="2960" spans="1:5" x14ac:dyDescent="0.35">
      <c r="A2960">
        <v>0</v>
      </c>
      <c r="B2960">
        <v>0</v>
      </c>
      <c r="C2960">
        <v>0</v>
      </c>
      <c r="D2960">
        <v>0</v>
      </c>
      <c r="E2960">
        <v>0</v>
      </c>
    </row>
    <row r="2961" spans="1:5" x14ac:dyDescent="0.35">
      <c r="A2961">
        <v>0</v>
      </c>
      <c r="B2961">
        <v>0</v>
      </c>
      <c r="C2961">
        <v>0</v>
      </c>
      <c r="D2961">
        <v>0</v>
      </c>
      <c r="E2961">
        <v>0</v>
      </c>
    </row>
    <row r="2962" spans="1:5" x14ac:dyDescent="0.35">
      <c r="A2962">
        <v>0</v>
      </c>
      <c r="B2962">
        <v>0</v>
      </c>
      <c r="C2962">
        <v>0</v>
      </c>
      <c r="D2962">
        <v>0</v>
      </c>
      <c r="E2962">
        <v>0</v>
      </c>
    </row>
    <row r="2963" spans="1:5" x14ac:dyDescent="0.35">
      <c r="A2963">
        <v>0</v>
      </c>
      <c r="B2963">
        <v>0</v>
      </c>
      <c r="C2963">
        <v>0</v>
      </c>
      <c r="D2963">
        <v>0</v>
      </c>
      <c r="E2963">
        <v>0</v>
      </c>
    </row>
    <row r="2964" spans="1:5" x14ac:dyDescent="0.35">
      <c r="A2964">
        <v>0</v>
      </c>
      <c r="B2964">
        <v>0</v>
      </c>
      <c r="C2964">
        <v>0</v>
      </c>
      <c r="D2964">
        <v>0</v>
      </c>
      <c r="E2964">
        <v>0</v>
      </c>
    </row>
    <row r="2965" spans="1:5" x14ac:dyDescent="0.35">
      <c r="A2965">
        <v>0</v>
      </c>
      <c r="B2965">
        <v>0</v>
      </c>
      <c r="C2965">
        <v>0</v>
      </c>
      <c r="D2965">
        <v>0</v>
      </c>
      <c r="E2965">
        <v>0</v>
      </c>
    </row>
    <row r="2966" spans="1:5" x14ac:dyDescent="0.35">
      <c r="A2966">
        <v>0</v>
      </c>
      <c r="B2966">
        <v>0</v>
      </c>
      <c r="C2966">
        <v>0</v>
      </c>
      <c r="D2966">
        <v>0</v>
      </c>
      <c r="E2966">
        <v>0</v>
      </c>
    </row>
    <row r="2967" spans="1:5" x14ac:dyDescent="0.35">
      <c r="A2967">
        <v>0</v>
      </c>
      <c r="B2967">
        <v>0</v>
      </c>
      <c r="C2967">
        <v>0</v>
      </c>
      <c r="D2967">
        <v>0</v>
      </c>
      <c r="E2967">
        <v>0</v>
      </c>
    </row>
    <row r="2968" spans="1:5" x14ac:dyDescent="0.35">
      <c r="A2968">
        <v>0</v>
      </c>
      <c r="B2968">
        <v>0</v>
      </c>
      <c r="C2968">
        <v>0</v>
      </c>
      <c r="D2968">
        <v>0</v>
      </c>
      <c r="E2968">
        <v>0</v>
      </c>
    </row>
    <row r="2969" spans="1:5" x14ac:dyDescent="0.35">
      <c r="A2969">
        <v>0</v>
      </c>
      <c r="B2969">
        <v>0</v>
      </c>
      <c r="C2969">
        <v>0</v>
      </c>
      <c r="D2969">
        <v>0</v>
      </c>
      <c r="E2969">
        <v>0</v>
      </c>
    </row>
    <row r="2970" spans="1:5" x14ac:dyDescent="0.35">
      <c r="A2970">
        <v>0</v>
      </c>
      <c r="B2970">
        <v>0</v>
      </c>
      <c r="C2970">
        <v>0</v>
      </c>
      <c r="D2970">
        <v>0</v>
      </c>
      <c r="E2970">
        <v>0</v>
      </c>
    </row>
    <row r="2971" spans="1:5" x14ac:dyDescent="0.35">
      <c r="A2971">
        <v>0</v>
      </c>
      <c r="B2971">
        <v>0</v>
      </c>
      <c r="C2971">
        <v>0</v>
      </c>
      <c r="D2971">
        <v>0</v>
      </c>
      <c r="E2971">
        <v>0</v>
      </c>
    </row>
    <row r="2972" spans="1:5" x14ac:dyDescent="0.35">
      <c r="A2972">
        <v>0</v>
      </c>
      <c r="B2972">
        <v>0</v>
      </c>
      <c r="C2972">
        <v>0</v>
      </c>
      <c r="D2972">
        <v>0</v>
      </c>
      <c r="E2972">
        <v>0</v>
      </c>
    </row>
    <row r="2973" spans="1:5" x14ac:dyDescent="0.35">
      <c r="A2973">
        <v>0</v>
      </c>
      <c r="B2973">
        <v>0</v>
      </c>
      <c r="C2973">
        <v>0</v>
      </c>
      <c r="D2973">
        <v>0</v>
      </c>
      <c r="E2973">
        <v>0</v>
      </c>
    </row>
    <row r="2974" spans="1:5" x14ac:dyDescent="0.35">
      <c r="A2974">
        <v>0</v>
      </c>
      <c r="B2974">
        <v>0</v>
      </c>
      <c r="C2974">
        <v>0</v>
      </c>
      <c r="D2974">
        <v>0</v>
      </c>
      <c r="E2974">
        <v>0</v>
      </c>
    </row>
    <row r="2975" spans="1:5" x14ac:dyDescent="0.35">
      <c r="A2975">
        <v>0</v>
      </c>
      <c r="B2975">
        <v>0</v>
      </c>
      <c r="C2975">
        <v>0</v>
      </c>
      <c r="D2975">
        <v>0</v>
      </c>
      <c r="E2975">
        <v>0</v>
      </c>
    </row>
    <row r="2976" spans="1:5" x14ac:dyDescent="0.35">
      <c r="A2976">
        <v>0</v>
      </c>
      <c r="B2976">
        <v>0</v>
      </c>
      <c r="C2976">
        <v>0</v>
      </c>
      <c r="D2976">
        <v>0</v>
      </c>
      <c r="E2976">
        <v>0</v>
      </c>
    </row>
    <row r="2977" spans="1:5" x14ac:dyDescent="0.35">
      <c r="A2977">
        <v>0</v>
      </c>
      <c r="B2977">
        <v>0</v>
      </c>
      <c r="C2977">
        <v>0</v>
      </c>
      <c r="D2977">
        <v>0</v>
      </c>
      <c r="E2977">
        <v>0</v>
      </c>
    </row>
    <row r="2978" spans="1:5" x14ac:dyDescent="0.35">
      <c r="A2978">
        <v>0</v>
      </c>
      <c r="B2978">
        <v>0</v>
      </c>
      <c r="C2978">
        <v>0</v>
      </c>
      <c r="D2978">
        <v>0</v>
      </c>
      <c r="E2978">
        <v>0</v>
      </c>
    </row>
    <row r="2979" spans="1:5" x14ac:dyDescent="0.35">
      <c r="A2979">
        <v>0</v>
      </c>
      <c r="B2979">
        <v>0</v>
      </c>
      <c r="C2979">
        <v>0</v>
      </c>
      <c r="D2979">
        <v>0</v>
      </c>
      <c r="E2979">
        <v>0</v>
      </c>
    </row>
    <row r="2980" spans="1:5" x14ac:dyDescent="0.35">
      <c r="A2980">
        <v>0</v>
      </c>
      <c r="B2980">
        <v>0</v>
      </c>
      <c r="C2980">
        <v>0</v>
      </c>
      <c r="D2980">
        <v>0</v>
      </c>
      <c r="E2980">
        <v>0</v>
      </c>
    </row>
    <row r="2981" spans="1:5" x14ac:dyDescent="0.35">
      <c r="A2981">
        <v>0</v>
      </c>
      <c r="B2981">
        <v>0</v>
      </c>
      <c r="C2981">
        <v>0</v>
      </c>
      <c r="D2981">
        <v>0</v>
      </c>
      <c r="E2981">
        <v>0</v>
      </c>
    </row>
    <row r="2982" spans="1:5" x14ac:dyDescent="0.35">
      <c r="A2982">
        <v>0</v>
      </c>
      <c r="B2982">
        <v>0</v>
      </c>
      <c r="C2982">
        <v>0</v>
      </c>
      <c r="D2982">
        <v>0</v>
      </c>
      <c r="E2982">
        <v>0</v>
      </c>
    </row>
    <row r="2983" spans="1:5" x14ac:dyDescent="0.35">
      <c r="A2983">
        <v>0</v>
      </c>
      <c r="B2983">
        <v>0</v>
      </c>
      <c r="C2983">
        <v>0</v>
      </c>
      <c r="D2983">
        <v>0</v>
      </c>
      <c r="E2983">
        <v>0</v>
      </c>
    </row>
    <row r="2984" spans="1:5" x14ac:dyDescent="0.35">
      <c r="A2984">
        <v>0</v>
      </c>
      <c r="B2984">
        <v>0</v>
      </c>
      <c r="C2984">
        <v>0</v>
      </c>
      <c r="D2984">
        <v>0</v>
      </c>
      <c r="E2984">
        <v>0</v>
      </c>
    </row>
    <row r="2985" spans="1:5" x14ac:dyDescent="0.35">
      <c r="A2985">
        <v>0</v>
      </c>
      <c r="B2985">
        <v>0</v>
      </c>
      <c r="C2985">
        <v>0</v>
      </c>
      <c r="D2985">
        <v>0</v>
      </c>
      <c r="E2985">
        <v>0</v>
      </c>
    </row>
    <row r="2986" spans="1:5" x14ac:dyDescent="0.35">
      <c r="A2986">
        <v>0</v>
      </c>
      <c r="B2986">
        <v>0</v>
      </c>
      <c r="C2986">
        <v>0</v>
      </c>
      <c r="D2986">
        <v>0</v>
      </c>
      <c r="E2986">
        <v>0</v>
      </c>
    </row>
    <row r="2987" spans="1:5" x14ac:dyDescent="0.35">
      <c r="A2987">
        <v>0</v>
      </c>
      <c r="B2987">
        <v>0</v>
      </c>
      <c r="C2987">
        <v>0</v>
      </c>
      <c r="D2987">
        <v>0</v>
      </c>
      <c r="E2987">
        <v>0</v>
      </c>
    </row>
    <row r="2988" spans="1:5" x14ac:dyDescent="0.35">
      <c r="A2988">
        <v>0</v>
      </c>
      <c r="B2988">
        <v>0</v>
      </c>
      <c r="C2988">
        <v>0</v>
      </c>
      <c r="D2988">
        <v>0</v>
      </c>
      <c r="E2988">
        <v>0</v>
      </c>
    </row>
    <row r="2989" spans="1:5" x14ac:dyDescent="0.35">
      <c r="A2989">
        <v>0</v>
      </c>
      <c r="B2989">
        <v>0</v>
      </c>
      <c r="C2989">
        <v>0</v>
      </c>
      <c r="D2989">
        <v>0</v>
      </c>
      <c r="E2989">
        <v>0</v>
      </c>
    </row>
    <row r="2990" spans="1:5" x14ac:dyDescent="0.35">
      <c r="A2990">
        <v>0</v>
      </c>
      <c r="B2990">
        <v>0</v>
      </c>
      <c r="C2990">
        <v>0</v>
      </c>
      <c r="D2990">
        <v>0</v>
      </c>
      <c r="E2990">
        <v>0</v>
      </c>
    </row>
    <row r="2991" spans="1:5" x14ac:dyDescent="0.35">
      <c r="A2991">
        <v>0</v>
      </c>
      <c r="B2991">
        <v>0</v>
      </c>
      <c r="C2991">
        <v>0</v>
      </c>
      <c r="D2991">
        <v>0</v>
      </c>
      <c r="E2991">
        <v>0</v>
      </c>
    </row>
    <row r="2992" spans="1:5" x14ac:dyDescent="0.35">
      <c r="A2992">
        <v>0</v>
      </c>
      <c r="B2992">
        <v>0</v>
      </c>
      <c r="C2992">
        <v>0</v>
      </c>
      <c r="D2992">
        <v>0</v>
      </c>
      <c r="E2992">
        <v>0</v>
      </c>
    </row>
    <row r="2993" spans="1:5" x14ac:dyDescent="0.35">
      <c r="A2993">
        <v>0</v>
      </c>
      <c r="B2993">
        <v>0</v>
      </c>
      <c r="C2993">
        <v>0</v>
      </c>
      <c r="D2993">
        <v>0</v>
      </c>
      <c r="E2993">
        <v>0</v>
      </c>
    </row>
    <row r="2994" spans="1:5" x14ac:dyDescent="0.35">
      <c r="A2994">
        <v>0</v>
      </c>
      <c r="B2994">
        <v>0</v>
      </c>
      <c r="C2994">
        <v>0</v>
      </c>
      <c r="D2994">
        <v>0</v>
      </c>
      <c r="E2994">
        <v>0</v>
      </c>
    </row>
    <row r="2995" spans="1:5" x14ac:dyDescent="0.35">
      <c r="A2995">
        <v>0</v>
      </c>
      <c r="B2995">
        <v>0</v>
      </c>
      <c r="C2995">
        <v>0</v>
      </c>
      <c r="D2995">
        <v>0</v>
      </c>
      <c r="E2995">
        <v>0</v>
      </c>
    </row>
    <row r="2996" spans="1:5" x14ac:dyDescent="0.35">
      <c r="A2996">
        <v>0</v>
      </c>
      <c r="B2996">
        <v>0</v>
      </c>
      <c r="C2996">
        <v>0</v>
      </c>
      <c r="D2996">
        <v>0</v>
      </c>
      <c r="E2996">
        <v>0</v>
      </c>
    </row>
    <row r="2997" spans="1:5" x14ac:dyDescent="0.35">
      <c r="A2997">
        <v>0</v>
      </c>
      <c r="B2997">
        <v>0</v>
      </c>
      <c r="C2997">
        <v>0</v>
      </c>
      <c r="D2997">
        <v>0</v>
      </c>
      <c r="E2997">
        <v>0</v>
      </c>
    </row>
    <row r="2998" spans="1:5" x14ac:dyDescent="0.35">
      <c r="A2998">
        <v>0</v>
      </c>
      <c r="B2998">
        <v>0</v>
      </c>
      <c r="C2998">
        <v>0</v>
      </c>
      <c r="D2998">
        <v>0</v>
      </c>
      <c r="E2998">
        <v>0</v>
      </c>
    </row>
    <row r="2999" spans="1:5" x14ac:dyDescent="0.35">
      <c r="A2999">
        <v>0</v>
      </c>
      <c r="B2999">
        <v>0</v>
      </c>
      <c r="C2999">
        <v>0</v>
      </c>
      <c r="D2999">
        <v>0</v>
      </c>
      <c r="E2999">
        <v>0</v>
      </c>
    </row>
    <row r="3000" spans="1:5" x14ac:dyDescent="0.35">
      <c r="A3000">
        <v>0</v>
      </c>
      <c r="B3000">
        <v>0</v>
      </c>
      <c r="C3000">
        <v>0</v>
      </c>
      <c r="D3000">
        <v>0</v>
      </c>
      <c r="E3000">
        <v>0</v>
      </c>
    </row>
    <row r="3001" spans="1:5" x14ac:dyDescent="0.35">
      <c r="A3001">
        <v>0</v>
      </c>
      <c r="B3001">
        <v>0</v>
      </c>
      <c r="C3001">
        <v>0</v>
      </c>
      <c r="D3001">
        <v>0</v>
      </c>
      <c r="E3001">
        <v>0</v>
      </c>
    </row>
    <row r="3002" spans="1:5" x14ac:dyDescent="0.35">
      <c r="A3002">
        <v>0</v>
      </c>
      <c r="B3002">
        <v>0</v>
      </c>
      <c r="C3002">
        <v>0</v>
      </c>
      <c r="D3002">
        <v>0</v>
      </c>
      <c r="E3002">
        <v>0</v>
      </c>
    </row>
    <row r="3003" spans="1:5" x14ac:dyDescent="0.35">
      <c r="A3003">
        <v>0</v>
      </c>
      <c r="B3003">
        <v>0</v>
      </c>
      <c r="C3003">
        <v>0</v>
      </c>
      <c r="D3003">
        <v>0</v>
      </c>
      <c r="E3003">
        <v>0</v>
      </c>
    </row>
    <row r="3004" spans="1:5" x14ac:dyDescent="0.35">
      <c r="A3004">
        <v>0</v>
      </c>
      <c r="B3004">
        <v>0</v>
      </c>
      <c r="C3004">
        <v>0</v>
      </c>
      <c r="D3004">
        <v>0</v>
      </c>
      <c r="E3004">
        <v>0</v>
      </c>
    </row>
    <row r="3005" spans="1:5" x14ac:dyDescent="0.35">
      <c r="A3005">
        <v>0</v>
      </c>
      <c r="B3005">
        <v>0</v>
      </c>
      <c r="C3005">
        <v>0</v>
      </c>
      <c r="D3005">
        <v>0</v>
      </c>
      <c r="E3005">
        <v>0</v>
      </c>
    </row>
    <row r="3006" spans="1:5" x14ac:dyDescent="0.35">
      <c r="A3006">
        <v>0</v>
      </c>
      <c r="B3006">
        <v>0</v>
      </c>
      <c r="C3006">
        <v>0</v>
      </c>
      <c r="D3006">
        <v>0</v>
      </c>
      <c r="E3006">
        <v>0</v>
      </c>
    </row>
    <row r="3007" spans="1:5" x14ac:dyDescent="0.35">
      <c r="A3007">
        <v>0</v>
      </c>
      <c r="B3007">
        <v>0</v>
      </c>
      <c r="C3007">
        <v>0</v>
      </c>
      <c r="D3007">
        <v>0</v>
      </c>
      <c r="E3007">
        <v>0</v>
      </c>
    </row>
    <row r="3008" spans="1:5" x14ac:dyDescent="0.35">
      <c r="A3008">
        <v>0</v>
      </c>
      <c r="B3008">
        <v>0</v>
      </c>
      <c r="C3008">
        <v>0</v>
      </c>
      <c r="D3008">
        <v>0</v>
      </c>
      <c r="E3008">
        <v>0</v>
      </c>
    </row>
    <row r="3009" spans="1:5" x14ac:dyDescent="0.35">
      <c r="A3009">
        <v>0</v>
      </c>
      <c r="B3009">
        <v>0</v>
      </c>
      <c r="C3009">
        <v>0</v>
      </c>
      <c r="D3009">
        <v>0</v>
      </c>
      <c r="E3009">
        <v>0</v>
      </c>
    </row>
    <row r="3010" spans="1:5" x14ac:dyDescent="0.35">
      <c r="A3010">
        <v>0</v>
      </c>
      <c r="B3010">
        <v>0</v>
      </c>
      <c r="C3010">
        <v>0</v>
      </c>
      <c r="D3010">
        <v>0</v>
      </c>
      <c r="E3010">
        <v>0</v>
      </c>
    </row>
    <row r="3011" spans="1:5" x14ac:dyDescent="0.35">
      <c r="A3011">
        <v>0</v>
      </c>
      <c r="B3011">
        <v>0</v>
      </c>
      <c r="C3011">
        <v>0</v>
      </c>
      <c r="D3011">
        <v>0</v>
      </c>
      <c r="E3011">
        <v>0</v>
      </c>
    </row>
    <row r="3012" spans="1:5" x14ac:dyDescent="0.35">
      <c r="A3012">
        <v>0</v>
      </c>
      <c r="B3012">
        <v>0</v>
      </c>
      <c r="C3012">
        <v>0</v>
      </c>
      <c r="D3012">
        <v>0</v>
      </c>
      <c r="E3012">
        <v>0</v>
      </c>
    </row>
    <row r="3013" spans="1:5" x14ac:dyDescent="0.35">
      <c r="A3013">
        <v>0</v>
      </c>
      <c r="B3013">
        <v>0</v>
      </c>
      <c r="C3013">
        <v>0</v>
      </c>
      <c r="D3013">
        <v>0</v>
      </c>
      <c r="E3013">
        <v>0</v>
      </c>
    </row>
    <row r="3014" spans="1:5" x14ac:dyDescent="0.35">
      <c r="A3014">
        <v>0</v>
      </c>
      <c r="B3014">
        <v>0</v>
      </c>
      <c r="C3014">
        <v>0</v>
      </c>
      <c r="D3014">
        <v>0</v>
      </c>
      <c r="E3014">
        <v>0</v>
      </c>
    </row>
    <row r="3015" spans="1:5" x14ac:dyDescent="0.35">
      <c r="A3015">
        <v>0</v>
      </c>
      <c r="B3015">
        <v>0</v>
      </c>
      <c r="C3015">
        <v>0</v>
      </c>
      <c r="D3015">
        <v>0</v>
      </c>
      <c r="E3015">
        <v>0</v>
      </c>
    </row>
    <row r="3016" spans="1:5" x14ac:dyDescent="0.35">
      <c r="A3016">
        <v>0</v>
      </c>
      <c r="B3016">
        <v>0</v>
      </c>
      <c r="C3016">
        <v>0</v>
      </c>
      <c r="D3016">
        <v>0</v>
      </c>
      <c r="E3016">
        <v>0</v>
      </c>
    </row>
    <row r="3017" spans="1:5" x14ac:dyDescent="0.35">
      <c r="A3017">
        <v>0</v>
      </c>
      <c r="B3017">
        <v>0</v>
      </c>
      <c r="C3017">
        <v>0</v>
      </c>
      <c r="D3017">
        <v>0</v>
      </c>
      <c r="E3017">
        <v>0</v>
      </c>
    </row>
    <row r="3018" spans="1:5" x14ac:dyDescent="0.35">
      <c r="A3018">
        <v>0</v>
      </c>
      <c r="B3018">
        <v>0</v>
      </c>
      <c r="C3018">
        <v>0</v>
      </c>
      <c r="D3018">
        <v>0</v>
      </c>
      <c r="E3018">
        <v>0</v>
      </c>
    </row>
    <row r="3019" spans="1:5" x14ac:dyDescent="0.35">
      <c r="A3019">
        <v>0</v>
      </c>
      <c r="B3019">
        <v>0</v>
      </c>
      <c r="C3019">
        <v>0</v>
      </c>
      <c r="D3019">
        <v>0</v>
      </c>
      <c r="E3019">
        <v>0</v>
      </c>
    </row>
    <row r="3020" spans="1:5" x14ac:dyDescent="0.35">
      <c r="A3020">
        <v>0</v>
      </c>
      <c r="B3020">
        <v>0</v>
      </c>
      <c r="C3020">
        <v>0</v>
      </c>
      <c r="D3020">
        <v>0</v>
      </c>
      <c r="E3020">
        <v>0</v>
      </c>
    </row>
    <row r="3021" spans="1:5" x14ac:dyDescent="0.35">
      <c r="A3021">
        <v>0</v>
      </c>
      <c r="B3021">
        <v>0</v>
      </c>
      <c r="C3021">
        <v>0</v>
      </c>
      <c r="D3021">
        <v>0</v>
      </c>
      <c r="E3021">
        <v>0</v>
      </c>
    </row>
    <row r="3022" spans="1:5" x14ac:dyDescent="0.35">
      <c r="A3022">
        <v>0</v>
      </c>
      <c r="B3022">
        <v>0</v>
      </c>
      <c r="C3022">
        <v>0</v>
      </c>
      <c r="D3022">
        <v>0</v>
      </c>
      <c r="E3022">
        <v>0</v>
      </c>
    </row>
    <row r="3023" spans="1:5" x14ac:dyDescent="0.35">
      <c r="A3023">
        <v>0</v>
      </c>
      <c r="B3023">
        <v>0</v>
      </c>
      <c r="C3023">
        <v>0</v>
      </c>
      <c r="D3023">
        <v>0</v>
      </c>
      <c r="E3023">
        <v>0</v>
      </c>
    </row>
    <row r="3024" spans="1:5" x14ac:dyDescent="0.35">
      <c r="A3024">
        <v>0</v>
      </c>
      <c r="B3024">
        <v>0</v>
      </c>
      <c r="C3024">
        <v>0</v>
      </c>
      <c r="D3024">
        <v>0</v>
      </c>
      <c r="E3024">
        <v>0</v>
      </c>
    </row>
    <row r="3025" spans="1:5" x14ac:dyDescent="0.35">
      <c r="A3025">
        <v>0</v>
      </c>
      <c r="B3025">
        <v>0</v>
      </c>
      <c r="C3025">
        <v>0</v>
      </c>
      <c r="D3025">
        <v>0</v>
      </c>
      <c r="E3025">
        <v>0</v>
      </c>
    </row>
    <row r="3026" spans="1:5" x14ac:dyDescent="0.35">
      <c r="A3026">
        <v>0</v>
      </c>
      <c r="B3026">
        <v>0</v>
      </c>
      <c r="C3026">
        <v>0</v>
      </c>
      <c r="D3026">
        <v>0</v>
      </c>
      <c r="E3026">
        <v>0</v>
      </c>
    </row>
    <row r="3027" spans="1:5" x14ac:dyDescent="0.35">
      <c r="A3027">
        <v>0</v>
      </c>
      <c r="B3027">
        <v>0</v>
      </c>
      <c r="C3027">
        <v>0</v>
      </c>
      <c r="D3027">
        <v>0</v>
      </c>
      <c r="E3027">
        <v>0</v>
      </c>
    </row>
    <row r="3028" spans="1:5" x14ac:dyDescent="0.35">
      <c r="A3028">
        <v>0</v>
      </c>
      <c r="B3028">
        <v>0</v>
      </c>
      <c r="C3028">
        <v>0</v>
      </c>
      <c r="D3028">
        <v>0</v>
      </c>
      <c r="E3028">
        <v>0</v>
      </c>
    </row>
    <row r="3029" spans="1:5" x14ac:dyDescent="0.35">
      <c r="A3029">
        <v>0</v>
      </c>
      <c r="B3029">
        <v>0</v>
      </c>
      <c r="C3029">
        <v>0</v>
      </c>
      <c r="D3029">
        <v>0</v>
      </c>
      <c r="E3029">
        <v>0</v>
      </c>
    </row>
    <row r="3030" spans="1:5" x14ac:dyDescent="0.35">
      <c r="A3030">
        <v>0</v>
      </c>
      <c r="B3030">
        <v>0</v>
      </c>
      <c r="C3030">
        <v>0</v>
      </c>
      <c r="D3030">
        <v>0</v>
      </c>
      <c r="E3030">
        <v>0</v>
      </c>
    </row>
    <row r="3031" spans="1:5" x14ac:dyDescent="0.35">
      <c r="A3031">
        <v>0</v>
      </c>
      <c r="B3031">
        <v>0</v>
      </c>
      <c r="C3031">
        <v>0</v>
      </c>
      <c r="D3031">
        <v>0</v>
      </c>
      <c r="E3031">
        <v>0</v>
      </c>
    </row>
    <row r="3032" spans="1:5" x14ac:dyDescent="0.35">
      <c r="A3032">
        <v>0</v>
      </c>
      <c r="B3032">
        <v>0</v>
      </c>
      <c r="C3032">
        <v>0</v>
      </c>
      <c r="D3032">
        <v>0</v>
      </c>
      <c r="E3032">
        <v>0</v>
      </c>
    </row>
    <row r="3033" spans="1:5" x14ac:dyDescent="0.35">
      <c r="A3033">
        <v>0</v>
      </c>
      <c r="B3033">
        <v>0</v>
      </c>
      <c r="C3033">
        <v>0</v>
      </c>
      <c r="D3033">
        <v>0</v>
      </c>
      <c r="E3033">
        <v>0</v>
      </c>
    </row>
    <row r="3034" spans="1:5" x14ac:dyDescent="0.35">
      <c r="A3034">
        <v>0</v>
      </c>
      <c r="B3034">
        <v>0</v>
      </c>
      <c r="C3034">
        <v>0</v>
      </c>
      <c r="D3034">
        <v>0</v>
      </c>
      <c r="E3034">
        <v>0</v>
      </c>
    </row>
    <row r="3035" spans="1:5" x14ac:dyDescent="0.35">
      <c r="A3035">
        <v>0</v>
      </c>
      <c r="B3035">
        <v>0</v>
      </c>
      <c r="C3035">
        <v>0</v>
      </c>
      <c r="D3035">
        <v>0</v>
      </c>
      <c r="E3035">
        <v>0</v>
      </c>
    </row>
    <row r="3036" spans="1:5" x14ac:dyDescent="0.35">
      <c r="A3036">
        <v>0</v>
      </c>
      <c r="B3036">
        <v>0</v>
      </c>
      <c r="C3036">
        <v>0</v>
      </c>
      <c r="D3036">
        <v>0</v>
      </c>
      <c r="E3036">
        <v>0</v>
      </c>
    </row>
    <row r="3037" spans="1:5" x14ac:dyDescent="0.35">
      <c r="A3037">
        <v>0</v>
      </c>
      <c r="B3037">
        <v>0</v>
      </c>
      <c r="C3037">
        <v>0</v>
      </c>
      <c r="D3037">
        <v>0</v>
      </c>
      <c r="E3037">
        <v>0</v>
      </c>
    </row>
    <row r="3038" spans="1:5" x14ac:dyDescent="0.35">
      <c r="A3038">
        <v>0</v>
      </c>
      <c r="B3038">
        <v>0</v>
      </c>
      <c r="C3038">
        <v>0</v>
      </c>
      <c r="D3038">
        <v>0</v>
      </c>
      <c r="E3038">
        <v>0</v>
      </c>
    </row>
    <row r="3039" spans="1:5" x14ac:dyDescent="0.35">
      <c r="A3039">
        <v>0</v>
      </c>
      <c r="B3039">
        <v>0</v>
      </c>
      <c r="C3039">
        <v>0</v>
      </c>
      <c r="D3039">
        <v>0</v>
      </c>
      <c r="E3039">
        <v>0</v>
      </c>
    </row>
    <row r="3040" spans="1:5" x14ac:dyDescent="0.35">
      <c r="A3040">
        <v>0</v>
      </c>
      <c r="B3040">
        <v>0</v>
      </c>
      <c r="C3040">
        <v>0</v>
      </c>
      <c r="D3040">
        <v>0</v>
      </c>
      <c r="E3040">
        <v>0</v>
      </c>
    </row>
    <row r="3041" spans="1:5" x14ac:dyDescent="0.35">
      <c r="A3041">
        <v>0</v>
      </c>
      <c r="B3041">
        <v>0</v>
      </c>
      <c r="C3041">
        <v>0</v>
      </c>
      <c r="D3041">
        <v>0</v>
      </c>
      <c r="E3041">
        <v>0</v>
      </c>
    </row>
    <row r="3042" spans="1:5" x14ac:dyDescent="0.35">
      <c r="A3042">
        <v>0</v>
      </c>
      <c r="B3042">
        <v>0</v>
      </c>
      <c r="C3042">
        <v>0</v>
      </c>
      <c r="D3042">
        <v>0</v>
      </c>
      <c r="E3042">
        <v>0</v>
      </c>
    </row>
    <row r="3043" spans="1:5" x14ac:dyDescent="0.35">
      <c r="A3043">
        <v>0</v>
      </c>
      <c r="B3043">
        <v>0</v>
      </c>
      <c r="C3043">
        <v>0</v>
      </c>
      <c r="D3043">
        <v>0</v>
      </c>
      <c r="E3043">
        <v>0</v>
      </c>
    </row>
    <row r="3044" spans="1:5" x14ac:dyDescent="0.35">
      <c r="A3044">
        <v>0</v>
      </c>
      <c r="B3044">
        <v>0</v>
      </c>
      <c r="C3044">
        <v>0</v>
      </c>
      <c r="D3044">
        <v>0</v>
      </c>
      <c r="E3044">
        <v>0</v>
      </c>
    </row>
    <row r="3045" spans="1:5" x14ac:dyDescent="0.35">
      <c r="A3045">
        <v>0</v>
      </c>
      <c r="B3045">
        <v>0</v>
      </c>
      <c r="C3045">
        <v>0</v>
      </c>
      <c r="D3045">
        <v>0</v>
      </c>
      <c r="E3045">
        <v>0</v>
      </c>
    </row>
    <row r="3046" spans="1:5" x14ac:dyDescent="0.35">
      <c r="A3046">
        <v>0</v>
      </c>
      <c r="B3046">
        <v>0</v>
      </c>
      <c r="C3046">
        <v>0</v>
      </c>
      <c r="D3046">
        <v>0</v>
      </c>
      <c r="E3046">
        <v>0</v>
      </c>
    </row>
    <row r="3047" spans="1:5" x14ac:dyDescent="0.35">
      <c r="A3047">
        <v>0</v>
      </c>
      <c r="B3047">
        <v>0</v>
      </c>
      <c r="C3047">
        <v>0</v>
      </c>
      <c r="D3047">
        <v>0</v>
      </c>
      <c r="E3047">
        <v>0</v>
      </c>
    </row>
    <row r="3048" spans="1:5" x14ac:dyDescent="0.35">
      <c r="A3048">
        <v>0</v>
      </c>
      <c r="B3048">
        <v>0</v>
      </c>
      <c r="C3048">
        <v>0</v>
      </c>
      <c r="D3048">
        <v>0</v>
      </c>
      <c r="E3048">
        <v>0</v>
      </c>
    </row>
    <row r="3049" spans="1:5" x14ac:dyDescent="0.35">
      <c r="A3049">
        <v>0</v>
      </c>
      <c r="B3049">
        <v>0</v>
      </c>
      <c r="C3049">
        <v>0</v>
      </c>
      <c r="D3049">
        <v>0</v>
      </c>
      <c r="E3049">
        <v>0</v>
      </c>
    </row>
    <row r="3050" spans="1:5" x14ac:dyDescent="0.35">
      <c r="A3050">
        <v>0</v>
      </c>
      <c r="B3050">
        <v>0</v>
      </c>
      <c r="C3050">
        <v>0</v>
      </c>
      <c r="D3050">
        <v>0</v>
      </c>
      <c r="E3050">
        <v>0</v>
      </c>
    </row>
    <row r="3051" spans="1:5" x14ac:dyDescent="0.35">
      <c r="A3051">
        <v>0</v>
      </c>
      <c r="B3051">
        <v>0</v>
      </c>
      <c r="C3051">
        <v>0</v>
      </c>
      <c r="D3051">
        <v>0</v>
      </c>
      <c r="E3051">
        <v>0</v>
      </c>
    </row>
    <row r="3052" spans="1:5" x14ac:dyDescent="0.35">
      <c r="A3052">
        <v>0</v>
      </c>
      <c r="B3052">
        <v>0</v>
      </c>
      <c r="C3052">
        <v>0</v>
      </c>
      <c r="D3052">
        <v>0</v>
      </c>
      <c r="E3052">
        <v>0</v>
      </c>
    </row>
    <row r="3053" spans="1:5" x14ac:dyDescent="0.35">
      <c r="A3053">
        <v>0</v>
      </c>
      <c r="B3053">
        <v>0</v>
      </c>
      <c r="C3053">
        <v>0</v>
      </c>
      <c r="D3053">
        <v>0</v>
      </c>
      <c r="E3053">
        <v>0</v>
      </c>
    </row>
    <row r="3054" spans="1:5" x14ac:dyDescent="0.35">
      <c r="A3054">
        <v>0</v>
      </c>
      <c r="B3054">
        <v>0</v>
      </c>
      <c r="C3054">
        <v>0</v>
      </c>
      <c r="D3054">
        <v>0</v>
      </c>
      <c r="E3054">
        <v>0</v>
      </c>
    </row>
    <row r="3055" spans="1:5" x14ac:dyDescent="0.35">
      <c r="A3055">
        <v>0</v>
      </c>
      <c r="B3055">
        <v>0</v>
      </c>
      <c r="C3055">
        <v>0</v>
      </c>
      <c r="D3055">
        <v>0</v>
      </c>
      <c r="E3055">
        <v>0</v>
      </c>
    </row>
    <row r="3056" spans="1:5" x14ac:dyDescent="0.35">
      <c r="A3056">
        <v>0</v>
      </c>
      <c r="B3056">
        <v>0</v>
      </c>
      <c r="C3056">
        <v>0</v>
      </c>
      <c r="D3056">
        <v>0</v>
      </c>
      <c r="E3056">
        <v>0</v>
      </c>
    </row>
    <row r="3057" spans="1:5" x14ac:dyDescent="0.35">
      <c r="A3057">
        <v>0</v>
      </c>
      <c r="B3057">
        <v>0</v>
      </c>
      <c r="C3057">
        <v>0</v>
      </c>
      <c r="D3057">
        <v>0</v>
      </c>
      <c r="E3057">
        <v>0</v>
      </c>
    </row>
    <row r="3058" spans="1:5" x14ac:dyDescent="0.35">
      <c r="A3058">
        <v>0</v>
      </c>
      <c r="B3058">
        <v>0</v>
      </c>
      <c r="C3058">
        <v>0</v>
      </c>
      <c r="D3058">
        <v>0</v>
      </c>
      <c r="E3058">
        <v>0</v>
      </c>
    </row>
    <row r="3059" spans="1:5" x14ac:dyDescent="0.35">
      <c r="A3059">
        <v>0</v>
      </c>
      <c r="B3059">
        <v>0</v>
      </c>
      <c r="C3059">
        <v>0</v>
      </c>
      <c r="D3059">
        <v>0</v>
      </c>
      <c r="E3059">
        <v>0</v>
      </c>
    </row>
    <row r="3060" spans="1:5" x14ac:dyDescent="0.35">
      <c r="A3060">
        <v>0</v>
      </c>
      <c r="B3060">
        <v>0</v>
      </c>
      <c r="C3060">
        <v>0</v>
      </c>
      <c r="D3060">
        <v>0</v>
      </c>
      <c r="E3060">
        <v>0</v>
      </c>
    </row>
    <row r="3061" spans="1:5" x14ac:dyDescent="0.35">
      <c r="A3061">
        <v>0</v>
      </c>
      <c r="B3061">
        <v>0</v>
      </c>
      <c r="C3061">
        <v>0</v>
      </c>
      <c r="D3061">
        <v>0</v>
      </c>
      <c r="E3061">
        <v>0</v>
      </c>
    </row>
    <row r="3062" spans="1:5" x14ac:dyDescent="0.35">
      <c r="A3062">
        <v>0</v>
      </c>
      <c r="B3062">
        <v>0</v>
      </c>
      <c r="C3062">
        <v>0</v>
      </c>
      <c r="D3062">
        <v>0</v>
      </c>
      <c r="E3062">
        <v>0</v>
      </c>
    </row>
    <row r="3063" spans="1:5" x14ac:dyDescent="0.35">
      <c r="A3063">
        <v>0</v>
      </c>
      <c r="B3063">
        <v>0</v>
      </c>
      <c r="C3063">
        <v>0</v>
      </c>
      <c r="D3063">
        <v>0</v>
      </c>
      <c r="E3063">
        <v>0</v>
      </c>
    </row>
    <row r="3064" spans="1:5" x14ac:dyDescent="0.35">
      <c r="A3064">
        <v>0</v>
      </c>
      <c r="B3064">
        <v>0</v>
      </c>
      <c r="C3064">
        <v>0</v>
      </c>
      <c r="D3064">
        <v>0</v>
      </c>
      <c r="E3064">
        <v>0</v>
      </c>
    </row>
    <row r="3065" spans="1:5" x14ac:dyDescent="0.35">
      <c r="A3065">
        <v>0</v>
      </c>
      <c r="B3065">
        <v>0</v>
      </c>
      <c r="C3065">
        <v>0</v>
      </c>
      <c r="D3065">
        <v>0</v>
      </c>
      <c r="E3065">
        <v>0</v>
      </c>
    </row>
    <row r="3066" spans="1:5" x14ac:dyDescent="0.35">
      <c r="A3066">
        <v>0</v>
      </c>
      <c r="B3066">
        <v>0</v>
      </c>
      <c r="C3066">
        <v>0</v>
      </c>
      <c r="D3066">
        <v>0</v>
      </c>
      <c r="E3066">
        <v>0</v>
      </c>
    </row>
    <row r="3067" spans="1:5" x14ac:dyDescent="0.35">
      <c r="A3067">
        <v>0</v>
      </c>
      <c r="B3067">
        <v>0</v>
      </c>
      <c r="C3067">
        <v>0</v>
      </c>
      <c r="D3067">
        <v>0</v>
      </c>
      <c r="E3067">
        <v>0</v>
      </c>
    </row>
    <row r="3068" spans="1:5" x14ac:dyDescent="0.35">
      <c r="A3068">
        <v>0</v>
      </c>
      <c r="B3068">
        <v>0</v>
      </c>
      <c r="C3068">
        <v>0</v>
      </c>
      <c r="D3068">
        <v>0</v>
      </c>
      <c r="E3068">
        <v>0</v>
      </c>
    </row>
    <row r="3069" spans="1:5" x14ac:dyDescent="0.35">
      <c r="A3069">
        <v>0</v>
      </c>
      <c r="B3069">
        <v>0</v>
      </c>
      <c r="C3069">
        <v>0</v>
      </c>
      <c r="D3069">
        <v>0</v>
      </c>
      <c r="E3069">
        <v>0</v>
      </c>
    </row>
    <row r="3070" spans="1:5" x14ac:dyDescent="0.35">
      <c r="A3070">
        <v>0</v>
      </c>
      <c r="B3070">
        <v>0</v>
      </c>
      <c r="C3070">
        <v>0</v>
      </c>
      <c r="D3070">
        <v>0</v>
      </c>
      <c r="E3070">
        <v>0</v>
      </c>
    </row>
    <row r="3071" spans="1:5" x14ac:dyDescent="0.35">
      <c r="A3071">
        <v>0</v>
      </c>
      <c r="B3071">
        <v>0</v>
      </c>
      <c r="C3071">
        <v>0</v>
      </c>
      <c r="D3071">
        <v>0</v>
      </c>
      <c r="E3071">
        <v>0</v>
      </c>
    </row>
    <row r="3072" spans="1:5" x14ac:dyDescent="0.35">
      <c r="A3072">
        <v>0</v>
      </c>
      <c r="B3072">
        <v>0</v>
      </c>
      <c r="C3072">
        <v>0</v>
      </c>
      <c r="D3072">
        <v>0</v>
      </c>
      <c r="E3072">
        <v>0</v>
      </c>
    </row>
    <row r="3073" spans="1:5" x14ac:dyDescent="0.35">
      <c r="A3073">
        <v>0</v>
      </c>
      <c r="B3073">
        <v>0</v>
      </c>
      <c r="C3073">
        <v>0</v>
      </c>
      <c r="D3073">
        <v>0</v>
      </c>
      <c r="E3073">
        <v>0</v>
      </c>
    </row>
    <row r="3074" spans="1:5" x14ac:dyDescent="0.35">
      <c r="A3074">
        <v>0</v>
      </c>
      <c r="B3074">
        <v>0</v>
      </c>
      <c r="C3074">
        <v>0</v>
      </c>
      <c r="D3074">
        <v>0</v>
      </c>
      <c r="E3074">
        <v>0</v>
      </c>
    </row>
    <row r="3075" spans="1:5" x14ac:dyDescent="0.35">
      <c r="A3075">
        <v>0</v>
      </c>
      <c r="B3075">
        <v>0</v>
      </c>
      <c r="C3075">
        <v>0</v>
      </c>
      <c r="D3075">
        <v>0</v>
      </c>
      <c r="E3075">
        <v>0</v>
      </c>
    </row>
    <row r="3076" spans="1:5" x14ac:dyDescent="0.35">
      <c r="A3076">
        <v>0</v>
      </c>
      <c r="B3076">
        <v>0</v>
      </c>
      <c r="C3076">
        <v>0</v>
      </c>
      <c r="D3076">
        <v>0</v>
      </c>
      <c r="E3076">
        <v>0</v>
      </c>
    </row>
    <row r="3077" spans="1:5" x14ac:dyDescent="0.35">
      <c r="A3077">
        <v>0</v>
      </c>
      <c r="B3077">
        <v>0</v>
      </c>
      <c r="C3077">
        <v>0</v>
      </c>
      <c r="D3077">
        <v>0</v>
      </c>
      <c r="E3077">
        <v>0</v>
      </c>
    </row>
    <row r="3078" spans="1:5" x14ac:dyDescent="0.35">
      <c r="A3078">
        <v>0</v>
      </c>
      <c r="B3078">
        <v>0</v>
      </c>
      <c r="C3078">
        <v>0</v>
      </c>
      <c r="D3078">
        <v>0</v>
      </c>
      <c r="E3078">
        <v>0</v>
      </c>
    </row>
    <row r="3079" spans="1:5" x14ac:dyDescent="0.35">
      <c r="A3079">
        <v>0</v>
      </c>
      <c r="B3079">
        <v>0</v>
      </c>
      <c r="C3079">
        <v>0</v>
      </c>
      <c r="D3079">
        <v>0</v>
      </c>
      <c r="E3079">
        <v>0</v>
      </c>
    </row>
    <row r="3080" spans="1:5" x14ac:dyDescent="0.35">
      <c r="A3080">
        <v>0</v>
      </c>
      <c r="B3080">
        <v>0</v>
      </c>
      <c r="C3080">
        <v>0</v>
      </c>
      <c r="D3080">
        <v>0</v>
      </c>
      <c r="E3080">
        <v>0</v>
      </c>
    </row>
    <row r="3081" spans="1:5" x14ac:dyDescent="0.35">
      <c r="A3081">
        <v>0</v>
      </c>
      <c r="B3081">
        <v>0</v>
      </c>
      <c r="C3081">
        <v>0</v>
      </c>
      <c r="D3081">
        <v>0</v>
      </c>
      <c r="E3081">
        <v>0</v>
      </c>
    </row>
    <row r="3082" spans="1:5" x14ac:dyDescent="0.35">
      <c r="A3082">
        <v>0</v>
      </c>
      <c r="B3082">
        <v>0</v>
      </c>
      <c r="C3082">
        <v>0</v>
      </c>
      <c r="D3082">
        <v>0</v>
      </c>
      <c r="E3082">
        <v>0</v>
      </c>
    </row>
    <row r="3083" spans="1:5" x14ac:dyDescent="0.35">
      <c r="A3083">
        <v>0</v>
      </c>
      <c r="B3083">
        <v>0</v>
      </c>
      <c r="C3083">
        <v>0</v>
      </c>
      <c r="D3083">
        <v>0</v>
      </c>
      <c r="E3083">
        <v>0</v>
      </c>
    </row>
    <row r="3084" spans="1:5" x14ac:dyDescent="0.35">
      <c r="A3084">
        <v>0</v>
      </c>
      <c r="B3084">
        <v>0</v>
      </c>
      <c r="C3084">
        <v>0</v>
      </c>
      <c r="D3084">
        <v>0</v>
      </c>
      <c r="E3084">
        <v>0</v>
      </c>
    </row>
    <row r="3085" spans="1:5" x14ac:dyDescent="0.35">
      <c r="A3085">
        <v>0</v>
      </c>
      <c r="B3085">
        <v>0</v>
      </c>
      <c r="C3085">
        <v>0</v>
      </c>
      <c r="D3085">
        <v>0</v>
      </c>
      <c r="E3085">
        <v>0</v>
      </c>
    </row>
    <row r="3086" spans="1:5" x14ac:dyDescent="0.35">
      <c r="A3086">
        <v>0</v>
      </c>
      <c r="B3086">
        <v>0</v>
      </c>
      <c r="C3086">
        <v>0</v>
      </c>
      <c r="D3086">
        <v>0</v>
      </c>
      <c r="E3086">
        <v>0</v>
      </c>
    </row>
    <row r="3087" spans="1:5" x14ac:dyDescent="0.35">
      <c r="A3087">
        <v>0</v>
      </c>
      <c r="B3087">
        <v>0</v>
      </c>
      <c r="C3087">
        <v>0</v>
      </c>
      <c r="D3087">
        <v>0</v>
      </c>
      <c r="E3087">
        <v>0</v>
      </c>
    </row>
    <row r="3088" spans="1:5" x14ac:dyDescent="0.35">
      <c r="A3088">
        <v>0</v>
      </c>
      <c r="B3088">
        <v>0</v>
      </c>
      <c r="C3088">
        <v>0</v>
      </c>
      <c r="D3088">
        <v>0</v>
      </c>
      <c r="E3088">
        <v>0</v>
      </c>
    </row>
    <row r="3089" spans="1:5" x14ac:dyDescent="0.35">
      <c r="A3089">
        <v>0</v>
      </c>
      <c r="B3089">
        <v>0</v>
      </c>
      <c r="C3089">
        <v>0</v>
      </c>
      <c r="D3089">
        <v>0</v>
      </c>
      <c r="E3089">
        <v>0</v>
      </c>
    </row>
    <row r="3090" spans="1:5" x14ac:dyDescent="0.35">
      <c r="A3090">
        <v>0</v>
      </c>
      <c r="B3090">
        <v>0</v>
      </c>
      <c r="C3090">
        <v>0</v>
      </c>
      <c r="D3090">
        <v>0</v>
      </c>
      <c r="E3090">
        <v>0</v>
      </c>
    </row>
    <row r="3091" spans="1:5" x14ac:dyDescent="0.35">
      <c r="A3091">
        <v>0</v>
      </c>
      <c r="B3091">
        <v>0</v>
      </c>
      <c r="C3091">
        <v>0</v>
      </c>
      <c r="D3091">
        <v>0</v>
      </c>
      <c r="E3091">
        <v>0</v>
      </c>
    </row>
    <row r="3092" spans="1:5" x14ac:dyDescent="0.35">
      <c r="A3092">
        <v>0</v>
      </c>
      <c r="B3092">
        <v>0</v>
      </c>
      <c r="C3092">
        <v>0</v>
      </c>
      <c r="D3092">
        <v>0</v>
      </c>
      <c r="E3092">
        <v>0</v>
      </c>
    </row>
    <row r="3093" spans="1:5" x14ac:dyDescent="0.35">
      <c r="A3093">
        <v>0</v>
      </c>
      <c r="B3093">
        <v>0</v>
      </c>
      <c r="C3093">
        <v>0</v>
      </c>
      <c r="D3093">
        <v>0</v>
      </c>
      <c r="E3093">
        <v>0</v>
      </c>
    </row>
    <row r="3094" spans="1:5" x14ac:dyDescent="0.35">
      <c r="A3094">
        <v>0</v>
      </c>
      <c r="B3094">
        <v>0</v>
      </c>
      <c r="C3094">
        <v>0</v>
      </c>
      <c r="D3094">
        <v>0</v>
      </c>
      <c r="E3094">
        <v>0</v>
      </c>
    </row>
    <row r="3095" spans="1:5" x14ac:dyDescent="0.35">
      <c r="A3095">
        <v>0</v>
      </c>
      <c r="B3095">
        <v>0</v>
      </c>
      <c r="C3095">
        <v>0</v>
      </c>
      <c r="D3095">
        <v>0</v>
      </c>
      <c r="E3095">
        <v>0</v>
      </c>
    </row>
    <row r="3096" spans="1:5" x14ac:dyDescent="0.35">
      <c r="A3096">
        <v>0</v>
      </c>
      <c r="B3096">
        <v>0</v>
      </c>
      <c r="C3096">
        <v>0</v>
      </c>
      <c r="D3096">
        <v>0</v>
      </c>
      <c r="E3096">
        <v>0</v>
      </c>
    </row>
    <row r="3097" spans="1:5" x14ac:dyDescent="0.35">
      <c r="A3097">
        <v>0</v>
      </c>
      <c r="B3097">
        <v>0</v>
      </c>
      <c r="C3097">
        <v>0</v>
      </c>
      <c r="D3097">
        <v>0</v>
      </c>
      <c r="E3097">
        <v>0</v>
      </c>
    </row>
    <row r="3098" spans="1:5" x14ac:dyDescent="0.35">
      <c r="A3098">
        <v>0</v>
      </c>
      <c r="B3098">
        <v>0</v>
      </c>
      <c r="C3098">
        <v>0</v>
      </c>
      <c r="D3098">
        <v>0</v>
      </c>
      <c r="E3098">
        <v>0</v>
      </c>
    </row>
    <row r="3099" spans="1:5" x14ac:dyDescent="0.35">
      <c r="A3099">
        <v>0</v>
      </c>
      <c r="B3099">
        <v>0</v>
      </c>
      <c r="C3099">
        <v>0</v>
      </c>
      <c r="D3099">
        <v>0</v>
      </c>
      <c r="E3099">
        <v>0</v>
      </c>
    </row>
    <row r="3100" spans="1:5" x14ac:dyDescent="0.35">
      <c r="A3100">
        <v>0</v>
      </c>
      <c r="B3100">
        <v>0</v>
      </c>
      <c r="C3100">
        <v>0</v>
      </c>
      <c r="D3100">
        <v>0</v>
      </c>
      <c r="E3100">
        <v>0</v>
      </c>
    </row>
    <row r="3101" spans="1:5" x14ac:dyDescent="0.35">
      <c r="A3101">
        <v>0</v>
      </c>
      <c r="B3101">
        <v>0</v>
      </c>
      <c r="C3101">
        <v>0</v>
      </c>
      <c r="D3101">
        <v>0</v>
      </c>
      <c r="E3101">
        <v>0</v>
      </c>
    </row>
    <row r="3102" spans="1:5" x14ac:dyDescent="0.35">
      <c r="A3102">
        <v>0</v>
      </c>
      <c r="B3102">
        <v>0</v>
      </c>
      <c r="C3102">
        <v>0</v>
      </c>
      <c r="D3102">
        <v>0</v>
      </c>
      <c r="E3102">
        <v>0</v>
      </c>
    </row>
    <row r="3103" spans="1:5" x14ac:dyDescent="0.35">
      <c r="A3103">
        <v>0</v>
      </c>
      <c r="B3103">
        <v>0</v>
      </c>
      <c r="C3103">
        <v>0</v>
      </c>
      <c r="D3103">
        <v>0</v>
      </c>
      <c r="E3103">
        <v>0</v>
      </c>
    </row>
    <row r="3104" spans="1:5" x14ac:dyDescent="0.35">
      <c r="A3104">
        <v>0</v>
      </c>
      <c r="B3104">
        <v>0</v>
      </c>
      <c r="C3104">
        <v>0</v>
      </c>
      <c r="D3104">
        <v>0</v>
      </c>
      <c r="E3104">
        <v>0</v>
      </c>
    </row>
    <row r="3105" spans="1:5" x14ac:dyDescent="0.35">
      <c r="A3105">
        <v>0</v>
      </c>
      <c r="B3105">
        <v>0</v>
      </c>
      <c r="C3105">
        <v>0</v>
      </c>
      <c r="D3105">
        <v>0</v>
      </c>
      <c r="E3105">
        <v>0</v>
      </c>
    </row>
    <row r="3106" spans="1:5" x14ac:dyDescent="0.35">
      <c r="A3106">
        <v>0</v>
      </c>
      <c r="B3106">
        <v>0</v>
      </c>
      <c r="C3106">
        <v>0</v>
      </c>
      <c r="D3106">
        <v>0</v>
      </c>
      <c r="E3106">
        <v>0</v>
      </c>
    </row>
    <row r="3107" spans="1:5" x14ac:dyDescent="0.35">
      <c r="A3107">
        <v>0</v>
      </c>
      <c r="B3107">
        <v>0</v>
      </c>
      <c r="C3107">
        <v>0</v>
      </c>
      <c r="D3107">
        <v>0</v>
      </c>
      <c r="E3107">
        <v>0</v>
      </c>
    </row>
    <row r="3108" spans="1:5" x14ac:dyDescent="0.35">
      <c r="A3108">
        <v>0</v>
      </c>
      <c r="B3108">
        <v>0</v>
      </c>
      <c r="C3108">
        <v>0</v>
      </c>
      <c r="D3108">
        <v>0</v>
      </c>
      <c r="E3108">
        <v>0</v>
      </c>
    </row>
    <row r="3109" spans="1:5" x14ac:dyDescent="0.35">
      <c r="A3109">
        <v>0</v>
      </c>
      <c r="B3109">
        <v>0</v>
      </c>
      <c r="C3109">
        <v>0</v>
      </c>
      <c r="D3109">
        <v>0</v>
      </c>
      <c r="E3109">
        <v>0</v>
      </c>
    </row>
    <row r="3110" spans="1:5" x14ac:dyDescent="0.35">
      <c r="A3110">
        <v>0</v>
      </c>
      <c r="B3110">
        <v>0</v>
      </c>
      <c r="C3110">
        <v>0</v>
      </c>
      <c r="D3110">
        <v>0</v>
      </c>
      <c r="E3110">
        <v>0</v>
      </c>
    </row>
    <row r="3111" spans="1:5" x14ac:dyDescent="0.35">
      <c r="A3111">
        <v>0</v>
      </c>
      <c r="B3111">
        <v>0</v>
      </c>
      <c r="C3111">
        <v>0</v>
      </c>
      <c r="D3111">
        <v>0</v>
      </c>
      <c r="E3111">
        <v>0</v>
      </c>
    </row>
    <row r="3112" spans="1:5" x14ac:dyDescent="0.35">
      <c r="A3112">
        <v>0</v>
      </c>
      <c r="B3112">
        <v>0</v>
      </c>
      <c r="C3112">
        <v>0</v>
      </c>
      <c r="D3112">
        <v>0</v>
      </c>
      <c r="E3112">
        <v>0</v>
      </c>
    </row>
    <row r="3113" spans="1:5" x14ac:dyDescent="0.35">
      <c r="A3113">
        <v>0</v>
      </c>
      <c r="B3113">
        <v>0</v>
      </c>
      <c r="C3113">
        <v>0</v>
      </c>
      <c r="D3113">
        <v>0</v>
      </c>
      <c r="E3113">
        <v>0</v>
      </c>
    </row>
    <row r="3114" spans="1:5" x14ac:dyDescent="0.35">
      <c r="A3114">
        <v>0</v>
      </c>
      <c r="B3114">
        <v>0</v>
      </c>
      <c r="C3114">
        <v>0</v>
      </c>
      <c r="D3114">
        <v>0</v>
      </c>
      <c r="E3114">
        <v>0</v>
      </c>
    </row>
    <row r="3115" spans="1:5" x14ac:dyDescent="0.35">
      <c r="A3115">
        <v>0</v>
      </c>
      <c r="B3115">
        <v>0</v>
      </c>
      <c r="C3115">
        <v>0</v>
      </c>
      <c r="D3115">
        <v>0</v>
      </c>
      <c r="E3115">
        <v>0</v>
      </c>
    </row>
    <row r="3116" spans="1:5" x14ac:dyDescent="0.35">
      <c r="A3116">
        <v>0</v>
      </c>
      <c r="B3116">
        <v>0</v>
      </c>
      <c r="C3116">
        <v>0</v>
      </c>
      <c r="D3116">
        <v>0</v>
      </c>
      <c r="E3116">
        <v>0</v>
      </c>
    </row>
    <row r="3117" spans="1:5" x14ac:dyDescent="0.35">
      <c r="A3117">
        <v>0</v>
      </c>
      <c r="B3117">
        <v>0</v>
      </c>
      <c r="C3117">
        <v>0</v>
      </c>
      <c r="D3117">
        <v>0</v>
      </c>
      <c r="E3117">
        <v>0</v>
      </c>
    </row>
    <row r="3118" spans="1:5" x14ac:dyDescent="0.35">
      <c r="A3118">
        <v>0</v>
      </c>
      <c r="B3118">
        <v>0</v>
      </c>
      <c r="C3118">
        <v>0</v>
      </c>
      <c r="D3118">
        <v>0</v>
      </c>
      <c r="E3118">
        <v>0</v>
      </c>
    </row>
    <row r="3119" spans="1:5" x14ac:dyDescent="0.35">
      <c r="A3119">
        <v>0</v>
      </c>
      <c r="B3119">
        <v>0</v>
      </c>
      <c r="C3119">
        <v>0</v>
      </c>
      <c r="D3119">
        <v>0</v>
      </c>
      <c r="E3119">
        <v>0</v>
      </c>
    </row>
    <row r="3120" spans="1:5" x14ac:dyDescent="0.35">
      <c r="A3120">
        <v>0</v>
      </c>
      <c r="B3120">
        <v>0</v>
      </c>
      <c r="C3120">
        <v>0</v>
      </c>
      <c r="D3120">
        <v>0</v>
      </c>
      <c r="E3120">
        <v>0</v>
      </c>
    </row>
    <row r="3121" spans="1:5" x14ac:dyDescent="0.35">
      <c r="A3121">
        <v>0</v>
      </c>
      <c r="B3121">
        <v>0</v>
      </c>
      <c r="C3121">
        <v>0</v>
      </c>
      <c r="D3121">
        <v>0</v>
      </c>
      <c r="E3121">
        <v>0</v>
      </c>
    </row>
    <row r="3122" spans="1:5" x14ac:dyDescent="0.35">
      <c r="A3122">
        <v>0</v>
      </c>
      <c r="B3122">
        <v>0</v>
      </c>
      <c r="C3122">
        <v>0</v>
      </c>
      <c r="D3122">
        <v>0</v>
      </c>
      <c r="E3122">
        <v>0</v>
      </c>
    </row>
    <row r="3123" spans="1:5" x14ac:dyDescent="0.35">
      <c r="A3123">
        <v>0</v>
      </c>
      <c r="B3123">
        <v>0</v>
      </c>
      <c r="C3123">
        <v>0</v>
      </c>
      <c r="D3123">
        <v>0</v>
      </c>
      <c r="E3123">
        <v>0</v>
      </c>
    </row>
    <row r="3124" spans="1:5" x14ac:dyDescent="0.35">
      <c r="A3124">
        <v>0</v>
      </c>
      <c r="B3124">
        <v>0</v>
      </c>
      <c r="C3124">
        <v>0</v>
      </c>
      <c r="D3124">
        <v>0</v>
      </c>
      <c r="E3124">
        <v>0</v>
      </c>
    </row>
    <row r="3125" spans="1:5" x14ac:dyDescent="0.35">
      <c r="A3125">
        <v>0</v>
      </c>
      <c r="B3125">
        <v>0</v>
      </c>
      <c r="C3125">
        <v>0</v>
      </c>
      <c r="D3125">
        <v>0</v>
      </c>
      <c r="E3125">
        <v>0</v>
      </c>
    </row>
    <row r="3126" spans="1:5" x14ac:dyDescent="0.35">
      <c r="A3126">
        <v>0</v>
      </c>
      <c r="B3126">
        <v>0</v>
      </c>
      <c r="C3126">
        <v>0</v>
      </c>
      <c r="D3126">
        <v>0</v>
      </c>
      <c r="E3126">
        <v>0</v>
      </c>
    </row>
    <row r="3127" spans="1:5" x14ac:dyDescent="0.35">
      <c r="A3127">
        <v>0</v>
      </c>
      <c r="B3127">
        <v>0</v>
      </c>
      <c r="C3127">
        <v>0</v>
      </c>
      <c r="D3127">
        <v>0</v>
      </c>
      <c r="E3127">
        <v>0</v>
      </c>
    </row>
    <row r="3128" spans="1:5" x14ac:dyDescent="0.35">
      <c r="A3128">
        <v>0</v>
      </c>
      <c r="B3128">
        <v>0</v>
      </c>
      <c r="C3128">
        <v>0</v>
      </c>
      <c r="D3128">
        <v>0</v>
      </c>
      <c r="E3128">
        <v>0</v>
      </c>
    </row>
    <row r="3129" spans="1:5" x14ac:dyDescent="0.35">
      <c r="A3129">
        <v>0</v>
      </c>
      <c r="B3129">
        <v>0</v>
      </c>
      <c r="C3129">
        <v>0</v>
      </c>
      <c r="D3129">
        <v>0</v>
      </c>
      <c r="E3129">
        <v>0</v>
      </c>
    </row>
    <row r="3130" spans="1:5" x14ac:dyDescent="0.35">
      <c r="A3130">
        <v>0</v>
      </c>
      <c r="B3130">
        <v>0</v>
      </c>
      <c r="C3130">
        <v>0</v>
      </c>
      <c r="D3130">
        <v>0</v>
      </c>
      <c r="E3130">
        <v>0</v>
      </c>
    </row>
    <row r="3131" spans="1:5" x14ac:dyDescent="0.35">
      <c r="A3131">
        <v>0</v>
      </c>
      <c r="B3131">
        <v>0</v>
      </c>
      <c r="C3131">
        <v>0</v>
      </c>
      <c r="D3131">
        <v>0</v>
      </c>
      <c r="E3131">
        <v>0</v>
      </c>
    </row>
    <row r="3132" spans="1:5" x14ac:dyDescent="0.35">
      <c r="A3132">
        <v>0</v>
      </c>
      <c r="B3132">
        <v>0</v>
      </c>
      <c r="C3132">
        <v>0</v>
      </c>
      <c r="D3132">
        <v>0</v>
      </c>
      <c r="E3132">
        <v>0</v>
      </c>
    </row>
    <row r="3133" spans="1:5" x14ac:dyDescent="0.35">
      <c r="A3133">
        <v>0</v>
      </c>
      <c r="B3133">
        <v>0</v>
      </c>
      <c r="C3133">
        <v>0</v>
      </c>
      <c r="D3133">
        <v>0</v>
      </c>
      <c r="E3133">
        <v>0</v>
      </c>
    </row>
    <row r="3134" spans="1:5" x14ac:dyDescent="0.35">
      <c r="A3134">
        <v>0</v>
      </c>
      <c r="B3134">
        <v>0</v>
      </c>
      <c r="C3134">
        <v>0</v>
      </c>
      <c r="D3134">
        <v>0</v>
      </c>
      <c r="E3134">
        <v>0</v>
      </c>
    </row>
    <row r="3135" spans="1:5" x14ac:dyDescent="0.35">
      <c r="A3135">
        <v>0</v>
      </c>
      <c r="B3135">
        <v>0</v>
      </c>
      <c r="C3135">
        <v>0</v>
      </c>
      <c r="D3135">
        <v>0</v>
      </c>
      <c r="E3135">
        <v>0</v>
      </c>
    </row>
    <row r="3136" spans="1:5" x14ac:dyDescent="0.35">
      <c r="A3136">
        <v>0</v>
      </c>
      <c r="B3136">
        <v>0</v>
      </c>
      <c r="C3136">
        <v>0</v>
      </c>
      <c r="D3136">
        <v>0</v>
      </c>
      <c r="E3136">
        <v>0</v>
      </c>
    </row>
    <row r="3137" spans="1:5" x14ac:dyDescent="0.35">
      <c r="A3137">
        <v>0</v>
      </c>
      <c r="B3137">
        <v>0</v>
      </c>
      <c r="C3137">
        <v>0</v>
      </c>
      <c r="D3137">
        <v>0</v>
      </c>
      <c r="E3137">
        <v>0</v>
      </c>
    </row>
    <row r="3138" spans="1:5" x14ac:dyDescent="0.35">
      <c r="A3138">
        <v>0</v>
      </c>
      <c r="B3138">
        <v>0</v>
      </c>
      <c r="C3138">
        <v>0</v>
      </c>
      <c r="D3138">
        <v>0</v>
      </c>
      <c r="E3138">
        <v>0</v>
      </c>
    </row>
    <row r="3139" spans="1:5" x14ac:dyDescent="0.35">
      <c r="A3139">
        <v>0</v>
      </c>
      <c r="B3139">
        <v>0</v>
      </c>
      <c r="C3139">
        <v>0</v>
      </c>
      <c r="D3139">
        <v>0</v>
      </c>
      <c r="E3139">
        <v>0</v>
      </c>
    </row>
    <row r="3140" spans="1:5" x14ac:dyDescent="0.35">
      <c r="A3140">
        <v>0</v>
      </c>
      <c r="B3140">
        <v>0</v>
      </c>
      <c r="C3140">
        <v>0</v>
      </c>
      <c r="D3140">
        <v>0</v>
      </c>
      <c r="E3140">
        <v>0</v>
      </c>
    </row>
    <row r="3141" spans="1:5" x14ac:dyDescent="0.35">
      <c r="A3141">
        <v>0</v>
      </c>
      <c r="B3141">
        <v>0</v>
      </c>
      <c r="C3141">
        <v>0</v>
      </c>
      <c r="D3141">
        <v>0</v>
      </c>
      <c r="E3141">
        <v>0</v>
      </c>
    </row>
    <row r="3142" spans="1:5" x14ac:dyDescent="0.35">
      <c r="A3142">
        <v>0</v>
      </c>
      <c r="B3142">
        <v>0</v>
      </c>
      <c r="C3142">
        <v>0</v>
      </c>
      <c r="D3142">
        <v>0</v>
      </c>
      <c r="E3142">
        <v>0</v>
      </c>
    </row>
    <row r="3143" spans="1:5" x14ac:dyDescent="0.35">
      <c r="A3143">
        <v>0</v>
      </c>
      <c r="B3143">
        <v>0</v>
      </c>
      <c r="C3143">
        <v>0</v>
      </c>
      <c r="D3143">
        <v>0</v>
      </c>
      <c r="E3143">
        <v>0</v>
      </c>
    </row>
    <row r="3144" spans="1:5" x14ac:dyDescent="0.35">
      <c r="A3144">
        <v>0</v>
      </c>
      <c r="B3144">
        <v>0</v>
      </c>
      <c r="C3144">
        <v>0</v>
      </c>
      <c r="D3144">
        <v>0</v>
      </c>
      <c r="E3144">
        <v>0</v>
      </c>
    </row>
    <row r="3145" spans="1:5" x14ac:dyDescent="0.35">
      <c r="A3145">
        <v>0</v>
      </c>
      <c r="B3145">
        <v>0</v>
      </c>
      <c r="C3145">
        <v>0</v>
      </c>
      <c r="D3145">
        <v>0</v>
      </c>
      <c r="E3145">
        <v>0</v>
      </c>
    </row>
    <row r="3146" spans="1:5" x14ac:dyDescent="0.35">
      <c r="A3146">
        <v>0</v>
      </c>
      <c r="B3146">
        <v>0</v>
      </c>
      <c r="C3146">
        <v>0</v>
      </c>
      <c r="D3146">
        <v>0</v>
      </c>
      <c r="E3146">
        <v>0</v>
      </c>
    </row>
    <row r="3147" spans="1:5" x14ac:dyDescent="0.35">
      <c r="A3147">
        <v>0</v>
      </c>
      <c r="B3147">
        <v>0</v>
      </c>
      <c r="C3147">
        <v>0</v>
      </c>
      <c r="D3147">
        <v>0</v>
      </c>
      <c r="E3147">
        <v>0</v>
      </c>
    </row>
    <row r="3148" spans="1:5" x14ac:dyDescent="0.35">
      <c r="A3148">
        <v>0</v>
      </c>
      <c r="B3148">
        <v>0</v>
      </c>
      <c r="C3148">
        <v>0</v>
      </c>
      <c r="D3148">
        <v>0</v>
      </c>
      <c r="E3148">
        <v>0</v>
      </c>
    </row>
    <row r="3149" spans="1:5" x14ac:dyDescent="0.35">
      <c r="A3149">
        <v>0</v>
      </c>
      <c r="B3149">
        <v>0</v>
      </c>
      <c r="C3149">
        <v>0</v>
      </c>
      <c r="D3149">
        <v>0</v>
      </c>
      <c r="E3149">
        <v>0</v>
      </c>
    </row>
    <row r="3150" spans="1:5" x14ac:dyDescent="0.35">
      <c r="A3150">
        <v>0</v>
      </c>
      <c r="B3150">
        <v>0</v>
      </c>
      <c r="C3150">
        <v>0</v>
      </c>
      <c r="D3150">
        <v>0</v>
      </c>
      <c r="E3150">
        <v>0</v>
      </c>
    </row>
    <row r="3151" spans="1:5" x14ac:dyDescent="0.35">
      <c r="A3151">
        <v>0</v>
      </c>
      <c r="B3151">
        <v>0</v>
      </c>
      <c r="C3151">
        <v>0</v>
      </c>
      <c r="D3151">
        <v>0</v>
      </c>
      <c r="E3151">
        <v>0</v>
      </c>
    </row>
    <row r="3152" spans="1:5" x14ac:dyDescent="0.35">
      <c r="A3152">
        <v>0</v>
      </c>
      <c r="B3152">
        <v>0</v>
      </c>
      <c r="C3152">
        <v>0</v>
      </c>
      <c r="D3152">
        <v>0</v>
      </c>
      <c r="E3152">
        <v>0</v>
      </c>
    </row>
    <row r="3153" spans="1:5" x14ac:dyDescent="0.35">
      <c r="A3153">
        <v>0</v>
      </c>
      <c r="B3153">
        <v>0</v>
      </c>
      <c r="C3153">
        <v>0</v>
      </c>
      <c r="D3153">
        <v>0</v>
      </c>
      <c r="E3153">
        <v>0</v>
      </c>
    </row>
    <row r="3154" spans="1:5" x14ac:dyDescent="0.35">
      <c r="A3154">
        <v>0</v>
      </c>
      <c r="B3154">
        <v>0</v>
      </c>
      <c r="C3154">
        <v>0</v>
      </c>
      <c r="D3154">
        <v>0</v>
      </c>
      <c r="E3154">
        <v>0</v>
      </c>
    </row>
    <row r="3155" spans="1:5" x14ac:dyDescent="0.35">
      <c r="A3155">
        <v>0</v>
      </c>
      <c r="B3155">
        <v>0</v>
      </c>
      <c r="C3155">
        <v>0</v>
      </c>
      <c r="D3155">
        <v>0</v>
      </c>
      <c r="E3155">
        <v>0</v>
      </c>
    </row>
    <row r="3156" spans="1:5" x14ac:dyDescent="0.35">
      <c r="A3156">
        <v>0</v>
      </c>
      <c r="B3156">
        <v>0</v>
      </c>
      <c r="C3156">
        <v>0</v>
      </c>
      <c r="D3156">
        <v>0</v>
      </c>
      <c r="E3156">
        <v>0</v>
      </c>
    </row>
    <row r="3157" spans="1:5" x14ac:dyDescent="0.35">
      <c r="A3157">
        <v>0</v>
      </c>
      <c r="B3157">
        <v>0</v>
      </c>
      <c r="C3157">
        <v>0</v>
      </c>
      <c r="D3157">
        <v>0</v>
      </c>
      <c r="E3157">
        <v>0</v>
      </c>
    </row>
    <row r="3158" spans="1:5" x14ac:dyDescent="0.35">
      <c r="A3158">
        <v>0</v>
      </c>
      <c r="B3158">
        <v>0</v>
      </c>
      <c r="C3158">
        <v>0</v>
      </c>
      <c r="D3158">
        <v>0</v>
      </c>
      <c r="E3158">
        <v>0</v>
      </c>
    </row>
    <row r="3159" spans="1:5" x14ac:dyDescent="0.35">
      <c r="A3159">
        <v>0</v>
      </c>
      <c r="B3159">
        <v>0</v>
      </c>
      <c r="C3159">
        <v>0</v>
      </c>
      <c r="D3159">
        <v>0</v>
      </c>
      <c r="E3159">
        <v>0</v>
      </c>
    </row>
    <row r="3160" spans="1:5" x14ac:dyDescent="0.35">
      <c r="A3160">
        <v>0</v>
      </c>
      <c r="B3160">
        <v>0</v>
      </c>
      <c r="C3160">
        <v>0</v>
      </c>
      <c r="D3160">
        <v>0</v>
      </c>
      <c r="E3160">
        <v>0</v>
      </c>
    </row>
    <row r="3161" spans="1:5" x14ac:dyDescent="0.35">
      <c r="A3161">
        <v>0</v>
      </c>
      <c r="B3161">
        <v>0</v>
      </c>
      <c r="C3161">
        <v>0</v>
      </c>
      <c r="D3161">
        <v>0</v>
      </c>
      <c r="E3161">
        <v>0</v>
      </c>
    </row>
    <row r="3162" spans="1:5" x14ac:dyDescent="0.35">
      <c r="A3162">
        <v>0</v>
      </c>
      <c r="B3162">
        <v>0</v>
      </c>
      <c r="C3162">
        <v>0</v>
      </c>
      <c r="D3162">
        <v>0</v>
      </c>
      <c r="E3162">
        <v>0</v>
      </c>
    </row>
    <row r="3163" spans="1:5" x14ac:dyDescent="0.35">
      <c r="A3163">
        <v>0</v>
      </c>
      <c r="B3163">
        <v>0</v>
      </c>
      <c r="C3163">
        <v>0</v>
      </c>
      <c r="D3163">
        <v>0</v>
      </c>
      <c r="E3163">
        <v>0</v>
      </c>
    </row>
    <row r="3164" spans="1:5" x14ac:dyDescent="0.35">
      <c r="A3164">
        <v>0</v>
      </c>
      <c r="B3164">
        <v>0</v>
      </c>
      <c r="C3164">
        <v>0</v>
      </c>
      <c r="D3164">
        <v>0</v>
      </c>
      <c r="E3164">
        <v>0</v>
      </c>
    </row>
    <row r="3165" spans="1:5" x14ac:dyDescent="0.35">
      <c r="A3165">
        <v>0</v>
      </c>
      <c r="B3165">
        <v>0</v>
      </c>
      <c r="C3165">
        <v>0</v>
      </c>
      <c r="D3165">
        <v>0</v>
      </c>
      <c r="E3165">
        <v>0</v>
      </c>
    </row>
    <row r="3166" spans="1:5" x14ac:dyDescent="0.35">
      <c r="A3166">
        <v>0</v>
      </c>
      <c r="B3166">
        <v>0</v>
      </c>
      <c r="C3166">
        <v>0</v>
      </c>
      <c r="D3166">
        <v>0</v>
      </c>
      <c r="E3166">
        <v>0</v>
      </c>
    </row>
    <row r="3167" spans="1:5" x14ac:dyDescent="0.35">
      <c r="A3167">
        <v>0</v>
      </c>
      <c r="B3167">
        <v>0</v>
      </c>
      <c r="C3167">
        <v>0</v>
      </c>
      <c r="D3167">
        <v>0</v>
      </c>
      <c r="E3167">
        <v>0</v>
      </c>
    </row>
    <row r="3168" spans="1:5" x14ac:dyDescent="0.35">
      <c r="A3168">
        <v>0</v>
      </c>
      <c r="B3168">
        <v>0</v>
      </c>
      <c r="C3168">
        <v>0</v>
      </c>
      <c r="D3168">
        <v>0</v>
      </c>
      <c r="E3168">
        <v>0</v>
      </c>
    </row>
    <row r="3169" spans="1:5" x14ac:dyDescent="0.35">
      <c r="A3169">
        <v>0</v>
      </c>
      <c r="B3169">
        <v>0</v>
      </c>
      <c r="C3169">
        <v>0</v>
      </c>
      <c r="D3169">
        <v>0</v>
      </c>
      <c r="E3169">
        <v>0</v>
      </c>
    </row>
    <row r="3170" spans="1:5" x14ac:dyDescent="0.35">
      <c r="A3170">
        <v>0</v>
      </c>
      <c r="B3170">
        <v>0</v>
      </c>
      <c r="C3170">
        <v>0</v>
      </c>
      <c r="D3170">
        <v>0</v>
      </c>
      <c r="E3170">
        <v>0</v>
      </c>
    </row>
    <row r="3171" spans="1:5" x14ac:dyDescent="0.35">
      <c r="A3171">
        <v>0</v>
      </c>
      <c r="B3171">
        <v>0</v>
      </c>
      <c r="C3171">
        <v>0</v>
      </c>
      <c r="D3171">
        <v>0</v>
      </c>
      <c r="E3171">
        <v>0</v>
      </c>
    </row>
    <row r="3172" spans="1:5" x14ac:dyDescent="0.35">
      <c r="A3172">
        <v>0</v>
      </c>
      <c r="B3172">
        <v>0</v>
      </c>
      <c r="C3172">
        <v>0</v>
      </c>
      <c r="D3172">
        <v>0</v>
      </c>
      <c r="E3172">
        <v>0</v>
      </c>
    </row>
    <row r="3173" spans="1:5" x14ac:dyDescent="0.35">
      <c r="A3173">
        <v>0</v>
      </c>
      <c r="B3173">
        <v>0</v>
      </c>
      <c r="C3173">
        <v>0</v>
      </c>
      <c r="D3173">
        <v>0</v>
      </c>
      <c r="E3173">
        <v>0</v>
      </c>
    </row>
    <row r="3174" spans="1:5" x14ac:dyDescent="0.35">
      <c r="A3174">
        <v>0</v>
      </c>
      <c r="B3174">
        <v>0</v>
      </c>
      <c r="C3174">
        <v>0</v>
      </c>
      <c r="D3174">
        <v>0</v>
      </c>
      <c r="E3174">
        <v>0</v>
      </c>
    </row>
    <row r="3175" spans="1:5" x14ac:dyDescent="0.35">
      <c r="A3175">
        <v>0</v>
      </c>
      <c r="B3175">
        <v>0</v>
      </c>
      <c r="C3175">
        <v>0</v>
      </c>
      <c r="D3175">
        <v>0</v>
      </c>
      <c r="E3175">
        <v>0</v>
      </c>
    </row>
    <row r="3176" spans="1:5" x14ac:dyDescent="0.35">
      <c r="A3176">
        <v>0</v>
      </c>
      <c r="B3176">
        <v>0</v>
      </c>
      <c r="C3176">
        <v>0</v>
      </c>
      <c r="D3176">
        <v>0</v>
      </c>
      <c r="E3176">
        <v>0</v>
      </c>
    </row>
    <row r="3177" spans="1:5" x14ac:dyDescent="0.35">
      <c r="A3177">
        <v>0</v>
      </c>
      <c r="B3177">
        <v>0</v>
      </c>
      <c r="C3177">
        <v>0</v>
      </c>
      <c r="D3177">
        <v>0</v>
      </c>
      <c r="E3177">
        <v>0</v>
      </c>
    </row>
    <row r="3178" spans="1:5" x14ac:dyDescent="0.35">
      <c r="A3178">
        <v>0</v>
      </c>
      <c r="B3178">
        <v>0</v>
      </c>
      <c r="C3178">
        <v>0</v>
      </c>
      <c r="D3178">
        <v>0</v>
      </c>
      <c r="E3178">
        <v>0</v>
      </c>
    </row>
    <row r="3179" spans="1:5" x14ac:dyDescent="0.35">
      <c r="A3179">
        <v>0</v>
      </c>
      <c r="B3179">
        <v>0</v>
      </c>
      <c r="C3179">
        <v>0</v>
      </c>
      <c r="D3179">
        <v>0</v>
      </c>
      <c r="E3179">
        <v>0</v>
      </c>
    </row>
    <row r="3180" spans="1:5" x14ac:dyDescent="0.35">
      <c r="A3180">
        <v>0</v>
      </c>
      <c r="B3180">
        <v>0</v>
      </c>
      <c r="C3180">
        <v>0</v>
      </c>
      <c r="D3180">
        <v>0</v>
      </c>
      <c r="E3180">
        <v>0</v>
      </c>
    </row>
    <row r="3181" spans="1:5" x14ac:dyDescent="0.35">
      <c r="A3181">
        <v>0</v>
      </c>
      <c r="B3181">
        <v>0</v>
      </c>
      <c r="C3181">
        <v>0</v>
      </c>
      <c r="D3181">
        <v>0</v>
      </c>
      <c r="E3181">
        <v>0</v>
      </c>
    </row>
    <row r="3182" spans="1:5" x14ac:dyDescent="0.35">
      <c r="A3182">
        <v>0</v>
      </c>
      <c r="B3182">
        <v>0</v>
      </c>
      <c r="C3182">
        <v>0</v>
      </c>
      <c r="D3182">
        <v>0</v>
      </c>
      <c r="E3182">
        <v>0</v>
      </c>
    </row>
    <row r="3183" spans="1:5" x14ac:dyDescent="0.35">
      <c r="A3183">
        <v>0</v>
      </c>
      <c r="B3183">
        <v>0</v>
      </c>
      <c r="C3183">
        <v>0</v>
      </c>
      <c r="D3183">
        <v>0</v>
      </c>
      <c r="E3183">
        <v>0</v>
      </c>
    </row>
    <row r="3184" spans="1:5" x14ac:dyDescent="0.35">
      <c r="A3184">
        <v>0</v>
      </c>
      <c r="B3184">
        <v>0</v>
      </c>
      <c r="C3184">
        <v>0</v>
      </c>
      <c r="D3184">
        <v>0</v>
      </c>
      <c r="E3184">
        <v>0</v>
      </c>
    </row>
    <row r="3185" spans="1:5" x14ac:dyDescent="0.35">
      <c r="A3185">
        <v>0</v>
      </c>
      <c r="B3185">
        <v>0</v>
      </c>
      <c r="C3185">
        <v>0</v>
      </c>
      <c r="D3185">
        <v>0</v>
      </c>
      <c r="E3185">
        <v>0</v>
      </c>
    </row>
    <row r="3186" spans="1:5" x14ac:dyDescent="0.35">
      <c r="A3186">
        <v>0</v>
      </c>
      <c r="B3186">
        <v>0</v>
      </c>
      <c r="C3186">
        <v>0</v>
      </c>
      <c r="D3186">
        <v>0</v>
      </c>
      <c r="E3186">
        <v>0</v>
      </c>
    </row>
    <row r="3187" spans="1:5" x14ac:dyDescent="0.35">
      <c r="A3187">
        <v>0</v>
      </c>
      <c r="B3187">
        <v>0</v>
      </c>
      <c r="C3187">
        <v>0</v>
      </c>
      <c r="D3187">
        <v>0</v>
      </c>
      <c r="E3187">
        <v>0</v>
      </c>
    </row>
    <row r="3188" spans="1:5" x14ac:dyDescent="0.35">
      <c r="A3188">
        <v>0</v>
      </c>
      <c r="B3188">
        <v>0</v>
      </c>
      <c r="C3188">
        <v>0</v>
      </c>
      <c r="D3188">
        <v>0</v>
      </c>
      <c r="E3188">
        <v>0</v>
      </c>
    </row>
    <row r="3189" spans="1:5" x14ac:dyDescent="0.35">
      <c r="A3189">
        <v>0</v>
      </c>
      <c r="B3189">
        <v>0</v>
      </c>
      <c r="C3189">
        <v>0</v>
      </c>
      <c r="D3189">
        <v>0</v>
      </c>
      <c r="E3189">
        <v>0</v>
      </c>
    </row>
    <row r="3190" spans="1:5" x14ac:dyDescent="0.35">
      <c r="A3190">
        <v>0</v>
      </c>
      <c r="B3190">
        <v>0</v>
      </c>
      <c r="C3190">
        <v>0</v>
      </c>
      <c r="D3190">
        <v>0</v>
      </c>
      <c r="E3190">
        <v>0</v>
      </c>
    </row>
    <row r="3191" spans="1:5" x14ac:dyDescent="0.35">
      <c r="A3191">
        <v>0</v>
      </c>
      <c r="B3191">
        <v>0</v>
      </c>
      <c r="C3191">
        <v>0</v>
      </c>
      <c r="D3191">
        <v>0</v>
      </c>
      <c r="E3191">
        <v>0</v>
      </c>
    </row>
    <row r="3192" spans="1:5" x14ac:dyDescent="0.35">
      <c r="A3192">
        <v>0</v>
      </c>
      <c r="B3192">
        <v>0</v>
      </c>
      <c r="C3192">
        <v>0</v>
      </c>
      <c r="D3192">
        <v>0</v>
      </c>
      <c r="E3192">
        <v>0</v>
      </c>
    </row>
    <row r="3193" spans="1:5" x14ac:dyDescent="0.35">
      <c r="A3193">
        <v>0</v>
      </c>
      <c r="B3193">
        <v>0</v>
      </c>
      <c r="C3193">
        <v>0</v>
      </c>
      <c r="D3193">
        <v>0</v>
      </c>
      <c r="E3193">
        <v>0</v>
      </c>
    </row>
    <row r="3194" spans="1:5" x14ac:dyDescent="0.35">
      <c r="A3194">
        <v>0</v>
      </c>
      <c r="B3194">
        <v>0</v>
      </c>
      <c r="C3194">
        <v>0</v>
      </c>
      <c r="D3194">
        <v>0</v>
      </c>
      <c r="E3194">
        <v>0</v>
      </c>
    </row>
    <row r="3195" spans="1:5" x14ac:dyDescent="0.35">
      <c r="A3195">
        <v>0</v>
      </c>
      <c r="B3195">
        <v>0</v>
      </c>
      <c r="C3195">
        <v>0</v>
      </c>
      <c r="D3195">
        <v>0</v>
      </c>
      <c r="E3195">
        <v>0</v>
      </c>
    </row>
    <row r="3196" spans="1:5" x14ac:dyDescent="0.35">
      <c r="A3196">
        <v>0</v>
      </c>
      <c r="B3196">
        <v>0</v>
      </c>
      <c r="C3196">
        <v>0</v>
      </c>
      <c r="D3196">
        <v>0</v>
      </c>
      <c r="E3196">
        <v>0</v>
      </c>
    </row>
    <row r="3197" spans="1:5" x14ac:dyDescent="0.35">
      <c r="A3197">
        <v>0</v>
      </c>
      <c r="B3197">
        <v>0</v>
      </c>
      <c r="C3197">
        <v>0</v>
      </c>
      <c r="D3197">
        <v>0</v>
      </c>
      <c r="E3197">
        <v>0</v>
      </c>
    </row>
    <row r="3198" spans="1:5" x14ac:dyDescent="0.35">
      <c r="A3198">
        <v>0</v>
      </c>
      <c r="B3198">
        <v>0</v>
      </c>
      <c r="C3198">
        <v>0</v>
      </c>
      <c r="D3198">
        <v>0</v>
      </c>
      <c r="E3198">
        <v>0</v>
      </c>
    </row>
    <row r="3199" spans="1:5" x14ac:dyDescent="0.35">
      <c r="A3199">
        <v>0</v>
      </c>
      <c r="B3199">
        <v>0</v>
      </c>
      <c r="C3199">
        <v>0</v>
      </c>
      <c r="D3199">
        <v>0</v>
      </c>
      <c r="E3199">
        <v>0</v>
      </c>
    </row>
    <row r="3200" spans="1:5" x14ac:dyDescent="0.35">
      <c r="A3200">
        <v>0</v>
      </c>
      <c r="B3200">
        <v>0</v>
      </c>
      <c r="C3200">
        <v>0</v>
      </c>
      <c r="D3200">
        <v>0</v>
      </c>
      <c r="E3200">
        <v>0</v>
      </c>
    </row>
    <row r="3201" spans="1:5" x14ac:dyDescent="0.35">
      <c r="A3201">
        <v>0</v>
      </c>
      <c r="B3201">
        <v>0</v>
      </c>
      <c r="C3201">
        <v>0</v>
      </c>
      <c r="D3201">
        <v>0</v>
      </c>
      <c r="E3201">
        <v>0</v>
      </c>
    </row>
    <row r="3202" spans="1:5" x14ac:dyDescent="0.35">
      <c r="A3202">
        <v>0</v>
      </c>
      <c r="B3202">
        <v>0</v>
      </c>
      <c r="C3202">
        <v>0</v>
      </c>
      <c r="D3202">
        <v>0</v>
      </c>
      <c r="E3202">
        <v>0</v>
      </c>
    </row>
    <row r="3203" spans="1:5" x14ac:dyDescent="0.35">
      <c r="A3203">
        <v>0</v>
      </c>
      <c r="B3203">
        <v>0</v>
      </c>
      <c r="C3203">
        <v>0</v>
      </c>
      <c r="D3203">
        <v>0</v>
      </c>
      <c r="E3203">
        <v>0</v>
      </c>
    </row>
    <row r="3204" spans="1:5" x14ac:dyDescent="0.35">
      <c r="A3204">
        <v>0</v>
      </c>
      <c r="B3204">
        <v>0</v>
      </c>
      <c r="C3204">
        <v>0</v>
      </c>
      <c r="D3204">
        <v>0</v>
      </c>
      <c r="E3204">
        <v>0</v>
      </c>
    </row>
    <row r="3205" spans="1:5" x14ac:dyDescent="0.35">
      <c r="A3205">
        <v>0</v>
      </c>
      <c r="B3205">
        <v>0</v>
      </c>
      <c r="C3205">
        <v>0</v>
      </c>
      <c r="D3205">
        <v>0</v>
      </c>
      <c r="E3205">
        <v>0</v>
      </c>
    </row>
    <row r="3206" spans="1:5" x14ac:dyDescent="0.35">
      <c r="A3206">
        <v>0</v>
      </c>
      <c r="B3206">
        <v>0</v>
      </c>
      <c r="C3206">
        <v>0</v>
      </c>
      <c r="D3206">
        <v>0</v>
      </c>
      <c r="E3206">
        <v>0</v>
      </c>
    </row>
    <row r="3207" spans="1:5" x14ac:dyDescent="0.35">
      <c r="A3207">
        <v>0</v>
      </c>
      <c r="B3207">
        <v>0</v>
      </c>
      <c r="C3207">
        <v>0</v>
      </c>
      <c r="D3207">
        <v>0</v>
      </c>
      <c r="E3207">
        <v>0</v>
      </c>
    </row>
    <row r="3208" spans="1:5" x14ac:dyDescent="0.35">
      <c r="A3208">
        <v>0</v>
      </c>
      <c r="B3208">
        <v>0</v>
      </c>
      <c r="C3208">
        <v>0</v>
      </c>
      <c r="D3208">
        <v>0</v>
      </c>
      <c r="E3208">
        <v>0</v>
      </c>
    </row>
    <row r="3209" spans="1:5" x14ac:dyDescent="0.35">
      <c r="A3209">
        <v>0</v>
      </c>
      <c r="B3209">
        <v>0</v>
      </c>
      <c r="C3209">
        <v>0</v>
      </c>
      <c r="D3209">
        <v>0</v>
      </c>
      <c r="E3209">
        <v>0</v>
      </c>
    </row>
    <row r="3210" spans="1:5" x14ac:dyDescent="0.35">
      <c r="A3210">
        <v>0</v>
      </c>
      <c r="B3210">
        <v>0</v>
      </c>
      <c r="C3210">
        <v>0</v>
      </c>
      <c r="D3210">
        <v>0</v>
      </c>
      <c r="E3210">
        <v>0</v>
      </c>
    </row>
    <row r="3211" spans="1:5" x14ac:dyDescent="0.35">
      <c r="A3211">
        <v>0</v>
      </c>
      <c r="B3211">
        <v>0</v>
      </c>
      <c r="C3211">
        <v>0</v>
      </c>
      <c r="D3211">
        <v>0</v>
      </c>
      <c r="E3211">
        <v>0</v>
      </c>
    </row>
    <row r="3212" spans="1:5" x14ac:dyDescent="0.35">
      <c r="A3212">
        <v>0</v>
      </c>
      <c r="B3212">
        <v>0</v>
      </c>
      <c r="C3212">
        <v>0</v>
      </c>
      <c r="D3212">
        <v>0</v>
      </c>
      <c r="E3212">
        <v>0</v>
      </c>
    </row>
    <row r="3213" spans="1:5" x14ac:dyDescent="0.35">
      <c r="A3213">
        <v>0</v>
      </c>
      <c r="B3213">
        <v>0</v>
      </c>
      <c r="C3213">
        <v>0</v>
      </c>
      <c r="D3213">
        <v>0</v>
      </c>
      <c r="E3213">
        <v>0</v>
      </c>
    </row>
    <row r="3214" spans="1:5" x14ac:dyDescent="0.35">
      <c r="A3214">
        <v>0</v>
      </c>
      <c r="B3214">
        <v>0</v>
      </c>
      <c r="C3214">
        <v>0</v>
      </c>
      <c r="D3214">
        <v>0</v>
      </c>
      <c r="E3214">
        <v>0</v>
      </c>
    </row>
    <row r="3215" spans="1:5" x14ac:dyDescent="0.35">
      <c r="A3215">
        <v>0</v>
      </c>
      <c r="B3215">
        <v>0</v>
      </c>
      <c r="C3215">
        <v>0</v>
      </c>
      <c r="D3215">
        <v>0</v>
      </c>
      <c r="E3215">
        <v>0</v>
      </c>
    </row>
    <row r="3216" spans="1:5" x14ac:dyDescent="0.35">
      <c r="A3216">
        <v>0</v>
      </c>
      <c r="B3216">
        <v>0</v>
      </c>
      <c r="C3216">
        <v>0</v>
      </c>
      <c r="D3216">
        <v>0</v>
      </c>
      <c r="E3216">
        <v>0</v>
      </c>
    </row>
    <row r="3217" spans="1:5" x14ac:dyDescent="0.35">
      <c r="A3217">
        <v>0</v>
      </c>
      <c r="B3217">
        <v>0</v>
      </c>
      <c r="C3217">
        <v>0</v>
      </c>
      <c r="D3217">
        <v>0</v>
      </c>
      <c r="E3217">
        <v>0</v>
      </c>
    </row>
    <row r="3218" spans="1:5" x14ac:dyDescent="0.35">
      <c r="A3218">
        <v>0</v>
      </c>
      <c r="B3218">
        <v>0</v>
      </c>
      <c r="C3218">
        <v>0</v>
      </c>
      <c r="D3218">
        <v>0</v>
      </c>
      <c r="E3218">
        <v>0</v>
      </c>
    </row>
    <row r="3219" spans="1:5" x14ac:dyDescent="0.35">
      <c r="A3219">
        <v>0</v>
      </c>
      <c r="B3219">
        <v>0</v>
      </c>
      <c r="C3219">
        <v>0</v>
      </c>
      <c r="D3219">
        <v>0</v>
      </c>
      <c r="E3219">
        <v>0</v>
      </c>
    </row>
    <row r="3220" spans="1:5" x14ac:dyDescent="0.35">
      <c r="A3220">
        <v>0</v>
      </c>
      <c r="B3220">
        <v>0</v>
      </c>
      <c r="C3220">
        <v>0</v>
      </c>
      <c r="D3220">
        <v>0</v>
      </c>
      <c r="E3220">
        <v>0</v>
      </c>
    </row>
    <row r="3221" spans="1:5" x14ac:dyDescent="0.35">
      <c r="A3221">
        <v>0</v>
      </c>
      <c r="B3221">
        <v>0</v>
      </c>
      <c r="C3221">
        <v>0</v>
      </c>
      <c r="D3221">
        <v>0</v>
      </c>
      <c r="E3221">
        <v>0</v>
      </c>
    </row>
    <row r="3222" spans="1:5" x14ac:dyDescent="0.35">
      <c r="A3222">
        <v>0</v>
      </c>
      <c r="B3222">
        <v>0</v>
      </c>
      <c r="C3222">
        <v>0</v>
      </c>
      <c r="D3222">
        <v>0</v>
      </c>
      <c r="E3222">
        <v>0</v>
      </c>
    </row>
    <row r="3223" spans="1:5" x14ac:dyDescent="0.35">
      <c r="A3223">
        <v>0</v>
      </c>
      <c r="B3223">
        <v>0</v>
      </c>
      <c r="C3223">
        <v>0</v>
      </c>
      <c r="D3223">
        <v>0</v>
      </c>
      <c r="E3223">
        <v>0</v>
      </c>
    </row>
    <row r="3224" spans="1:5" x14ac:dyDescent="0.35">
      <c r="A3224">
        <v>0</v>
      </c>
      <c r="B3224">
        <v>0</v>
      </c>
      <c r="C3224">
        <v>0</v>
      </c>
      <c r="D3224">
        <v>0</v>
      </c>
      <c r="E3224">
        <v>0</v>
      </c>
    </row>
    <row r="3225" spans="1:5" x14ac:dyDescent="0.35">
      <c r="A3225">
        <v>0</v>
      </c>
      <c r="B3225">
        <v>0</v>
      </c>
      <c r="C3225">
        <v>0</v>
      </c>
      <c r="D3225">
        <v>0</v>
      </c>
      <c r="E3225">
        <v>0</v>
      </c>
    </row>
    <row r="3226" spans="1:5" x14ac:dyDescent="0.35">
      <c r="A3226">
        <v>0</v>
      </c>
      <c r="B3226">
        <v>0</v>
      </c>
      <c r="C3226">
        <v>0</v>
      </c>
      <c r="D3226">
        <v>0</v>
      </c>
      <c r="E3226">
        <v>0</v>
      </c>
    </row>
    <row r="3227" spans="1:5" x14ac:dyDescent="0.35">
      <c r="A3227">
        <v>0</v>
      </c>
      <c r="B3227">
        <v>0</v>
      </c>
      <c r="C3227">
        <v>0</v>
      </c>
      <c r="D3227">
        <v>0</v>
      </c>
      <c r="E3227">
        <v>0</v>
      </c>
    </row>
    <row r="3228" spans="1:5" x14ac:dyDescent="0.35">
      <c r="A3228">
        <v>0</v>
      </c>
      <c r="B3228">
        <v>0</v>
      </c>
      <c r="C3228">
        <v>0</v>
      </c>
      <c r="D3228">
        <v>0</v>
      </c>
      <c r="E3228">
        <v>0</v>
      </c>
    </row>
    <row r="3229" spans="1:5" x14ac:dyDescent="0.35">
      <c r="A3229">
        <v>0</v>
      </c>
      <c r="B3229">
        <v>0</v>
      </c>
      <c r="C3229">
        <v>0</v>
      </c>
      <c r="D3229">
        <v>0</v>
      </c>
      <c r="E3229">
        <v>0</v>
      </c>
    </row>
    <row r="3230" spans="1:5" x14ac:dyDescent="0.35">
      <c r="A3230">
        <v>0</v>
      </c>
      <c r="B3230">
        <v>0</v>
      </c>
      <c r="C3230">
        <v>0</v>
      </c>
      <c r="D3230">
        <v>0</v>
      </c>
      <c r="E3230">
        <v>0</v>
      </c>
    </row>
    <row r="3231" spans="1:5" x14ac:dyDescent="0.35">
      <c r="A3231">
        <v>0</v>
      </c>
      <c r="B3231">
        <v>0</v>
      </c>
      <c r="C3231">
        <v>0</v>
      </c>
      <c r="D3231">
        <v>0</v>
      </c>
      <c r="E3231">
        <v>0</v>
      </c>
    </row>
    <row r="3232" spans="1:5" x14ac:dyDescent="0.35">
      <c r="A3232">
        <v>0</v>
      </c>
      <c r="B3232">
        <v>0</v>
      </c>
      <c r="C3232">
        <v>0</v>
      </c>
      <c r="D3232">
        <v>0</v>
      </c>
      <c r="E3232">
        <v>0</v>
      </c>
    </row>
    <row r="3233" spans="1:5" x14ac:dyDescent="0.35">
      <c r="A3233">
        <v>0</v>
      </c>
      <c r="B3233">
        <v>0</v>
      </c>
      <c r="C3233">
        <v>0</v>
      </c>
      <c r="D3233">
        <v>0</v>
      </c>
      <c r="E3233">
        <v>0</v>
      </c>
    </row>
    <row r="3234" spans="1:5" x14ac:dyDescent="0.35">
      <c r="A3234">
        <v>0</v>
      </c>
      <c r="B3234">
        <v>0</v>
      </c>
      <c r="C3234">
        <v>0</v>
      </c>
      <c r="D3234">
        <v>0</v>
      </c>
      <c r="E3234">
        <v>0</v>
      </c>
    </row>
    <row r="3235" spans="1:5" x14ac:dyDescent="0.35">
      <c r="A3235">
        <v>0</v>
      </c>
      <c r="B3235">
        <v>0</v>
      </c>
      <c r="C3235">
        <v>0</v>
      </c>
      <c r="D3235">
        <v>0</v>
      </c>
      <c r="E3235">
        <v>0</v>
      </c>
    </row>
    <row r="3236" spans="1:5" x14ac:dyDescent="0.35">
      <c r="A3236">
        <v>0</v>
      </c>
      <c r="B3236">
        <v>0</v>
      </c>
      <c r="C3236">
        <v>0</v>
      </c>
      <c r="D3236">
        <v>0</v>
      </c>
      <c r="E3236">
        <v>0</v>
      </c>
    </row>
    <row r="3237" spans="1:5" x14ac:dyDescent="0.35">
      <c r="A3237">
        <v>0</v>
      </c>
      <c r="B3237">
        <v>0</v>
      </c>
      <c r="C3237">
        <v>0</v>
      </c>
      <c r="D3237">
        <v>0</v>
      </c>
      <c r="E3237">
        <v>0</v>
      </c>
    </row>
    <row r="3238" spans="1:5" x14ac:dyDescent="0.35">
      <c r="A3238">
        <v>0</v>
      </c>
      <c r="B3238">
        <v>0</v>
      </c>
      <c r="C3238">
        <v>0</v>
      </c>
      <c r="D3238">
        <v>0</v>
      </c>
      <c r="E3238">
        <v>0</v>
      </c>
    </row>
    <row r="3239" spans="1:5" x14ac:dyDescent="0.35">
      <c r="A3239">
        <v>0</v>
      </c>
      <c r="B3239">
        <v>0</v>
      </c>
      <c r="C3239">
        <v>0</v>
      </c>
      <c r="D3239">
        <v>0</v>
      </c>
      <c r="E3239">
        <v>0</v>
      </c>
    </row>
    <row r="3240" spans="1:5" x14ac:dyDescent="0.35">
      <c r="A3240">
        <v>0</v>
      </c>
      <c r="B3240">
        <v>0</v>
      </c>
      <c r="C3240">
        <v>0</v>
      </c>
      <c r="D3240">
        <v>0</v>
      </c>
      <c r="E3240">
        <v>0</v>
      </c>
    </row>
    <row r="3241" spans="1:5" x14ac:dyDescent="0.35">
      <c r="A3241">
        <v>0</v>
      </c>
      <c r="B3241">
        <v>0</v>
      </c>
      <c r="C3241">
        <v>0</v>
      </c>
      <c r="D3241">
        <v>0</v>
      </c>
      <c r="E3241">
        <v>0</v>
      </c>
    </row>
    <row r="3242" spans="1:5" x14ac:dyDescent="0.35">
      <c r="A3242">
        <v>0</v>
      </c>
      <c r="B3242">
        <v>0</v>
      </c>
      <c r="C3242">
        <v>0</v>
      </c>
      <c r="D3242">
        <v>0</v>
      </c>
      <c r="E3242">
        <v>0</v>
      </c>
    </row>
    <row r="3243" spans="1:5" x14ac:dyDescent="0.35">
      <c r="A3243">
        <v>0</v>
      </c>
      <c r="B3243">
        <v>0</v>
      </c>
      <c r="C3243">
        <v>0</v>
      </c>
      <c r="D3243">
        <v>0</v>
      </c>
      <c r="E3243">
        <v>0</v>
      </c>
    </row>
    <row r="3244" spans="1:5" x14ac:dyDescent="0.35">
      <c r="A3244">
        <v>0</v>
      </c>
      <c r="B3244">
        <v>0</v>
      </c>
      <c r="C3244">
        <v>0</v>
      </c>
      <c r="D3244">
        <v>0</v>
      </c>
      <c r="E3244">
        <v>0</v>
      </c>
    </row>
    <row r="3245" spans="1:5" x14ac:dyDescent="0.35">
      <c r="A3245">
        <v>0</v>
      </c>
      <c r="B3245">
        <v>0</v>
      </c>
      <c r="C3245">
        <v>0</v>
      </c>
      <c r="D3245">
        <v>0</v>
      </c>
      <c r="E3245">
        <v>0</v>
      </c>
    </row>
    <row r="3246" spans="1:5" x14ac:dyDescent="0.35">
      <c r="A3246">
        <v>0</v>
      </c>
      <c r="B3246">
        <v>0</v>
      </c>
      <c r="C3246">
        <v>0</v>
      </c>
      <c r="D3246">
        <v>0</v>
      </c>
      <c r="E3246">
        <v>0</v>
      </c>
    </row>
    <row r="3247" spans="1:5" x14ac:dyDescent="0.35">
      <c r="A3247">
        <v>0</v>
      </c>
      <c r="B3247">
        <v>0</v>
      </c>
      <c r="C3247">
        <v>0</v>
      </c>
      <c r="D3247">
        <v>0</v>
      </c>
      <c r="E3247">
        <v>0</v>
      </c>
    </row>
    <row r="3248" spans="1:5" x14ac:dyDescent="0.35">
      <c r="A3248">
        <v>0</v>
      </c>
      <c r="B3248">
        <v>0</v>
      </c>
      <c r="C3248">
        <v>0</v>
      </c>
      <c r="D3248">
        <v>0</v>
      </c>
      <c r="E3248">
        <v>0</v>
      </c>
    </row>
    <row r="3249" spans="1:5" x14ac:dyDescent="0.35">
      <c r="A3249">
        <v>0</v>
      </c>
      <c r="B3249">
        <v>0</v>
      </c>
      <c r="C3249">
        <v>0</v>
      </c>
      <c r="D3249">
        <v>0</v>
      </c>
      <c r="E3249">
        <v>0</v>
      </c>
    </row>
    <row r="3250" spans="1:5" x14ac:dyDescent="0.35">
      <c r="A3250">
        <v>0</v>
      </c>
      <c r="B3250">
        <v>0</v>
      </c>
      <c r="C3250">
        <v>0</v>
      </c>
      <c r="D3250">
        <v>0</v>
      </c>
      <c r="E3250">
        <v>0</v>
      </c>
    </row>
    <row r="3251" spans="1:5" x14ac:dyDescent="0.35">
      <c r="A3251">
        <v>0</v>
      </c>
      <c r="B3251">
        <v>0</v>
      </c>
      <c r="C3251">
        <v>0</v>
      </c>
      <c r="D3251">
        <v>0</v>
      </c>
      <c r="E3251">
        <v>0</v>
      </c>
    </row>
    <row r="3252" spans="1:5" x14ac:dyDescent="0.35">
      <c r="A3252">
        <v>0</v>
      </c>
      <c r="B3252">
        <v>0</v>
      </c>
      <c r="C3252">
        <v>0</v>
      </c>
      <c r="D3252">
        <v>0</v>
      </c>
      <c r="E3252">
        <v>0</v>
      </c>
    </row>
    <row r="3253" spans="1:5" x14ac:dyDescent="0.35">
      <c r="A3253">
        <v>0</v>
      </c>
      <c r="B3253">
        <v>0</v>
      </c>
      <c r="C3253">
        <v>0</v>
      </c>
      <c r="D3253">
        <v>0</v>
      </c>
      <c r="E3253">
        <v>0</v>
      </c>
    </row>
    <row r="3254" spans="1:5" x14ac:dyDescent="0.35">
      <c r="A3254">
        <v>0</v>
      </c>
      <c r="B3254">
        <v>0</v>
      </c>
      <c r="C3254">
        <v>0</v>
      </c>
      <c r="D3254">
        <v>0</v>
      </c>
      <c r="E3254">
        <v>0</v>
      </c>
    </row>
    <row r="3255" spans="1:5" x14ac:dyDescent="0.35">
      <c r="A3255">
        <v>0</v>
      </c>
      <c r="B3255">
        <v>0</v>
      </c>
      <c r="C3255">
        <v>0</v>
      </c>
      <c r="D3255">
        <v>0</v>
      </c>
      <c r="E3255">
        <v>0</v>
      </c>
    </row>
    <row r="3256" spans="1:5" x14ac:dyDescent="0.35">
      <c r="A3256">
        <v>0</v>
      </c>
      <c r="B3256">
        <v>0</v>
      </c>
      <c r="C3256">
        <v>0</v>
      </c>
      <c r="D3256">
        <v>0</v>
      </c>
      <c r="E3256">
        <v>0</v>
      </c>
    </row>
    <row r="3257" spans="1:5" x14ac:dyDescent="0.35">
      <c r="A3257">
        <v>0</v>
      </c>
      <c r="B3257">
        <v>0</v>
      </c>
      <c r="C3257">
        <v>0</v>
      </c>
      <c r="D3257">
        <v>0</v>
      </c>
      <c r="E3257">
        <v>0</v>
      </c>
    </row>
    <row r="3258" spans="1:5" x14ac:dyDescent="0.35">
      <c r="A3258">
        <v>0</v>
      </c>
      <c r="B3258">
        <v>0</v>
      </c>
      <c r="C3258">
        <v>0</v>
      </c>
      <c r="D3258">
        <v>0</v>
      </c>
      <c r="E3258">
        <v>0</v>
      </c>
    </row>
    <row r="3259" spans="1:5" x14ac:dyDescent="0.35">
      <c r="A3259">
        <v>0</v>
      </c>
      <c r="B3259">
        <v>0</v>
      </c>
      <c r="C3259">
        <v>0</v>
      </c>
      <c r="D3259">
        <v>0</v>
      </c>
      <c r="E3259">
        <v>0</v>
      </c>
    </row>
    <row r="3260" spans="1:5" x14ac:dyDescent="0.35">
      <c r="A3260">
        <v>0</v>
      </c>
      <c r="B3260">
        <v>0</v>
      </c>
      <c r="C3260">
        <v>0</v>
      </c>
      <c r="D3260">
        <v>0</v>
      </c>
      <c r="E3260">
        <v>0</v>
      </c>
    </row>
    <row r="3261" spans="1:5" x14ac:dyDescent="0.35">
      <c r="A3261">
        <v>0</v>
      </c>
      <c r="B3261">
        <v>0</v>
      </c>
      <c r="C3261">
        <v>0</v>
      </c>
      <c r="D3261">
        <v>0</v>
      </c>
      <c r="E3261">
        <v>0</v>
      </c>
    </row>
    <row r="3262" spans="1:5" x14ac:dyDescent="0.35">
      <c r="A3262">
        <v>0</v>
      </c>
      <c r="B3262">
        <v>0</v>
      </c>
      <c r="C3262">
        <v>0</v>
      </c>
      <c r="D3262">
        <v>0</v>
      </c>
      <c r="E3262">
        <v>0</v>
      </c>
    </row>
    <row r="3263" spans="1:5" x14ac:dyDescent="0.35">
      <c r="A3263">
        <v>0</v>
      </c>
      <c r="B3263">
        <v>0</v>
      </c>
      <c r="C3263">
        <v>0</v>
      </c>
      <c r="D3263">
        <v>0</v>
      </c>
      <c r="E3263">
        <v>0</v>
      </c>
    </row>
    <row r="3264" spans="1:5" x14ac:dyDescent="0.35">
      <c r="A3264">
        <v>0</v>
      </c>
      <c r="B3264">
        <v>0</v>
      </c>
      <c r="C3264">
        <v>0</v>
      </c>
      <c r="D3264">
        <v>0</v>
      </c>
      <c r="E3264">
        <v>0</v>
      </c>
    </row>
    <row r="3265" spans="1:5" x14ac:dyDescent="0.35">
      <c r="A3265">
        <v>0</v>
      </c>
      <c r="B3265">
        <v>0</v>
      </c>
      <c r="C3265">
        <v>0</v>
      </c>
      <c r="D3265">
        <v>0</v>
      </c>
      <c r="E3265">
        <v>0</v>
      </c>
    </row>
    <row r="3266" spans="1:5" x14ac:dyDescent="0.35">
      <c r="A3266">
        <v>0</v>
      </c>
      <c r="B3266">
        <v>0</v>
      </c>
      <c r="C3266">
        <v>0</v>
      </c>
      <c r="D3266">
        <v>0</v>
      </c>
      <c r="E3266">
        <v>0</v>
      </c>
    </row>
    <row r="3267" spans="1:5" x14ac:dyDescent="0.35">
      <c r="A3267">
        <v>0</v>
      </c>
      <c r="B3267">
        <v>0</v>
      </c>
      <c r="C3267">
        <v>0</v>
      </c>
      <c r="D3267">
        <v>0</v>
      </c>
      <c r="E3267">
        <v>0</v>
      </c>
    </row>
    <row r="3268" spans="1:5" x14ac:dyDescent="0.35">
      <c r="A3268">
        <v>0</v>
      </c>
      <c r="B3268">
        <v>0</v>
      </c>
      <c r="C3268">
        <v>0</v>
      </c>
      <c r="D3268">
        <v>0</v>
      </c>
      <c r="E3268">
        <v>0</v>
      </c>
    </row>
    <row r="3269" spans="1:5" x14ac:dyDescent="0.35">
      <c r="A3269">
        <v>0</v>
      </c>
      <c r="B3269">
        <v>0</v>
      </c>
      <c r="C3269">
        <v>0</v>
      </c>
      <c r="D3269">
        <v>0</v>
      </c>
      <c r="E3269">
        <v>0</v>
      </c>
    </row>
    <row r="3270" spans="1:5" x14ac:dyDescent="0.35">
      <c r="A3270">
        <v>0</v>
      </c>
      <c r="B3270">
        <v>0</v>
      </c>
      <c r="C3270">
        <v>0</v>
      </c>
      <c r="D3270">
        <v>0</v>
      </c>
      <c r="E3270">
        <v>0</v>
      </c>
    </row>
    <row r="3271" spans="1:5" x14ac:dyDescent="0.35">
      <c r="A3271">
        <v>0</v>
      </c>
      <c r="B3271">
        <v>0</v>
      </c>
      <c r="C3271">
        <v>0</v>
      </c>
      <c r="D3271">
        <v>0</v>
      </c>
      <c r="E3271">
        <v>0</v>
      </c>
    </row>
    <row r="3272" spans="1:5" x14ac:dyDescent="0.35">
      <c r="A3272">
        <v>0</v>
      </c>
      <c r="B3272">
        <v>0</v>
      </c>
      <c r="C3272">
        <v>0</v>
      </c>
      <c r="D3272">
        <v>0</v>
      </c>
      <c r="E3272">
        <v>0</v>
      </c>
    </row>
    <row r="3273" spans="1:5" x14ac:dyDescent="0.35">
      <c r="A3273">
        <v>0</v>
      </c>
      <c r="B3273">
        <v>0</v>
      </c>
      <c r="C3273">
        <v>0</v>
      </c>
      <c r="D3273">
        <v>0</v>
      </c>
      <c r="E3273">
        <v>0</v>
      </c>
    </row>
    <row r="3274" spans="1:5" x14ac:dyDescent="0.35">
      <c r="A3274">
        <v>0</v>
      </c>
      <c r="B3274">
        <v>0</v>
      </c>
      <c r="C3274">
        <v>0</v>
      </c>
      <c r="D3274">
        <v>0</v>
      </c>
      <c r="E3274">
        <v>0</v>
      </c>
    </row>
    <row r="3275" spans="1:5" x14ac:dyDescent="0.35">
      <c r="A3275">
        <v>0</v>
      </c>
      <c r="B3275">
        <v>0</v>
      </c>
      <c r="C3275">
        <v>0</v>
      </c>
      <c r="D3275">
        <v>0</v>
      </c>
      <c r="E3275">
        <v>0</v>
      </c>
    </row>
    <row r="3276" spans="1:5" x14ac:dyDescent="0.35">
      <c r="A3276">
        <v>0</v>
      </c>
      <c r="B3276">
        <v>0</v>
      </c>
      <c r="C3276">
        <v>0</v>
      </c>
      <c r="D3276">
        <v>0</v>
      </c>
      <c r="E3276">
        <v>0</v>
      </c>
    </row>
    <row r="3277" spans="1:5" x14ac:dyDescent="0.35">
      <c r="A3277">
        <v>0</v>
      </c>
      <c r="B3277">
        <v>0</v>
      </c>
      <c r="C3277">
        <v>0</v>
      </c>
      <c r="D3277">
        <v>0</v>
      </c>
      <c r="E3277">
        <v>0</v>
      </c>
    </row>
    <row r="3278" spans="1:5" x14ac:dyDescent="0.35">
      <c r="A3278">
        <v>0</v>
      </c>
      <c r="B3278">
        <v>0</v>
      </c>
      <c r="C3278">
        <v>0</v>
      </c>
      <c r="D3278">
        <v>0</v>
      </c>
      <c r="E3278">
        <v>0</v>
      </c>
    </row>
    <row r="3279" spans="1:5" x14ac:dyDescent="0.35">
      <c r="A3279">
        <v>0</v>
      </c>
      <c r="B3279">
        <v>0</v>
      </c>
      <c r="C3279">
        <v>0</v>
      </c>
      <c r="D3279">
        <v>0</v>
      </c>
      <c r="E3279">
        <v>0</v>
      </c>
    </row>
    <row r="3280" spans="1:5" x14ac:dyDescent="0.35">
      <c r="A3280">
        <v>0</v>
      </c>
      <c r="B3280">
        <v>0</v>
      </c>
      <c r="C3280">
        <v>0</v>
      </c>
      <c r="D3280">
        <v>0</v>
      </c>
      <c r="E3280">
        <v>0</v>
      </c>
    </row>
    <row r="3281" spans="1:5" x14ac:dyDescent="0.35">
      <c r="A3281">
        <v>0</v>
      </c>
      <c r="B3281">
        <v>0</v>
      </c>
      <c r="C3281">
        <v>0</v>
      </c>
      <c r="D3281">
        <v>0</v>
      </c>
      <c r="E3281">
        <v>0</v>
      </c>
    </row>
    <row r="3282" spans="1:5" x14ac:dyDescent="0.35">
      <c r="A3282">
        <v>0</v>
      </c>
      <c r="B3282">
        <v>0</v>
      </c>
      <c r="C3282">
        <v>0</v>
      </c>
      <c r="D3282">
        <v>0</v>
      </c>
      <c r="E3282">
        <v>0</v>
      </c>
    </row>
    <row r="3283" spans="1:5" x14ac:dyDescent="0.35">
      <c r="A3283">
        <v>0</v>
      </c>
      <c r="B3283">
        <v>0</v>
      </c>
      <c r="C3283">
        <v>0</v>
      </c>
      <c r="D3283">
        <v>0</v>
      </c>
      <c r="E3283">
        <v>0</v>
      </c>
    </row>
    <row r="3284" spans="1:5" x14ac:dyDescent="0.35">
      <c r="A3284">
        <v>0</v>
      </c>
      <c r="B3284">
        <v>0</v>
      </c>
      <c r="C3284">
        <v>0</v>
      </c>
      <c r="D3284">
        <v>0</v>
      </c>
      <c r="E3284">
        <v>0</v>
      </c>
    </row>
    <row r="3285" spans="1:5" x14ac:dyDescent="0.35">
      <c r="A3285">
        <v>0</v>
      </c>
      <c r="B3285">
        <v>0</v>
      </c>
      <c r="C3285">
        <v>0</v>
      </c>
      <c r="D3285">
        <v>0</v>
      </c>
      <c r="E3285">
        <v>0</v>
      </c>
    </row>
    <row r="3286" spans="1:5" x14ac:dyDescent="0.35">
      <c r="A3286">
        <v>0</v>
      </c>
      <c r="B3286">
        <v>0</v>
      </c>
      <c r="C3286">
        <v>0</v>
      </c>
      <c r="D3286">
        <v>0</v>
      </c>
      <c r="E3286">
        <v>0</v>
      </c>
    </row>
    <row r="3287" spans="1:5" x14ac:dyDescent="0.35">
      <c r="A3287">
        <v>0</v>
      </c>
      <c r="B3287">
        <v>0</v>
      </c>
      <c r="C3287">
        <v>0</v>
      </c>
      <c r="D3287">
        <v>0</v>
      </c>
      <c r="E3287">
        <v>0</v>
      </c>
    </row>
    <row r="3288" spans="1:5" x14ac:dyDescent="0.35">
      <c r="A3288">
        <v>0</v>
      </c>
      <c r="B3288">
        <v>0</v>
      </c>
      <c r="C3288">
        <v>0</v>
      </c>
      <c r="D3288">
        <v>0</v>
      </c>
      <c r="E3288">
        <v>0</v>
      </c>
    </row>
    <row r="3289" spans="1:5" x14ac:dyDescent="0.35">
      <c r="A3289">
        <v>0</v>
      </c>
      <c r="B3289">
        <v>0</v>
      </c>
      <c r="C3289">
        <v>0</v>
      </c>
      <c r="D3289">
        <v>0</v>
      </c>
      <c r="E3289">
        <v>0</v>
      </c>
    </row>
    <row r="3290" spans="1:5" x14ac:dyDescent="0.35">
      <c r="A3290">
        <v>0</v>
      </c>
      <c r="B3290">
        <v>0</v>
      </c>
      <c r="C3290">
        <v>0</v>
      </c>
      <c r="D3290">
        <v>0</v>
      </c>
      <c r="E3290">
        <v>0</v>
      </c>
    </row>
    <row r="3291" spans="1:5" x14ac:dyDescent="0.35">
      <c r="A3291">
        <v>0</v>
      </c>
      <c r="B3291">
        <v>0</v>
      </c>
      <c r="C3291">
        <v>0</v>
      </c>
      <c r="D3291">
        <v>0</v>
      </c>
      <c r="E3291">
        <v>0</v>
      </c>
    </row>
    <row r="3292" spans="1:5" x14ac:dyDescent="0.35">
      <c r="A3292">
        <v>0</v>
      </c>
      <c r="B3292">
        <v>0</v>
      </c>
      <c r="C3292">
        <v>0</v>
      </c>
      <c r="D3292">
        <v>0</v>
      </c>
      <c r="E3292">
        <v>0</v>
      </c>
    </row>
    <row r="3293" spans="1:5" x14ac:dyDescent="0.35">
      <c r="A3293">
        <v>0</v>
      </c>
      <c r="B3293">
        <v>0</v>
      </c>
      <c r="C3293">
        <v>0</v>
      </c>
      <c r="D3293">
        <v>0</v>
      </c>
      <c r="E3293">
        <v>0</v>
      </c>
    </row>
    <row r="3294" spans="1:5" x14ac:dyDescent="0.35">
      <c r="A3294">
        <v>0</v>
      </c>
      <c r="B3294">
        <v>0</v>
      </c>
      <c r="C3294">
        <v>0</v>
      </c>
      <c r="D3294">
        <v>0</v>
      </c>
      <c r="E3294">
        <v>0</v>
      </c>
    </row>
    <row r="3295" spans="1:5" x14ac:dyDescent="0.35">
      <c r="A3295">
        <v>0</v>
      </c>
      <c r="B3295">
        <v>0</v>
      </c>
      <c r="C3295">
        <v>0</v>
      </c>
      <c r="D3295">
        <v>0</v>
      </c>
      <c r="E3295">
        <v>0</v>
      </c>
    </row>
    <row r="3296" spans="1:5" x14ac:dyDescent="0.35">
      <c r="A3296">
        <v>0</v>
      </c>
      <c r="B3296">
        <v>0</v>
      </c>
      <c r="C3296">
        <v>0</v>
      </c>
      <c r="D3296">
        <v>0</v>
      </c>
      <c r="E3296">
        <v>0</v>
      </c>
    </row>
    <row r="3297" spans="1:5" x14ac:dyDescent="0.35">
      <c r="A3297">
        <v>0</v>
      </c>
      <c r="B3297">
        <v>0</v>
      </c>
      <c r="C3297">
        <v>0</v>
      </c>
      <c r="D3297">
        <v>0</v>
      </c>
      <c r="E3297">
        <v>0</v>
      </c>
    </row>
    <row r="3298" spans="1:5" x14ac:dyDescent="0.35">
      <c r="A3298">
        <v>0</v>
      </c>
      <c r="B3298">
        <v>0</v>
      </c>
      <c r="C3298">
        <v>0</v>
      </c>
      <c r="D3298">
        <v>0</v>
      </c>
      <c r="E3298">
        <v>0</v>
      </c>
    </row>
    <row r="3299" spans="1:5" x14ac:dyDescent="0.35">
      <c r="A3299">
        <v>0</v>
      </c>
      <c r="B3299">
        <v>0</v>
      </c>
      <c r="C3299">
        <v>0</v>
      </c>
      <c r="D3299">
        <v>0</v>
      </c>
      <c r="E3299">
        <v>0</v>
      </c>
    </row>
    <row r="3300" spans="1:5" x14ac:dyDescent="0.35">
      <c r="A3300">
        <v>0</v>
      </c>
      <c r="B3300">
        <v>0</v>
      </c>
      <c r="C3300">
        <v>0</v>
      </c>
      <c r="D3300">
        <v>0</v>
      </c>
      <c r="E3300">
        <v>0</v>
      </c>
    </row>
    <row r="3301" spans="1:5" x14ac:dyDescent="0.35">
      <c r="A3301">
        <v>0</v>
      </c>
      <c r="B3301">
        <v>0</v>
      </c>
      <c r="C3301">
        <v>0</v>
      </c>
      <c r="D3301">
        <v>0</v>
      </c>
      <c r="E3301">
        <v>0</v>
      </c>
    </row>
    <row r="3302" spans="1:5" x14ac:dyDescent="0.35">
      <c r="A3302">
        <v>0</v>
      </c>
      <c r="B3302">
        <v>0</v>
      </c>
      <c r="C3302">
        <v>0</v>
      </c>
      <c r="D3302">
        <v>0</v>
      </c>
      <c r="E3302">
        <v>0</v>
      </c>
    </row>
    <row r="3303" spans="1:5" x14ac:dyDescent="0.35">
      <c r="A3303">
        <v>0</v>
      </c>
      <c r="B3303">
        <v>0</v>
      </c>
      <c r="C3303">
        <v>0</v>
      </c>
      <c r="D3303">
        <v>0</v>
      </c>
      <c r="E3303">
        <v>0</v>
      </c>
    </row>
    <row r="3304" spans="1:5" x14ac:dyDescent="0.35">
      <c r="A3304">
        <v>0</v>
      </c>
      <c r="B3304">
        <v>0</v>
      </c>
      <c r="C3304">
        <v>0</v>
      </c>
      <c r="D3304">
        <v>0</v>
      </c>
      <c r="E3304">
        <v>0</v>
      </c>
    </row>
    <row r="3305" spans="1:5" x14ac:dyDescent="0.35">
      <c r="A3305">
        <v>0</v>
      </c>
      <c r="B3305">
        <v>0</v>
      </c>
      <c r="C3305">
        <v>0</v>
      </c>
      <c r="D3305">
        <v>0</v>
      </c>
      <c r="E3305">
        <v>0</v>
      </c>
    </row>
    <row r="3306" spans="1:5" x14ac:dyDescent="0.35">
      <c r="A3306">
        <v>0</v>
      </c>
      <c r="B3306">
        <v>0</v>
      </c>
      <c r="C3306">
        <v>0</v>
      </c>
      <c r="D3306">
        <v>0</v>
      </c>
      <c r="E3306">
        <v>0</v>
      </c>
    </row>
    <row r="3307" spans="1:5" x14ac:dyDescent="0.35">
      <c r="A3307">
        <v>0</v>
      </c>
      <c r="B3307">
        <v>0</v>
      </c>
      <c r="C3307">
        <v>0</v>
      </c>
      <c r="D3307">
        <v>0</v>
      </c>
      <c r="E3307">
        <v>0</v>
      </c>
    </row>
    <row r="3308" spans="1:5" x14ac:dyDescent="0.35">
      <c r="A3308">
        <v>0</v>
      </c>
      <c r="B3308">
        <v>0</v>
      </c>
      <c r="C3308">
        <v>0</v>
      </c>
      <c r="D3308">
        <v>0</v>
      </c>
      <c r="E3308">
        <v>0</v>
      </c>
    </row>
    <row r="3309" spans="1:5" x14ac:dyDescent="0.35">
      <c r="A3309">
        <v>0</v>
      </c>
      <c r="B3309">
        <v>0</v>
      </c>
      <c r="C3309">
        <v>0</v>
      </c>
      <c r="D3309">
        <v>0</v>
      </c>
      <c r="E3309">
        <v>0</v>
      </c>
    </row>
    <row r="3310" spans="1:5" x14ac:dyDescent="0.35">
      <c r="A3310">
        <v>0</v>
      </c>
      <c r="B3310">
        <v>0</v>
      </c>
      <c r="C3310">
        <v>0</v>
      </c>
      <c r="D3310">
        <v>0</v>
      </c>
      <c r="E3310">
        <v>0</v>
      </c>
    </row>
    <row r="3311" spans="1:5" x14ac:dyDescent="0.35">
      <c r="A3311">
        <v>0</v>
      </c>
      <c r="B3311">
        <v>0</v>
      </c>
      <c r="C3311">
        <v>0</v>
      </c>
      <c r="D3311">
        <v>0</v>
      </c>
      <c r="E3311">
        <v>0</v>
      </c>
    </row>
    <row r="3312" spans="1:5" x14ac:dyDescent="0.35">
      <c r="A3312">
        <v>0</v>
      </c>
      <c r="B3312">
        <v>0</v>
      </c>
      <c r="C3312">
        <v>0</v>
      </c>
      <c r="D3312">
        <v>0</v>
      </c>
      <c r="E3312">
        <v>0</v>
      </c>
    </row>
    <row r="3313" spans="1:5" x14ac:dyDescent="0.35">
      <c r="A3313">
        <v>0</v>
      </c>
      <c r="B3313">
        <v>0</v>
      </c>
      <c r="C3313">
        <v>0</v>
      </c>
      <c r="D3313">
        <v>0</v>
      </c>
      <c r="E3313">
        <v>0</v>
      </c>
    </row>
    <row r="3314" spans="1:5" x14ac:dyDescent="0.35">
      <c r="A3314">
        <v>0</v>
      </c>
      <c r="B3314">
        <v>0</v>
      </c>
      <c r="C3314">
        <v>0</v>
      </c>
      <c r="D3314">
        <v>0</v>
      </c>
      <c r="E3314">
        <v>0</v>
      </c>
    </row>
    <row r="3315" spans="1:5" x14ac:dyDescent="0.35">
      <c r="A3315">
        <v>0</v>
      </c>
      <c r="B3315">
        <v>0</v>
      </c>
      <c r="C3315">
        <v>0</v>
      </c>
      <c r="D3315">
        <v>0</v>
      </c>
      <c r="E3315">
        <v>0</v>
      </c>
    </row>
    <row r="3316" spans="1:5" x14ac:dyDescent="0.35">
      <c r="A3316">
        <v>0</v>
      </c>
      <c r="B3316">
        <v>0</v>
      </c>
      <c r="C3316">
        <v>0</v>
      </c>
      <c r="D3316">
        <v>0</v>
      </c>
      <c r="E3316">
        <v>0</v>
      </c>
    </row>
    <row r="3317" spans="1:5" x14ac:dyDescent="0.35">
      <c r="A3317">
        <v>0</v>
      </c>
      <c r="B3317">
        <v>0</v>
      </c>
      <c r="C3317">
        <v>0</v>
      </c>
      <c r="D3317">
        <v>0</v>
      </c>
      <c r="E3317">
        <v>0</v>
      </c>
    </row>
    <row r="3318" spans="1:5" x14ac:dyDescent="0.35">
      <c r="A3318">
        <v>0</v>
      </c>
      <c r="B3318">
        <v>0</v>
      </c>
      <c r="C3318">
        <v>0</v>
      </c>
      <c r="D3318">
        <v>0</v>
      </c>
      <c r="E3318">
        <v>0</v>
      </c>
    </row>
    <row r="3319" spans="1:5" x14ac:dyDescent="0.35">
      <c r="A3319">
        <v>0</v>
      </c>
      <c r="B3319">
        <v>0</v>
      </c>
      <c r="C3319">
        <v>0</v>
      </c>
      <c r="D3319">
        <v>0</v>
      </c>
      <c r="E3319">
        <v>0</v>
      </c>
    </row>
    <row r="3320" spans="1:5" x14ac:dyDescent="0.35">
      <c r="A3320">
        <v>0</v>
      </c>
      <c r="B3320">
        <v>0</v>
      </c>
      <c r="C3320">
        <v>0</v>
      </c>
      <c r="D3320">
        <v>0</v>
      </c>
      <c r="E3320">
        <v>0</v>
      </c>
    </row>
    <row r="3321" spans="1:5" x14ac:dyDescent="0.35">
      <c r="A3321">
        <v>0</v>
      </c>
      <c r="B3321">
        <v>0</v>
      </c>
      <c r="C3321">
        <v>0</v>
      </c>
      <c r="D3321">
        <v>0</v>
      </c>
      <c r="E3321">
        <v>0</v>
      </c>
    </row>
    <row r="3322" spans="1:5" x14ac:dyDescent="0.35">
      <c r="A3322">
        <v>0</v>
      </c>
      <c r="B3322">
        <v>0</v>
      </c>
      <c r="C3322">
        <v>0</v>
      </c>
      <c r="D3322">
        <v>0</v>
      </c>
      <c r="E3322">
        <v>0</v>
      </c>
    </row>
    <row r="3323" spans="1:5" x14ac:dyDescent="0.35">
      <c r="A3323">
        <v>0</v>
      </c>
      <c r="B3323">
        <v>0</v>
      </c>
      <c r="C3323">
        <v>0</v>
      </c>
      <c r="D3323">
        <v>0</v>
      </c>
      <c r="E3323">
        <v>0</v>
      </c>
    </row>
    <row r="3324" spans="1:5" x14ac:dyDescent="0.35">
      <c r="A3324">
        <v>0</v>
      </c>
      <c r="B3324">
        <v>0</v>
      </c>
      <c r="C3324">
        <v>0</v>
      </c>
      <c r="D3324">
        <v>0</v>
      </c>
      <c r="E3324">
        <v>0</v>
      </c>
    </row>
    <row r="3325" spans="1:5" x14ac:dyDescent="0.35">
      <c r="A3325">
        <v>0</v>
      </c>
      <c r="B3325">
        <v>0</v>
      </c>
      <c r="C3325">
        <v>0</v>
      </c>
      <c r="D3325">
        <v>0</v>
      </c>
      <c r="E3325">
        <v>0</v>
      </c>
    </row>
    <row r="3326" spans="1:5" x14ac:dyDescent="0.35">
      <c r="A3326">
        <v>0</v>
      </c>
      <c r="B3326">
        <v>0</v>
      </c>
      <c r="C3326">
        <v>0</v>
      </c>
      <c r="D3326">
        <v>0</v>
      </c>
      <c r="E3326">
        <v>0</v>
      </c>
    </row>
    <row r="3327" spans="1:5" x14ac:dyDescent="0.35">
      <c r="A3327">
        <v>0</v>
      </c>
      <c r="B3327">
        <v>0</v>
      </c>
      <c r="C3327">
        <v>0</v>
      </c>
      <c r="D3327">
        <v>0</v>
      </c>
      <c r="E3327">
        <v>0</v>
      </c>
    </row>
    <row r="3328" spans="1:5" x14ac:dyDescent="0.35">
      <c r="A3328">
        <v>0</v>
      </c>
      <c r="B3328">
        <v>0</v>
      </c>
      <c r="C3328">
        <v>0</v>
      </c>
      <c r="D3328">
        <v>0</v>
      </c>
      <c r="E3328">
        <v>0</v>
      </c>
    </row>
    <row r="3329" spans="1:5" x14ac:dyDescent="0.35">
      <c r="A3329">
        <v>0</v>
      </c>
      <c r="B3329">
        <v>0</v>
      </c>
      <c r="C3329">
        <v>0</v>
      </c>
      <c r="D3329">
        <v>0</v>
      </c>
      <c r="E3329">
        <v>0</v>
      </c>
    </row>
    <row r="3330" spans="1:5" x14ac:dyDescent="0.35">
      <c r="A3330">
        <v>0</v>
      </c>
      <c r="B3330">
        <v>0</v>
      </c>
      <c r="C3330">
        <v>0</v>
      </c>
      <c r="D3330">
        <v>0</v>
      </c>
      <c r="E3330">
        <v>0</v>
      </c>
    </row>
    <row r="3331" spans="1:5" x14ac:dyDescent="0.35">
      <c r="A3331">
        <v>0</v>
      </c>
      <c r="B3331">
        <v>0</v>
      </c>
      <c r="C3331">
        <v>0</v>
      </c>
      <c r="D3331">
        <v>0</v>
      </c>
      <c r="E3331">
        <v>0</v>
      </c>
    </row>
    <row r="3332" spans="1:5" x14ac:dyDescent="0.35">
      <c r="A3332">
        <v>0</v>
      </c>
      <c r="B3332">
        <v>0</v>
      </c>
      <c r="C3332">
        <v>0</v>
      </c>
      <c r="D3332">
        <v>0</v>
      </c>
      <c r="E3332">
        <v>0</v>
      </c>
    </row>
    <row r="3333" spans="1:5" x14ac:dyDescent="0.35">
      <c r="A3333">
        <v>0</v>
      </c>
      <c r="B3333">
        <v>0</v>
      </c>
      <c r="C3333">
        <v>0</v>
      </c>
      <c r="D3333">
        <v>0</v>
      </c>
      <c r="E3333">
        <v>0</v>
      </c>
    </row>
    <row r="3334" spans="1:5" x14ac:dyDescent="0.35">
      <c r="A3334">
        <v>0</v>
      </c>
      <c r="B3334">
        <v>0</v>
      </c>
      <c r="C3334">
        <v>0</v>
      </c>
      <c r="D3334">
        <v>0</v>
      </c>
      <c r="E3334">
        <v>0</v>
      </c>
    </row>
    <row r="3335" spans="1:5" x14ac:dyDescent="0.35">
      <c r="A3335">
        <v>0</v>
      </c>
      <c r="B3335">
        <v>0</v>
      </c>
      <c r="C3335">
        <v>0</v>
      </c>
      <c r="D3335">
        <v>0</v>
      </c>
      <c r="E3335">
        <v>0</v>
      </c>
    </row>
    <row r="3336" spans="1:5" x14ac:dyDescent="0.35">
      <c r="A3336">
        <v>0</v>
      </c>
      <c r="B3336">
        <v>0</v>
      </c>
      <c r="C3336">
        <v>0</v>
      </c>
      <c r="D3336">
        <v>0</v>
      </c>
      <c r="E3336">
        <v>0</v>
      </c>
    </row>
    <row r="3337" spans="1:5" x14ac:dyDescent="0.35">
      <c r="A3337">
        <v>0</v>
      </c>
      <c r="B3337">
        <v>0</v>
      </c>
      <c r="C3337">
        <v>0</v>
      </c>
      <c r="D3337">
        <v>0</v>
      </c>
      <c r="E3337">
        <v>0</v>
      </c>
    </row>
    <row r="3338" spans="1:5" x14ac:dyDescent="0.35">
      <c r="A3338">
        <v>0</v>
      </c>
      <c r="B3338">
        <v>0</v>
      </c>
      <c r="C3338">
        <v>0</v>
      </c>
      <c r="D3338">
        <v>0</v>
      </c>
      <c r="E3338">
        <v>0</v>
      </c>
    </row>
    <row r="3339" spans="1:5" x14ac:dyDescent="0.35">
      <c r="A3339">
        <v>0</v>
      </c>
      <c r="B3339">
        <v>0</v>
      </c>
      <c r="C3339">
        <v>0</v>
      </c>
      <c r="D3339">
        <v>0</v>
      </c>
      <c r="E3339">
        <v>0</v>
      </c>
    </row>
    <row r="3340" spans="1:5" x14ac:dyDescent="0.35">
      <c r="A3340">
        <v>0</v>
      </c>
      <c r="B3340">
        <v>0</v>
      </c>
      <c r="C3340">
        <v>0</v>
      </c>
      <c r="D3340">
        <v>0</v>
      </c>
      <c r="E3340">
        <v>0</v>
      </c>
    </row>
    <row r="3341" spans="1:5" x14ac:dyDescent="0.35">
      <c r="A3341">
        <v>0</v>
      </c>
      <c r="B3341">
        <v>0</v>
      </c>
      <c r="C3341">
        <v>0</v>
      </c>
      <c r="D3341">
        <v>0</v>
      </c>
      <c r="E3341">
        <v>0</v>
      </c>
    </row>
    <row r="3342" spans="1:5" x14ac:dyDescent="0.35">
      <c r="A3342">
        <v>0</v>
      </c>
      <c r="B3342">
        <v>0</v>
      </c>
      <c r="C3342">
        <v>0</v>
      </c>
      <c r="D3342">
        <v>0</v>
      </c>
      <c r="E3342">
        <v>0</v>
      </c>
    </row>
    <row r="3343" spans="1:5" x14ac:dyDescent="0.35">
      <c r="A3343">
        <v>0</v>
      </c>
      <c r="B3343">
        <v>0</v>
      </c>
      <c r="C3343">
        <v>0</v>
      </c>
      <c r="D3343">
        <v>0</v>
      </c>
      <c r="E3343">
        <v>0</v>
      </c>
    </row>
    <row r="3344" spans="1:5" x14ac:dyDescent="0.35">
      <c r="A3344">
        <v>0</v>
      </c>
      <c r="B3344">
        <v>0</v>
      </c>
      <c r="C3344">
        <v>0</v>
      </c>
      <c r="D3344">
        <v>0</v>
      </c>
      <c r="E3344">
        <v>0</v>
      </c>
    </row>
    <row r="3345" spans="1:5" x14ac:dyDescent="0.35">
      <c r="A3345">
        <v>0</v>
      </c>
      <c r="B3345">
        <v>0</v>
      </c>
      <c r="C3345">
        <v>0</v>
      </c>
      <c r="D3345">
        <v>0</v>
      </c>
      <c r="E3345">
        <v>0</v>
      </c>
    </row>
    <row r="3346" spans="1:5" x14ac:dyDescent="0.35">
      <c r="A3346">
        <v>0</v>
      </c>
      <c r="B3346">
        <v>0</v>
      </c>
      <c r="C3346">
        <v>0</v>
      </c>
      <c r="D3346">
        <v>0</v>
      </c>
      <c r="E3346">
        <v>0</v>
      </c>
    </row>
    <row r="3347" spans="1:5" x14ac:dyDescent="0.35">
      <c r="A3347">
        <v>0</v>
      </c>
      <c r="B3347">
        <v>0</v>
      </c>
      <c r="C3347">
        <v>0</v>
      </c>
      <c r="D3347">
        <v>0</v>
      </c>
      <c r="E3347">
        <v>0</v>
      </c>
    </row>
    <row r="3348" spans="1:5" x14ac:dyDescent="0.35">
      <c r="A3348">
        <v>0</v>
      </c>
      <c r="B3348">
        <v>0</v>
      </c>
      <c r="C3348">
        <v>0</v>
      </c>
      <c r="D3348">
        <v>0</v>
      </c>
      <c r="E3348">
        <v>0</v>
      </c>
    </row>
    <row r="3349" spans="1:5" x14ac:dyDescent="0.35">
      <c r="A3349">
        <v>0</v>
      </c>
      <c r="B3349">
        <v>0</v>
      </c>
      <c r="C3349">
        <v>0</v>
      </c>
      <c r="D3349">
        <v>0</v>
      </c>
      <c r="E3349">
        <v>0</v>
      </c>
    </row>
    <row r="3350" spans="1:5" x14ac:dyDescent="0.35">
      <c r="A3350">
        <v>0</v>
      </c>
      <c r="B3350">
        <v>0</v>
      </c>
      <c r="C3350">
        <v>0</v>
      </c>
      <c r="D3350">
        <v>0</v>
      </c>
      <c r="E3350">
        <v>0</v>
      </c>
    </row>
    <row r="3351" spans="1:5" x14ac:dyDescent="0.35">
      <c r="A3351">
        <v>0</v>
      </c>
      <c r="B3351">
        <v>0</v>
      </c>
      <c r="C3351">
        <v>0</v>
      </c>
      <c r="D3351">
        <v>0</v>
      </c>
      <c r="E3351">
        <v>0</v>
      </c>
    </row>
    <row r="3352" spans="1:5" x14ac:dyDescent="0.35">
      <c r="A3352">
        <v>0</v>
      </c>
      <c r="B3352">
        <v>0</v>
      </c>
      <c r="C3352">
        <v>0</v>
      </c>
      <c r="D3352">
        <v>0</v>
      </c>
      <c r="E3352">
        <v>0</v>
      </c>
    </row>
    <row r="3353" spans="1:5" x14ac:dyDescent="0.35">
      <c r="A3353">
        <v>0</v>
      </c>
      <c r="B3353">
        <v>0</v>
      </c>
      <c r="C3353">
        <v>0</v>
      </c>
      <c r="D3353">
        <v>0</v>
      </c>
      <c r="E3353">
        <v>0</v>
      </c>
    </row>
    <row r="3354" spans="1:5" x14ac:dyDescent="0.35">
      <c r="A3354">
        <v>0</v>
      </c>
      <c r="B3354">
        <v>0</v>
      </c>
      <c r="C3354">
        <v>0</v>
      </c>
      <c r="D3354">
        <v>0</v>
      </c>
      <c r="E3354">
        <v>0</v>
      </c>
    </row>
    <row r="3355" spans="1:5" x14ac:dyDescent="0.35">
      <c r="A3355">
        <v>0</v>
      </c>
      <c r="B3355">
        <v>0</v>
      </c>
      <c r="C3355">
        <v>0</v>
      </c>
      <c r="D3355">
        <v>0</v>
      </c>
      <c r="E3355">
        <v>0</v>
      </c>
    </row>
    <row r="3356" spans="1:5" x14ac:dyDescent="0.35">
      <c r="A3356">
        <v>0</v>
      </c>
      <c r="B3356">
        <v>0</v>
      </c>
      <c r="C3356">
        <v>0</v>
      </c>
      <c r="D3356">
        <v>0</v>
      </c>
      <c r="E3356">
        <v>0</v>
      </c>
    </row>
    <row r="3357" spans="1:5" x14ac:dyDescent="0.35">
      <c r="A3357">
        <v>0</v>
      </c>
      <c r="B3357">
        <v>0</v>
      </c>
      <c r="C3357">
        <v>0</v>
      </c>
      <c r="D3357">
        <v>0</v>
      </c>
      <c r="E3357">
        <v>0</v>
      </c>
    </row>
    <row r="3358" spans="1:5" x14ac:dyDescent="0.35">
      <c r="A3358">
        <v>0</v>
      </c>
      <c r="B3358">
        <v>0</v>
      </c>
      <c r="C3358">
        <v>0</v>
      </c>
      <c r="D3358">
        <v>0</v>
      </c>
      <c r="E3358">
        <v>0</v>
      </c>
    </row>
    <row r="3359" spans="1:5" x14ac:dyDescent="0.35">
      <c r="A3359">
        <v>0</v>
      </c>
      <c r="B3359">
        <v>0</v>
      </c>
      <c r="C3359">
        <v>0</v>
      </c>
      <c r="D3359">
        <v>0</v>
      </c>
      <c r="E3359">
        <v>0</v>
      </c>
    </row>
    <row r="3360" spans="1:5" x14ac:dyDescent="0.35">
      <c r="A3360">
        <v>0</v>
      </c>
      <c r="B3360">
        <v>0</v>
      </c>
      <c r="C3360">
        <v>0</v>
      </c>
      <c r="D3360">
        <v>0</v>
      </c>
      <c r="E3360">
        <v>0</v>
      </c>
    </row>
    <row r="3361" spans="1:5" x14ac:dyDescent="0.35">
      <c r="A3361">
        <v>0</v>
      </c>
      <c r="B3361">
        <v>0</v>
      </c>
      <c r="C3361">
        <v>0</v>
      </c>
      <c r="D3361">
        <v>0</v>
      </c>
      <c r="E3361">
        <v>0</v>
      </c>
    </row>
    <row r="3362" spans="1:5" x14ac:dyDescent="0.35">
      <c r="A3362">
        <v>0</v>
      </c>
      <c r="B3362">
        <v>0</v>
      </c>
      <c r="C3362">
        <v>0</v>
      </c>
      <c r="D3362">
        <v>0</v>
      </c>
      <c r="E3362">
        <v>0</v>
      </c>
    </row>
    <row r="3363" spans="1:5" x14ac:dyDescent="0.35">
      <c r="A3363">
        <v>0</v>
      </c>
      <c r="B3363">
        <v>0</v>
      </c>
      <c r="C3363">
        <v>0</v>
      </c>
      <c r="D3363">
        <v>0</v>
      </c>
      <c r="E3363">
        <v>0</v>
      </c>
    </row>
    <row r="3364" spans="1:5" x14ac:dyDescent="0.35">
      <c r="A3364">
        <v>0</v>
      </c>
      <c r="B3364">
        <v>0</v>
      </c>
      <c r="C3364">
        <v>0</v>
      </c>
      <c r="D3364">
        <v>0</v>
      </c>
      <c r="E3364">
        <v>0</v>
      </c>
    </row>
    <row r="3365" spans="1:5" x14ac:dyDescent="0.35">
      <c r="A3365">
        <v>0</v>
      </c>
      <c r="B3365">
        <v>0</v>
      </c>
      <c r="C3365">
        <v>0</v>
      </c>
      <c r="D3365">
        <v>0</v>
      </c>
      <c r="E3365">
        <v>0</v>
      </c>
    </row>
    <row r="3366" spans="1:5" x14ac:dyDescent="0.35">
      <c r="A3366">
        <v>0</v>
      </c>
      <c r="B3366">
        <v>0</v>
      </c>
      <c r="C3366">
        <v>0</v>
      </c>
      <c r="D3366">
        <v>0</v>
      </c>
      <c r="E3366">
        <v>0</v>
      </c>
    </row>
    <row r="3367" spans="1:5" x14ac:dyDescent="0.35">
      <c r="A3367">
        <v>0</v>
      </c>
      <c r="B3367">
        <v>0</v>
      </c>
      <c r="C3367">
        <v>0</v>
      </c>
      <c r="D3367">
        <v>0</v>
      </c>
      <c r="E3367">
        <v>0</v>
      </c>
    </row>
    <row r="3368" spans="1:5" x14ac:dyDescent="0.35">
      <c r="A3368">
        <v>0</v>
      </c>
      <c r="B3368">
        <v>0</v>
      </c>
      <c r="C3368">
        <v>0</v>
      </c>
      <c r="D3368">
        <v>0</v>
      </c>
      <c r="E3368">
        <v>0</v>
      </c>
    </row>
    <row r="3369" spans="1:5" x14ac:dyDescent="0.35">
      <c r="A3369">
        <v>0</v>
      </c>
      <c r="B3369">
        <v>0</v>
      </c>
      <c r="C3369">
        <v>0</v>
      </c>
      <c r="D3369">
        <v>0</v>
      </c>
      <c r="E3369">
        <v>0</v>
      </c>
    </row>
    <row r="3370" spans="1:5" x14ac:dyDescent="0.35">
      <c r="A3370">
        <v>0</v>
      </c>
      <c r="B3370">
        <v>0</v>
      </c>
      <c r="C3370">
        <v>0</v>
      </c>
      <c r="D3370">
        <v>0</v>
      </c>
      <c r="E3370">
        <v>0</v>
      </c>
    </row>
    <row r="3371" spans="1:5" x14ac:dyDescent="0.35">
      <c r="A3371">
        <v>0</v>
      </c>
      <c r="B3371">
        <v>0</v>
      </c>
      <c r="C3371">
        <v>0</v>
      </c>
      <c r="D3371">
        <v>0</v>
      </c>
      <c r="E3371">
        <v>0</v>
      </c>
    </row>
    <row r="3372" spans="1:5" x14ac:dyDescent="0.35">
      <c r="A3372">
        <v>0</v>
      </c>
      <c r="B3372">
        <v>0</v>
      </c>
      <c r="C3372">
        <v>0</v>
      </c>
      <c r="D3372">
        <v>0</v>
      </c>
      <c r="E3372">
        <v>0</v>
      </c>
    </row>
    <row r="3373" spans="1:5" x14ac:dyDescent="0.35">
      <c r="A3373">
        <v>0</v>
      </c>
      <c r="B3373">
        <v>0</v>
      </c>
      <c r="C3373">
        <v>0</v>
      </c>
      <c r="D3373">
        <v>0</v>
      </c>
      <c r="E3373">
        <v>0</v>
      </c>
    </row>
    <row r="3374" spans="1:5" x14ac:dyDescent="0.35">
      <c r="A3374">
        <v>0</v>
      </c>
      <c r="B3374">
        <v>0</v>
      </c>
      <c r="C3374">
        <v>0</v>
      </c>
      <c r="D3374">
        <v>0</v>
      </c>
      <c r="E3374">
        <v>0</v>
      </c>
    </row>
    <row r="3375" spans="1:5" x14ac:dyDescent="0.35">
      <c r="A3375">
        <v>0</v>
      </c>
      <c r="B3375">
        <v>0</v>
      </c>
      <c r="C3375">
        <v>0</v>
      </c>
      <c r="D3375">
        <v>0</v>
      </c>
      <c r="E3375">
        <v>0</v>
      </c>
    </row>
    <row r="3376" spans="1:5" x14ac:dyDescent="0.35">
      <c r="A3376">
        <v>0</v>
      </c>
      <c r="B3376">
        <v>0</v>
      </c>
      <c r="C3376">
        <v>0</v>
      </c>
      <c r="D3376">
        <v>0</v>
      </c>
      <c r="E3376">
        <v>0</v>
      </c>
    </row>
    <row r="3377" spans="1:5" x14ac:dyDescent="0.35">
      <c r="A3377">
        <v>0</v>
      </c>
      <c r="B3377">
        <v>0</v>
      </c>
      <c r="C3377">
        <v>0</v>
      </c>
      <c r="D3377">
        <v>0</v>
      </c>
      <c r="E3377">
        <v>0</v>
      </c>
    </row>
    <row r="3378" spans="1:5" x14ac:dyDescent="0.35">
      <c r="A3378">
        <v>0</v>
      </c>
      <c r="B3378">
        <v>0</v>
      </c>
      <c r="C3378">
        <v>0</v>
      </c>
      <c r="D3378">
        <v>0</v>
      </c>
      <c r="E3378">
        <v>0</v>
      </c>
    </row>
    <row r="3379" spans="1:5" x14ac:dyDescent="0.35">
      <c r="A3379">
        <v>0</v>
      </c>
      <c r="B3379">
        <v>0</v>
      </c>
      <c r="C3379">
        <v>0</v>
      </c>
      <c r="D3379">
        <v>0</v>
      </c>
      <c r="E3379">
        <v>0</v>
      </c>
    </row>
    <row r="3380" spans="1:5" x14ac:dyDescent="0.35">
      <c r="A3380">
        <v>0</v>
      </c>
      <c r="B3380">
        <v>0</v>
      </c>
      <c r="C3380">
        <v>0</v>
      </c>
      <c r="D3380">
        <v>0</v>
      </c>
      <c r="E3380">
        <v>0</v>
      </c>
    </row>
    <row r="3381" spans="1:5" x14ac:dyDescent="0.35">
      <c r="A3381">
        <v>0</v>
      </c>
      <c r="B3381">
        <v>0</v>
      </c>
      <c r="C3381">
        <v>0</v>
      </c>
      <c r="D3381">
        <v>0</v>
      </c>
      <c r="E3381">
        <v>0</v>
      </c>
    </row>
    <row r="3382" spans="1:5" x14ac:dyDescent="0.35">
      <c r="A3382">
        <v>0</v>
      </c>
      <c r="B3382">
        <v>0</v>
      </c>
      <c r="C3382">
        <v>0</v>
      </c>
      <c r="D3382">
        <v>0</v>
      </c>
      <c r="E3382">
        <v>0</v>
      </c>
    </row>
    <row r="3383" spans="1:5" x14ac:dyDescent="0.35">
      <c r="A3383">
        <v>0</v>
      </c>
      <c r="B3383">
        <v>0</v>
      </c>
      <c r="C3383">
        <v>0</v>
      </c>
      <c r="D3383">
        <v>0</v>
      </c>
      <c r="E3383">
        <v>0</v>
      </c>
    </row>
    <row r="3384" spans="1:5" x14ac:dyDescent="0.35">
      <c r="A3384">
        <v>0</v>
      </c>
      <c r="B3384">
        <v>0</v>
      </c>
      <c r="C3384">
        <v>0</v>
      </c>
      <c r="D3384">
        <v>0</v>
      </c>
      <c r="E3384">
        <v>0</v>
      </c>
    </row>
    <row r="3385" spans="1:5" x14ac:dyDescent="0.35">
      <c r="A3385">
        <v>0</v>
      </c>
      <c r="B3385">
        <v>0</v>
      </c>
      <c r="C3385">
        <v>0</v>
      </c>
      <c r="D3385">
        <v>0</v>
      </c>
      <c r="E3385">
        <v>0</v>
      </c>
    </row>
    <row r="3386" spans="1:5" x14ac:dyDescent="0.35">
      <c r="A3386">
        <v>0</v>
      </c>
      <c r="B3386">
        <v>0</v>
      </c>
      <c r="C3386">
        <v>0</v>
      </c>
      <c r="D3386">
        <v>0</v>
      </c>
      <c r="E3386">
        <v>0</v>
      </c>
    </row>
    <row r="3387" spans="1:5" x14ac:dyDescent="0.35">
      <c r="A3387">
        <v>0</v>
      </c>
      <c r="B3387">
        <v>0</v>
      </c>
      <c r="C3387">
        <v>0</v>
      </c>
      <c r="D3387">
        <v>0</v>
      </c>
      <c r="E3387">
        <v>0</v>
      </c>
    </row>
    <row r="3388" spans="1:5" x14ac:dyDescent="0.35">
      <c r="A3388">
        <v>0</v>
      </c>
      <c r="B3388">
        <v>0</v>
      </c>
      <c r="C3388">
        <v>0</v>
      </c>
      <c r="D3388">
        <v>0</v>
      </c>
      <c r="E3388">
        <v>0</v>
      </c>
    </row>
    <row r="3389" spans="1:5" x14ac:dyDescent="0.35">
      <c r="A3389">
        <v>0</v>
      </c>
      <c r="B3389">
        <v>0</v>
      </c>
      <c r="C3389">
        <v>0</v>
      </c>
      <c r="D3389">
        <v>0</v>
      </c>
      <c r="E3389">
        <v>0</v>
      </c>
    </row>
    <row r="3390" spans="1:5" x14ac:dyDescent="0.35">
      <c r="A3390">
        <v>0</v>
      </c>
      <c r="B3390">
        <v>0</v>
      </c>
      <c r="C3390">
        <v>0</v>
      </c>
      <c r="D3390">
        <v>0</v>
      </c>
      <c r="E3390">
        <v>0</v>
      </c>
    </row>
    <row r="3391" spans="1:5" x14ac:dyDescent="0.35">
      <c r="A3391">
        <v>0</v>
      </c>
      <c r="B3391">
        <v>0</v>
      </c>
      <c r="C3391">
        <v>0</v>
      </c>
      <c r="D3391">
        <v>0</v>
      </c>
      <c r="E3391">
        <v>0</v>
      </c>
    </row>
    <row r="3392" spans="1:5" x14ac:dyDescent="0.35">
      <c r="A3392">
        <v>0</v>
      </c>
      <c r="B3392">
        <v>0</v>
      </c>
      <c r="C3392">
        <v>0</v>
      </c>
      <c r="D3392">
        <v>0</v>
      </c>
      <c r="E3392">
        <v>0</v>
      </c>
    </row>
    <row r="3393" spans="1:5" x14ac:dyDescent="0.35">
      <c r="A3393">
        <v>0</v>
      </c>
      <c r="B3393">
        <v>0</v>
      </c>
      <c r="C3393">
        <v>0</v>
      </c>
      <c r="D3393">
        <v>0</v>
      </c>
      <c r="E3393">
        <v>0</v>
      </c>
    </row>
    <row r="3394" spans="1:5" x14ac:dyDescent="0.35">
      <c r="A3394">
        <v>0</v>
      </c>
      <c r="B3394">
        <v>0</v>
      </c>
      <c r="C3394">
        <v>0</v>
      </c>
      <c r="D3394">
        <v>0</v>
      </c>
      <c r="E3394">
        <v>0</v>
      </c>
    </row>
    <row r="3395" spans="1:5" x14ac:dyDescent="0.35">
      <c r="A3395">
        <v>0</v>
      </c>
      <c r="B3395">
        <v>0</v>
      </c>
      <c r="C3395">
        <v>0</v>
      </c>
      <c r="D3395">
        <v>0</v>
      </c>
      <c r="E3395">
        <v>0</v>
      </c>
    </row>
    <row r="3396" spans="1:5" x14ac:dyDescent="0.35">
      <c r="A3396">
        <v>0</v>
      </c>
      <c r="B3396">
        <v>0</v>
      </c>
      <c r="C3396">
        <v>0</v>
      </c>
      <c r="D3396">
        <v>0</v>
      </c>
      <c r="E3396">
        <v>0</v>
      </c>
    </row>
    <row r="3397" spans="1:5" x14ac:dyDescent="0.35">
      <c r="A3397">
        <v>0</v>
      </c>
      <c r="B3397">
        <v>0</v>
      </c>
      <c r="C3397">
        <v>0</v>
      </c>
      <c r="D3397">
        <v>0</v>
      </c>
      <c r="E3397">
        <v>0</v>
      </c>
    </row>
    <row r="3398" spans="1:5" x14ac:dyDescent="0.35">
      <c r="A3398">
        <v>0</v>
      </c>
      <c r="B3398">
        <v>0</v>
      </c>
      <c r="C3398">
        <v>0</v>
      </c>
      <c r="D3398">
        <v>0</v>
      </c>
      <c r="E3398">
        <v>0</v>
      </c>
    </row>
    <row r="3399" spans="1:5" x14ac:dyDescent="0.35">
      <c r="A3399">
        <v>0</v>
      </c>
      <c r="B3399">
        <v>0</v>
      </c>
      <c r="C3399">
        <v>0</v>
      </c>
      <c r="D3399">
        <v>0</v>
      </c>
      <c r="E3399">
        <v>0</v>
      </c>
    </row>
    <row r="3400" spans="1:5" x14ac:dyDescent="0.35">
      <c r="A3400">
        <v>0</v>
      </c>
      <c r="B3400">
        <v>0</v>
      </c>
      <c r="C3400">
        <v>0</v>
      </c>
      <c r="D3400">
        <v>0</v>
      </c>
      <c r="E3400">
        <v>0</v>
      </c>
    </row>
    <row r="3401" spans="1:5" x14ac:dyDescent="0.35">
      <c r="A3401">
        <v>0</v>
      </c>
      <c r="B3401">
        <v>0</v>
      </c>
      <c r="C3401">
        <v>0</v>
      </c>
      <c r="D3401">
        <v>0</v>
      </c>
      <c r="E3401">
        <v>0</v>
      </c>
    </row>
    <row r="3402" spans="1:5" x14ac:dyDescent="0.35">
      <c r="A3402">
        <v>0</v>
      </c>
      <c r="B3402">
        <v>0</v>
      </c>
      <c r="C3402">
        <v>0</v>
      </c>
      <c r="D3402">
        <v>0</v>
      </c>
      <c r="E3402">
        <v>0</v>
      </c>
    </row>
    <row r="3403" spans="1:5" x14ac:dyDescent="0.35">
      <c r="A3403">
        <v>0</v>
      </c>
      <c r="B3403">
        <v>0</v>
      </c>
      <c r="C3403">
        <v>0</v>
      </c>
      <c r="D3403">
        <v>0</v>
      </c>
      <c r="E3403">
        <v>0</v>
      </c>
    </row>
    <row r="3404" spans="1:5" x14ac:dyDescent="0.35">
      <c r="A3404">
        <v>0</v>
      </c>
      <c r="B3404">
        <v>0</v>
      </c>
      <c r="C3404">
        <v>0</v>
      </c>
      <c r="D3404">
        <v>0</v>
      </c>
      <c r="E3404">
        <v>0</v>
      </c>
    </row>
    <row r="3405" spans="1:5" x14ac:dyDescent="0.35">
      <c r="A3405">
        <v>0</v>
      </c>
      <c r="B3405">
        <v>0</v>
      </c>
      <c r="C3405">
        <v>0</v>
      </c>
      <c r="D3405">
        <v>0</v>
      </c>
      <c r="E3405">
        <v>0</v>
      </c>
    </row>
    <row r="3406" spans="1:5" x14ac:dyDescent="0.35">
      <c r="A3406">
        <v>0</v>
      </c>
      <c r="B3406">
        <v>0</v>
      </c>
      <c r="C3406">
        <v>0</v>
      </c>
      <c r="D3406">
        <v>0</v>
      </c>
      <c r="E3406">
        <v>0</v>
      </c>
    </row>
    <row r="3407" spans="1:5" x14ac:dyDescent="0.35">
      <c r="A3407">
        <v>0</v>
      </c>
      <c r="B3407">
        <v>0</v>
      </c>
      <c r="C3407">
        <v>0</v>
      </c>
      <c r="D3407">
        <v>0</v>
      </c>
      <c r="E3407">
        <v>0</v>
      </c>
    </row>
    <row r="3408" spans="1:5" x14ac:dyDescent="0.35">
      <c r="A3408">
        <v>0</v>
      </c>
      <c r="B3408">
        <v>0</v>
      </c>
      <c r="C3408">
        <v>0</v>
      </c>
      <c r="D3408">
        <v>0</v>
      </c>
      <c r="E3408">
        <v>0</v>
      </c>
    </row>
    <row r="3409" spans="1:5" x14ac:dyDescent="0.35">
      <c r="A3409">
        <v>0</v>
      </c>
      <c r="B3409">
        <v>0</v>
      </c>
      <c r="C3409">
        <v>0</v>
      </c>
      <c r="D3409">
        <v>0</v>
      </c>
      <c r="E3409">
        <v>0</v>
      </c>
    </row>
    <row r="3410" spans="1:5" x14ac:dyDescent="0.35">
      <c r="A3410">
        <v>0</v>
      </c>
      <c r="B3410">
        <v>0</v>
      </c>
      <c r="C3410">
        <v>0</v>
      </c>
      <c r="D3410">
        <v>0</v>
      </c>
      <c r="E3410">
        <v>0</v>
      </c>
    </row>
    <row r="3411" spans="1:5" x14ac:dyDescent="0.35">
      <c r="A3411">
        <v>0</v>
      </c>
      <c r="B3411">
        <v>0</v>
      </c>
      <c r="C3411">
        <v>0</v>
      </c>
      <c r="D3411">
        <v>0</v>
      </c>
      <c r="E3411">
        <v>0</v>
      </c>
    </row>
    <row r="3412" spans="1:5" x14ac:dyDescent="0.35">
      <c r="A3412">
        <v>0</v>
      </c>
      <c r="B3412">
        <v>0</v>
      </c>
      <c r="C3412">
        <v>0</v>
      </c>
      <c r="D3412">
        <v>0</v>
      </c>
      <c r="E3412">
        <v>0</v>
      </c>
    </row>
    <row r="3413" spans="1:5" x14ac:dyDescent="0.35">
      <c r="A3413">
        <v>0</v>
      </c>
      <c r="B3413">
        <v>0</v>
      </c>
      <c r="C3413">
        <v>0</v>
      </c>
      <c r="D3413">
        <v>0</v>
      </c>
      <c r="E3413">
        <v>0</v>
      </c>
    </row>
    <row r="3414" spans="1:5" x14ac:dyDescent="0.35">
      <c r="A3414">
        <v>0</v>
      </c>
      <c r="B3414">
        <v>0</v>
      </c>
      <c r="C3414">
        <v>0</v>
      </c>
      <c r="D3414">
        <v>0</v>
      </c>
      <c r="E3414">
        <v>0</v>
      </c>
    </row>
    <row r="3415" spans="1:5" x14ac:dyDescent="0.35">
      <c r="A3415">
        <v>0</v>
      </c>
      <c r="B3415">
        <v>0</v>
      </c>
      <c r="C3415">
        <v>0</v>
      </c>
      <c r="D3415">
        <v>0</v>
      </c>
      <c r="E3415">
        <v>0</v>
      </c>
    </row>
    <row r="3416" spans="1:5" x14ac:dyDescent="0.35">
      <c r="A3416">
        <v>0</v>
      </c>
      <c r="B3416">
        <v>0</v>
      </c>
      <c r="C3416">
        <v>0</v>
      </c>
      <c r="D3416">
        <v>0</v>
      </c>
      <c r="E3416">
        <v>0</v>
      </c>
    </row>
    <row r="3417" spans="1:5" x14ac:dyDescent="0.35">
      <c r="A3417">
        <v>0</v>
      </c>
      <c r="B3417">
        <v>0</v>
      </c>
      <c r="C3417">
        <v>0</v>
      </c>
      <c r="D3417">
        <v>0</v>
      </c>
      <c r="E3417">
        <v>0</v>
      </c>
    </row>
    <row r="3418" spans="1:5" x14ac:dyDescent="0.35">
      <c r="A3418">
        <v>0</v>
      </c>
      <c r="B3418">
        <v>0</v>
      </c>
      <c r="C3418">
        <v>0</v>
      </c>
      <c r="D3418">
        <v>0</v>
      </c>
      <c r="E3418">
        <v>0</v>
      </c>
    </row>
    <row r="3419" spans="1:5" x14ac:dyDescent="0.35">
      <c r="A3419">
        <v>0</v>
      </c>
      <c r="B3419">
        <v>0</v>
      </c>
      <c r="C3419">
        <v>0</v>
      </c>
      <c r="D3419">
        <v>0</v>
      </c>
      <c r="E3419">
        <v>0</v>
      </c>
    </row>
    <row r="3420" spans="1:5" x14ac:dyDescent="0.35">
      <c r="A3420">
        <v>0</v>
      </c>
      <c r="B3420">
        <v>0</v>
      </c>
      <c r="C3420">
        <v>0</v>
      </c>
      <c r="D3420">
        <v>0</v>
      </c>
      <c r="E3420">
        <v>0</v>
      </c>
    </row>
    <row r="3421" spans="1:5" x14ac:dyDescent="0.35">
      <c r="A3421">
        <v>0</v>
      </c>
      <c r="B3421">
        <v>0</v>
      </c>
      <c r="C3421">
        <v>0</v>
      </c>
      <c r="D3421">
        <v>0</v>
      </c>
      <c r="E3421">
        <v>0</v>
      </c>
    </row>
    <row r="3422" spans="1:5" x14ac:dyDescent="0.35">
      <c r="A3422">
        <v>0</v>
      </c>
      <c r="B3422">
        <v>0</v>
      </c>
      <c r="C3422">
        <v>0</v>
      </c>
      <c r="D3422">
        <v>0</v>
      </c>
      <c r="E3422">
        <v>0</v>
      </c>
    </row>
    <row r="3423" spans="1:5" x14ac:dyDescent="0.35">
      <c r="A3423">
        <v>0</v>
      </c>
      <c r="B3423">
        <v>0</v>
      </c>
      <c r="C3423">
        <v>0</v>
      </c>
      <c r="D3423">
        <v>0</v>
      </c>
      <c r="E3423">
        <v>0</v>
      </c>
    </row>
    <row r="3424" spans="1:5" x14ac:dyDescent="0.35">
      <c r="A3424">
        <v>0</v>
      </c>
      <c r="B3424">
        <v>0</v>
      </c>
      <c r="C3424">
        <v>0</v>
      </c>
      <c r="D3424">
        <v>0</v>
      </c>
      <c r="E3424">
        <v>0</v>
      </c>
    </row>
    <row r="3425" spans="1:5" x14ac:dyDescent="0.35">
      <c r="A3425">
        <v>0</v>
      </c>
      <c r="B3425">
        <v>0</v>
      </c>
      <c r="C3425">
        <v>0</v>
      </c>
      <c r="D3425">
        <v>0</v>
      </c>
      <c r="E3425">
        <v>0</v>
      </c>
    </row>
    <row r="3426" spans="1:5" x14ac:dyDescent="0.35">
      <c r="A3426">
        <v>0</v>
      </c>
      <c r="B3426">
        <v>0</v>
      </c>
      <c r="C3426">
        <v>0</v>
      </c>
      <c r="D3426">
        <v>0</v>
      </c>
      <c r="E3426">
        <v>0</v>
      </c>
    </row>
    <row r="3427" spans="1:5" x14ac:dyDescent="0.35">
      <c r="A3427">
        <v>0</v>
      </c>
      <c r="B3427">
        <v>0</v>
      </c>
      <c r="C3427">
        <v>0</v>
      </c>
      <c r="D3427">
        <v>0</v>
      </c>
      <c r="E3427">
        <v>0</v>
      </c>
    </row>
    <row r="3428" spans="1:5" x14ac:dyDescent="0.35">
      <c r="A3428">
        <v>0</v>
      </c>
      <c r="B3428">
        <v>0</v>
      </c>
      <c r="C3428">
        <v>0</v>
      </c>
      <c r="D3428">
        <v>0</v>
      </c>
      <c r="E3428">
        <v>0</v>
      </c>
    </row>
    <row r="3429" spans="1:5" x14ac:dyDescent="0.35">
      <c r="A3429">
        <v>0</v>
      </c>
      <c r="B3429">
        <v>0</v>
      </c>
      <c r="C3429">
        <v>0</v>
      </c>
      <c r="D3429">
        <v>0</v>
      </c>
      <c r="E3429">
        <v>0</v>
      </c>
    </row>
    <row r="3430" spans="1:5" x14ac:dyDescent="0.35">
      <c r="A3430">
        <v>0</v>
      </c>
      <c r="B3430">
        <v>0</v>
      </c>
      <c r="C3430">
        <v>0</v>
      </c>
      <c r="D3430">
        <v>0</v>
      </c>
      <c r="E3430">
        <v>0</v>
      </c>
    </row>
    <row r="3431" spans="1:5" x14ac:dyDescent="0.35">
      <c r="A3431">
        <v>0</v>
      </c>
      <c r="B3431">
        <v>0</v>
      </c>
      <c r="C3431">
        <v>0</v>
      </c>
      <c r="D3431">
        <v>0</v>
      </c>
      <c r="E3431">
        <v>0</v>
      </c>
    </row>
    <row r="3432" spans="1:5" x14ac:dyDescent="0.35">
      <c r="A3432">
        <v>0</v>
      </c>
      <c r="B3432">
        <v>0</v>
      </c>
      <c r="C3432">
        <v>0</v>
      </c>
      <c r="D3432">
        <v>0</v>
      </c>
      <c r="E3432">
        <v>0</v>
      </c>
    </row>
    <row r="3433" spans="1:5" x14ac:dyDescent="0.35">
      <c r="A3433">
        <v>0</v>
      </c>
      <c r="B3433">
        <v>0</v>
      </c>
      <c r="C3433">
        <v>0</v>
      </c>
      <c r="D3433">
        <v>0</v>
      </c>
      <c r="E3433">
        <v>0</v>
      </c>
    </row>
    <row r="3434" spans="1:5" x14ac:dyDescent="0.35">
      <c r="A3434">
        <v>0</v>
      </c>
      <c r="B3434">
        <v>0</v>
      </c>
      <c r="C3434">
        <v>0</v>
      </c>
      <c r="D3434">
        <v>0</v>
      </c>
      <c r="E3434">
        <v>0</v>
      </c>
    </row>
    <row r="3435" spans="1:5" x14ac:dyDescent="0.35">
      <c r="A3435">
        <v>0</v>
      </c>
      <c r="B3435">
        <v>0</v>
      </c>
      <c r="C3435">
        <v>0</v>
      </c>
      <c r="D3435">
        <v>0</v>
      </c>
      <c r="E3435">
        <v>0</v>
      </c>
    </row>
    <row r="3436" spans="1:5" x14ac:dyDescent="0.35">
      <c r="A3436">
        <v>0</v>
      </c>
      <c r="B3436">
        <v>0</v>
      </c>
      <c r="C3436">
        <v>0</v>
      </c>
      <c r="D3436">
        <v>0</v>
      </c>
      <c r="E3436">
        <v>0</v>
      </c>
    </row>
    <row r="3437" spans="1:5" x14ac:dyDescent="0.35">
      <c r="A3437">
        <v>0</v>
      </c>
      <c r="B3437">
        <v>0</v>
      </c>
      <c r="C3437">
        <v>0</v>
      </c>
      <c r="D3437">
        <v>0</v>
      </c>
      <c r="E3437">
        <v>0</v>
      </c>
    </row>
    <row r="3438" spans="1:5" x14ac:dyDescent="0.35">
      <c r="A3438">
        <v>0</v>
      </c>
      <c r="B3438">
        <v>0</v>
      </c>
      <c r="C3438">
        <v>0</v>
      </c>
      <c r="D3438">
        <v>0</v>
      </c>
      <c r="E3438">
        <v>0</v>
      </c>
    </row>
    <row r="3439" spans="1:5" x14ac:dyDescent="0.35">
      <c r="A3439">
        <v>0</v>
      </c>
      <c r="B3439">
        <v>0</v>
      </c>
      <c r="C3439">
        <v>0</v>
      </c>
      <c r="D3439">
        <v>0</v>
      </c>
      <c r="E3439">
        <v>0</v>
      </c>
    </row>
    <row r="3440" spans="1:5" x14ac:dyDescent="0.35">
      <c r="A3440">
        <v>0</v>
      </c>
      <c r="B3440">
        <v>0</v>
      </c>
      <c r="C3440">
        <v>0</v>
      </c>
      <c r="D3440">
        <v>0</v>
      </c>
      <c r="E3440">
        <v>0</v>
      </c>
    </row>
    <row r="3441" spans="1:5" x14ac:dyDescent="0.35">
      <c r="A3441">
        <v>0</v>
      </c>
      <c r="B3441">
        <v>0</v>
      </c>
      <c r="C3441">
        <v>0</v>
      </c>
      <c r="D3441">
        <v>0</v>
      </c>
      <c r="E3441">
        <v>0</v>
      </c>
    </row>
    <row r="3442" spans="1:5" x14ac:dyDescent="0.35">
      <c r="A3442">
        <v>0</v>
      </c>
      <c r="B3442">
        <v>0</v>
      </c>
      <c r="C3442">
        <v>0</v>
      </c>
      <c r="D3442">
        <v>0</v>
      </c>
      <c r="E3442">
        <v>0</v>
      </c>
    </row>
    <row r="3443" spans="1:5" x14ac:dyDescent="0.35">
      <c r="A3443">
        <v>0</v>
      </c>
      <c r="B3443">
        <v>0</v>
      </c>
      <c r="C3443">
        <v>0</v>
      </c>
      <c r="D3443">
        <v>0</v>
      </c>
      <c r="E3443">
        <v>0</v>
      </c>
    </row>
    <row r="3444" spans="1:5" x14ac:dyDescent="0.35">
      <c r="A3444">
        <v>0</v>
      </c>
      <c r="B3444">
        <v>0</v>
      </c>
      <c r="C3444">
        <v>0</v>
      </c>
      <c r="D3444">
        <v>0</v>
      </c>
      <c r="E3444">
        <v>0</v>
      </c>
    </row>
    <row r="3445" spans="1:5" x14ac:dyDescent="0.35">
      <c r="A3445">
        <v>0</v>
      </c>
      <c r="B3445">
        <v>0</v>
      </c>
      <c r="C3445">
        <v>0</v>
      </c>
      <c r="D3445">
        <v>0</v>
      </c>
      <c r="E3445">
        <v>0</v>
      </c>
    </row>
    <row r="3446" spans="1:5" x14ac:dyDescent="0.35">
      <c r="A3446">
        <v>0</v>
      </c>
      <c r="B3446">
        <v>0</v>
      </c>
      <c r="C3446">
        <v>0</v>
      </c>
      <c r="D3446">
        <v>0</v>
      </c>
      <c r="E3446">
        <v>0</v>
      </c>
    </row>
    <row r="3447" spans="1:5" x14ac:dyDescent="0.35">
      <c r="A3447">
        <v>0</v>
      </c>
      <c r="B3447">
        <v>0</v>
      </c>
      <c r="C3447">
        <v>0</v>
      </c>
      <c r="D3447">
        <v>0</v>
      </c>
      <c r="E3447">
        <v>0</v>
      </c>
    </row>
    <row r="3448" spans="1:5" x14ac:dyDescent="0.35">
      <c r="A3448">
        <v>0</v>
      </c>
      <c r="B3448">
        <v>0</v>
      </c>
      <c r="C3448">
        <v>0</v>
      </c>
      <c r="D3448">
        <v>0</v>
      </c>
      <c r="E3448">
        <v>0</v>
      </c>
    </row>
    <row r="3449" spans="1:5" x14ac:dyDescent="0.35">
      <c r="A3449">
        <v>0</v>
      </c>
      <c r="B3449">
        <v>0</v>
      </c>
      <c r="C3449">
        <v>0</v>
      </c>
      <c r="D3449">
        <v>0</v>
      </c>
      <c r="E3449">
        <v>0</v>
      </c>
    </row>
    <row r="3450" spans="1:5" x14ac:dyDescent="0.35">
      <c r="A3450">
        <v>0</v>
      </c>
      <c r="B3450">
        <v>0</v>
      </c>
      <c r="C3450">
        <v>0</v>
      </c>
      <c r="D3450">
        <v>0</v>
      </c>
      <c r="E3450">
        <v>0</v>
      </c>
    </row>
    <row r="3451" spans="1:5" x14ac:dyDescent="0.35">
      <c r="A3451">
        <v>0</v>
      </c>
      <c r="B3451">
        <v>0</v>
      </c>
      <c r="C3451">
        <v>0</v>
      </c>
      <c r="D3451">
        <v>0</v>
      </c>
      <c r="E3451">
        <v>0</v>
      </c>
    </row>
    <row r="3452" spans="1:5" x14ac:dyDescent="0.35">
      <c r="A3452">
        <v>0</v>
      </c>
      <c r="B3452">
        <v>0</v>
      </c>
      <c r="C3452">
        <v>0</v>
      </c>
      <c r="D3452">
        <v>0</v>
      </c>
      <c r="E3452">
        <v>0</v>
      </c>
    </row>
    <row r="3453" spans="1:5" x14ac:dyDescent="0.35">
      <c r="A3453">
        <v>0</v>
      </c>
      <c r="B3453">
        <v>0</v>
      </c>
      <c r="C3453">
        <v>0</v>
      </c>
      <c r="D3453">
        <v>0</v>
      </c>
      <c r="E3453">
        <v>0</v>
      </c>
    </row>
    <row r="3454" spans="1:5" x14ac:dyDescent="0.35">
      <c r="A3454">
        <v>0</v>
      </c>
      <c r="B3454">
        <v>0</v>
      </c>
      <c r="C3454">
        <v>0</v>
      </c>
      <c r="D3454">
        <v>0</v>
      </c>
      <c r="E3454">
        <v>0</v>
      </c>
    </row>
    <row r="3455" spans="1:5" x14ac:dyDescent="0.35">
      <c r="A3455">
        <v>0</v>
      </c>
      <c r="B3455">
        <v>0</v>
      </c>
      <c r="C3455">
        <v>0</v>
      </c>
      <c r="D3455">
        <v>0</v>
      </c>
      <c r="E3455">
        <v>0</v>
      </c>
    </row>
    <row r="3456" spans="1:5" x14ac:dyDescent="0.35">
      <c r="A3456">
        <v>0</v>
      </c>
      <c r="B3456">
        <v>0</v>
      </c>
      <c r="C3456">
        <v>0</v>
      </c>
      <c r="D3456">
        <v>0</v>
      </c>
      <c r="E3456">
        <v>0</v>
      </c>
    </row>
    <row r="3457" spans="1:5" x14ac:dyDescent="0.35">
      <c r="A3457">
        <v>0</v>
      </c>
      <c r="B3457">
        <v>0</v>
      </c>
      <c r="C3457">
        <v>0</v>
      </c>
      <c r="D3457">
        <v>0</v>
      </c>
      <c r="E3457">
        <v>0</v>
      </c>
    </row>
    <row r="3458" spans="1:5" x14ac:dyDescent="0.35">
      <c r="A3458">
        <v>0</v>
      </c>
      <c r="B3458">
        <v>0</v>
      </c>
      <c r="C3458">
        <v>0</v>
      </c>
      <c r="D3458">
        <v>0</v>
      </c>
      <c r="E3458">
        <v>0</v>
      </c>
    </row>
    <row r="3459" spans="1:5" x14ac:dyDescent="0.35">
      <c r="A3459">
        <v>0</v>
      </c>
      <c r="B3459">
        <v>0</v>
      </c>
      <c r="C3459">
        <v>0</v>
      </c>
      <c r="D3459">
        <v>0</v>
      </c>
      <c r="E3459">
        <v>0</v>
      </c>
    </row>
    <row r="3460" spans="1:5" x14ac:dyDescent="0.35">
      <c r="A3460">
        <v>0</v>
      </c>
      <c r="B3460">
        <v>0</v>
      </c>
      <c r="C3460">
        <v>0</v>
      </c>
      <c r="D3460">
        <v>0</v>
      </c>
      <c r="E3460">
        <v>0</v>
      </c>
    </row>
    <row r="3461" spans="1:5" x14ac:dyDescent="0.35">
      <c r="A3461">
        <v>0</v>
      </c>
      <c r="B3461">
        <v>0</v>
      </c>
      <c r="C3461">
        <v>0</v>
      </c>
      <c r="D3461">
        <v>0</v>
      </c>
      <c r="E3461">
        <v>0</v>
      </c>
    </row>
    <row r="3462" spans="1:5" x14ac:dyDescent="0.35">
      <c r="A3462">
        <v>0</v>
      </c>
      <c r="B3462">
        <v>0</v>
      </c>
      <c r="C3462">
        <v>0</v>
      </c>
      <c r="D3462">
        <v>0</v>
      </c>
      <c r="E3462">
        <v>0</v>
      </c>
    </row>
    <row r="3463" spans="1:5" x14ac:dyDescent="0.35">
      <c r="A3463">
        <v>0</v>
      </c>
      <c r="B3463">
        <v>0</v>
      </c>
      <c r="C3463">
        <v>0</v>
      </c>
      <c r="D3463">
        <v>0</v>
      </c>
      <c r="E3463">
        <v>0</v>
      </c>
    </row>
    <row r="3464" spans="1:5" x14ac:dyDescent="0.35">
      <c r="A3464">
        <v>0</v>
      </c>
      <c r="B3464">
        <v>0</v>
      </c>
      <c r="C3464">
        <v>0</v>
      </c>
      <c r="D3464">
        <v>0</v>
      </c>
      <c r="E3464">
        <v>0</v>
      </c>
    </row>
    <row r="3465" spans="1:5" x14ac:dyDescent="0.35">
      <c r="A3465">
        <v>0</v>
      </c>
      <c r="B3465">
        <v>0</v>
      </c>
      <c r="C3465">
        <v>0</v>
      </c>
      <c r="D3465">
        <v>0</v>
      </c>
      <c r="E3465">
        <v>0</v>
      </c>
    </row>
    <row r="3466" spans="1:5" x14ac:dyDescent="0.35">
      <c r="A3466">
        <v>0</v>
      </c>
      <c r="B3466">
        <v>0</v>
      </c>
      <c r="C3466">
        <v>0</v>
      </c>
      <c r="D3466">
        <v>0</v>
      </c>
      <c r="E3466">
        <v>0</v>
      </c>
    </row>
    <row r="3467" spans="1:5" x14ac:dyDescent="0.35">
      <c r="A3467">
        <v>0</v>
      </c>
      <c r="B3467">
        <v>0</v>
      </c>
      <c r="C3467">
        <v>0</v>
      </c>
      <c r="D3467">
        <v>0</v>
      </c>
      <c r="E3467">
        <v>0</v>
      </c>
    </row>
    <row r="3468" spans="1:5" x14ac:dyDescent="0.35">
      <c r="A3468">
        <v>0</v>
      </c>
      <c r="B3468">
        <v>0</v>
      </c>
      <c r="C3468">
        <v>0</v>
      </c>
      <c r="D3468">
        <v>0</v>
      </c>
      <c r="E3468">
        <v>0</v>
      </c>
    </row>
    <row r="3469" spans="1:5" x14ac:dyDescent="0.35">
      <c r="A3469">
        <v>0</v>
      </c>
      <c r="B3469">
        <v>0</v>
      </c>
      <c r="C3469">
        <v>0</v>
      </c>
      <c r="D3469">
        <v>0</v>
      </c>
      <c r="E3469">
        <v>0</v>
      </c>
    </row>
    <row r="3470" spans="1:5" x14ac:dyDescent="0.35">
      <c r="A3470">
        <v>0</v>
      </c>
      <c r="B3470">
        <v>0</v>
      </c>
      <c r="C3470">
        <v>0</v>
      </c>
      <c r="D3470">
        <v>0</v>
      </c>
      <c r="E3470">
        <v>0</v>
      </c>
    </row>
    <row r="3471" spans="1:5" x14ac:dyDescent="0.35">
      <c r="A3471">
        <v>0</v>
      </c>
      <c r="B3471">
        <v>0</v>
      </c>
      <c r="C3471">
        <v>0</v>
      </c>
      <c r="D3471">
        <v>0</v>
      </c>
      <c r="E3471">
        <v>0</v>
      </c>
    </row>
    <row r="3472" spans="1:5" x14ac:dyDescent="0.35">
      <c r="A3472">
        <v>0</v>
      </c>
      <c r="B3472">
        <v>0</v>
      </c>
      <c r="C3472">
        <v>0</v>
      </c>
      <c r="D3472">
        <v>0</v>
      </c>
      <c r="E3472">
        <v>0</v>
      </c>
    </row>
    <row r="3473" spans="1:5" x14ac:dyDescent="0.35">
      <c r="A3473">
        <v>0</v>
      </c>
      <c r="B3473">
        <v>0</v>
      </c>
      <c r="C3473">
        <v>0</v>
      </c>
      <c r="D3473">
        <v>0</v>
      </c>
      <c r="E3473">
        <v>0</v>
      </c>
    </row>
    <row r="3474" spans="1:5" x14ac:dyDescent="0.35">
      <c r="A3474">
        <v>0</v>
      </c>
      <c r="B3474">
        <v>0</v>
      </c>
      <c r="C3474">
        <v>0</v>
      </c>
      <c r="D3474">
        <v>0</v>
      </c>
      <c r="E3474">
        <v>0</v>
      </c>
    </row>
    <row r="3475" spans="1:5" x14ac:dyDescent="0.35">
      <c r="A3475">
        <v>0</v>
      </c>
      <c r="B3475">
        <v>0</v>
      </c>
      <c r="C3475">
        <v>0</v>
      </c>
      <c r="D3475">
        <v>0</v>
      </c>
      <c r="E3475">
        <v>0</v>
      </c>
    </row>
    <row r="3476" spans="1:5" x14ac:dyDescent="0.35">
      <c r="A3476">
        <v>0</v>
      </c>
      <c r="B3476">
        <v>0</v>
      </c>
      <c r="C3476">
        <v>0</v>
      </c>
      <c r="D3476">
        <v>0</v>
      </c>
      <c r="E3476">
        <v>0</v>
      </c>
    </row>
    <row r="3477" spans="1:5" x14ac:dyDescent="0.35">
      <c r="A3477">
        <v>0</v>
      </c>
      <c r="B3477">
        <v>0</v>
      </c>
      <c r="C3477">
        <v>0</v>
      </c>
      <c r="D3477">
        <v>0</v>
      </c>
      <c r="E3477">
        <v>0</v>
      </c>
    </row>
    <row r="3478" spans="1:5" x14ac:dyDescent="0.35">
      <c r="A3478">
        <v>0</v>
      </c>
      <c r="B3478">
        <v>0</v>
      </c>
      <c r="C3478">
        <v>0</v>
      </c>
      <c r="D3478">
        <v>0</v>
      </c>
      <c r="E3478">
        <v>0</v>
      </c>
    </row>
    <row r="3479" spans="1:5" x14ac:dyDescent="0.35">
      <c r="A3479">
        <v>0</v>
      </c>
      <c r="B3479">
        <v>0</v>
      </c>
      <c r="C3479">
        <v>0</v>
      </c>
      <c r="D3479">
        <v>0</v>
      </c>
      <c r="E3479">
        <v>0</v>
      </c>
    </row>
    <row r="3480" spans="1:5" x14ac:dyDescent="0.35">
      <c r="A3480">
        <v>0</v>
      </c>
      <c r="B3480">
        <v>0</v>
      </c>
      <c r="C3480">
        <v>0</v>
      </c>
      <c r="D3480">
        <v>0</v>
      </c>
      <c r="E3480">
        <v>0</v>
      </c>
    </row>
    <row r="3481" spans="1:5" x14ac:dyDescent="0.35">
      <c r="A3481">
        <v>0</v>
      </c>
      <c r="B3481">
        <v>0</v>
      </c>
      <c r="C3481">
        <v>0</v>
      </c>
      <c r="D3481">
        <v>0</v>
      </c>
      <c r="E3481">
        <v>0</v>
      </c>
    </row>
    <row r="3482" spans="1:5" x14ac:dyDescent="0.35">
      <c r="A3482">
        <v>0</v>
      </c>
      <c r="B3482">
        <v>0</v>
      </c>
      <c r="C3482">
        <v>0</v>
      </c>
      <c r="D3482">
        <v>0</v>
      </c>
      <c r="E3482">
        <v>0</v>
      </c>
    </row>
    <row r="3483" spans="1:5" x14ac:dyDescent="0.35">
      <c r="A3483">
        <v>0</v>
      </c>
      <c r="B3483">
        <v>0</v>
      </c>
      <c r="C3483">
        <v>0</v>
      </c>
      <c r="D3483">
        <v>0</v>
      </c>
      <c r="E3483">
        <v>0</v>
      </c>
    </row>
    <row r="3484" spans="1:5" x14ac:dyDescent="0.35">
      <c r="A3484">
        <v>0</v>
      </c>
      <c r="B3484">
        <v>0</v>
      </c>
      <c r="C3484">
        <v>0</v>
      </c>
      <c r="D3484">
        <v>0</v>
      </c>
      <c r="E3484">
        <v>0</v>
      </c>
    </row>
    <row r="3485" spans="1:5" x14ac:dyDescent="0.35">
      <c r="A3485">
        <v>0</v>
      </c>
      <c r="B3485">
        <v>0</v>
      </c>
      <c r="C3485">
        <v>0</v>
      </c>
      <c r="D3485">
        <v>0</v>
      </c>
      <c r="E3485">
        <v>0</v>
      </c>
    </row>
    <row r="3486" spans="1:5" x14ac:dyDescent="0.35">
      <c r="A3486">
        <v>0</v>
      </c>
      <c r="B3486">
        <v>0</v>
      </c>
      <c r="C3486">
        <v>0</v>
      </c>
      <c r="D3486">
        <v>0</v>
      </c>
      <c r="E3486">
        <v>0</v>
      </c>
    </row>
    <row r="3487" spans="1:5" x14ac:dyDescent="0.35">
      <c r="A3487">
        <v>0</v>
      </c>
      <c r="B3487">
        <v>0</v>
      </c>
      <c r="C3487">
        <v>0</v>
      </c>
      <c r="D3487">
        <v>0</v>
      </c>
      <c r="E3487">
        <v>0</v>
      </c>
    </row>
    <row r="3488" spans="1:5" x14ac:dyDescent="0.35">
      <c r="A3488">
        <v>0</v>
      </c>
      <c r="B3488">
        <v>0</v>
      </c>
      <c r="C3488">
        <v>0</v>
      </c>
      <c r="D3488">
        <v>0</v>
      </c>
      <c r="E3488">
        <v>0</v>
      </c>
    </row>
    <row r="3489" spans="1:5" x14ac:dyDescent="0.35">
      <c r="A3489">
        <v>0</v>
      </c>
      <c r="B3489">
        <v>0</v>
      </c>
      <c r="C3489">
        <v>0</v>
      </c>
      <c r="D3489">
        <v>0</v>
      </c>
      <c r="E3489">
        <v>0</v>
      </c>
    </row>
    <row r="3490" spans="1:5" x14ac:dyDescent="0.35">
      <c r="A3490">
        <v>0</v>
      </c>
      <c r="B3490">
        <v>0</v>
      </c>
      <c r="C3490">
        <v>0</v>
      </c>
      <c r="D3490">
        <v>0</v>
      </c>
      <c r="E3490">
        <v>0</v>
      </c>
    </row>
    <row r="3491" spans="1:5" x14ac:dyDescent="0.35">
      <c r="A3491">
        <v>0</v>
      </c>
      <c r="B3491">
        <v>0</v>
      </c>
      <c r="C3491">
        <v>0</v>
      </c>
      <c r="D3491">
        <v>0</v>
      </c>
      <c r="E3491">
        <v>0</v>
      </c>
    </row>
    <row r="3492" spans="1:5" x14ac:dyDescent="0.35">
      <c r="A3492">
        <v>0</v>
      </c>
      <c r="B3492">
        <v>0</v>
      </c>
      <c r="C3492">
        <v>0</v>
      </c>
      <c r="D3492">
        <v>0</v>
      </c>
      <c r="E3492">
        <v>0</v>
      </c>
    </row>
    <row r="3493" spans="1:5" x14ac:dyDescent="0.35">
      <c r="A3493">
        <v>0</v>
      </c>
      <c r="B3493">
        <v>0</v>
      </c>
      <c r="C3493">
        <v>0</v>
      </c>
      <c r="D3493">
        <v>0</v>
      </c>
      <c r="E3493">
        <v>0</v>
      </c>
    </row>
    <row r="3494" spans="1:5" x14ac:dyDescent="0.35">
      <c r="A3494">
        <v>0</v>
      </c>
      <c r="B3494">
        <v>0</v>
      </c>
      <c r="C3494">
        <v>0</v>
      </c>
      <c r="D3494">
        <v>0</v>
      </c>
      <c r="E3494">
        <v>0</v>
      </c>
    </row>
    <row r="3495" spans="1:5" x14ac:dyDescent="0.35">
      <c r="A3495">
        <v>0</v>
      </c>
      <c r="B3495">
        <v>0</v>
      </c>
      <c r="C3495">
        <v>0</v>
      </c>
      <c r="D3495">
        <v>0</v>
      </c>
      <c r="E3495">
        <v>0</v>
      </c>
    </row>
    <row r="3496" spans="1:5" x14ac:dyDescent="0.35">
      <c r="A3496">
        <v>0</v>
      </c>
      <c r="B3496">
        <v>0</v>
      </c>
      <c r="C3496">
        <v>0</v>
      </c>
      <c r="D3496">
        <v>0</v>
      </c>
      <c r="E3496">
        <v>0</v>
      </c>
    </row>
    <row r="3497" spans="1:5" x14ac:dyDescent="0.35">
      <c r="A3497">
        <v>0</v>
      </c>
      <c r="B3497">
        <v>0</v>
      </c>
      <c r="C3497">
        <v>0</v>
      </c>
      <c r="D3497">
        <v>0</v>
      </c>
      <c r="E3497">
        <v>0</v>
      </c>
    </row>
    <row r="3498" spans="1:5" x14ac:dyDescent="0.35">
      <c r="A3498">
        <v>0</v>
      </c>
      <c r="B3498">
        <v>0</v>
      </c>
      <c r="C3498">
        <v>0</v>
      </c>
      <c r="D3498">
        <v>0</v>
      </c>
      <c r="E3498">
        <v>0</v>
      </c>
    </row>
    <row r="3499" spans="1:5" x14ac:dyDescent="0.35">
      <c r="A3499">
        <v>0</v>
      </c>
      <c r="B3499">
        <v>0</v>
      </c>
      <c r="C3499">
        <v>0</v>
      </c>
      <c r="D3499">
        <v>0</v>
      </c>
      <c r="E3499">
        <v>0</v>
      </c>
    </row>
    <row r="3500" spans="1:5" x14ac:dyDescent="0.35">
      <c r="A3500">
        <v>0</v>
      </c>
      <c r="B3500">
        <v>0</v>
      </c>
      <c r="C3500">
        <v>0</v>
      </c>
      <c r="D3500">
        <v>0</v>
      </c>
      <c r="E3500">
        <v>0</v>
      </c>
    </row>
    <row r="3501" spans="1:5" x14ac:dyDescent="0.35">
      <c r="A3501">
        <v>0</v>
      </c>
      <c r="B3501">
        <v>0</v>
      </c>
      <c r="C3501">
        <v>0</v>
      </c>
      <c r="D3501">
        <v>0</v>
      </c>
      <c r="E3501">
        <v>0</v>
      </c>
    </row>
    <row r="3502" spans="1:5" x14ac:dyDescent="0.35">
      <c r="A3502">
        <v>0</v>
      </c>
      <c r="B3502">
        <v>0</v>
      </c>
      <c r="C3502">
        <v>0</v>
      </c>
      <c r="D3502">
        <v>0</v>
      </c>
      <c r="E3502">
        <v>0</v>
      </c>
    </row>
    <row r="3503" spans="1:5" x14ac:dyDescent="0.35">
      <c r="A3503">
        <v>0</v>
      </c>
      <c r="B3503">
        <v>0</v>
      </c>
      <c r="C3503">
        <v>0</v>
      </c>
      <c r="D3503">
        <v>0</v>
      </c>
      <c r="E3503">
        <v>0</v>
      </c>
    </row>
    <row r="3504" spans="1:5" x14ac:dyDescent="0.35">
      <c r="A3504">
        <v>0</v>
      </c>
      <c r="B3504">
        <v>0</v>
      </c>
      <c r="C3504">
        <v>0</v>
      </c>
      <c r="D3504">
        <v>0</v>
      </c>
      <c r="E3504">
        <v>0</v>
      </c>
    </row>
    <row r="3505" spans="1:5" x14ac:dyDescent="0.35">
      <c r="A3505">
        <v>0</v>
      </c>
      <c r="B3505">
        <v>0</v>
      </c>
      <c r="C3505">
        <v>0</v>
      </c>
      <c r="D3505">
        <v>0</v>
      </c>
      <c r="E3505">
        <v>0</v>
      </c>
    </row>
    <row r="3506" spans="1:5" x14ac:dyDescent="0.35">
      <c r="A3506">
        <v>0</v>
      </c>
      <c r="B3506">
        <v>0</v>
      </c>
      <c r="C3506">
        <v>0</v>
      </c>
      <c r="D3506">
        <v>0</v>
      </c>
      <c r="E3506">
        <v>0</v>
      </c>
    </row>
    <row r="3507" spans="1:5" x14ac:dyDescent="0.35">
      <c r="A3507">
        <v>0</v>
      </c>
      <c r="B3507">
        <v>0</v>
      </c>
      <c r="C3507">
        <v>0</v>
      </c>
      <c r="D3507">
        <v>0</v>
      </c>
      <c r="E3507">
        <v>0</v>
      </c>
    </row>
    <row r="3508" spans="1:5" x14ac:dyDescent="0.35">
      <c r="A3508">
        <v>0</v>
      </c>
      <c r="B3508">
        <v>0</v>
      </c>
      <c r="C3508">
        <v>0</v>
      </c>
      <c r="D3508">
        <v>0</v>
      </c>
      <c r="E3508">
        <v>0</v>
      </c>
    </row>
    <row r="3509" spans="1:5" x14ac:dyDescent="0.35">
      <c r="A3509">
        <v>0</v>
      </c>
      <c r="B3509">
        <v>0</v>
      </c>
      <c r="C3509">
        <v>0</v>
      </c>
      <c r="D3509">
        <v>0</v>
      </c>
      <c r="E3509">
        <v>0</v>
      </c>
    </row>
    <row r="3510" spans="1:5" x14ac:dyDescent="0.35">
      <c r="A3510">
        <v>0</v>
      </c>
      <c r="B3510">
        <v>0</v>
      </c>
      <c r="C3510">
        <v>0</v>
      </c>
      <c r="D3510">
        <v>0</v>
      </c>
      <c r="E3510">
        <v>0</v>
      </c>
    </row>
    <row r="3511" spans="1:5" x14ac:dyDescent="0.35">
      <c r="A3511">
        <v>0</v>
      </c>
      <c r="B3511">
        <v>0</v>
      </c>
      <c r="C3511">
        <v>0</v>
      </c>
      <c r="D3511">
        <v>0</v>
      </c>
      <c r="E3511">
        <v>0</v>
      </c>
    </row>
    <row r="3512" spans="1:5" x14ac:dyDescent="0.35">
      <c r="A3512">
        <v>0</v>
      </c>
      <c r="B3512">
        <v>0</v>
      </c>
      <c r="C3512">
        <v>0</v>
      </c>
      <c r="D3512">
        <v>0</v>
      </c>
      <c r="E3512">
        <v>0</v>
      </c>
    </row>
    <row r="3513" spans="1:5" x14ac:dyDescent="0.35">
      <c r="A3513">
        <v>0</v>
      </c>
      <c r="B3513">
        <v>0</v>
      </c>
      <c r="C3513">
        <v>0</v>
      </c>
      <c r="D3513">
        <v>0</v>
      </c>
      <c r="E3513">
        <v>0</v>
      </c>
    </row>
    <row r="3514" spans="1:5" x14ac:dyDescent="0.35">
      <c r="A3514">
        <v>0</v>
      </c>
      <c r="B3514">
        <v>0</v>
      </c>
      <c r="C3514">
        <v>0</v>
      </c>
      <c r="D3514">
        <v>0</v>
      </c>
      <c r="E3514">
        <v>0</v>
      </c>
    </row>
    <row r="3515" spans="1:5" x14ac:dyDescent="0.35">
      <c r="A3515">
        <v>0</v>
      </c>
      <c r="B3515">
        <v>0</v>
      </c>
      <c r="C3515">
        <v>0</v>
      </c>
      <c r="D3515">
        <v>0</v>
      </c>
      <c r="E3515">
        <v>0</v>
      </c>
    </row>
    <row r="3516" spans="1:5" x14ac:dyDescent="0.35">
      <c r="A3516">
        <v>0</v>
      </c>
      <c r="B3516">
        <v>0</v>
      </c>
      <c r="C3516">
        <v>0</v>
      </c>
      <c r="D3516">
        <v>0</v>
      </c>
      <c r="E3516">
        <v>0</v>
      </c>
    </row>
    <row r="3517" spans="1:5" x14ac:dyDescent="0.35">
      <c r="A3517">
        <v>0</v>
      </c>
      <c r="B3517">
        <v>0</v>
      </c>
      <c r="C3517">
        <v>0</v>
      </c>
      <c r="D3517">
        <v>0</v>
      </c>
      <c r="E3517">
        <v>0</v>
      </c>
    </row>
    <row r="3518" spans="1:5" x14ac:dyDescent="0.35">
      <c r="A3518">
        <v>0</v>
      </c>
      <c r="B3518">
        <v>0</v>
      </c>
      <c r="C3518">
        <v>0</v>
      </c>
      <c r="D3518">
        <v>0</v>
      </c>
      <c r="E3518">
        <v>0</v>
      </c>
    </row>
    <row r="3519" spans="1:5" x14ac:dyDescent="0.35">
      <c r="A3519">
        <v>0</v>
      </c>
      <c r="B3519">
        <v>0</v>
      </c>
      <c r="C3519">
        <v>0</v>
      </c>
      <c r="D3519">
        <v>0</v>
      </c>
      <c r="E3519">
        <v>0</v>
      </c>
    </row>
    <row r="3520" spans="1:5" x14ac:dyDescent="0.35">
      <c r="A3520">
        <v>0</v>
      </c>
      <c r="B3520">
        <v>0</v>
      </c>
      <c r="C3520">
        <v>0</v>
      </c>
      <c r="D3520">
        <v>0</v>
      </c>
      <c r="E3520">
        <v>0</v>
      </c>
    </row>
    <row r="3521" spans="1:5" x14ac:dyDescent="0.35">
      <c r="A3521">
        <v>0</v>
      </c>
      <c r="B3521">
        <v>0</v>
      </c>
      <c r="C3521">
        <v>0</v>
      </c>
      <c r="D3521">
        <v>0</v>
      </c>
      <c r="E3521">
        <v>0</v>
      </c>
    </row>
    <row r="3522" spans="1:5" x14ac:dyDescent="0.35">
      <c r="A3522">
        <v>0</v>
      </c>
      <c r="B3522">
        <v>0</v>
      </c>
      <c r="C3522">
        <v>0</v>
      </c>
      <c r="D3522">
        <v>0</v>
      </c>
      <c r="E3522">
        <v>0</v>
      </c>
    </row>
    <row r="3523" spans="1:5" x14ac:dyDescent="0.35">
      <c r="A3523">
        <v>0</v>
      </c>
      <c r="B3523">
        <v>0</v>
      </c>
      <c r="C3523">
        <v>0</v>
      </c>
      <c r="D3523">
        <v>0</v>
      </c>
      <c r="E3523">
        <v>0</v>
      </c>
    </row>
    <row r="3524" spans="1:5" x14ac:dyDescent="0.35">
      <c r="A3524">
        <v>0</v>
      </c>
      <c r="B3524">
        <v>0</v>
      </c>
      <c r="C3524">
        <v>0</v>
      </c>
      <c r="D3524">
        <v>0</v>
      </c>
      <c r="E3524">
        <v>0</v>
      </c>
    </row>
    <row r="3525" spans="1:5" x14ac:dyDescent="0.35">
      <c r="A3525">
        <v>0</v>
      </c>
      <c r="B3525">
        <v>0</v>
      </c>
      <c r="C3525">
        <v>0</v>
      </c>
      <c r="D3525">
        <v>0</v>
      </c>
      <c r="E3525">
        <v>0</v>
      </c>
    </row>
    <row r="3526" spans="1:5" x14ac:dyDescent="0.35">
      <c r="A3526">
        <v>0</v>
      </c>
      <c r="B3526">
        <v>0</v>
      </c>
      <c r="C3526">
        <v>0</v>
      </c>
      <c r="D3526">
        <v>0</v>
      </c>
      <c r="E3526">
        <v>0</v>
      </c>
    </row>
    <row r="3527" spans="1:5" x14ac:dyDescent="0.35">
      <c r="A3527">
        <v>0</v>
      </c>
      <c r="B3527">
        <v>0</v>
      </c>
      <c r="C3527">
        <v>0</v>
      </c>
      <c r="D3527">
        <v>0</v>
      </c>
      <c r="E3527">
        <v>0</v>
      </c>
    </row>
    <row r="3528" spans="1:5" x14ac:dyDescent="0.35">
      <c r="A3528">
        <v>0</v>
      </c>
      <c r="B3528">
        <v>0</v>
      </c>
      <c r="C3528">
        <v>0</v>
      </c>
      <c r="D3528">
        <v>0</v>
      </c>
      <c r="E3528">
        <v>0</v>
      </c>
    </row>
    <row r="3529" spans="1:5" x14ac:dyDescent="0.35">
      <c r="A3529">
        <v>0</v>
      </c>
      <c r="B3529">
        <v>0</v>
      </c>
      <c r="C3529">
        <v>0</v>
      </c>
      <c r="D3529">
        <v>0</v>
      </c>
      <c r="E3529">
        <v>0</v>
      </c>
    </row>
    <row r="3530" spans="1:5" x14ac:dyDescent="0.35">
      <c r="A3530">
        <v>0</v>
      </c>
      <c r="B3530">
        <v>0</v>
      </c>
      <c r="C3530">
        <v>0</v>
      </c>
      <c r="D3530">
        <v>0</v>
      </c>
      <c r="E3530">
        <v>0</v>
      </c>
    </row>
    <row r="3531" spans="1:5" x14ac:dyDescent="0.35">
      <c r="A3531">
        <v>0</v>
      </c>
      <c r="B3531">
        <v>0</v>
      </c>
      <c r="C3531">
        <v>0</v>
      </c>
      <c r="D3531">
        <v>0</v>
      </c>
      <c r="E3531">
        <v>0</v>
      </c>
    </row>
    <row r="3532" spans="1:5" x14ac:dyDescent="0.35">
      <c r="A3532">
        <v>0</v>
      </c>
      <c r="B3532">
        <v>0</v>
      </c>
      <c r="C3532">
        <v>0</v>
      </c>
      <c r="D3532">
        <v>0</v>
      </c>
      <c r="E3532">
        <v>0</v>
      </c>
    </row>
    <row r="3533" spans="1:5" x14ac:dyDescent="0.35">
      <c r="A3533">
        <v>0</v>
      </c>
      <c r="B3533">
        <v>0</v>
      </c>
      <c r="C3533">
        <v>0</v>
      </c>
      <c r="D3533">
        <v>0</v>
      </c>
      <c r="E3533">
        <v>0</v>
      </c>
    </row>
    <row r="3534" spans="1:5" x14ac:dyDescent="0.35">
      <c r="A3534">
        <v>0</v>
      </c>
      <c r="B3534">
        <v>0</v>
      </c>
      <c r="C3534">
        <v>0</v>
      </c>
      <c r="D3534">
        <v>0</v>
      </c>
      <c r="E3534">
        <v>0</v>
      </c>
    </row>
    <row r="3535" spans="1:5" x14ac:dyDescent="0.35">
      <c r="A3535">
        <v>0</v>
      </c>
      <c r="B3535">
        <v>0</v>
      </c>
      <c r="C3535">
        <v>0</v>
      </c>
      <c r="D3535">
        <v>0</v>
      </c>
      <c r="E3535">
        <v>0</v>
      </c>
    </row>
    <row r="3536" spans="1:5" x14ac:dyDescent="0.35">
      <c r="A3536">
        <v>0</v>
      </c>
      <c r="B3536">
        <v>0</v>
      </c>
      <c r="C3536">
        <v>0</v>
      </c>
      <c r="D3536">
        <v>0</v>
      </c>
      <c r="E3536">
        <v>0</v>
      </c>
    </row>
    <row r="3537" spans="1:5" x14ac:dyDescent="0.35">
      <c r="A3537">
        <v>0</v>
      </c>
      <c r="B3537">
        <v>0</v>
      </c>
      <c r="C3537">
        <v>0</v>
      </c>
      <c r="D3537">
        <v>0</v>
      </c>
      <c r="E3537">
        <v>0</v>
      </c>
    </row>
    <row r="3538" spans="1:5" x14ac:dyDescent="0.35">
      <c r="A3538">
        <v>0</v>
      </c>
      <c r="B3538">
        <v>0</v>
      </c>
      <c r="C3538">
        <v>0</v>
      </c>
      <c r="D3538">
        <v>0</v>
      </c>
      <c r="E3538">
        <v>0</v>
      </c>
    </row>
    <row r="3539" spans="1:5" x14ac:dyDescent="0.35">
      <c r="A3539">
        <v>0</v>
      </c>
      <c r="B3539">
        <v>0</v>
      </c>
      <c r="C3539">
        <v>0</v>
      </c>
      <c r="D3539">
        <v>0</v>
      </c>
      <c r="E3539">
        <v>0</v>
      </c>
    </row>
    <row r="3540" spans="1:5" x14ac:dyDescent="0.35">
      <c r="A3540">
        <v>0</v>
      </c>
      <c r="B3540">
        <v>0</v>
      </c>
      <c r="C3540">
        <v>0</v>
      </c>
      <c r="D3540">
        <v>0</v>
      </c>
      <c r="E3540">
        <v>0</v>
      </c>
    </row>
    <row r="3541" spans="1:5" x14ac:dyDescent="0.35">
      <c r="A3541">
        <v>0</v>
      </c>
      <c r="B3541">
        <v>0</v>
      </c>
      <c r="C3541">
        <v>0</v>
      </c>
      <c r="D3541">
        <v>0</v>
      </c>
      <c r="E3541">
        <v>0</v>
      </c>
    </row>
    <row r="3542" spans="1:5" x14ac:dyDescent="0.35">
      <c r="A3542">
        <v>0</v>
      </c>
      <c r="B3542">
        <v>0</v>
      </c>
      <c r="C3542">
        <v>0</v>
      </c>
      <c r="D3542">
        <v>0</v>
      </c>
      <c r="E3542">
        <v>0</v>
      </c>
    </row>
    <row r="3543" spans="1:5" x14ac:dyDescent="0.35">
      <c r="A3543">
        <v>0</v>
      </c>
      <c r="B3543">
        <v>0</v>
      </c>
      <c r="C3543">
        <v>0</v>
      </c>
      <c r="D3543">
        <v>0</v>
      </c>
      <c r="E3543">
        <v>0</v>
      </c>
    </row>
    <row r="3544" spans="1:5" x14ac:dyDescent="0.35">
      <c r="A3544">
        <v>0</v>
      </c>
      <c r="B3544">
        <v>0</v>
      </c>
      <c r="C3544">
        <v>0</v>
      </c>
      <c r="D3544">
        <v>0</v>
      </c>
      <c r="E3544">
        <v>0</v>
      </c>
    </row>
    <row r="3545" spans="1:5" x14ac:dyDescent="0.35">
      <c r="A3545">
        <v>0</v>
      </c>
      <c r="B3545">
        <v>0</v>
      </c>
      <c r="C3545">
        <v>0</v>
      </c>
      <c r="D3545">
        <v>0</v>
      </c>
      <c r="E3545">
        <v>0</v>
      </c>
    </row>
    <row r="3546" spans="1:5" x14ac:dyDescent="0.35">
      <c r="A3546">
        <v>0</v>
      </c>
      <c r="B3546">
        <v>0</v>
      </c>
      <c r="C3546">
        <v>0</v>
      </c>
      <c r="D3546">
        <v>0</v>
      </c>
      <c r="E3546">
        <v>0</v>
      </c>
    </row>
    <row r="3547" spans="1:5" x14ac:dyDescent="0.35">
      <c r="A3547">
        <v>0</v>
      </c>
      <c r="B3547">
        <v>0</v>
      </c>
      <c r="C3547">
        <v>0</v>
      </c>
      <c r="D3547">
        <v>0</v>
      </c>
      <c r="E3547">
        <v>0</v>
      </c>
    </row>
    <row r="3548" spans="1:5" x14ac:dyDescent="0.35">
      <c r="A3548">
        <v>0</v>
      </c>
      <c r="B3548">
        <v>0</v>
      </c>
      <c r="C3548">
        <v>0</v>
      </c>
      <c r="D3548">
        <v>0</v>
      </c>
      <c r="E3548">
        <v>0</v>
      </c>
    </row>
    <row r="3549" spans="1:5" x14ac:dyDescent="0.35">
      <c r="A3549">
        <v>0</v>
      </c>
      <c r="B3549">
        <v>0</v>
      </c>
      <c r="C3549">
        <v>0</v>
      </c>
      <c r="D3549">
        <v>0</v>
      </c>
      <c r="E3549">
        <v>0</v>
      </c>
    </row>
    <row r="3550" spans="1:5" x14ac:dyDescent="0.35">
      <c r="A3550">
        <v>0</v>
      </c>
      <c r="B3550">
        <v>0</v>
      </c>
      <c r="C3550">
        <v>0</v>
      </c>
      <c r="D3550">
        <v>0</v>
      </c>
      <c r="E3550">
        <v>0</v>
      </c>
    </row>
    <row r="3551" spans="1:5" x14ac:dyDescent="0.35">
      <c r="A3551">
        <v>0</v>
      </c>
      <c r="B3551">
        <v>0</v>
      </c>
      <c r="C3551">
        <v>0</v>
      </c>
      <c r="D3551">
        <v>0</v>
      </c>
      <c r="E3551">
        <v>0</v>
      </c>
    </row>
    <row r="3552" spans="1:5" x14ac:dyDescent="0.35">
      <c r="A3552">
        <v>0</v>
      </c>
      <c r="B3552">
        <v>0</v>
      </c>
      <c r="C3552">
        <v>0</v>
      </c>
      <c r="D3552">
        <v>0</v>
      </c>
      <c r="E3552">
        <v>0</v>
      </c>
    </row>
    <row r="3553" spans="1:5" x14ac:dyDescent="0.35">
      <c r="A3553">
        <v>0</v>
      </c>
      <c r="B3553">
        <v>0</v>
      </c>
      <c r="C3553">
        <v>0</v>
      </c>
      <c r="D3553">
        <v>0</v>
      </c>
      <c r="E3553">
        <v>0</v>
      </c>
    </row>
    <row r="3554" spans="1:5" x14ac:dyDescent="0.35">
      <c r="A3554">
        <v>0</v>
      </c>
      <c r="B3554">
        <v>0</v>
      </c>
      <c r="C3554">
        <v>0</v>
      </c>
      <c r="D3554">
        <v>0</v>
      </c>
      <c r="E3554">
        <v>0</v>
      </c>
    </row>
    <row r="3555" spans="1:5" x14ac:dyDescent="0.35">
      <c r="A3555">
        <v>0</v>
      </c>
      <c r="B3555">
        <v>0</v>
      </c>
      <c r="C3555">
        <v>0</v>
      </c>
      <c r="D3555">
        <v>0</v>
      </c>
      <c r="E3555">
        <v>0</v>
      </c>
    </row>
    <row r="3556" spans="1:5" x14ac:dyDescent="0.35">
      <c r="A3556">
        <v>0</v>
      </c>
      <c r="B3556">
        <v>0</v>
      </c>
      <c r="C3556">
        <v>0</v>
      </c>
      <c r="D3556">
        <v>0</v>
      </c>
      <c r="E3556">
        <v>0</v>
      </c>
    </row>
    <row r="3557" spans="1:5" x14ac:dyDescent="0.35">
      <c r="A3557">
        <v>0</v>
      </c>
      <c r="B3557">
        <v>0</v>
      </c>
      <c r="C3557">
        <v>0</v>
      </c>
      <c r="D3557">
        <v>0</v>
      </c>
      <c r="E3557">
        <v>0</v>
      </c>
    </row>
    <row r="3558" spans="1:5" x14ac:dyDescent="0.35">
      <c r="A3558">
        <v>0</v>
      </c>
      <c r="B3558">
        <v>0</v>
      </c>
      <c r="C3558">
        <v>0</v>
      </c>
      <c r="D3558">
        <v>0</v>
      </c>
      <c r="E3558">
        <v>0</v>
      </c>
    </row>
    <row r="3559" spans="1:5" x14ac:dyDescent="0.35">
      <c r="A3559">
        <v>0</v>
      </c>
      <c r="B3559">
        <v>0</v>
      </c>
      <c r="C3559">
        <v>0</v>
      </c>
      <c r="D3559">
        <v>0</v>
      </c>
      <c r="E3559">
        <v>0</v>
      </c>
    </row>
    <row r="3560" spans="1:5" x14ac:dyDescent="0.35">
      <c r="A3560">
        <v>0</v>
      </c>
      <c r="B3560">
        <v>0</v>
      </c>
      <c r="C3560">
        <v>0</v>
      </c>
      <c r="D3560">
        <v>0</v>
      </c>
      <c r="E3560">
        <v>0</v>
      </c>
    </row>
    <row r="3561" spans="1:5" x14ac:dyDescent="0.35">
      <c r="A3561">
        <v>0</v>
      </c>
      <c r="B3561">
        <v>0</v>
      </c>
      <c r="C3561">
        <v>0</v>
      </c>
      <c r="D3561">
        <v>0</v>
      </c>
      <c r="E3561">
        <v>0</v>
      </c>
    </row>
    <row r="3562" spans="1:5" x14ac:dyDescent="0.35">
      <c r="A3562">
        <v>0</v>
      </c>
      <c r="B3562">
        <v>0</v>
      </c>
      <c r="C3562">
        <v>0</v>
      </c>
      <c r="D3562">
        <v>0</v>
      </c>
      <c r="E3562">
        <v>0</v>
      </c>
    </row>
    <row r="3563" spans="1:5" x14ac:dyDescent="0.35">
      <c r="A3563">
        <v>0</v>
      </c>
      <c r="B3563">
        <v>0</v>
      </c>
      <c r="C3563">
        <v>0</v>
      </c>
      <c r="D3563">
        <v>0</v>
      </c>
      <c r="E3563">
        <v>0</v>
      </c>
    </row>
    <row r="3564" spans="1:5" x14ac:dyDescent="0.35">
      <c r="A3564">
        <v>0</v>
      </c>
      <c r="B3564">
        <v>0</v>
      </c>
      <c r="C3564">
        <v>0</v>
      </c>
      <c r="D3564">
        <v>0</v>
      </c>
      <c r="E3564">
        <v>0</v>
      </c>
    </row>
    <row r="3565" spans="1:5" x14ac:dyDescent="0.35">
      <c r="A3565">
        <v>0</v>
      </c>
      <c r="B3565">
        <v>0</v>
      </c>
      <c r="C3565">
        <v>0</v>
      </c>
      <c r="D3565">
        <v>0</v>
      </c>
      <c r="E3565">
        <v>0</v>
      </c>
    </row>
    <row r="3566" spans="1:5" x14ac:dyDescent="0.35">
      <c r="A3566">
        <v>0</v>
      </c>
      <c r="B3566">
        <v>0</v>
      </c>
      <c r="C3566">
        <v>0</v>
      </c>
      <c r="D3566">
        <v>0</v>
      </c>
      <c r="E3566">
        <v>0</v>
      </c>
    </row>
    <row r="3567" spans="1:5" x14ac:dyDescent="0.35">
      <c r="A3567">
        <v>0</v>
      </c>
      <c r="B3567">
        <v>0</v>
      </c>
      <c r="C3567">
        <v>0</v>
      </c>
      <c r="D3567">
        <v>0</v>
      </c>
      <c r="E3567">
        <v>0</v>
      </c>
    </row>
    <row r="3568" spans="1:5" x14ac:dyDescent="0.35">
      <c r="A3568">
        <v>0</v>
      </c>
      <c r="B3568">
        <v>0</v>
      </c>
      <c r="C3568">
        <v>0</v>
      </c>
      <c r="D3568">
        <v>0</v>
      </c>
      <c r="E3568">
        <v>0</v>
      </c>
    </row>
    <row r="3569" spans="1:5" x14ac:dyDescent="0.35">
      <c r="A3569">
        <v>0</v>
      </c>
      <c r="B3569">
        <v>0</v>
      </c>
      <c r="C3569">
        <v>0</v>
      </c>
      <c r="D3569">
        <v>0</v>
      </c>
      <c r="E3569">
        <v>0</v>
      </c>
    </row>
    <row r="3570" spans="1:5" x14ac:dyDescent="0.35">
      <c r="A3570">
        <v>0</v>
      </c>
      <c r="B3570">
        <v>0</v>
      </c>
      <c r="C3570">
        <v>0</v>
      </c>
      <c r="D3570">
        <v>0</v>
      </c>
      <c r="E3570">
        <v>0</v>
      </c>
    </row>
    <row r="3571" spans="1:5" x14ac:dyDescent="0.35">
      <c r="A3571">
        <v>0</v>
      </c>
      <c r="B3571">
        <v>0</v>
      </c>
      <c r="C3571">
        <v>0</v>
      </c>
      <c r="D3571">
        <v>0</v>
      </c>
      <c r="E3571">
        <v>0</v>
      </c>
    </row>
    <row r="3572" spans="1:5" x14ac:dyDescent="0.35">
      <c r="A3572">
        <v>0</v>
      </c>
      <c r="B3572">
        <v>0</v>
      </c>
      <c r="C3572">
        <v>0</v>
      </c>
      <c r="D3572">
        <v>0</v>
      </c>
      <c r="E3572">
        <v>0</v>
      </c>
    </row>
    <row r="3573" spans="1:5" x14ac:dyDescent="0.35">
      <c r="A3573">
        <v>0</v>
      </c>
      <c r="B3573">
        <v>0</v>
      </c>
      <c r="C3573">
        <v>0</v>
      </c>
      <c r="D3573">
        <v>0</v>
      </c>
      <c r="E3573">
        <v>0</v>
      </c>
    </row>
    <row r="3574" spans="1:5" x14ac:dyDescent="0.35">
      <c r="A3574">
        <v>0</v>
      </c>
      <c r="B3574">
        <v>0</v>
      </c>
      <c r="C3574">
        <v>0</v>
      </c>
      <c r="D3574">
        <v>0</v>
      </c>
      <c r="E3574">
        <v>0</v>
      </c>
    </row>
    <row r="3575" spans="1:5" x14ac:dyDescent="0.35">
      <c r="A3575">
        <v>0</v>
      </c>
      <c r="B3575">
        <v>0</v>
      </c>
      <c r="C3575">
        <v>0</v>
      </c>
      <c r="D3575">
        <v>0</v>
      </c>
      <c r="E3575">
        <v>0</v>
      </c>
    </row>
    <row r="3576" spans="1:5" x14ac:dyDescent="0.35">
      <c r="A3576">
        <v>0</v>
      </c>
      <c r="B3576">
        <v>0</v>
      </c>
      <c r="C3576">
        <v>0</v>
      </c>
      <c r="D3576">
        <v>0</v>
      </c>
      <c r="E3576">
        <v>0</v>
      </c>
    </row>
    <row r="3577" spans="1:5" x14ac:dyDescent="0.35">
      <c r="A3577">
        <v>0</v>
      </c>
      <c r="B3577">
        <v>0</v>
      </c>
      <c r="C3577">
        <v>0</v>
      </c>
      <c r="D3577">
        <v>0</v>
      </c>
      <c r="E3577">
        <v>0</v>
      </c>
    </row>
    <row r="3578" spans="1:5" x14ac:dyDescent="0.35">
      <c r="A3578">
        <v>0</v>
      </c>
      <c r="B3578">
        <v>0</v>
      </c>
      <c r="C3578">
        <v>0</v>
      </c>
      <c r="D3578">
        <v>0</v>
      </c>
      <c r="E3578">
        <v>0</v>
      </c>
    </row>
    <row r="3579" spans="1:5" x14ac:dyDescent="0.35">
      <c r="A3579">
        <v>0</v>
      </c>
      <c r="B3579">
        <v>0</v>
      </c>
      <c r="C3579">
        <v>0</v>
      </c>
      <c r="D3579">
        <v>0</v>
      </c>
      <c r="E3579">
        <v>0</v>
      </c>
    </row>
    <row r="3580" spans="1:5" x14ac:dyDescent="0.35">
      <c r="A3580">
        <v>0</v>
      </c>
      <c r="B3580">
        <v>0</v>
      </c>
      <c r="C3580">
        <v>0</v>
      </c>
      <c r="D3580">
        <v>0</v>
      </c>
      <c r="E3580">
        <v>0</v>
      </c>
    </row>
    <row r="3581" spans="1:5" x14ac:dyDescent="0.35">
      <c r="A3581">
        <v>0</v>
      </c>
      <c r="B3581">
        <v>0</v>
      </c>
      <c r="C3581">
        <v>0</v>
      </c>
      <c r="D3581">
        <v>0</v>
      </c>
      <c r="E3581">
        <v>0</v>
      </c>
    </row>
    <row r="3582" spans="1:5" x14ac:dyDescent="0.35">
      <c r="A3582">
        <v>0</v>
      </c>
      <c r="B3582">
        <v>0</v>
      </c>
      <c r="C3582">
        <v>0</v>
      </c>
      <c r="D3582">
        <v>0</v>
      </c>
      <c r="E3582">
        <v>0</v>
      </c>
    </row>
    <row r="3583" spans="1:5" x14ac:dyDescent="0.35">
      <c r="A3583">
        <v>0</v>
      </c>
      <c r="B3583">
        <v>0</v>
      </c>
      <c r="C3583">
        <v>0</v>
      </c>
      <c r="D3583">
        <v>0</v>
      </c>
      <c r="E3583">
        <v>0</v>
      </c>
    </row>
    <row r="3584" spans="1:5" x14ac:dyDescent="0.35">
      <c r="A3584">
        <v>0</v>
      </c>
      <c r="B3584">
        <v>0</v>
      </c>
      <c r="C3584">
        <v>0</v>
      </c>
      <c r="D3584">
        <v>0</v>
      </c>
      <c r="E3584">
        <v>0</v>
      </c>
    </row>
    <row r="3585" spans="1:5" x14ac:dyDescent="0.35">
      <c r="A3585">
        <v>0</v>
      </c>
      <c r="B3585">
        <v>0</v>
      </c>
      <c r="C3585">
        <v>0</v>
      </c>
      <c r="D3585">
        <v>0</v>
      </c>
      <c r="E3585">
        <v>0</v>
      </c>
    </row>
    <row r="3586" spans="1:5" x14ac:dyDescent="0.35">
      <c r="A3586">
        <v>0</v>
      </c>
      <c r="B3586">
        <v>0</v>
      </c>
      <c r="C3586">
        <v>0</v>
      </c>
      <c r="D3586">
        <v>0</v>
      </c>
      <c r="E3586">
        <v>0</v>
      </c>
    </row>
    <row r="3587" spans="1:5" x14ac:dyDescent="0.35">
      <c r="A3587">
        <v>0</v>
      </c>
      <c r="B3587">
        <v>0</v>
      </c>
      <c r="C3587">
        <v>0</v>
      </c>
      <c r="D3587">
        <v>0</v>
      </c>
      <c r="E3587">
        <v>0</v>
      </c>
    </row>
    <row r="3588" spans="1:5" x14ac:dyDescent="0.35">
      <c r="A3588">
        <v>0</v>
      </c>
      <c r="B3588">
        <v>0</v>
      </c>
      <c r="C3588">
        <v>0</v>
      </c>
      <c r="D3588">
        <v>0</v>
      </c>
      <c r="E3588">
        <v>0</v>
      </c>
    </row>
    <row r="3589" spans="1:5" x14ac:dyDescent="0.35">
      <c r="A3589">
        <v>0</v>
      </c>
      <c r="B3589">
        <v>0</v>
      </c>
      <c r="C3589">
        <v>0</v>
      </c>
      <c r="D3589">
        <v>0</v>
      </c>
      <c r="E3589">
        <v>0</v>
      </c>
    </row>
    <row r="3590" spans="1:5" x14ac:dyDescent="0.35">
      <c r="A3590">
        <v>0</v>
      </c>
      <c r="B3590">
        <v>0</v>
      </c>
      <c r="C3590">
        <v>0</v>
      </c>
      <c r="D3590">
        <v>0</v>
      </c>
      <c r="E3590">
        <v>0</v>
      </c>
    </row>
    <row r="3591" spans="1:5" x14ac:dyDescent="0.35">
      <c r="A3591">
        <v>0</v>
      </c>
      <c r="B3591">
        <v>0</v>
      </c>
      <c r="C3591">
        <v>0</v>
      </c>
      <c r="D3591">
        <v>0</v>
      </c>
      <c r="E3591">
        <v>0</v>
      </c>
    </row>
    <row r="3592" spans="1:5" x14ac:dyDescent="0.35">
      <c r="A3592">
        <v>0</v>
      </c>
      <c r="B3592">
        <v>0</v>
      </c>
      <c r="C3592">
        <v>0</v>
      </c>
      <c r="D3592">
        <v>0</v>
      </c>
      <c r="E3592">
        <v>0</v>
      </c>
    </row>
    <row r="3593" spans="1:5" x14ac:dyDescent="0.35">
      <c r="A3593">
        <v>0</v>
      </c>
      <c r="B3593">
        <v>0</v>
      </c>
      <c r="C3593">
        <v>0</v>
      </c>
      <c r="D3593">
        <v>0</v>
      </c>
      <c r="E3593">
        <v>0</v>
      </c>
    </row>
    <row r="3594" spans="1:5" x14ac:dyDescent="0.35">
      <c r="A3594">
        <v>0</v>
      </c>
      <c r="B3594">
        <v>0</v>
      </c>
      <c r="C3594">
        <v>0</v>
      </c>
      <c r="D3594">
        <v>0</v>
      </c>
      <c r="E3594">
        <v>0</v>
      </c>
    </row>
    <row r="3595" spans="1:5" x14ac:dyDescent="0.35">
      <c r="A3595">
        <v>0</v>
      </c>
      <c r="B3595">
        <v>0</v>
      </c>
      <c r="C3595">
        <v>0</v>
      </c>
      <c r="D3595">
        <v>0</v>
      </c>
      <c r="E3595">
        <v>0</v>
      </c>
    </row>
    <row r="3596" spans="1:5" x14ac:dyDescent="0.35">
      <c r="A3596">
        <v>0</v>
      </c>
      <c r="B3596">
        <v>0</v>
      </c>
      <c r="C3596">
        <v>0</v>
      </c>
      <c r="D3596">
        <v>0</v>
      </c>
      <c r="E3596">
        <v>0</v>
      </c>
    </row>
    <row r="3597" spans="1:5" x14ac:dyDescent="0.35">
      <c r="A3597">
        <v>0</v>
      </c>
      <c r="B3597">
        <v>0</v>
      </c>
      <c r="C3597">
        <v>0</v>
      </c>
      <c r="D3597">
        <v>0</v>
      </c>
      <c r="E3597">
        <v>0</v>
      </c>
    </row>
    <row r="3598" spans="1:5" x14ac:dyDescent="0.35">
      <c r="A3598">
        <v>0</v>
      </c>
      <c r="B3598">
        <v>0</v>
      </c>
      <c r="C3598">
        <v>0</v>
      </c>
      <c r="D3598">
        <v>0</v>
      </c>
      <c r="E3598">
        <v>0</v>
      </c>
    </row>
    <row r="3599" spans="1:5" x14ac:dyDescent="0.35">
      <c r="A3599">
        <v>0</v>
      </c>
      <c r="B3599">
        <v>0</v>
      </c>
      <c r="C3599">
        <v>0</v>
      </c>
      <c r="D3599">
        <v>0</v>
      </c>
      <c r="E3599">
        <v>0</v>
      </c>
    </row>
    <row r="3600" spans="1:5" x14ac:dyDescent="0.35">
      <c r="A3600">
        <v>0</v>
      </c>
      <c r="B3600">
        <v>0</v>
      </c>
      <c r="C3600">
        <v>0</v>
      </c>
      <c r="D3600">
        <v>0</v>
      </c>
      <c r="E3600">
        <v>0</v>
      </c>
    </row>
    <row r="3601" spans="1:5" x14ac:dyDescent="0.35">
      <c r="A3601">
        <v>0</v>
      </c>
      <c r="B3601">
        <v>0</v>
      </c>
      <c r="C3601">
        <v>0</v>
      </c>
      <c r="D3601">
        <v>0</v>
      </c>
      <c r="E3601">
        <v>0</v>
      </c>
    </row>
    <row r="3602" spans="1:5" x14ac:dyDescent="0.35">
      <c r="A3602">
        <v>0</v>
      </c>
      <c r="B3602">
        <v>0</v>
      </c>
      <c r="C3602">
        <v>0</v>
      </c>
      <c r="D3602">
        <v>0</v>
      </c>
      <c r="E3602">
        <v>0</v>
      </c>
    </row>
    <row r="3603" spans="1:5" x14ac:dyDescent="0.35">
      <c r="A3603">
        <v>0</v>
      </c>
      <c r="B3603">
        <v>0</v>
      </c>
      <c r="C3603">
        <v>0</v>
      </c>
      <c r="D3603">
        <v>0</v>
      </c>
      <c r="E3603">
        <v>0</v>
      </c>
    </row>
    <row r="3604" spans="1:5" x14ac:dyDescent="0.35">
      <c r="A3604">
        <v>0</v>
      </c>
      <c r="B3604">
        <v>0</v>
      </c>
      <c r="C3604">
        <v>0</v>
      </c>
      <c r="D3604">
        <v>0</v>
      </c>
      <c r="E3604">
        <v>0</v>
      </c>
    </row>
    <row r="3605" spans="1:5" x14ac:dyDescent="0.35">
      <c r="A3605">
        <v>0</v>
      </c>
      <c r="B3605">
        <v>0</v>
      </c>
      <c r="C3605">
        <v>0</v>
      </c>
      <c r="D3605">
        <v>0</v>
      </c>
      <c r="E3605">
        <v>0</v>
      </c>
    </row>
    <row r="3606" spans="1:5" x14ac:dyDescent="0.35">
      <c r="A3606">
        <v>0</v>
      </c>
      <c r="B3606">
        <v>0</v>
      </c>
      <c r="C3606">
        <v>0</v>
      </c>
      <c r="D3606">
        <v>0</v>
      </c>
      <c r="E3606">
        <v>0</v>
      </c>
    </row>
    <row r="3607" spans="1:5" x14ac:dyDescent="0.35">
      <c r="A3607">
        <v>0</v>
      </c>
      <c r="B3607">
        <v>0</v>
      </c>
      <c r="C3607">
        <v>0</v>
      </c>
      <c r="D3607">
        <v>0</v>
      </c>
      <c r="E3607">
        <v>0</v>
      </c>
    </row>
    <row r="3608" spans="1:5" x14ac:dyDescent="0.35">
      <c r="A3608">
        <v>0</v>
      </c>
      <c r="B3608">
        <v>0</v>
      </c>
      <c r="C3608">
        <v>0</v>
      </c>
      <c r="D3608">
        <v>0</v>
      </c>
      <c r="E3608">
        <v>0</v>
      </c>
    </row>
    <row r="3609" spans="1:5" x14ac:dyDescent="0.35">
      <c r="A3609">
        <v>0</v>
      </c>
      <c r="B3609">
        <v>0</v>
      </c>
      <c r="C3609">
        <v>0</v>
      </c>
      <c r="D3609">
        <v>0</v>
      </c>
      <c r="E3609">
        <v>0</v>
      </c>
    </row>
    <row r="3610" spans="1:5" x14ac:dyDescent="0.35">
      <c r="A3610">
        <v>0</v>
      </c>
      <c r="B3610">
        <v>0</v>
      </c>
      <c r="C3610">
        <v>0</v>
      </c>
      <c r="D3610">
        <v>0</v>
      </c>
      <c r="E3610">
        <v>0</v>
      </c>
    </row>
    <row r="3611" spans="1:5" x14ac:dyDescent="0.35">
      <c r="A3611">
        <v>0</v>
      </c>
      <c r="B3611">
        <v>0</v>
      </c>
      <c r="C3611">
        <v>0</v>
      </c>
      <c r="D3611">
        <v>0</v>
      </c>
      <c r="E3611">
        <v>0</v>
      </c>
    </row>
    <row r="3612" spans="1:5" x14ac:dyDescent="0.35">
      <c r="A3612">
        <v>0</v>
      </c>
      <c r="B3612">
        <v>0</v>
      </c>
      <c r="C3612">
        <v>0</v>
      </c>
      <c r="D3612">
        <v>0</v>
      </c>
      <c r="E3612">
        <v>0</v>
      </c>
    </row>
    <row r="3613" spans="1:5" x14ac:dyDescent="0.35">
      <c r="A3613">
        <v>0</v>
      </c>
      <c r="B3613">
        <v>0</v>
      </c>
      <c r="C3613">
        <v>0</v>
      </c>
      <c r="D3613">
        <v>0</v>
      </c>
      <c r="E3613">
        <v>0</v>
      </c>
    </row>
    <row r="3614" spans="1:5" x14ac:dyDescent="0.35">
      <c r="A3614">
        <v>0</v>
      </c>
      <c r="B3614">
        <v>0</v>
      </c>
      <c r="C3614">
        <v>0</v>
      </c>
      <c r="D3614">
        <v>0</v>
      </c>
      <c r="E3614">
        <v>0</v>
      </c>
    </row>
    <row r="3615" spans="1:5" x14ac:dyDescent="0.35">
      <c r="A3615">
        <v>0</v>
      </c>
      <c r="B3615">
        <v>0</v>
      </c>
      <c r="C3615">
        <v>0</v>
      </c>
      <c r="D3615">
        <v>0</v>
      </c>
      <c r="E3615">
        <v>0</v>
      </c>
    </row>
    <row r="3616" spans="1:5" x14ac:dyDescent="0.35">
      <c r="A3616">
        <v>0</v>
      </c>
      <c r="B3616">
        <v>0</v>
      </c>
      <c r="C3616">
        <v>0</v>
      </c>
      <c r="D3616">
        <v>0</v>
      </c>
      <c r="E3616">
        <v>0</v>
      </c>
    </row>
    <row r="3617" spans="1:5" x14ac:dyDescent="0.35">
      <c r="A3617">
        <v>0</v>
      </c>
      <c r="B3617">
        <v>0</v>
      </c>
      <c r="C3617">
        <v>0</v>
      </c>
      <c r="D3617">
        <v>0</v>
      </c>
      <c r="E3617">
        <v>0</v>
      </c>
    </row>
    <row r="3618" spans="1:5" x14ac:dyDescent="0.35">
      <c r="A3618">
        <v>0</v>
      </c>
      <c r="B3618">
        <v>0</v>
      </c>
      <c r="C3618">
        <v>0</v>
      </c>
      <c r="D3618">
        <v>0</v>
      </c>
      <c r="E3618">
        <v>0</v>
      </c>
    </row>
    <row r="3619" spans="1:5" x14ac:dyDescent="0.35">
      <c r="A3619">
        <v>0</v>
      </c>
      <c r="B3619">
        <v>0</v>
      </c>
      <c r="C3619">
        <v>0</v>
      </c>
      <c r="D3619">
        <v>0</v>
      </c>
      <c r="E3619">
        <v>0</v>
      </c>
    </row>
    <row r="3620" spans="1:5" x14ac:dyDescent="0.35">
      <c r="A3620">
        <v>0</v>
      </c>
      <c r="B3620">
        <v>0</v>
      </c>
      <c r="C3620">
        <v>0</v>
      </c>
      <c r="D3620">
        <v>0</v>
      </c>
      <c r="E3620">
        <v>0</v>
      </c>
    </row>
    <row r="3621" spans="1:5" x14ac:dyDescent="0.35">
      <c r="A3621">
        <v>0</v>
      </c>
      <c r="B3621">
        <v>0</v>
      </c>
      <c r="C3621">
        <v>0</v>
      </c>
      <c r="D3621">
        <v>0</v>
      </c>
      <c r="E3621">
        <v>0</v>
      </c>
    </row>
    <row r="3622" spans="1:5" x14ac:dyDescent="0.35">
      <c r="A3622">
        <v>0</v>
      </c>
      <c r="B3622">
        <v>0</v>
      </c>
      <c r="C3622">
        <v>0</v>
      </c>
      <c r="D3622">
        <v>0</v>
      </c>
      <c r="E3622">
        <v>0</v>
      </c>
    </row>
    <row r="3623" spans="1:5" x14ac:dyDescent="0.35">
      <c r="A3623">
        <v>0</v>
      </c>
      <c r="B3623">
        <v>0</v>
      </c>
      <c r="C3623">
        <v>0</v>
      </c>
      <c r="D3623">
        <v>0</v>
      </c>
      <c r="E3623">
        <v>0</v>
      </c>
    </row>
    <row r="3624" spans="1:5" x14ac:dyDescent="0.35">
      <c r="A3624">
        <v>0</v>
      </c>
      <c r="B3624">
        <v>0</v>
      </c>
      <c r="C3624">
        <v>0</v>
      </c>
      <c r="D3624">
        <v>0</v>
      </c>
      <c r="E3624">
        <v>0</v>
      </c>
    </row>
    <row r="3625" spans="1:5" x14ac:dyDescent="0.35">
      <c r="A3625">
        <v>0</v>
      </c>
      <c r="B3625">
        <v>0</v>
      </c>
      <c r="C3625">
        <v>0</v>
      </c>
      <c r="D3625">
        <v>0</v>
      </c>
      <c r="E3625">
        <v>0</v>
      </c>
    </row>
    <row r="3626" spans="1:5" x14ac:dyDescent="0.35">
      <c r="A3626">
        <v>0</v>
      </c>
      <c r="B3626">
        <v>0</v>
      </c>
      <c r="C3626">
        <v>0</v>
      </c>
      <c r="D3626">
        <v>0</v>
      </c>
      <c r="E3626">
        <v>0</v>
      </c>
    </row>
    <row r="3627" spans="1:5" x14ac:dyDescent="0.35">
      <c r="A3627">
        <v>0</v>
      </c>
      <c r="B3627">
        <v>0</v>
      </c>
      <c r="C3627">
        <v>0</v>
      </c>
      <c r="D3627">
        <v>0</v>
      </c>
      <c r="E3627">
        <v>0</v>
      </c>
    </row>
    <row r="3628" spans="1:5" x14ac:dyDescent="0.35">
      <c r="A3628">
        <v>0</v>
      </c>
      <c r="B3628">
        <v>0</v>
      </c>
      <c r="C3628">
        <v>0</v>
      </c>
      <c r="D3628">
        <v>0</v>
      </c>
      <c r="E3628">
        <v>0</v>
      </c>
    </row>
    <row r="3629" spans="1:5" x14ac:dyDescent="0.35">
      <c r="A3629">
        <v>0</v>
      </c>
      <c r="B3629">
        <v>0</v>
      </c>
      <c r="C3629">
        <v>0</v>
      </c>
      <c r="D3629">
        <v>0</v>
      </c>
      <c r="E3629">
        <v>0</v>
      </c>
    </row>
    <row r="3630" spans="1:5" x14ac:dyDescent="0.35">
      <c r="A3630">
        <v>0</v>
      </c>
      <c r="B3630">
        <v>0</v>
      </c>
      <c r="C3630">
        <v>0</v>
      </c>
      <c r="D3630">
        <v>0</v>
      </c>
      <c r="E3630">
        <v>0</v>
      </c>
    </row>
    <row r="3631" spans="1:5" x14ac:dyDescent="0.35">
      <c r="A3631">
        <v>0</v>
      </c>
      <c r="B3631">
        <v>0</v>
      </c>
      <c r="C3631">
        <v>0</v>
      </c>
      <c r="D3631">
        <v>0</v>
      </c>
      <c r="E3631">
        <v>0</v>
      </c>
    </row>
    <row r="3632" spans="1:5" x14ac:dyDescent="0.35">
      <c r="A3632">
        <v>0</v>
      </c>
      <c r="B3632">
        <v>0</v>
      </c>
      <c r="C3632">
        <v>0</v>
      </c>
      <c r="D3632">
        <v>0</v>
      </c>
      <c r="E3632">
        <v>0</v>
      </c>
    </row>
    <row r="3633" spans="1:5" x14ac:dyDescent="0.35">
      <c r="A3633">
        <v>0</v>
      </c>
      <c r="B3633">
        <v>0</v>
      </c>
      <c r="C3633">
        <v>0</v>
      </c>
      <c r="D3633">
        <v>0</v>
      </c>
      <c r="E3633">
        <v>0</v>
      </c>
    </row>
    <row r="3634" spans="1:5" x14ac:dyDescent="0.35">
      <c r="A3634">
        <v>0</v>
      </c>
      <c r="B3634">
        <v>0</v>
      </c>
      <c r="C3634">
        <v>0</v>
      </c>
      <c r="D3634">
        <v>0</v>
      </c>
      <c r="E3634">
        <v>0</v>
      </c>
    </row>
    <row r="3635" spans="1:5" x14ac:dyDescent="0.35">
      <c r="A3635">
        <v>0</v>
      </c>
      <c r="B3635">
        <v>0</v>
      </c>
      <c r="C3635">
        <v>0</v>
      </c>
      <c r="D3635">
        <v>0</v>
      </c>
      <c r="E3635">
        <v>0</v>
      </c>
    </row>
    <row r="3636" spans="1:5" x14ac:dyDescent="0.35">
      <c r="A3636">
        <v>0</v>
      </c>
      <c r="B3636">
        <v>0</v>
      </c>
      <c r="C3636">
        <v>0</v>
      </c>
      <c r="D3636">
        <v>0</v>
      </c>
      <c r="E3636">
        <v>0</v>
      </c>
    </row>
    <row r="3637" spans="1:5" x14ac:dyDescent="0.35">
      <c r="A3637">
        <v>0</v>
      </c>
      <c r="B3637">
        <v>0</v>
      </c>
      <c r="C3637">
        <v>0</v>
      </c>
      <c r="D3637">
        <v>0</v>
      </c>
      <c r="E3637">
        <v>0</v>
      </c>
    </row>
    <row r="3638" spans="1:5" x14ac:dyDescent="0.35">
      <c r="A3638">
        <v>0</v>
      </c>
      <c r="B3638">
        <v>0</v>
      </c>
      <c r="C3638">
        <v>0</v>
      </c>
      <c r="D3638">
        <v>0</v>
      </c>
      <c r="E3638">
        <v>0</v>
      </c>
    </row>
    <row r="3639" spans="1:5" x14ac:dyDescent="0.35">
      <c r="A3639">
        <v>0</v>
      </c>
      <c r="B3639">
        <v>0</v>
      </c>
      <c r="C3639">
        <v>0</v>
      </c>
      <c r="D3639">
        <v>0</v>
      </c>
      <c r="E3639">
        <v>0</v>
      </c>
    </row>
    <row r="3640" spans="1:5" x14ac:dyDescent="0.35">
      <c r="A3640">
        <v>0</v>
      </c>
      <c r="B3640">
        <v>0</v>
      </c>
      <c r="C3640">
        <v>0</v>
      </c>
      <c r="D3640">
        <v>0</v>
      </c>
      <c r="E3640">
        <v>0</v>
      </c>
    </row>
    <row r="3641" spans="1:5" x14ac:dyDescent="0.35">
      <c r="A3641">
        <v>0</v>
      </c>
      <c r="B3641">
        <v>0</v>
      </c>
      <c r="C3641">
        <v>0</v>
      </c>
      <c r="D3641">
        <v>0</v>
      </c>
      <c r="E3641">
        <v>0</v>
      </c>
    </row>
    <row r="3642" spans="1:5" x14ac:dyDescent="0.35">
      <c r="A3642">
        <v>0</v>
      </c>
      <c r="B3642">
        <v>0</v>
      </c>
      <c r="C3642">
        <v>0</v>
      </c>
      <c r="D3642">
        <v>0</v>
      </c>
      <c r="E3642">
        <v>0</v>
      </c>
    </row>
    <row r="3643" spans="1:5" x14ac:dyDescent="0.35">
      <c r="A3643">
        <v>0</v>
      </c>
      <c r="B3643">
        <v>0</v>
      </c>
      <c r="C3643">
        <v>0</v>
      </c>
      <c r="D3643">
        <v>0</v>
      </c>
      <c r="E3643">
        <v>0</v>
      </c>
    </row>
    <row r="3644" spans="1:5" x14ac:dyDescent="0.35">
      <c r="A3644">
        <v>0</v>
      </c>
      <c r="B3644">
        <v>0</v>
      </c>
      <c r="C3644">
        <v>0</v>
      </c>
      <c r="D3644">
        <v>0</v>
      </c>
      <c r="E3644">
        <v>0</v>
      </c>
    </row>
    <row r="3645" spans="1:5" x14ac:dyDescent="0.35">
      <c r="A3645">
        <v>0</v>
      </c>
      <c r="B3645">
        <v>0</v>
      </c>
      <c r="C3645">
        <v>0</v>
      </c>
      <c r="D3645">
        <v>0</v>
      </c>
      <c r="E3645">
        <v>0</v>
      </c>
    </row>
    <row r="3646" spans="1:5" x14ac:dyDescent="0.35">
      <c r="A3646">
        <v>0</v>
      </c>
      <c r="B3646">
        <v>0</v>
      </c>
      <c r="C3646">
        <v>0</v>
      </c>
      <c r="D3646">
        <v>0</v>
      </c>
      <c r="E3646">
        <v>0</v>
      </c>
    </row>
    <row r="3647" spans="1:5" x14ac:dyDescent="0.35">
      <c r="A3647">
        <v>0</v>
      </c>
      <c r="B3647">
        <v>0</v>
      </c>
      <c r="C3647">
        <v>0</v>
      </c>
      <c r="D3647">
        <v>0</v>
      </c>
      <c r="E3647">
        <v>0</v>
      </c>
    </row>
    <row r="3648" spans="1:5" x14ac:dyDescent="0.35">
      <c r="A3648">
        <v>0</v>
      </c>
      <c r="B3648">
        <v>0</v>
      </c>
      <c r="C3648">
        <v>0</v>
      </c>
      <c r="D3648">
        <v>0</v>
      </c>
      <c r="E3648">
        <v>0</v>
      </c>
    </row>
    <row r="3649" spans="1:5" x14ac:dyDescent="0.35">
      <c r="A3649">
        <v>0</v>
      </c>
      <c r="B3649">
        <v>0</v>
      </c>
      <c r="C3649">
        <v>0</v>
      </c>
      <c r="D3649">
        <v>0</v>
      </c>
      <c r="E3649">
        <v>0</v>
      </c>
    </row>
    <row r="3650" spans="1:5" x14ac:dyDescent="0.35">
      <c r="A3650">
        <v>0</v>
      </c>
      <c r="B3650">
        <v>0</v>
      </c>
      <c r="C3650">
        <v>0</v>
      </c>
      <c r="D3650">
        <v>0</v>
      </c>
      <c r="E3650">
        <v>0</v>
      </c>
    </row>
    <row r="3651" spans="1:5" x14ac:dyDescent="0.35">
      <c r="A3651">
        <v>0</v>
      </c>
      <c r="B3651">
        <v>0</v>
      </c>
      <c r="C3651">
        <v>0</v>
      </c>
      <c r="D3651">
        <v>0</v>
      </c>
      <c r="E3651">
        <v>0</v>
      </c>
    </row>
    <row r="3652" spans="1:5" x14ac:dyDescent="0.35">
      <c r="A3652">
        <v>0</v>
      </c>
      <c r="B3652">
        <v>0</v>
      </c>
      <c r="C3652">
        <v>0</v>
      </c>
      <c r="D3652">
        <v>0</v>
      </c>
      <c r="E3652">
        <v>0</v>
      </c>
    </row>
    <row r="3653" spans="1:5" x14ac:dyDescent="0.35">
      <c r="A3653">
        <v>0</v>
      </c>
      <c r="B3653">
        <v>0</v>
      </c>
      <c r="C3653">
        <v>0</v>
      </c>
      <c r="D3653">
        <v>0</v>
      </c>
      <c r="E3653">
        <v>0</v>
      </c>
    </row>
    <row r="3654" spans="1:5" x14ac:dyDescent="0.35">
      <c r="A3654">
        <v>0</v>
      </c>
      <c r="B3654">
        <v>0</v>
      </c>
      <c r="C3654">
        <v>0</v>
      </c>
      <c r="D3654">
        <v>0</v>
      </c>
      <c r="E3654">
        <v>0</v>
      </c>
    </row>
    <row r="3655" spans="1:5" x14ac:dyDescent="0.35">
      <c r="A3655">
        <v>0</v>
      </c>
      <c r="B3655">
        <v>0</v>
      </c>
      <c r="C3655">
        <v>0</v>
      </c>
      <c r="D3655">
        <v>0</v>
      </c>
      <c r="E3655">
        <v>0</v>
      </c>
    </row>
    <row r="3656" spans="1:5" x14ac:dyDescent="0.35">
      <c r="A3656">
        <v>0</v>
      </c>
      <c r="B3656">
        <v>0</v>
      </c>
      <c r="C3656">
        <v>0</v>
      </c>
      <c r="D3656">
        <v>0</v>
      </c>
      <c r="E3656">
        <v>0</v>
      </c>
    </row>
    <row r="3657" spans="1:5" x14ac:dyDescent="0.35">
      <c r="A3657">
        <v>0</v>
      </c>
      <c r="B3657">
        <v>0</v>
      </c>
      <c r="C3657">
        <v>0</v>
      </c>
      <c r="D3657">
        <v>0</v>
      </c>
      <c r="E3657">
        <v>0</v>
      </c>
    </row>
    <row r="3658" spans="1:5" x14ac:dyDescent="0.35">
      <c r="A3658">
        <v>0</v>
      </c>
      <c r="B3658">
        <v>0</v>
      </c>
      <c r="C3658">
        <v>0</v>
      </c>
      <c r="D3658">
        <v>0</v>
      </c>
      <c r="E3658">
        <v>0</v>
      </c>
    </row>
    <row r="3659" spans="1:5" x14ac:dyDescent="0.35">
      <c r="A3659">
        <v>0</v>
      </c>
      <c r="B3659">
        <v>0</v>
      </c>
      <c r="C3659">
        <v>0</v>
      </c>
      <c r="D3659">
        <v>0</v>
      </c>
      <c r="E3659">
        <v>0</v>
      </c>
    </row>
    <row r="3660" spans="1:5" x14ac:dyDescent="0.35">
      <c r="A3660">
        <v>0</v>
      </c>
      <c r="B3660">
        <v>0</v>
      </c>
      <c r="C3660">
        <v>0</v>
      </c>
      <c r="D3660">
        <v>0</v>
      </c>
      <c r="E3660">
        <v>0</v>
      </c>
    </row>
    <row r="3661" spans="1:5" x14ac:dyDescent="0.35">
      <c r="A3661">
        <v>0</v>
      </c>
      <c r="B3661">
        <v>0</v>
      </c>
      <c r="C3661">
        <v>0</v>
      </c>
      <c r="D3661">
        <v>0</v>
      </c>
      <c r="E3661">
        <v>0</v>
      </c>
    </row>
    <row r="3662" spans="1:5" x14ac:dyDescent="0.35">
      <c r="A3662">
        <v>0</v>
      </c>
      <c r="B3662">
        <v>0</v>
      </c>
      <c r="C3662">
        <v>0</v>
      </c>
      <c r="D3662">
        <v>0</v>
      </c>
      <c r="E3662">
        <v>0</v>
      </c>
    </row>
    <row r="3663" spans="1:5" x14ac:dyDescent="0.35">
      <c r="A3663">
        <v>0</v>
      </c>
      <c r="B3663">
        <v>0</v>
      </c>
      <c r="C3663">
        <v>0</v>
      </c>
      <c r="D3663">
        <v>0</v>
      </c>
      <c r="E3663">
        <v>0</v>
      </c>
    </row>
    <row r="3664" spans="1:5" x14ac:dyDescent="0.35">
      <c r="A3664">
        <v>0</v>
      </c>
      <c r="B3664">
        <v>0</v>
      </c>
      <c r="C3664">
        <v>0</v>
      </c>
      <c r="D3664">
        <v>0</v>
      </c>
      <c r="E3664">
        <v>0</v>
      </c>
    </row>
    <row r="3665" spans="1:5" x14ac:dyDescent="0.35">
      <c r="A3665">
        <v>0</v>
      </c>
      <c r="B3665">
        <v>0</v>
      </c>
      <c r="C3665">
        <v>0</v>
      </c>
      <c r="D3665">
        <v>0</v>
      </c>
      <c r="E3665">
        <v>0</v>
      </c>
    </row>
    <row r="3666" spans="1:5" x14ac:dyDescent="0.35">
      <c r="A3666">
        <v>0</v>
      </c>
      <c r="B3666">
        <v>0</v>
      </c>
      <c r="C3666">
        <v>0</v>
      </c>
      <c r="D3666">
        <v>0</v>
      </c>
      <c r="E3666">
        <v>0</v>
      </c>
    </row>
    <row r="3667" spans="1:5" x14ac:dyDescent="0.35">
      <c r="A3667">
        <v>0</v>
      </c>
      <c r="B3667">
        <v>0</v>
      </c>
      <c r="C3667">
        <v>0</v>
      </c>
      <c r="D3667">
        <v>0</v>
      </c>
      <c r="E3667">
        <v>0</v>
      </c>
    </row>
    <row r="3668" spans="1:5" x14ac:dyDescent="0.35">
      <c r="A3668">
        <v>0</v>
      </c>
      <c r="B3668">
        <v>0</v>
      </c>
      <c r="C3668">
        <v>0</v>
      </c>
      <c r="D3668">
        <v>0</v>
      </c>
      <c r="E3668">
        <v>0</v>
      </c>
    </row>
    <row r="3669" spans="1:5" x14ac:dyDescent="0.35">
      <c r="A3669">
        <v>0</v>
      </c>
      <c r="B3669">
        <v>0</v>
      </c>
      <c r="C3669">
        <v>0</v>
      </c>
      <c r="D3669">
        <v>0</v>
      </c>
      <c r="E3669">
        <v>0</v>
      </c>
    </row>
    <row r="3670" spans="1:5" x14ac:dyDescent="0.35">
      <c r="A3670">
        <v>0</v>
      </c>
      <c r="B3670">
        <v>0</v>
      </c>
      <c r="C3670">
        <v>0</v>
      </c>
      <c r="D3670">
        <v>0</v>
      </c>
      <c r="E3670">
        <v>0</v>
      </c>
    </row>
    <row r="3671" spans="1:5" x14ac:dyDescent="0.35">
      <c r="A3671">
        <v>0</v>
      </c>
      <c r="B3671">
        <v>0</v>
      </c>
      <c r="C3671">
        <v>0</v>
      </c>
      <c r="D3671">
        <v>0</v>
      </c>
      <c r="E3671">
        <v>0</v>
      </c>
    </row>
    <row r="3672" spans="1:5" x14ac:dyDescent="0.35">
      <c r="A3672">
        <v>0</v>
      </c>
      <c r="B3672">
        <v>0</v>
      </c>
      <c r="C3672">
        <v>0</v>
      </c>
      <c r="D3672">
        <v>0</v>
      </c>
      <c r="E3672">
        <v>0</v>
      </c>
    </row>
    <row r="3673" spans="1:5" x14ac:dyDescent="0.35">
      <c r="A3673">
        <v>0</v>
      </c>
      <c r="B3673">
        <v>0</v>
      </c>
      <c r="C3673">
        <v>0</v>
      </c>
      <c r="D3673">
        <v>0</v>
      </c>
      <c r="E3673">
        <v>0</v>
      </c>
    </row>
    <row r="3674" spans="1:5" x14ac:dyDescent="0.35">
      <c r="A3674">
        <v>0</v>
      </c>
      <c r="B3674">
        <v>0</v>
      </c>
      <c r="C3674">
        <v>0</v>
      </c>
      <c r="D3674">
        <v>0</v>
      </c>
      <c r="E3674">
        <v>0</v>
      </c>
    </row>
    <row r="3675" spans="1:5" x14ac:dyDescent="0.35">
      <c r="A3675">
        <v>0</v>
      </c>
      <c r="B3675">
        <v>0</v>
      </c>
      <c r="C3675">
        <v>0</v>
      </c>
      <c r="D3675">
        <v>0</v>
      </c>
      <c r="E3675">
        <v>0</v>
      </c>
    </row>
    <row r="3676" spans="1:5" x14ac:dyDescent="0.35">
      <c r="A3676">
        <v>0</v>
      </c>
      <c r="B3676">
        <v>0</v>
      </c>
      <c r="C3676">
        <v>0</v>
      </c>
      <c r="D3676">
        <v>0</v>
      </c>
      <c r="E3676">
        <v>0</v>
      </c>
    </row>
    <row r="3677" spans="1:5" x14ac:dyDescent="0.35">
      <c r="A3677">
        <v>0</v>
      </c>
      <c r="B3677">
        <v>0</v>
      </c>
      <c r="C3677">
        <v>0</v>
      </c>
      <c r="D3677">
        <v>0</v>
      </c>
      <c r="E3677">
        <v>0</v>
      </c>
    </row>
    <row r="3678" spans="1:5" x14ac:dyDescent="0.35">
      <c r="A3678">
        <v>0</v>
      </c>
      <c r="B3678">
        <v>0</v>
      </c>
      <c r="C3678">
        <v>0</v>
      </c>
      <c r="D3678">
        <v>0</v>
      </c>
      <c r="E3678">
        <v>0</v>
      </c>
    </row>
    <row r="3679" spans="1:5" x14ac:dyDescent="0.35">
      <c r="A3679">
        <v>0</v>
      </c>
      <c r="B3679">
        <v>0</v>
      </c>
      <c r="C3679">
        <v>0</v>
      </c>
      <c r="D3679">
        <v>0</v>
      </c>
      <c r="E3679">
        <v>0</v>
      </c>
    </row>
    <row r="3680" spans="1:5" x14ac:dyDescent="0.35">
      <c r="A3680">
        <v>0</v>
      </c>
      <c r="B3680">
        <v>0</v>
      </c>
      <c r="C3680">
        <v>0</v>
      </c>
      <c r="D3680">
        <v>0</v>
      </c>
      <c r="E3680">
        <v>0</v>
      </c>
    </row>
    <row r="3681" spans="1:5" x14ac:dyDescent="0.35">
      <c r="A3681">
        <v>0</v>
      </c>
      <c r="B3681">
        <v>0</v>
      </c>
      <c r="C3681">
        <v>0</v>
      </c>
      <c r="D3681">
        <v>0</v>
      </c>
      <c r="E3681">
        <v>0</v>
      </c>
    </row>
    <row r="3682" spans="1:5" x14ac:dyDescent="0.35">
      <c r="A3682">
        <v>0</v>
      </c>
      <c r="B3682">
        <v>0</v>
      </c>
      <c r="C3682">
        <v>0</v>
      </c>
      <c r="D3682">
        <v>0</v>
      </c>
      <c r="E3682">
        <v>0</v>
      </c>
    </row>
    <row r="3683" spans="1:5" x14ac:dyDescent="0.35">
      <c r="A3683">
        <v>0</v>
      </c>
      <c r="B3683">
        <v>0</v>
      </c>
      <c r="C3683">
        <v>0</v>
      </c>
      <c r="D3683">
        <v>0</v>
      </c>
      <c r="E3683">
        <v>0</v>
      </c>
    </row>
    <row r="3684" spans="1:5" x14ac:dyDescent="0.35">
      <c r="A3684">
        <v>0</v>
      </c>
      <c r="B3684">
        <v>0</v>
      </c>
      <c r="C3684">
        <v>0</v>
      </c>
      <c r="D3684">
        <v>0</v>
      </c>
      <c r="E3684">
        <v>0</v>
      </c>
    </row>
    <row r="3685" spans="1:5" x14ac:dyDescent="0.35">
      <c r="A3685">
        <v>0</v>
      </c>
      <c r="B3685">
        <v>0</v>
      </c>
      <c r="C3685">
        <v>0</v>
      </c>
      <c r="D3685">
        <v>0</v>
      </c>
      <c r="E3685">
        <v>0</v>
      </c>
    </row>
    <row r="3686" spans="1:5" x14ac:dyDescent="0.35">
      <c r="A3686">
        <v>0</v>
      </c>
      <c r="B3686">
        <v>0</v>
      </c>
      <c r="C3686">
        <v>0</v>
      </c>
      <c r="D3686">
        <v>0</v>
      </c>
      <c r="E3686">
        <v>0</v>
      </c>
    </row>
    <row r="3687" spans="1:5" x14ac:dyDescent="0.35">
      <c r="A3687">
        <v>0</v>
      </c>
      <c r="B3687">
        <v>0</v>
      </c>
      <c r="C3687">
        <v>0</v>
      </c>
      <c r="D3687">
        <v>0</v>
      </c>
      <c r="E3687">
        <v>0</v>
      </c>
    </row>
    <row r="3688" spans="1:5" x14ac:dyDescent="0.35">
      <c r="A3688">
        <v>0</v>
      </c>
      <c r="B3688">
        <v>0</v>
      </c>
      <c r="C3688">
        <v>0</v>
      </c>
      <c r="D3688">
        <v>0</v>
      </c>
      <c r="E3688">
        <v>0</v>
      </c>
    </row>
    <row r="3689" spans="1:5" x14ac:dyDescent="0.35">
      <c r="A3689">
        <v>0</v>
      </c>
      <c r="B3689">
        <v>0</v>
      </c>
      <c r="C3689">
        <v>0</v>
      </c>
      <c r="D3689">
        <v>0</v>
      </c>
      <c r="E3689">
        <v>0</v>
      </c>
    </row>
    <row r="3690" spans="1:5" x14ac:dyDescent="0.35">
      <c r="A3690">
        <v>0</v>
      </c>
      <c r="B3690">
        <v>0</v>
      </c>
      <c r="C3690">
        <v>0</v>
      </c>
      <c r="D3690">
        <v>0</v>
      </c>
      <c r="E3690">
        <v>0</v>
      </c>
    </row>
    <row r="3691" spans="1:5" x14ac:dyDescent="0.35">
      <c r="A3691">
        <v>0</v>
      </c>
      <c r="B3691">
        <v>0</v>
      </c>
      <c r="C3691">
        <v>0</v>
      </c>
      <c r="D3691">
        <v>0</v>
      </c>
      <c r="E3691">
        <v>0</v>
      </c>
    </row>
    <row r="3692" spans="1:5" x14ac:dyDescent="0.35">
      <c r="A3692">
        <v>0</v>
      </c>
      <c r="B3692">
        <v>0</v>
      </c>
      <c r="C3692">
        <v>0</v>
      </c>
      <c r="D3692">
        <v>0</v>
      </c>
      <c r="E3692">
        <v>0</v>
      </c>
    </row>
    <row r="3693" spans="1:5" x14ac:dyDescent="0.35">
      <c r="A3693">
        <v>0</v>
      </c>
      <c r="B3693">
        <v>0</v>
      </c>
      <c r="C3693">
        <v>0</v>
      </c>
      <c r="D3693">
        <v>0</v>
      </c>
      <c r="E3693">
        <v>0</v>
      </c>
    </row>
    <row r="3694" spans="1:5" x14ac:dyDescent="0.35">
      <c r="A3694">
        <v>0</v>
      </c>
      <c r="B3694">
        <v>0</v>
      </c>
      <c r="C3694">
        <v>0</v>
      </c>
      <c r="D3694">
        <v>0</v>
      </c>
      <c r="E3694">
        <v>0</v>
      </c>
    </row>
    <row r="3695" spans="1:5" x14ac:dyDescent="0.35">
      <c r="A3695">
        <v>0</v>
      </c>
      <c r="B3695">
        <v>0</v>
      </c>
      <c r="C3695">
        <v>0</v>
      </c>
      <c r="D3695">
        <v>0</v>
      </c>
      <c r="E3695">
        <v>0</v>
      </c>
    </row>
    <row r="3696" spans="1:5" x14ac:dyDescent="0.35">
      <c r="A3696">
        <v>0</v>
      </c>
      <c r="B3696">
        <v>0</v>
      </c>
      <c r="C3696">
        <v>0</v>
      </c>
      <c r="D3696">
        <v>0</v>
      </c>
      <c r="E3696">
        <v>0</v>
      </c>
    </row>
    <row r="3697" spans="1:5" x14ac:dyDescent="0.35">
      <c r="A3697">
        <v>0</v>
      </c>
      <c r="B3697">
        <v>0</v>
      </c>
      <c r="C3697">
        <v>0</v>
      </c>
      <c r="D3697">
        <v>0</v>
      </c>
      <c r="E3697">
        <v>0</v>
      </c>
    </row>
    <row r="3698" spans="1:5" x14ac:dyDescent="0.35">
      <c r="A3698">
        <v>0</v>
      </c>
      <c r="B3698">
        <v>0</v>
      </c>
      <c r="C3698">
        <v>0</v>
      </c>
      <c r="D3698">
        <v>0</v>
      </c>
      <c r="E3698">
        <v>0</v>
      </c>
    </row>
    <row r="3699" spans="1:5" x14ac:dyDescent="0.35">
      <c r="A3699">
        <v>0</v>
      </c>
      <c r="B3699">
        <v>0</v>
      </c>
      <c r="C3699">
        <v>0</v>
      </c>
      <c r="D3699">
        <v>0</v>
      </c>
      <c r="E3699">
        <v>0</v>
      </c>
    </row>
    <row r="3700" spans="1:5" x14ac:dyDescent="0.35">
      <c r="A3700">
        <v>0</v>
      </c>
      <c r="B3700">
        <v>0</v>
      </c>
      <c r="C3700">
        <v>0</v>
      </c>
      <c r="D3700">
        <v>0</v>
      </c>
      <c r="E3700">
        <v>0</v>
      </c>
    </row>
    <row r="3701" spans="1:5" x14ac:dyDescent="0.35">
      <c r="A3701">
        <v>0</v>
      </c>
      <c r="B3701">
        <v>0</v>
      </c>
      <c r="C3701">
        <v>0</v>
      </c>
      <c r="D3701">
        <v>0</v>
      </c>
      <c r="E3701">
        <v>0</v>
      </c>
    </row>
    <row r="3702" spans="1:5" x14ac:dyDescent="0.35">
      <c r="A3702">
        <v>0</v>
      </c>
      <c r="B3702">
        <v>0</v>
      </c>
      <c r="C3702">
        <v>0</v>
      </c>
      <c r="D3702">
        <v>0</v>
      </c>
      <c r="E3702">
        <v>0</v>
      </c>
    </row>
    <row r="3703" spans="1:5" x14ac:dyDescent="0.35">
      <c r="A3703">
        <v>0</v>
      </c>
      <c r="B3703">
        <v>0</v>
      </c>
      <c r="C3703">
        <v>0</v>
      </c>
      <c r="D3703">
        <v>0</v>
      </c>
      <c r="E3703">
        <v>0</v>
      </c>
    </row>
    <row r="3704" spans="1:5" x14ac:dyDescent="0.35">
      <c r="A3704">
        <v>0</v>
      </c>
      <c r="B3704">
        <v>0</v>
      </c>
      <c r="C3704">
        <v>0</v>
      </c>
      <c r="D3704">
        <v>0</v>
      </c>
      <c r="E3704">
        <v>0</v>
      </c>
    </row>
    <row r="3705" spans="1:5" x14ac:dyDescent="0.35">
      <c r="A3705">
        <v>0</v>
      </c>
      <c r="B3705">
        <v>0</v>
      </c>
      <c r="C3705">
        <v>0</v>
      </c>
      <c r="D3705">
        <v>0</v>
      </c>
      <c r="E3705">
        <v>0</v>
      </c>
    </row>
    <row r="3706" spans="1:5" x14ac:dyDescent="0.35">
      <c r="A3706">
        <v>0</v>
      </c>
      <c r="B3706">
        <v>0</v>
      </c>
      <c r="C3706">
        <v>0</v>
      </c>
      <c r="D3706">
        <v>0</v>
      </c>
      <c r="E3706">
        <v>0</v>
      </c>
    </row>
    <row r="3707" spans="1:5" x14ac:dyDescent="0.35">
      <c r="A3707">
        <v>0</v>
      </c>
      <c r="B3707">
        <v>0</v>
      </c>
      <c r="C3707">
        <v>0</v>
      </c>
      <c r="D3707">
        <v>0</v>
      </c>
      <c r="E3707">
        <v>0</v>
      </c>
    </row>
    <row r="3708" spans="1:5" x14ac:dyDescent="0.35">
      <c r="A3708">
        <v>0</v>
      </c>
      <c r="B3708">
        <v>0</v>
      </c>
      <c r="C3708">
        <v>0</v>
      </c>
      <c r="D3708">
        <v>0</v>
      </c>
      <c r="E3708">
        <v>0</v>
      </c>
    </row>
    <row r="3709" spans="1:5" x14ac:dyDescent="0.35">
      <c r="A3709">
        <v>0</v>
      </c>
      <c r="B3709">
        <v>0</v>
      </c>
      <c r="C3709">
        <v>0</v>
      </c>
      <c r="D3709">
        <v>0</v>
      </c>
      <c r="E3709">
        <v>0</v>
      </c>
    </row>
    <row r="3710" spans="1:5" x14ac:dyDescent="0.35">
      <c r="A3710">
        <v>0</v>
      </c>
      <c r="B3710">
        <v>0</v>
      </c>
      <c r="C3710">
        <v>0</v>
      </c>
      <c r="D3710">
        <v>0</v>
      </c>
      <c r="E3710">
        <v>0</v>
      </c>
    </row>
    <row r="3711" spans="1:5" x14ac:dyDescent="0.35">
      <c r="A3711">
        <v>0</v>
      </c>
      <c r="B3711">
        <v>0</v>
      </c>
      <c r="C3711">
        <v>0</v>
      </c>
      <c r="D3711">
        <v>0</v>
      </c>
      <c r="E3711">
        <v>0</v>
      </c>
    </row>
    <row r="3712" spans="1:5" x14ac:dyDescent="0.35">
      <c r="A3712">
        <v>0</v>
      </c>
      <c r="B3712">
        <v>0</v>
      </c>
      <c r="C3712">
        <v>0</v>
      </c>
      <c r="D3712">
        <v>0</v>
      </c>
      <c r="E3712">
        <v>0</v>
      </c>
    </row>
    <row r="3713" spans="1:5" x14ac:dyDescent="0.35">
      <c r="A3713">
        <v>0</v>
      </c>
      <c r="B3713">
        <v>0</v>
      </c>
      <c r="C3713">
        <v>0</v>
      </c>
      <c r="D3713">
        <v>0</v>
      </c>
      <c r="E3713">
        <v>0</v>
      </c>
    </row>
    <row r="3714" spans="1:5" x14ac:dyDescent="0.35">
      <c r="A3714">
        <v>0</v>
      </c>
      <c r="B3714">
        <v>0</v>
      </c>
      <c r="C3714">
        <v>0</v>
      </c>
      <c r="D3714">
        <v>0</v>
      </c>
      <c r="E3714">
        <v>0</v>
      </c>
    </row>
    <row r="3715" spans="1:5" x14ac:dyDescent="0.35">
      <c r="A3715">
        <v>0</v>
      </c>
      <c r="B3715">
        <v>0</v>
      </c>
      <c r="C3715">
        <v>0</v>
      </c>
      <c r="D3715">
        <v>0</v>
      </c>
      <c r="E3715">
        <v>0</v>
      </c>
    </row>
    <row r="3716" spans="1:5" x14ac:dyDescent="0.35">
      <c r="A3716">
        <v>0</v>
      </c>
      <c r="B3716">
        <v>0</v>
      </c>
      <c r="C3716">
        <v>0</v>
      </c>
      <c r="D3716">
        <v>0</v>
      </c>
      <c r="E3716">
        <v>0</v>
      </c>
    </row>
    <row r="3717" spans="1:5" x14ac:dyDescent="0.35">
      <c r="A3717">
        <v>0</v>
      </c>
      <c r="B3717">
        <v>0</v>
      </c>
      <c r="C3717">
        <v>0</v>
      </c>
      <c r="D3717">
        <v>0</v>
      </c>
      <c r="E3717">
        <v>0</v>
      </c>
    </row>
    <row r="3718" spans="1:5" x14ac:dyDescent="0.35">
      <c r="A3718">
        <v>0</v>
      </c>
      <c r="B3718">
        <v>0</v>
      </c>
      <c r="C3718">
        <v>0</v>
      </c>
      <c r="D3718">
        <v>0</v>
      </c>
      <c r="E3718">
        <v>0</v>
      </c>
    </row>
    <row r="3719" spans="1:5" x14ac:dyDescent="0.35">
      <c r="A3719">
        <v>0</v>
      </c>
      <c r="B3719">
        <v>0</v>
      </c>
      <c r="C3719">
        <v>0</v>
      </c>
      <c r="D3719">
        <v>0</v>
      </c>
      <c r="E3719">
        <v>0</v>
      </c>
    </row>
    <row r="3720" spans="1:5" x14ac:dyDescent="0.35">
      <c r="A3720">
        <v>0</v>
      </c>
      <c r="B3720">
        <v>0</v>
      </c>
      <c r="C3720">
        <v>0</v>
      </c>
      <c r="D3720">
        <v>0</v>
      </c>
      <c r="E3720">
        <v>0</v>
      </c>
    </row>
    <row r="3721" spans="1:5" x14ac:dyDescent="0.35">
      <c r="A3721">
        <v>0</v>
      </c>
      <c r="B3721">
        <v>0</v>
      </c>
      <c r="C3721">
        <v>0</v>
      </c>
      <c r="D3721">
        <v>0</v>
      </c>
      <c r="E3721">
        <v>0</v>
      </c>
    </row>
    <row r="3722" spans="1:5" x14ac:dyDescent="0.35">
      <c r="A3722">
        <v>0</v>
      </c>
      <c r="B3722">
        <v>0</v>
      </c>
      <c r="C3722">
        <v>0</v>
      </c>
      <c r="D3722">
        <v>0</v>
      </c>
      <c r="E3722">
        <v>0</v>
      </c>
    </row>
    <row r="3723" spans="1:5" x14ac:dyDescent="0.35">
      <c r="A3723">
        <v>0</v>
      </c>
      <c r="B3723">
        <v>0</v>
      </c>
      <c r="C3723">
        <v>0</v>
      </c>
      <c r="D3723">
        <v>0</v>
      </c>
      <c r="E3723">
        <v>0</v>
      </c>
    </row>
    <row r="3724" spans="1:5" x14ac:dyDescent="0.35">
      <c r="A3724">
        <v>0</v>
      </c>
      <c r="B3724">
        <v>0</v>
      </c>
      <c r="C3724">
        <v>0</v>
      </c>
      <c r="D3724">
        <v>0</v>
      </c>
      <c r="E3724">
        <v>0</v>
      </c>
    </row>
    <row r="3725" spans="1:5" x14ac:dyDescent="0.35">
      <c r="A3725">
        <v>0</v>
      </c>
      <c r="B3725">
        <v>0</v>
      </c>
      <c r="C3725">
        <v>0</v>
      </c>
      <c r="D3725">
        <v>0</v>
      </c>
      <c r="E3725">
        <v>0</v>
      </c>
    </row>
    <row r="3726" spans="1:5" x14ac:dyDescent="0.35">
      <c r="A3726">
        <v>0</v>
      </c>
      <c r="B3726">
        <v>0</v>
      </c>
      <c r="C3726">
        <v>0</v>
      </c>
      <c r="D3726">
        <v>0</v>
      </c>
      <c r="E3726">
        <v>0</v>
      </c>
    </row>
    <row r="3727" spans="1:5" x14ac:dyDescent="0.35">
      <c r="A3727">
        <v>0</v>
      </c>
      <c r="B3727">
        <v>0</v>
      </c>
      <c r="C3727">
        <v>0</v>
      </c>
      <c r="D3727">
        <v>0</v>
      </c>
      <c r="E3727">
        <v>0</v>
      </c>
    </row>
    <row r="3728" spans="1:5" x14ac:dyDescent="0.35">
      <c r="A3728">
        <v>0</v>
      </c>
      <c r="B3728">
        <v>0</v>
      </c>
      <c r="C3728">
        <v>0</v>
      </c>
      <c r="D3728">
        <v>0</v>
      </c>
      <c r="E3728">
        <v>0</v>
      </c>
    </row>
    <row r="3729" spans="1:5" x14ac:dyDescent="0.35">
      <c r="A3729">
        <v>0</v>
      </c>
      <c r="B3729">
        <v>0</v>
      </c>
      <c r="C3729">
        <v>0</v>
      </c>
      <c r="D3729">
        <v>0</v>
      </c>
      <c r="E3729">
        <v>0</v>
      </c>
    </row>
    <row r="3730" spans="1:5" x14ac:dyDescent="0.35">
      <c r="A3730">
        <v>0</v>
      </c>
      <c r="B3730">
        <v>0</v>
      </c>
      <c r="C3730">
        <v>0</v>
      </c>
      <c r="D3730">
        <v>0</v>
      </c>
      <c r="E3730">
        <v>0</v>
      </c>
    </row>
    <row r="3731" spans="1:5" x14ac:dyDescent="0.35">
      <c r="A3731">
        <v>0</v>
      </c>
      <c r="B3731">
        <v>0</v>
      </c>
      <c r="C3731">
        <v>0</v>
      </c>
      <c r="D3731">
        <v>0</v>
      </c>
      <c r="E3731">
        <v>0</v>
      </c>
    </row>
    <row r="3732" spans="1:5" x14ac:dyDescent="0.35">
      <c r="A3732">
        <v>0</v>
      </c>
      <c r="B3732">
        <v>0</v>
      </c>
      <c r="C3732">
        <v>0</v>
      </c>
      <c r="D3732">
        <v>0</v>
      </c>
      <c r="E3732">
        <v>0</v>
      </c>
    </row>
    <row r="3733" spans="1:5" x14ac:dyDescent="0.35">
      <c r="A3733">
        <v>0</v>
      </c>
      <c r="B3733">
        <v>0</v>
      </c>
      <c r="C3733">
        <v>0</v>
      </c>
      <c r="D3733">
        <v>0</v>
      </c>
      <c r="E3733">
        <v>0</v>
      </c>
    </row>
    <row r="3734" spans="1:5" x14ac:dyDescent="0.35">
      <c r="A3734">
        <v>0</v>
      </c>
      <c r="B3734">
        <v>0</v>
      </c>
      <c r="C3734">
        <v>0</v>
      </c>
      <c r="D3734">
        <v>0</v>
      </c>
      <c r="E3734">
        <v>0</v>
      </c>
    </row>
    <row r="3735" spans="1:5" x14ac:dyDescent="0.35">
      <c r="A3735">
        <v>0</v>
      </c>
      <c r="B3735">
        <v>0</v>
      </c>
      <c r="C3735">
        <v>0</v>
      </c>
      <c r="D3735">
        <v>0</v>
      </c>
      <c r="E3735">
        <v>0</v>
      </c>
    </row>
    <row r="3736" spans="1:5" x14ac:dyDescent="0.35">
      <c r="A3736">
        <v>0</v>
      </c>
      <c r="B3736">
        <v>0</v>
      </c>
      <c r="C3736">
        <v>0</v>
      </c>
      <c r="D3736">
        <v>0</v>
      </c>
      <c r="E3736">
        <v>0</v>
      </c>
    </row>
    <row r="3737" spans="1:5" x14ac:dyDescent="0.35">
      <c r="A3737">
        <v>0</v>
      </c>
      <c r="B3737">
        <v>0</v>
      </c>
      <c r="C3737">
        <v>0</v>
      </c>
      <c r="D3737">
        <v>0</v>
      </c>
      <c r="E3737">
        <v>0</v>
      </c>
    </row>
    <row r="3738" spans="1:5" x14ac:dyDescent="0.35">
      <c r="A3738">
        <v>0</v>
      </c>
      <c r="B3738">
        <v>0</v>
      </c>
      <c r="C3738">
        <v>0</v>
      </c>
      <c r="D3738">
        <v>0</v>
      </c>
      <c r="E3738">
        <v>0</v>
      </c>
    </row>
    <row r="3739" spans="1:5" x14ac:dyDescent="0.35">
      <c r="A3739">
        <v>0</v>
      </c>
      <c r="B3739">
        <v>0</v>
      </c>
      <c r="C3739">
        <v>0</v>
      </c>
      <c r="D3739">
        <v>0</v>
      </c>
      <c r="E3739">
        <v>0</v>
      </c>
    </row>
    <row r="3740" spans="1:5" x14ac:dyDescent="0.35">
      <c r="A3740">
        <v>0</v>
      </c>
      <c r="B3740">
        <v>0</v>
      </c>
      <c r="C3740">
        <v>0</v>
      </c>
      <c r="D3740">
        <v>0</v>
      </c>
      <c r="E3740">
        <v>0</v>
      </c>
    </row>
    <row r="3741" spans="1:5" x14ac:dyDescent="0.35">
      <c r="A3741">
        <v>0</v>
      </c>
      <c r="B3741">
        <v>0</v>
      </c>
      <c r="C3741">
        <v>0</v>
      </c>
      <c r="D3741">
        <v>0</v>
      </c>
      <c r="E3741">
        <v>0</v>
      </c>
    </row>
    <row r="3742" spans="1:5" x14ac:dyDescent="0.35">
      <c r="A3742">
        <v>0</v>
      </c>
      <c r="B3742">
        <v>0</v>
      </c>
      <c r="C3742">
        <v>0</v>
      </c>
      <c r="D3742">
        <v>0</v>
      </c>
      <c r="E3742">
        <v>0</v>
      </c>
    </row>
    <row r="3743" spans="1:5" x14ac:dyDescent="0.35">
      <c r="A3743">
        <v>0</v>
      </c>
      <c r="B3743">
        <v>0</v>
      </c>
      <c r="C3743">
        <v>0</v>
      </c>
      <c r="D3743">
        <v>0</v>
      </c>
      <c r="E3743">
        <v>0</v>
      </c>
    </row>
    <row r="3744" spans="1:5" x14ac:dyDescent="0.35">
      <c r="A3744">
        <v>0</v>
      </c>
      <c r="B3744">
        <v>0</v>
      </c>
      <c r="C3744">
        <v>0</v>
      </c>
      <c r="D3744">
        <v>0</v>
      </c>
      <c r="E3744">
        <v>0</v>
      </c>
    </row>
    <row r="3745" spans="1:5" x14ac:dyDescent="0.35">
      <c r="A3745">
        <v>0</v>
      </c>
      <c r="B3745">
        <v>0</v>
      </c>
      <c r="C3745">
        <v>0</v>
      </c>
      <c r="D3745">
        <v>0</v>
      </c>
      <c r="E3745">
        <v>0</v>
      </c>
    </row>
    <row r="3746" spans="1:5" x14ac:dyDescent="0.35">
      <c r="A3746">
        <v>0</v>
      </c>
      <c r="B3746">
        <v>0</v>
      </c>
      <c r="C3746">
        <v>0</v>
      </c>
      <c r="D3746">
        <v>0</v>
      </c>
      <c r="E3746">
        <v>0</v>
      </c>
    </row>
    <row r="3747" spans="1:5" x14ac:dyDescent="0.35">
      <c r="A3747">
        <v>0</v>
      </c>
      <c r="B3747">
        <v>0</v>
      </c>
      <c r="C3747">
        <v>0</v>
      </c>
      <c r="D3747">
        <v>0</v>
      </c>
      <c r="E3747">
        <v>0</v>
      </c>
    </row>
    <row r="3748" spans="1:5" x14ac:dyDescent="0.35">
      <c r="A3748">
        <v>0</v>
      </c>
      <c r="B3748">
        <v>0</v>
      </c>
      <c r="C3748">
        <v>0</v>
      </c>
      <c r="D3748">
        <v>0</v>
      </c>
      <c r="E3748">
        <v>0</v>
      </c>
    </row>
    <row r="3749" spans="1:5" x14ac:dyDescent="0.35">
      <c r="A3749">
        <v>0</v>
      </c>
      <c r="B3749">
        <v>0</v>
      </c>
      <c r="C3749">
        <v>0</v>
      </c>
      <c r="D3749">
        <v>0</v>
      </c>
      <c r="E3749">
        <v>0</v>
      </c>
    </row>
    <row r="3750" spans="1:5" x14ac:dyDescent="0.35">
      <c r="A3750">
        <v>0</v>
      </c>
      <c r="B3750">
        <v>0</v>
      </c>
      <c r="C3750">
        <v>0</v>
      </c>
      <c r="D3750">
        <v>0</v>
      </c>
      <c r="E3750">
        <v>0</v>
      </c>
    </row>
    <row r="3751" spans="1:5" x14ac:dyDescent="0.35">
      <c r="A3751">
        <v>0</v>
      </c>
      <c r="B3751">
        <v>0</v>
      </c>
      <c r="C3751">
        <v>0</v>
      </c>
      <c r="D3751">
        <v>0</v>
      </c>
      <c r="E3751">
        <v>0</v>
      </c>
    </row>
    <row r="3752" spans="1:5" x14ac:dyDescent="0.35">
      <c r="A3752">
        <v>0</v>
      </c>
      <c r="B3752">
        <v>0</v>
      </c>
      <c r="C3752">
        <v>0</v>
      </c>
      <c r="D3752">
        <v>0</v>
      </c>
      <c r="E3752">
        <v>0</v>
      </c>
    </row>
    <row r="3753" spans="1:5" x14ac:dyDescent="0.35">
      <c r="A3753">
        <v>0</v>
      </c>
      <c r="B3753">
        <v>0</v>
      </c>
      <c r="C3753">
        <v>0</v>
      </c>
      <c r="D3753">
        <v>0</v>
      </c>
      <c r="E3753">
        <v>0</v>
      </c>
    </row>
    <row r="3754" spans="1:5" x14ac:dyDescent="0.35">
      <c r="A3754">
        <v>0</v>
      </c>
      <c r="B3754">
        <v>0</v>
      </c>
      <c r="C3754">
        <v>0</v>
      </c>
      <c r="D3754">
        <v>0</v>
      </c>
      <c r="E3754">
        <v>0</v>
      </c>
    </row>
    <row r="3755" spans="1:5" x14ac:dyDescent="0.35">
      <c r="A3755">
        <v>0</v>
      </c>
      <c r="B3755">
        <v>0</v>
      </c>
      <c r="C3755">
        <v>0</v>
      </c>
      <c r="D3755">
        <v>0</v>
      </c>
      <c r="E3755">
        <v>0</v>
      </c>
    </row>
    <row r="3756" spans="1:5" x14ac:dyDescent="0.35">
      <c r="A3756">
        <v>0</v>
      </c>
      <c r="B3756">
        <v>0</v>
      </c>
      <c r="C3756">
        <v>0</v>
      </c>
      <c r="D3756">
        <v>0</v>
      </c>
      <c r="E3756">
        <v>0</v>
      </c>
    </row>
    <row r="3757" spans="1:5" x14ac:dyDescent="0.35">
      <c r="A3757">
        <v>0</v>
      </c>
      <c r="B3757">
        <v>0</v>
      </c>
      <c r="C3757">
        <v>0</v>
      </c>
      <c r="D3757">
        <v>0</v>
      </c>
      <c r="E3757">
        <v>0</v>
      </c>
    </row>
    <row r="3758" spans="1:5" x14ac:dyDescent="0.35">
      <c r="A3758">
        <v>0</v>
      </c>
      <c r="B3758">
        <v>0</v>
      </c>
      <c r="C3758">
        <v>0</v>
      </c>
      <c r="D3758">
        <v>0</v>
      </c>
      <c r="E3758">
        <v>0</v>
      </c>
    </row>
    <row r="3759" spans="1:5" x14ac:dyDescent="0.35">
      <c r="A3759">
        <v>0</v>
      </c>
      <c r="B3759">
        <v>0</v>
      </c>
      <c r="C3759">
        <v>0</v>
      </c>
      <c r="D3759">
        <v>0</v>
      </c>
      <c r="E3759">
        <v>0</v>
      </c>
    </row>
    <row r="3760" spans="1:5" x14ac:dyDescent="0.35">
      <c r="A3760">
        <v>0</v>
      </c>
      <c r="B3760">
        <v>0</v>
      </c>
      <c r="C3760">
        <v>0</v>
      </c>
      <c r="D3760">
        <v>0</v>
      </c>
      <c r="E3760">
        <v>0</v>
      </c>
    </row>
    <row r="3761" spans="1:5" x14ac:dyDescent="0.35">
      <c r="A3761">
        <v>0</v>
      </c>
      <c r="B3761">
        <v>0</v>
      </c>
      <c r="C3761">
        <v>0</v>
      </c>
      <c r="D3761">
        <v>0</v>
      </c>
      <c r="E3761">
        <v>0</v>
      </c>
    </row>
    <row r="3762" spans="1:5" x14ac:dyDescent="0.35">
      <c r="A3762">
        <v>0</v>
      </c>
      <c r="B3762">
        <v>0</v>
      </c>
      <c r="C3762">
        <v>0</v>
      </c>
      <c r="D3762">
        <v>0</v>
      </c>
      <c r="E3762">
        <v>0</v>
      </c>
    </row>
    <row r="3763" spans="1:5" x14ac:dyDescent="0.35">
      <c r="A3763">
        <v>0</v>
      </c>
      <c r="B3763">
        <v>0</v>
      </c>
      <c r="C3763">
        <v>0</v>
      </c>
      <c r="D3763">
        <v>0</v>
      </c>
      <c r="E3763">
        <v>0</v>
      </c>
    </row>
    <row r="3764" spans="1:5" x14ac:dyDescent="0.35">
      <c r="A3764">
        <v>0</v>
      </c>
      <c r="B3764">
        <v>0</v>
      </c>
      <c r="C3764">
        <v>0</v>
      </c>
      <c r="D3764">
        <v>0</v>
      </c>
      <c r="E3764">
        <v>0</v>
      </c>
    </row>
    <row r="3765" spans="1:5" x14ac:dyDescent="0.35">
      <c r="A3765">
        <v>0</v>
      </c>
      <c r="B3765">
        <v>0</v>
      </c>
      <c r="C3765">
        <v>0</v>
      </c>
      <c r="D3765">
        <v>0</v>
      </c>
      <c r="E3765">
        <v>0</v>
      </c>
    </row>
    <row r="3766" spans="1:5" x14ac:dyDescent="0.35">
      <c r="A3766">
        <v>0</v>
      </c>
      <c r="B3766">
        <v>0</v>
      </c>
      <c r="C3766">
        <v>0</v>
      </c>
      <c r="D3766">
        <v>0</v>
      </c>
      <c r="E3766">
        <v>0</v>
      </c>
    </row>
    <row r="3767" spans="1:5" x14ac:dyDescent="0.35">
      <c r="A3767">
        <v>0</v>
      </c>
      <c r="B3767">
        <v>0</v>
      </c>
      <c r="C3767">
        <v>0</v>
      </c>
      <c r="D3767">
        <v>0</v>
      </c>
      <c r="E3767">
        <v>0</v>
      </c>
    </row>
    <row r="3768" spans="1:5" x14ac:dyDescent="0.35">
      <c r="A3768">
        <v>0</v>
      </c>
      <c r="B3768">
        <v>0</v>
      </c>
      <c r="C3768">
        <v>0</v>
      </c>
      <c r="D3768">
        <v>0</v>
      </c>
      <c r="E3768">
        <v>0</v>
      </c>
    </row>
    <row r="3769" spans="1:5" x14ac:dyDescent="0.35">
      <c r="A3769">
        <v>0</v>
      </c>
      <c r="B3769">
        <v>0</v>
      </c>
      <c r="C3769">
        <v>0</v>
      </c>
      <c r="D3769">
        <v>0</v>
      </c>
      <c r="E3769">
        <v>0</v>
      </c>
    </row>
    <row r="3770" spans="1:5" x14ac:dyDescent="0.35">
      <c r="A3770">
        <v>0</v>
      </c>
      <c r="B3770">
        <v>0</v>
      </c>
      <c r="C3770">
        <v>0</v>
      </c>
      <c r="D3770">
        <v>0</v>
      </c>
      <c r="E3770">
        <v>0</v>
      </c>
    </row>
    <row r="3771" spans="1:5" x14ac:dyDescent="0.35">
      <c r="A3771">
        <v>0</v>
      </c>
      <c r="B3771">
        <v>0</v>
      </c>
      <c r="C3771">
        <v>0</v>
      </c>
      <c r="D3771">
        <v>0</v>
      </c>
      <c r="E3771">
        <v>0</v>
      </c>
    </row>
    <row r="3772" spans="1:5" x14ac:dyDescent="0.35">
      <c r="A3772">
        <v>0</v>
      </c>
      <c r="B3772">
        <v>0</v>
      </c>
      <c r="C3772">
        <v>0</v>
      </c>
      <c r="D3772">
        <v>0</v>
      </c>
      <c r="E3772">
        <v>0</v>
      </c>
    </row>
    <row r="3773" spans="1:5" x14ac:dyDescent="0.35">
      <c r="A3773">
        <v>0</v>
      </c>
      <c r="B3773">
        <v>0</v>
      </c>
      <c r="C3773">
        <v>0</v>
      </c>
      <c r="D3773">
        <v>0</v>
      </c>
      <c r="E3773">
        <v>0</v>
      </c>
    </row>
    <row r="3774" spans="1:5" x14ac:dyDescent="0.35">
      <c r="A3774">
        <v>0</v>
      </c>
      <c r="B3774">
        <v>0</v>
      </c>
      <c r="C3774">
        <v>0</v>
      </c>
      <c r="D3774">
        <v>0</v>
      </c>
      <c r="E3774">
        <v>0</v>
      </c>
    </row>
    <row r="3775" spans="1:5" x14ac:dyDescent="0.35">
      <c r="A3775">
        <v>0</v>
      </c>
      <c r="B3775">
        <v>0</v>
      </c>
      <c r="C3775">
        <v>0</v>
      </c>
      <c r="D3775">
        <v>0</v>
      </c>
      <c r="E3775">
        <v>0</v>
      </c>
    </row>
    <row r="3776" spans="1:5" x14ac:dyDescent="0.35">
      <c r="A3776">
        <v>0</v>
      </c>
      <c r="B3776">
        <v>0</v>
      </c>
      <c r="C3776">
        <v>0</v>
      </c>
      <c r="D3776">
        <v>0</v>
      </c>
      <c r="E3776">
        <v>0</v>
      </c>
    </row>
    <row r="3777" spans="1:5" x14ac:dyDescent="0.35">
      <c r="A3777">
        <v>0</v>
      </c>
      <c r="B3777">
        <v>0</v>
      </c>
      <c r="C3777">
        <v>0</v>
      </c>
      <c r="D3777">
        <v>0</v>
      </c>
      <c r="E3777">
        <v>0</v>
      </c>
    </row>
    <row r="3778" spans="1:5" x14ac:dyDescent="0.35">
      <c r="A3778">
        <v>0</v>
      </c>
      <c r="B3778">
        <v>0</v>
      </c>
      <c r="C3778">
        <v>0</v>
      </c>
      <c r="D3778">
        <v>0</v>
      </c>
      <c r="E3778">
        <v>0</v>
      </c>
    </row>
    <row r="3779" spans="1:5" x14ac:dyDescent="0.35">
      <c r="A3779">
        <v>0</v>
      </c>
      <c r="B3779">
        <v>0</v>
      </c>
      <c r="C3779">
        <v>0</v>
      </c>
      <c r="D3779">
        <v>0</v>
      </c>
      <c r="E3779">
        <v>0</v>
      </c>
    </row>
    <row r="3780" spans="1:5" x14ac:dyDescent="0.35">
      <c r="A3780">
        <v>0</v>
      </c>
      <c r="B3780">
        <v>0</v>
      </c>
      <c r="C3780">
        <v>0</v>
      </c>
      <c r="D3780">
        <v>0</v>
      </c>
      <c r="E3780">
        <v>0</v>
      </c>
    </row>
    <row r="3781" spans="1:5" x14ac:dyDescent="0.35">
      <c r="A3781">
        <v>0</v>
      </c>
      <c r="B3781">
        <v>0</v>
      </c>
      <c r="C3781">
        <v>0</v>
      </c>
      <c r="D3781">
        <v>0</v>
      </c>
      <c r="E3781">
        <v>0</v>
      </c>
    </row>
    <row r="3782" spans="1:5" x14ac:dyDescent="0.35">
      <c r="A3782">
        <v>0</v>
      </c>
      <c r="B3782">
        <v>0</v>
      </c>
      <c r="C3782">
        <v>0</v>
      </c>
      <c r="D3782">
        <v>0</v>
      </c>
      <c r="E3782">
        <v>0</v>
      </c>
    </row>
    <row r="3783" spans="1:5" x14ac:dyDescent="0.35">
      <c r="A3783">
        <v>0</v>
      </c>
      <c r="B3783">
        <v>0</v>
      </c>
      <c r="C3783">
        <v>0</v>
      </c>
      <c r="D3783">
        <v>0</v>
      </c>
      <c r="E3783">
        <v>0</v>
      </c>
    </row>
    <row r="3784" spans="1:5" x14ac:dyDescent="0.35">
      <c r="A3784">
        <v>0</v>
      </c>
      <c r="B3784">
        <v>0</v>
      </c>
      <c r="C3784">
        <v>0</v>
      </c>
      <c r="D3784">
        <v>0</v>
      </c>
      <c r="E3784">
        <v>0</v>
      </c>
    </row>
    <row r="3785" spans="1:5" x14ac:dyDescent="0.35">
      <c r="A3785">
        <v>0</v>
      </c>
      <c r="B3785">
        <v>0</v>
      </c>
      <c r="C3785">
        <v>0</v>
      </c>
      <c r="D3785">
        <v>0</v>
      </c>
      <c r="E3785">
        <v>0</v>
      </c>
    </row>
    <row r="3786" spans="1:5" x14ac:dyDescent="0.35">
      <c r="A3786">
        <v>0</v>
      </c>
      <c r="B3786">
        <v>0</v>
      </c>
      <c r="C3786">
        <v>0</v>
      </c>
      <c r="D3786">
        <v>0</v>
      </c>
      <c r="E3786">
        <v>0</v>
      </c>
    </row>
    <row r="3787" spans="1:5" x14ac:dyDescent="0.35">
      <c r="A3787">
        <v>0</v>
      </c>
      <c r="B3787">
        <v>0</v>
      </c>
      <c r="C3787">
        <v>0</v>
      </c>
      <c r="D3787">
        <v>0</v>
      </c>
      <c r="E3787">
        <v>0</v>
      </c>
    </row>
    <row r="3788" spans="1:5" x14ac:dyDescent="0.35">
      <c r="A3788">
        <v>0</v>
      </c>
      <c r="B3788">
        <v>0</v>
      </c>
      <c r="C3788">
        <v>0</v>
      </c>
      <c r="D3788">
        <v>0</v>
      </c>
      <c r="E3788">
        <v>0</v>
      </c>
    </row>
    <row r="3789" spans="1:5" x14ac:dyDescent="0.35">
      <c r="A3789">
        <v>0</v>
      </c>
      <c r="B3789">
        <v>0</v>
      </c>
      <c r="C3789">
        <v>0</v>
      </c>
      <c r="D3789">
        <v>0</v>
      </c>
      <c r="E3789">
        <v>0</v>
      </c>
    </row>
    <row r="3790" spans="1:5" x14ac:dyDescent="0.35">
      <c r="A3790">
        <v>0</v>
      </c>
      <c r="B3790">
        <v>0</v>
      </c>
      <c r="C3790">
        <v>0</v>
      </c>
      <c r="D3790">
        <v>0</v>
      </c>
      <c r="E3790">
        <v>0</v>
      </c>
    </row>
    <row r="3791" spans="1:5" x14ac:dyDescent="0.35">
      <c r="A3791">
        <v>0</v>
      </c>
      <c r="B3791">
        <v>0</v>
      </c>
      <c r="C3791">
        <v>0</v>
      </c>
      <c r="D3791">
        <v>0</v>
      </c>
      <c r="E3791">
        <v>0</v>
      </c>
    </row>
    <row r="3792" spans="1:5" x14ac:dyDescent="0.35">
      <c r="A3792">
        <v>0</v>
      </c>
      <c r="B3792">
        <v>0</v>
      </c>
      <c r="C3792">
        <v>0</v>
      </c>
      <c r="D3792">
        <v>0</v>
      </c>
      <c r="E3792">
        <v>0</v>
      </c>
    </row>
    <row r="3793" spans="1:5" x14ac:dyDescent="0.35">
      <c r="A3793">
        <v>0</v>
      </c>
      <c r="B3793">
        <v>0</v>
      </c>
      <c r="C3793">
        <v>0</v>
      </c>
      <c r="D3793">
        <v>0</v>
      </c>
      <c r="E3793">
        <v>0</v>
      </c>
    </row>
    <row r="3794" spans="1:5" x14ac:dyDescent="0.35">
      <c r="A3794">
        <v>0</v>
      </c>
      <c r="B3794">
        <v>0</v>
      </c>
      <c r="C3794">
        <v>0</v>
      </c>
      <c r="D3794">
        <v>0</v>
      </c>
      <c r="E3794">
        <v>0</v>
      </c>
    </row>
    <row r="3795" spans="1:5" x14ac:dyDescent="0.35">
      <c r="A3795">
        <v>0</v>
      </c>
      <c r="B3795">
        <v>0</v>
      </c>
      <c r="C3795">
        <v>0</v>
      </c>
      <c r="D3795">
        <v>0</v>
      </c>
      <c r="E3795">
        <v>0</v>
      </c>
    </row>
    <row r="3796" spans="1:5" x14ac:dyDescent="0.35">
      <c r="A3796">
        <v>0</v>
      </c>
      <c r="B3796">
        <v>0</v>
      </c>
      <c r="C3796">
        <v>0</v>
      </c>
      <c r="D3796">
        <v>0</v>
      </c>
      <c r="E3796">
        <v>0</v>
      </c>
    </row>
    <row r="3797" spans="1:5" x14ac:dyDescent="0.35">
      <c r="A3797">
        <v>0</v>
      </c>
      <c r="B3797">
        <v>0</v>
      </c>
      <c r="C3797">
        <v>0</v>
      </c>
      <c r="D3797">
        <v>0</v>
      </c>
      <c r="E3797">
        <v>0</v>
      </c>
    </row>
    <row r="3798" spans="1:5" x14ac:dyDescent="0.35">
      <c r="A3798">
        <v>0</v>
      </c>
      <c r="B3798">
        <v>0</v>
      </c>
      <c r="C3798">
        <v>0</v>
      </c>
      <c r="D3798">
        <v>0</v>
      </c>
      <c r="E3798">
        <v>0</v>
      </c>
    </row>
    <row r="3799" spans="1:5" x14ac:dyDescent="0.35">
      <c r="A3799">
        <v>0</v>
      </c>
      <c r="B3799">
        <v>0</v>
      </c>
      <c r="C3799">
        <v>0</v>
      </c>
      <c r="D3799">
        <v>0</v>
      </c>
      <c r="E3799">
        <v>0</v>
      </c>
    </row>
    <row r="3800" spans="1:5" x14ac:dyDescent="0.35">
      <c r="A3800">
        <v>0</v>
      </c>
      <c r="B3800">
        <v>0</v>
      </c>
      <c r="C3800">
        <v>0</v>
      </c>
      <c r="D3800">
        <v>0</v>
      </c>
      <c r="E3800">
        <v>0</v>
      </c>
    </row>
    <row r="3801" spans="1:5" x14ac:dyDescent="0.35">
      <c r="A3801">
        <v>0</v>
      </c>
      <c r="B3801">
        <v>0</v>
      </c>
      <c r="C3801">
        <v>0</v>
      </c>
      <c r="D3801">
        <v>0</v>
      </c>
      <c r="E3801">
        <v>0</v>
      </c>
    </row>
    <row r="3802" spans="1:5" x14ac:dyDescent="0.35">
      <c r="A3802">
        <v>0</v>
      </c>
      <c r="B3802">
        <v>0</v>
      </c>
      <c r="C3802">
        <v>0</v>
      </c>
      <c r="D3802">
        <v>0</v>
      </c>
      <c r="E3802">
        <v>0</v>
      </c>
    </row>
    <row r="3803" spans="1:5" x14ac:dyDescent="0.35">
      <c r="A3803">
        <v>0</v>
      </c>
      <c r="B3803">
        <v>0</v>
      </c>
      <c r="C3803">
        <v>0</v>
      </c>
      <c r="D3803">
        <v>0</v>
      </c>
      <c r="E3803">
        <v>0</v>
      </c>
    </row>
    <row r="3804" spans="1:5" x14ac:dyDescent="0.35">
      <c r="A3804">
        <v>0</v>
      </c>
      <c r="B3804">
        <v>0</v>
      </c>
      <c r="C3804">
        <v>0</v>
      </c>
      <c r="D3804">
        <v>0</v>
      </c>
      <c r="E3804">
        <v>0</v>
      </c>
    </row>
    <row r="3805" spans="1:5" x14ac:dyDescent="0.35">
      <c r="A3805">
        <v>0</v>
      </c>
      <c r="B3805">
        <v>0</v>
      </c>
      <c r="C3805">
        <v>0</v>
      </c>
      <c r="D3805">
        <v>0</v>
      </c>
      <c r="E3805">
        <v>0</v>
      </c>
    </row>
    <row r="3806" spans="1:5" x14ac:dyDescent="0.35">
      <c r="A3806">
        <v>0</v>
      </c>
      <c r="B3806">
        <v>0</v>
      </c>
      <c r="C3806">
        <v>0</v>
      </c>
      <c r="D3806">
        <v>0</v>
      </c>
      <c r="E3806">
        <v>0</v>
      </c>
    </row>
    <row r="3807" spans="1:5" x14ac:dyDescent="0.35">
      <c r="A3807">
        <v>0</v>
      </c>
      <c r="B3807">
        <v>0</v>
      </c>
      <c r="C3807">
        <v>0</v>
      </c>
      <c r="D3807">
        <v>0</v>
      </c>
      <c r="E3807">
        <v>0</v>
      </c>
    </row>
    <row r="3808" spans="1:5" x14ac:dyDescent="0.35">
      <c r="A3808">
        <v>0</v>
      </c>
      <c r="B3808">
        <v>0</v>
      </c>
      <c r="C3808">
        <v>0</v>
      </c>
      <c r="D3808">
        <v>0</v>
      </c>
      <c r="E3808">
        <v>0</v>
      </c>
    </row>
    <row r="3809" spans="1:5" x14ac:dyDescent="0.35">
      <c r="A3809">
        <v>0</v>
      </c>
      <c r="B3809">
        <v>0</v>
      </c>
      <c r="C3809">
        <v>0</v>
      </c>
      <c r="D3809">
        <v>0</v>
      </c>
      <c r="E3809">
        <v>0</v>
      </c>
    </row>
    <row r="3810" spans="1:5" x14ac:dyDescent="0.35">
      <c r="A3810">
        <v>0</v>
      </c>
      <c r="B3810">
        <v>0</v>
      </c>
      <c r="C3810">
        <v>0</v>
      </c>
      <c r="D3810">
        <v>0</v>
      </c>
      <c r="E3810">
        <v>0</v>
      </c>
    </row>
    <row r="3811" spans="1:5" x14ac:dyDescent="0.35">
      <c r="A3811">
        <v>0</v>
      </c>
      <c r="B3811">
        <v>0</v>
      </c>
      <c r="C3811">
        <v>0</v>
      </c>
      <c r="D3811">
        <v>0</v>
      </c>
      <c r="E3811">
        <v>0</v>
      </c>
    </row>
    <row r="3812" spans="1:5" x14ac:dyDescent="0.35">
      <c r="A3812">
        <v>0</v>
      </c>
      <c r="B3812">
        <v>0</v>
      </c>
      <c r="C3812">
        <v>0</v>
      </c>
      <c r="D3812">
        <v>0</v>
      </c>
      <c r="E3812">
        <v>0</v>
      </c>
    </row>
    <row r="3813" spans="1:5" x14ac:dyDescent="0.35">
      <c r="A3813">
        <v>0</v>
      </c>
      <c r="B3813">
        <v>0</v>
      </c>
      <c r="C3813">
        <v>0</v>
      </c>
      <c r="D3813">
        <v>0</v>
      </c>
      <c r="E3813">
        <v>0</v>
      </c>
    </row>
    <row r="3814" spans="1:5" x14ac:dyDescent="0.35">
      <c r="A3814">
        <v>0</v>
      </c>
      <c r="B3814">
        <v>0</v>
      </c>
      <c r="C3814">
        <v>0</v>
      </c>
      <c r="D3814">
        <v>0</v>
      </c>
      <c r="E3814">
        <v>0</v>
      </c>
    </row>
    <row r="3815" spans="1:5" x14ac:dyDescent="0.35">
      <c r="A3815">
        <v>0</v>
      </c>
      <c r="B3815">
        <v>0</v>
      </c>
      <c r="C3815">
        <v>0</v>
      </c>
      <c r="D3815">
        <v>0</v>
      </c>
      <c r="E3815">
        <v>0</v>
      </c>
    </row>
    <row r="3816" spans="1:5" x14ac:dyDescent="0.35">
      <c r="A3816">
        <v>0</v>
      </c>
      <c r="B3816">
        <v>0</v>
      </c>
      <c r="C3816">
        <v>0</v>
      </c>
      <c r="D3816">
        <v>0</v>
      </c>
      <c r="E3816">
        <v>0</v>
      </c>
    </row>
    <row r="3817" spans="1:5" x14ac:dyDescent="0.35">
      <c r="A3817">
        <v>0</v>
      </c>
      <c r="B3817">
        <v>0</v>
      </c>
      <c r="C3817">
        <v>0</v>
      </c>
      <c r="D3817">
        <v>0</v>
      </c>
      <c r="E3817">
        <v>0</v>
      </c>
    </row>
    <row r="3818" spans="1:5" x14ac:dyDescent="0.35">
      <c r="A3818">
        <v>0</v>
      </c>
      <c r="B3818">
        <v>0</v>
      </c>
      <c r="C3818">
        <v>0</v>
      </c>
      <c r="D3818">
        <v>0</v>
      </c>
      <c r="E3818">
        <v>0</v>
      </c>
    </row>
    <row r="3819" spans="1:5" x14ac:dyDescent="0.35">
      <c r="A3819">
        <v>0</v>
      </c>
      <c r="B3819">
        <v>0</v>
      </c>
      <c r="C3819">
        <v>0</v>
      </c>
      <c r="D3819">
        <v>0</v>
      </c>
      <c r="E3819">
        <v>0</v>
      </c>
    </row>
    <row r="3820" spans="1:5" x14ac:dyDescent="0.35">
      <c r="A3820">
        <v>0</v>
      </c>
      <c r="B3820">
        <v>0</v>
      </c>
      <c r="C3820">
        <v>0</v>
      </c>
      <c r="D3820">
        <v>0</v>
      </c>
      <c r="E3820">
        <v>0</v>
      </c>
    </row>
    <row r="3821" spans="1:5" x14ac:dyDescent="0.35">
      <c r="A3821">
        <v>0</v>
      </c>
      <c r="B3821">
        <v>0</v>
      </c>
      <c r="C3821">
        <v>0</v>
      </c>
      <c r="D3821">
        <v>0</v>
      </c>
      <c r="E3821">
        <v>0</v>
      </c>
    </row>
    <row r="3822" spans="1:5" x14ac:dyDescent="0.35">
      <c r="A3822">
        <v>0</v>
      </c>
      <c r="B3822">
        <v>0</v>
      </c>
      <c r="C3822">
        <v>0</v>
      </c>
      <c r="D3822">
        <v>0</v>
      </c>
      <c r="E3822">
        <v>0</v>
      </c>
    </row>
    <row r="3823" spans="1:5" x14ac:dyDescent="0.35">
      <c r="A3823">
        <v>0</v>
      </c>
      <c r="B3823">
        <v>0</v>
      </c>
      <c r="C3823">
        <v>0</v>
      </c>
      <c r="D3823">
        <v>0</v>
      </c>
      <c r="E3823">
        <v>0</v>
      </c>
    </row>
    <row r="3824" spans="1:5" x14ac:dyDescent="0.35">
      <c r="A3824">
        <v>0</v>
      </c>
      <c r="B3824">
        <v>0</v>
      </c>
      <c r="C3824">
        <v>0</v>
      </c>
      <c r="D3824">
        <v>0</v>
      </c>
      <c r="E3824">
        <v>0</v>
      </c>
    </row>
    <row r="3825" spans="1:5" x14ac:dyDescent="0.35">
      <c r="A3825">
        <v>0</v>
      </c>
      <c r="B3825">
        <v>0</v>
      </c>
      <c r="C3825">
        <v>0</v>
      </c>
      <c r="D3825">
        <v>0</v>
      </c>
      <c r="E3825">
        <v>0</v>
      </c>
    </row>
    <row r="3826" spans="1:5" x14ac:dyDescent="0.35">
      <c r="A3826">
        <v>0</v>
      </c>
      <c r="B3826">
        <v>0</v>
      </c>
      <c r="C3826">
        <v>0</v>
      </c>
      <c r="D3826">
        <v>0</v>
      </c>
      <c r="E3826">
        <v>0</v>
      </c>
    </row>
    <row r="3827" spans="1:5" x14ac:dyDescent="0.35">
      <c r="A3827">
        <v>0</v>
      </c>
      <c r="B3827">
        <v>0</v>
      </c>
      <c r="C3827">
        <v>0</v>
      </c>
      <c r="D3827">
        <v>0</v>
      </c>
      <c r="E3827">
        <v>0</v>
      </c>
    </row>
    <row r="3828" spans="1:5" x14ac:dyDescent="0.35">
      <c r="A3828">
        <v>0</v>
      </c>
      <c r="B3828">
        <v>0</v>
      </c>
      <c r="C3828">
        <v>0</v>
      </c>
      <c r="D3828">
        <v>0</v>
      </c>
      <c r="E3828">
        <v>0</v>
      </c>
    </row>
    <row r="3829" spans="1:5" x14ac:dyDescent="0.35">
      <c r="A3829">
        <v>0</v>
      </c>
      <c r="B3829">
        <v>0</v>
      </c>
      <c r="C3829">
        <v>0</v>
      </c>
      <c r="D3829">
        <v>0</v>
      </c>
      <c r="E3829">
        <v>0</v>
      </c>
    </row>
    <row r="3830" spans="1:5" x14ac:dyDescent="0.35">
      <c r="A3830">
        <v>0</v>
      </c>
      <c r="B3830">
        <v>0</v>
      </c>
      <c r="C3830">
        <v>0</v>
      </c>
      <c r="D3830">
        <v>0</v>
      </c>
      <c r="E3830">
        <v>0</v>
      </c>
    </row>
    <row r="3831" spans="1:5" x14ac:dyDescent="0.35">
      <c r="A3831">
        <v>0</v>
      </c>
      <c r="B3831">
        <v>0</v>
      </c>
      <c r="C3831">
        <v>0</v>
      </c>
      <c r="D3831">
        <v>0</v>
      </c>
      <c r="E3831">
        <v>0</v>
      </c>
    </row>
    <row r="3832" spans="1:5" x14ac:dyDescent="0.35">
      <c r="A3832">
        <v>0</v>
      </c>
      <c r="B3832">
        <v>0</v>
      </c>
      <c r="C3832">
        <v>0</v>
      </c>
      <c r="D3832">
        <v>0</v>
      </c>
      <c r="E3832">
        <v>0</v>
      </c>
    </row>
    <row r="3833" spans="1:5" x14ac:dyDescent="0.35">
      <c r="A3833">
        <v>0</v>
      </c>
      <c r="B3833">
        <v>0</v>
      </c>
      <c r="C3833">
        <v>0</v>
      </c>
      <c r="D3833">
        <v>0</v>
      </c>
      <c r="E3833">
        <v>0</v>
      </c>
    </row>
    <row r="3834" spans="1:5" x14ac:dyDescent="0.35">
      <c r="A3834">
        <v>0</v>
      </c>
      <c r="B3834">
        <v>0</v>
      </c>
      <c r="C3834">
        <v>0</v>
      </c>
      <c r="D3834">
        <v>0</v>
      </c>
      <c r="E3834">
        <v>0</v>
      </c>
    </row>
    <row r="3835" spans="1:5" x14ac:dyDescent="0.35">
      <c r="A3835">
        <v>0</v>
      </c>
      <c r="B3835">
        <v>0</v>
      </c>
      <c r="C3835">
        <v>0</v>
      </c>
      <c r="D3835">
        <v>0</v>
      </c>
      <c r="E3835">
        <v>0</v>
      </c>
    </row>
    <row r="3836" spans="1:5" x14ac:dyDescent="0.35">
      <c r="A3836">
        <v>0</v>
      </c>
      <c r="B3836">
        <v>0</v>
      </c>
      <c r="C3836">
        <v>0</v>
      </c>
      <c r="D3836">
        <v>0</v>
      </c>
      <c r="E3836">
        <v>0</v>
      </c>
    </row>
    <row r="3837" spans="1:5" x14ac:dyDescent="0.35">
      <c r="A3837">
        <v>0</v>
      </c>
      <c r="B3837">
        <v>0</v>
      </c>
      <c r="C3837">
        <v>0</v>
      </c>
      <c r="D3837">
        <v>0</v>
      </c>
      <c r="E3837">
        <v>0</v>
      </c>
    </row>
    <row r="3838" spans="1:5" x14ac:dyDescent="0.35">
      <c r="A3838">
        <v>0</v>
      </c>
      <c r="B3838">
        <v>0</v>
      </c>
      <c r="C3838">
        <v>0</v>
      </c>
      <c r="D3838">
        <v>0</v>
      </c>
      <c r="E3838">
        <v>0</v>
      </c>
    </row>
    <row r="3839" spans="1:5" x14ac:dyDescent="0.35">
      <c r="A3839">
        <v>0</v>
      </c>
      <c r="B3839">
        <v>0</v>
      </c>
      <c r="C3839">
        <v>0</v>
      </c>
      <c r="D3839">
        <v>0</v>
      </c>
      <c r="E3839">
        <v>0</v>
      </c>
    </row>
    <row r="3840" spans="1:5" x14ac:dyDescent="0.35">
      <c r="A3840">
        <v>0</v>
      </c>
      <c r="B3840">
        <v>0</v>
      </c>
      <c r="C3840">
        <v>0</v>
      </c>
      <c r="D3840">
        <v>0</v>
      </c>
      <c r="E3840">
        <v>0</v>
      </c>
    </row>
    <row r="3841" spans="1:5" x14ac:dyDescent="0.35">
      <c r="A3841">
        <v>0</v>
      </c>
      <c r="B3841">
        <v>0</v>
      </c>
      <c r="C3841">
        <v>0</v>
      </c>
      <c r="D3841">
        <v>0</v>
      </c>
      <c r="E3841">
        <v>0</v>
      </c>
    </row>
    <row r="3842" spans="1:5" x14ac:dyDescent="0.35">
      <c r="A3842">
        <v>0</v>
      </c>
      <c r="B3842">
        <v>0</v>
      </c>
      <c r="C3842">
        <v>0</v>
      </c>
      <c r="D3842">
        <v>0</v>
      </c>
      <c r="E3842">
        <v>0</v>
      </c>
    </row>
    <row r="3843" spans="1:5" x14ac:dyDescent="0.35">
      <c r="A3843">
        <v>0</v>
      </c>
      <c r="B3843">
        <v>0</v>
      </c>
      <c r="C3843">
        <v>0</v>
      </c>
      <c r="D3843">
        <v>0</v>
      </c>
      <c r="E3843">
        <v>0</v>
      </c>
    </row>
    <row r="3844" spans="1:5" x14ac:dyDescent="0.35">
      <c r="A3844">
        <v>0</v>
      </c>
      <c r="B3844">
        <v>0</v>
      </c>
      <c r="C3844">
        <v>0</v>
      </c>
      <c r="D3844">
        <v>0</v>
      </c>
      <c r="E3844">
        <v>0</v>
      </c>
    </row>
    <row r="3845" spans="1:5" x14ac:dyDescent="0.35">
      <c r="A3845">
        <v>0</v>
      </c>
      <c r="B3845">
        <v>0</v>
      </c>
      <c r="C3845">
        <v>0</v>
      </c>
      <c r="D3845">
        <v>0</v>
      </c>
      <c r="E3845">
        <v>0</v>
      </c>
    </row>
    <row r="3846" spans="1:5" x14ac:dyDescent="0.35">
      <c r="A3846">
        <v>0</v>
      </c>
      <c r="B3846">
        <v>0</v>
      </c>
      <c r="C3846">
        <v>0</v>
      </c>
      <c r="D3846">
        <v>0</v>
      </c>
      <c r="E3846">
        <v>0</v>
      </c>
    </row>
    <row r="3847" spans="1:5" x14ac:dyDescent="0.35">
      <c r="A3847">
        <v>0</v>
      </c>
      <c r="B3847">
        <v>0</v>
      </c>
      <c r="C3847">
        <v>0</v>
      </c>
      <c r="D3847">
        <v>0</v>
      </c>
      <c r="E3847">
        <v>0</v>
      </c>
    </row>
    <row r="3848" spans="1:5" x14ac:dyDescent="0.35">
      <c r="A3848">
        <v>0</v>
      </c>
      <c r="B3848">
        <v>0</v>
      </c>
      <c r="C3848">
        <v>0</v>
      </c>
      <c r="D3848">
        <v>0</v>
      </c>
      <c r="E3848">
        <v>0</v>
      </c>
    </row>
    <row r="3849" spans="1:5" x14ac:dyDescent="0.35">
      <c r="A3849">
        <v>0</v>
      </c>
      <c r="B3849">
        <v>0</v>
      </c>
      <c r="C3849">
        <v>0</v>
      </c>
      <c r="D3849">
        <v>0</v>
      </c>
      <c r="E3849">
        <v>0</v>
      </c>
    </row>
    <row r="3850" spans="1:5" x14ac:dyDescent="0.35">
      <c r="A3850">
        <v>0</v>
      </c>
      <c r="B3850">
        <v>0</v>
      </c>
      <c r="C3850">
        <v>0</v>
      </c>
      <c r="D3850">
        <v>0</v>
      </c>
      <c r="E3850">
        <v>0</v>
      </c>
    </row>
    <row r="3851" spans="1:5" x14ac:dyDescent="0.35">
      <c r="A3851">
        <v>0</v>
      </c>
      <c r="B3851">
        <v>0</v>
      </c>
      <c r="C3851">
        <v>0</v>
      </c>
      <c r="D3851">
        <v>0</v>
      </c>
      <c r="E3851">
        <v>0</v>
      </c>
    </row>
    <row r="3852" spans="1:5" x14ac:dyDescent="0.35">
      <c r="A3852">
        <v>0</v>
      </c>
      <c r="B3852">
        <v>0</v>
      </c>
      <c r="C3852">
        <v>0</v>
      </c>
      <c r="D3852">
        <v>0</v>
      </c>
      <c r="E3852">
        <v>0</v>
      </c>
    </row>
    <row r="3853" spans="1:5" x14ac:dyDescent="0.35">
      <c r="A3853">
        <v>0</v>
      </c>
      <c r="B3853">
        <v>0</v>
      </c>
      <c r="C3853">
        <v>0</v>
      </c>
      <c r="D3853">
        <v>0</v>
      </c>
      <c r="E3853">
        <v>0</v>
      </c>
    </row>
    <row r="3854" spans="1:5" x14ac:dyDescent="0.35">
      <c r="A3854">
        <v>0</v>
      </c>
      <c r="B3854">
        <v>0</v>
      </c>
      <c r="C3854">
        <v>0</v>
      </c>
      <c r="D3854">
        <v>0</v>
      </c>
      <c r="E3854">
        <v>0</v>
      </c>
    </row>
    <row r="3855" spans="1:5" x14ac:dyDescent="0.35">
      <c r="A3855">
        <v>0</v>
      </c>
      <c r="B3855">
        <v>0</v>
      </c>
      <c r="C3855">
        <v>0</v>
      </c>
      <c r="D3855">
        <v>0</v>
      </c>
      <c r="E3855">
        <v>0</v>
      </c>
    </row>
    <row r="3856" spans="1:5" x14ac:dyDescent="0.35">
      <c r="A3856">
        <v>0</v>
      </c>
      <c r="B3856">
        <v>0</v>
      </c>
      <c r="C3856">
        <v>0</v>
      </c>
      <c r="D3856">
        <v>0</v>
      </c>
      <c r="E3856">
        <v>0</v>
      </c>
    </row>
    <row r="3857" spans="1:5" x14ac:dyDescent="0.35">
      <c r="A3857">
        <v>0</v>
      </c>
      <c r="B3857">
        <v>0</v>
      </c>
      <c r="C3857">
        <v>0</v>
      </c>
      <c r="D3857">
        <v>0</v>
      </c>
      <c r="E3857">
        <v>0</v>
      </c>
    </row>
    <row r="3858" spans="1:5" x14ac:dyDescent="0.35">
      <c r="A3858">
        <v>0</v>
      </c>
      <c r="B3858">
        <v>0</v>
      </c>
      <c r="C3858">
        <v>0</v>
      </c>
      <c r="D3858">
        <v>0</v>
      </c>
      <c r="E3858">
        <v>0</v>
      </c>
    </row>
    <row r="3859" spans="1:5" x14ac:dyDescent="0.35">
      <c r="A3859">
        <v>0</v>
      </c>
      <c r="B3859">
        <v>0</v>
      </c>
      <c r="C3859">
        <v>0</v>
      </c>
      <c r="D3859">
        <v>0</v>
      </c>
      <c r="E3859">
        <v>0</v>
      </c>
    </row>
    <row r="3860" spans="1:5" x14ac:dyDescent="0.35">
      <c r="A3860">
        <v>0</v>
      </c>
      <c r="B3860">
        <v>0</v>
      </c>
      <c r="C3860">
        <v>0</v>
      </c>
      <c r="D3860">
        <v>0</v>
      </c>
      <c r="E3860">
        <v>0</v>
      </c>
    </row>
    <row r="3861" spans="1:5" x14ac:dyDescent="0.35">
      <c r="A3861">
        <v>0</v>
      </c>
      <c r="B3861">
        <v>0</v>
      </c>
      <c r="C3861">
        <v>0</v>
      </c>
      <c r="D3861">
        <v>0</v>
      </c>
      <c r="E3861">
        <v>0</v>
      </c>
    </row>
    <row r="3862" spans="1:5" x14ac:dyDescent="0.35">
      <c r="A3862">
        <v>0</v>
      </c>
      <c r="B3862">
        <v>0</v>
      </c>
      <c r="C3862">
        <v>0</v>
      </c>
      <c r="D3862">
        <v>0</v>
      </c>
      <c r="E3862">
        <v>0</v>
      </c>
    </row>
    <row r="3863" spans="1:5" x14ac:dyDescent="0.35">
      <c r="A3863">
        <v>0</v>
      </c>
      <c r="B3863">
        <v>0</v>
      </c>
      <c r="C3863">
        <v>0</v>
      </c>
      <c r="D3863">
        <v>0</v>
      </c>
      <c r="E3863">
        <v>0</v>
      </c>
    </row>
    <row r="3864" spans="1:5" x14ac:dyDescent="0.35">
      <c r="A3864">
        <v>0</v>
      </c>
      <c r="B3864">
        <v>0</v>
      </c>
      <c r="C3864">
        <v>0</v>
      </c>
      <c r="D3864">
        <v>0</v>
      </c>
      <c r="E3864">
        <v>0</v>
      </c>
    </row>
    <row r="3865" spans="1:5" x14ac:dyDescent="0.35">
      <c r="A3865">
        <v>0</v>
      </c>
      <c r="B3865">
        <v>0</v>
      </c>
      <c r="C3865">
        <v>0</v>
      </c>
      <c r="D3865">
        <v>0</v>
      </c>
      <c r="E3865">
        <v>0</v>
      </c>
    </row>
    <row r="3866" spans="1:5" x14ac:dyDescent="0.35">
      <c r="A3866">
        <v>0</v>
      </c>
      <c r="B3866">
        <v>0</v>
      </c>
      <c r="C3866">
        <v>0</v>
      </c>
      <c r="D3866">
        <v>0</v>
      </c>
      <c r="E3866">
        <v>0</v>
      </c>
    </row>
    <row r="3867" spans="1:5" x14ac:dyDescent="0.35">
      <c r="A3867">
        <v>0</v>
      </c>
      <c r="B3867">
        <v>0</v>
      </c>
      <c r="C3867">
        <v>0</v>
      </c>
      <c r="D3867">
        <v>0</v>
      </c>
      <c r="E3867">
        <v>0</v>
      </c>
    </row>
    <row r="3868" spans="1:5" x14ac:dyDescent="0.35">
      <c r="A3868">
        <v>0</v>
      </c>
      <c r="B3868">
        <v>0</v>
      </c>
      <c r="C3868">
        <v>0</v>
      </c>
      <c r="D3868">
        <v>0</v>
      </c>
      <c r="E3868">
        <v>0</v>
      </c>
    </row>
    <row r="3869" spans="1:5" x14ac:dyDescent="0.35">
      <c r="A3869">
        <v>0</v>
      </c>
      <c r="B3869">
        <v>0</v>
      </c>
      <c r="C3869">
        <v>0</v>
      </c>
      <c r="D3869">
        <v>0</v>
      </c>
      <c r="E3869">
        <v>0</v>
      </c>
    </row>
    <row r="3870" spans="1:5" x14ac:dyDescent="0.35">
      <c r="A3870">
        <v>0</v>
      </c>
      <c r="B3870">
        <v>0</v>
      </c>
      <c r="C3870">
        <v>0</v>
      </c>
      <c r="D3870">
        <v>0</v>
      </c>
      <c r="E3870">
        <v>0</v>
      </c>
    </row>
    <row r="3871" spans="1:5" x14ac:dyDescent="0.35">
      <c r="A3871">
        <v>0</v>
      </c>
      <c r="B3871">
        <v>0</v>
      </c>
      <c r="C3871">
        <v>0</v>
      </c>
      <c r="D3871">
        <v>0</v>
      </c>
      <c r="E3871">
        <v>0</v>
      </c>
    </row>
    <row r="3872" spans="1:5" x14ac:dyDescent="0.35">
      <c r="A3872">
        <v>0</v>
      </c>
      <c r="B3872">
        <v>0</v>
      </c>
      <c r="C3872">
        <v>0</v>
      </c>
      <c r="D3872">
        <v>0</v>
      </c>
      <c r="E3872">
        <v>0</v>
      </c>
    </row>
    <row r="3873" spans="1:5" x14ac:dyDescent="0.35">
      <c r="A3873">
        <v>0</v>
      </c>
      <c r="B3873">
        <v>0</v>
      </c>
      <c r="C3873">
        <v>0</v>
      </c>
      <c r="D3873">
        <v>0</v>
      </c>
      <c r="E3873">
        <v>0</v>
      </c>
    </row>
    <row r="3874" spans="1:5" x14ac:dyDescent="0.35">
      <c r="A3874">
        <v>0</v>
      </c>
      <c r="B3874">
        <v>0</v>
      </c>
      <c r="C3874">
        <v>0</v>
      </c>
      <c r="D3874">
        <v>0</v>
      </c>
      <c r="E3874">
        <v>0</v>
      </c>
    </row>
    <row r="3875" spans="1:5" x14ac:dyDescent="0.35">
      <c r="A3875">
        <v>0</v>
      </c>
      <c r="B3875">
        <v>0</v>
      </c>
      <c r="C3875">
        <v>0</v>
      </c>
      <c r="D3875">
        <v>0</v>
      </c>
      <c r="E3875">
        <v>0</v>
      </c>
    </row>
    <row r="3876" spans="1:5" x14ac:dyDescent="0.35">
      <c r="A3876">
        <v>0</v>
      </c>
      <c r="B3876">
        <v>0</v>
      </c>
      <c r="C3876">
        <v>0</v>
      </c>
      <c r="D3876">
        <v>0</v>
      </c>
      <c r="E3876">
        <v>0</v>
      </c>
    </row>
    <row r="3877" spans="1:5" x14ac:dyDescent="0.35">
      <c r="A3877">
        <v>0</v>
      </c>
      <c r="B3877">
        <v>0</v>
      </c>
      <c r="C3877">
        <v>0</v>
      </c>
      <c r="D3877">
        <v>0</v>
      </c>
      <c r="E3877">
        <v>0</v>
      </c>
    </row>
    <row r="3878" spans="1:5" x14ac:dyDescent="0.35">
      <c r="A3878">
        <v>0</v>
      </c>
      <c r="B3878">
        <v>0</v>
      </c>
      <c r="C3878">
        <v>0</v>
      </c>
      <c r="D3878">
        <v>0</v>
      </c>
      <c r="E3878">
        <v>0</v>
      </c>
    </row>
    <row r="3879" spans="1:5" x14ac:dyDescent="0.35">
      <c r="A3879">
        <v>0</v>
      </c>
      <c r="B3879">
        <v>0</v>
      </c>
      <c r="C3879">
        <v>0</v>
      </c>
      <c r="D3879">
        <v>0</v>
      </c>
      <c r="E3879">
        <v>0</v>
      </c>
    </row>
    <row r="3880" spans="1:5" x14ac:dyDescent="0.35">
      <c r="A3880">
        <v>0</v>
      </c>
      <c r="B3880">
        <v>0</v>
      </c>
      <c r="C3880">
        <v>0</v>
      </c>
      <c r="D3880">
        <v>0</v>
      </c>
      <c r="E3880">
        <v>0</v>
      </c>
    </row>
    <row r="3881" spans="1:5" x14ac:dyDescent="0.35">
      <c r="A3881">
        <v>0</v>
      </c>
      <c r="B3881">
        <v>0</v>
      </c>
      <c r="C3881">
        <v>0</v>
      </c>
      <c r="D3881">
        <v>0</v>
      </c>
      <c r="E3881">
        <v>0</v>
      </c>
    </row>
    <row r="3882" spans="1:5" x14ac:dyDescent="0.35">
      <c r="A3882">
        <v>0</v>
      </c>
      <c r="B3882">
        <v>0</v>
      </c>
      <c r="C3882">
        <v>0</v>
      </c>
      <c r="D3882">
        <v>0</v>
      </c>
      <c r="E3882">
        <v>0</v>
      </c>
    </row>
    <row r="3883" spans="1:5" x14ac:dyDescent="0.35">
      <c r="A3883">
        <v>0</v>
      </c>
      <c r="B3883">
        <v>0</v>
      </c>
      <c r="C3883">
        <v>0</v>
      </c>
      <c r="D3883">
        <v>0</v>
      </c>
      <c r="E3883">
        <v>0</v>
      </c>
    </row>
    <row r="3884" spans="1:5" x14ac:dyDescent="0.35">
      <c r="A3884">
        <v>0</v>
      </c>
      <c r="B3884">
        <v>0</v>
      </c>
      <c r="C3884">
        <v>0</v>
      </c>
      <c r="D3884">
        <v>0</v>
      </c>
      <c r="E3884">
        <v>0</v>
      </c>
    </row>
    <row r="3885" spans="1:5" x14ac:dyDescent="0.35">
      <c r="A3885">
        <v>0</v>
      </c>
      <c r="B3885">
        <v>0</v>
      </c>
      <c r="C3885">
        <v>0</v>
      </c>
      <c r="D3885">
        <v>0</v>
      </c>
      <c r="E3885">
        <v>0</v>
      </c>
    </row>
    <row r="3886" spans="1:5" x14ac:dyDescent="0.35">
      <c r="A3886">
        <v>0</v>
      </c>
      <c r="B3886">
        <v>0</v>
      </c>
      <c r="C3886">
        <v>0</v>
      </c>
      <c r="D3886">
        <v>0</v>
      </c>
      <c r="E3886">
        <v>0</v>
      </c>
    </row>
    <row r="3887" spans="1:5" x14ac:dyDescent="0.35">
      <c r="A3887">
        <v>0</v>
      </c>
      <c r="B3887">
        <v>0</v>
      </c>
      <c r="C3887">
        <v>0</v>
      </c>
      <c r="D3887">
        <v>0</v>
      </c>
      <c r="E3887">
        <v>0</v>
      </c>
    </row>
    <row r="3888" spans="1:5" x14ac:dyDescent="0.35">
      <c r="A3888">
        <v>0</v>
      </c>
      <c r="B3888">
        <v>0</v>
      </c>
      <c r="C3888">
        <v>0</v>
      </c>
      <c r="D3888">
        <v>0</v>
      </c>
      <c r="E3888">
        <v>0</v>
      </c>
    </row>
    <row r="3889" spans="1:5" x14ac:dyDescent="0.35">
      <c r="A3889">
        <v>0</v>
      </c>
      <c r="B3889">
        <v>0</v>
      </c>
      <c r="C3889">
        <v>0</v>
      </c>
      <c r="D3889">
        <v>0</v>
      </c>
      <c r="E3889">
        <v>0</v>
      </c>
    </row>
    <row r="3890" spans="1:5" x14ac:dyDescent="0.35">
      <c r="A3890">
        <v>0</v>
      </c>
      <c r="B3890">
        <v>0</v>
      </c>
      <c r="C3890">
        <v>0</v>
      </c>
      <c r="D3890">
        <v>0</v>
      </c>
      <c r="E3890">
        <v>0</v>
      </c>
    </row>
    <row r="3891" spans="1:5" x14ac:dyDescent="0.35">
      <c r="A3891">
        <v>0</v>
      </c>
      <c r="B3891">
        <v>0</v>
      </c>
      <c r="C3891">
        <v>0</v>
      </c>
      <c r="D3891">
        <v>0</v>
      </c>
      <c r="E3891">
        <v>0</v>
      </c>
    </row>
    <row r="3892" spans="1:5" x14ac:dyDescent="0.35">
      <c r="A3892">
        <v>0</v>
      </c>
      <c r="B3892">
        <v>0</v>
      </c>
      <c r="C3892">
        <v>0</v>
      </c>
      <c r="D3892">
        <v>0</v>
      </c>
      <c r="E3892">
        <v>0</v>
      </c>
    </row>
    <row r="3893" spans="1:5" x14ac:dyDescent="0.35">
      <c r="A3893">
        <v>0</v>
      </c>
      <c r="B3893">
        <v>0</v>
      </c>
      <c r="C3893">
        <v>0</v>
      </c>
      <c r="D3893">
        <v>0</v>
      </c>
      <c r="E3893">
        <v>0</v>
      </c>
    </row>
    <row r="3894" spans="1:5" x14ac:dyDescent="0.35">
      <c r="A3894">
        <v>0</v>
      </c>
      <c r="B3894">
        <v>0</v>
      </c>
      <c r="C3894">
        <v>0</v>
      </c>
      <c r="D3894">
        <v>0</v>
      </c>
      <c r="E3894">
        <v>0</v>
      </c>
    </row>
    <row r="3895" spans="1:5" x14ac:dyDescent="0.35">
      <c r="A3895">
        <v>0</v>
      </c>
      <c r="B3895">
        <v>0</v>
      </c>
      <c r="C3895">
        <v>0</v>
      </c>
      <c r="D3895">
        <v>0</v>
      </c>
      <c r="E3895">
        <v>0</v>
      </c>
    </row>
    <row r="3896" spans="1:5" x14ac:dyDescent="0.35">
      <c r="A3896">
        <v>0</v>
      </c>
      <c r="B3896">
        <v>0</v>
      </c>
      <c r="C3896">
        <v>0</v>
      </c>
      <c r="D3896">
        <v>0</v>
      </c>
      <c r="E3896">
        <v>0</v>
      </c>
    </row>
    <row r="3897" spans="1:5" x14ac:dyDescent="0.35">
      <c r="A3897">
        <v>0</v>
      </c>
      <c r="B3897">
        <v>0</v>
      </c>
      <c r="C3897">
        <v>0</v>
      </c>
      <c r="D3897">
        <v>0</v>
      </c>
      <c r="E3897">
        <v>0</v>
      </c>
    </row>
    <row r="3898" spans="1:5" x14ac:dyDescent="0.35">
      <c r="A3898">
        <v>0</v>
      </c>
      <c r="B3898">
        <v>0</v>
      </c>
      <c r="C3898">
        <v>0</v>
      </c>
      <c r="D3898">
        <v>0</v>
      </c>
      <c r="E3898">
        <v>0</v>
      </c>
    </row>
    <row r="3899" spans="1:5" x14ac:dyDescent="0.35">
      <c r="A3899">
        <v>0</v>
      </c>
      <c r="B3899">
        <v>0</v>
      </c>
      <c r="C3899">
        <v>0</v>
      </c>
      <c r="D3899">
        <v>0</v>
      </c>
      <c r="E3899">
        <v>0</v>
      </c>
    </row>
    <row r="3900" spans="1:5" x14ac:dyDescent="0.35">
      <c r="A3900">
        <v>0</v>
      </c>
      <c r="B3900">
        <v>0</v>
      </c>
      <c r="C3900">
        <v>0</v>
      </c>
      <c r="D3900">
        <v>0</v>
      </c>
      <c r="E3900">
        <v>0</v>
      </c>
    </row>
    <row r="3901" spans="1:5" x14ac:dyDescent="0.35">
      <c r="A3901">
        <v>0</v>
      </c>
      <c r="B3901">
        <v>0</v>
      </c>
      <c r="C3901">
        <v>0</v>
      </c>
      <c r="D3901">
        <v>0</v>
      </c>
      <c r="E3901">
        <v>0</v>
      </c>
    </row>
    <row r="3902" spans="1:5" x14ac:dyDescent="0.35">
      <c r="A3902">
        <v>0</v>
      </c>
      <c r="B3902">
        <v>0</v>
      </c>
      <c r="C3902">
        <v>0</v>
      </c>
      <c r="D3902">
        <v>0</v>
      </c>
      <c r="E3902">
        <v>0</v>
      </c>
    </row>
    <row r="3903" spans="1:5" x14ac:dyDescent="0.35">
      <c r="A3903">
        <v>0</v>
      </c>
      <c r="B3903">
        <v>0</v>
      </c>
      <c r="C3903">
        <v>0</v>
      </c>
      <c r="D3903">
        <v>0</v>
      </c>
      <c r="E3903">
        <v>0</v>
      </c>
    </row>
    <row r="3904" spans="1:5" x14ac:dyDescent="0.35">
      <c r="A3904">
        <v>0</v>
      </c>
      <c r="B3904">
        <v>0</v>
      </c>
      <c r="C3904">
        <v>0</v>
      </c>
      <c r="D3904">
        <v>0</v>
      </c>
      <c r="E3904">
        <v>0</v>
      </c>
    </row>
    <row r="3905" spans="1:5" x14ac:dyDescent="0.35">
      <c r="A3905">
        <v>0</v>
      </c>
      <c r="B3905">
        <v>0</v>
      </c>
      <c r="C3905">
        <v>0</v>
      </c>
      <c r="D3905">
        <v>0</v>
      </c>
      <c r="E3905">
        <v>0</v>
      </c>
    </row>
    <row r="3906" spans="1:5" x14ac:dyDescent="0.35">
      <c r="A3906">
        <v>0</v>
      </c>
      <c r="B3906">
        <v>0</v>
      </c>
      <c r="C3906">
        <v>0</v>
      </c>
      <c r="D3906">
        <v>0</v>
      </c>
      <c r="E3906">
        <v>0</v>
      </c>
    </row>
    <row r="3907" spans="1:5" x14ac:dyDescent="0.35">
      <c r="A3907">
        <v>0</v>
      </c>
      <c r="B3907">
        <v>0</v>
      </c>
      <c r="C3907">
        <v>0</v>
      </c>
      <c r="D3907">
        <v>0</v>
      </c>
      <c r="E3907">
        <v>0</v>
      </c>
    </row>
    <row r="3908" spans="1:5" x14ac:dyDescent="0.35">
      <c r="A3908">
        <v>0</v>
      </c>
      <c r="B3908">
        <v>0</v>
      </c>
      <c r="C3908">
        <v>0</v>
      </c>
      <c r="D3908">
        <v>0</v>
      </c>
      <c r="E3908">
        <v>0</v>
      </c>
    </row>
    <row r="3909" spans="1:5" x14ac:dyDescent="0.35">
      <c r="A3909">
        <v>0</v>
      </c>
      <c r="B3909">
        <v>0</v>
      </c>
      <c r="C3909">
        <v>0</v>
      </c>
      <c r="D3909">
        <v>0</v>
      </c>
      <c r="E3909">
        <v>0</v>
      </c>
    </row>
    <row r="3910" spans="1:5" x14ac:dyDescent="0.35">
      <c r="A3910">
        <v>0</v>
      </c>
      <c r="B3910">
        <v>0</v>
      </c>
      <c r="C3910">
        <v>0</v>
      </c>
      <c r="D3910">
        <v>0</v>
      </c>
      <c r="E3910">
        <v>0</v>
      </c>
    </row>
    <row r="3911" spans="1:5" x14ac:dyDescent="0.35">
      <c r="A3911">
        <v>0</v>
      </c>
      <c r="B3911">
        <v>0</v>
      </c>
      <c r="C3911">
        <v>0</v>
      </c>
      <c r="D3911">
        <v>0</v>
      </c>
      <c r="E3911">
        <v>0</v>
      </c>
    </row>
    <row r="3912" spans="1:5" x14ac:dyDescent="0.35">
      <c r="A3912">
        <v>0</v>
      </c>
      <c r="B3912">
        <v>0</v>
      </c>
      <c r="C3912">
        <v>0</v>
      </c>
      <c r="D3912">
        <v>0</v>
      </c>
      <c r="E3912">
        <v>0</v>
      </c>
    </row>
    <row r="3913" spans="1:5" x14ac:dyDescent="0.35">
      <c r="A3913">
        <v>0</v>
      </c>
      <c r="B3913">
        <v>0</v>
      </c>
      <c r="C3913">
        <v>0</v>
      </c>
      <c r="D3913">
        <v>0</v>
      </c>
      <c r="E3913">
        <v>0</v>
      </c>
    </row>
    <row r="3914" spans="1:5" x14ac:dyDescent="0.35">
      <c r="A3914">
        <v>0</v>
      </c>
      <c r="B3914">
        <v>0</v>
      </c>
      <c r="C3914">
        <v>0</v>
      </c>
      <c r="D3914">
        <v>0</v>
      </c>
      <c r="E3914">
        <v>0</v>
      </c>
    </row>
    <row r="3915" spans="1:5" x14ac:dyDescent="0.35">
      <c r="A3915">
        <v>0</v>
      </c>
      <c r="B3915">
        <v>0</v>
      </c>
      <c r="C3915">
        <v>0</v>
      </c>
      <c r="D3915">
        <v>0</v>
      </c>
      <c r="E3915">
        <v>0</v>
      </c>
    </row>
    <row r="3916" spans="1:5" x14ac:dyDescent="0.35">
      <c r="A3916">
        <v>0</v>
      </c>
      <c r="B3916">
        <v>0</v>
      </c>
      <c r="C3916">
        <v>0</v>
      </c>
      <c r="D3916">
        <v>0</v>
      </c>
      <c r="E3916">
        <v>0</v>
      </c>
    </row>
    <row r="3917" spans="1:5" x14ac:dyDescent="0.35">
      <c r="A3917">
        <v>0</v>
      </c>
      <c r="B3917">
        <v>0</v>
      </c>
      <c r="C3917">
        <v>0</v>
      </c>
      <c r="D3917">
        <v>0</v>
      </c>
      <c r="E3917">
        <v>0</v>
      </c>
    </row>
    <row r="3918" spans="1:5" x14ac:dyDescent="0.35">
      <c r="A3918">
        <v>0</v>
      </c>
      <c r="B3918">
        <v>0</v>
      </c>
      <c r="C3918">
        <v>0</v>
      </c>
      <c r="D3918">
        <v>0</v>
      </c>
      <c r="E3918">
        <v>0</v>
      </c>
    </row>
    <row r="3919" spans="1:5" x14ac:dyDescent="0.35">
      <c r="A3919">
        <v>0</v>
      </c>
      <c r="B3919">
        <v>0</v>
      </c>
      <c r="C3919">
        <v>0</v>
      </c>
      <c r="D3919">
        <v>0</v>
      </c>
      <c r="E3919">
        <v>0</v>
      </c>
    </row>
    <row r="3920" spans="1:5" x14ac:dyDescent="0.35">
      <c r="A3920">
        <v>0</v>
      </c>
      <c r="B3920">
        <v>0</v>
      </c>
      <c r="C3920">
        <v>0</v>
      </c>
      <c r="D3920">
        <v>0</v>
      </c>
      <c r="E3920">
        <v>0</v>
      </c>
    </row>
    <row r="3921" spans="1:5" x14ac:dyDescent="0.35">
      <c r="A3921">
        <v>0</v>
      </c>
      <c r="B3921">
        <v>0</v>
      </c>
      <c r="C3921">
        <v>0</v>
      </c>
      <c r="D3921">
        <v>0</v>
      </c>
      <c r="E3921">
        <v>0</v>
      </c>
    </row>
    <row r="3922" spans="1:5" x14ac:dyDescent="0.35">
      <c r="A3922">
        <v>0</v>
      </c>
      <c r="B3922">
        <v>0</v>
      </c>
      <c r="C3922">
        <v>0</v>
      </c>
      <c r="D3922">
        <v>0</v>
      </c>
      <c r="E3922">
        <v>0</v>
      </c>
    </row>
    <row r="3923" spans="1:5" x14ac:dyDescent="0.35">
      <c r="A3923">
        <v>0</v>
      </c>
      <c r="B3923">
        <v>0</v>
      </c>
      <c r="C3923">
        <v>0</v>
      </c>
      <c r="D3923">
        <v>0</v>
      </c>
      <c r="E3923">
        <v>0</v>
      </c>
    </row>
    <row r="3924" spans="1:5" x14ac:dyDescent="0.35">
      <c r="A3924">
        <v>0</v>
      </c>
      <c r="B3924">
        <v>0</v>
      </c>
      <c r="C3924">
        <v>0</v>
      </c>
      <c r="D3924">
        <v>0</v>
      </c>
      <c r="E3924">
        <v>0</v>
      </c>
    </row>
    <row r="3925" spans="1:5" x14ac:dyDescent="0.35">
      <c r="A3925">
        <v>0</v>
      </c>
      <c r="B3925">
        <v>0</v>
      </c>
      <c r="C3925">
        <v>0</v>
      </c>
      <c r="D3925">
        <v>0</v>
      </c>
      <c r="E3925">
        <v>0</v>
      </c>
    </row>
    <row r="3926" spans="1:5" x14ac:dyDescent="0.35">
      <c r="A3926">
        <v>0</v>
      </c>
      <c r="B3926">
        <v>0</v>
      </c>
      <c r="C3926">
        <v>0</v>
      </c>
      <c r="D3926">
        <v>0</v>
      </c>
      <c r="E3926">
        <v>0</v>
      </c>
    </row>
    <row r="3927" spans="1:5" x14ac:dyDescent="0.35">
      <c r="A3927">
        <v>0</v>
      </c>
      <c r="B3927">
        <v>0</v>
      </c>
      <c r="C3927">
        <v>0</v>
      </c>
      <c r="D3927">
        <v>0</v>
      </c>
      <c r="E3927">
        <v>0</v>
      </c>
    </row>
    <row r="3928" spans="1:5" x14ac:dyDescent="0.35">
      <c r="A3928">
        <v>0</v>
      </c>
      <c r="B3928">
        <v>0</v>
      </c>
      <c r="C3928">
        <v>0</v>
      </c>
      <c r="D3928">
        <v>0</v>
      </c>
      <c r="E3928">
        <v>0</v>
      </c>
    </row>
    <row r="3929" spans="1:5" x14ac:dyDescent="0.35">
      <c r="A3929">
        <v>0</v>
      </c>
      <c r="B3929">
        <v>0</v>
      </c>
      <c r="C3929">
        <v>0</v>
      </c>
      <c r="D3929">
        <v>0</v>
      </c>
      <c r="E3929">
        <v>0</v>
      </c>
    </row>
    <row r="3930" spans="1:5" x14ac:dyDescent="0.35">
      <c r="A3930">
        <v>0</v>
      </c>
      <c r="B3930">
        <v>0</v>
      </c>
      <c r="C3930">
        <v>0</v>
      </c>
      <c r="D3930">
        <v>0</v>
      </c>
      <c r="E3930">
        <v>0</v>
      </c>
    </row>
    <row r="3931" spans="1:5" x14ac:dyDescent="0.35">
      <c r="A3931">
        <v>0</v>
      </c>
      <c r="B3931">
        <v>0</v>
      </c>
      <c r="C3931">
        <v>0</v>
      </c>
      <c r="D3931">
        <v>0</v>
      </c>
      <c r="E3931">
        <v>0</v>
      </c>
    </row>
    <row r="3932" spans="1:5" x14ac:dyDescent="0.35">
      <c r="A3932">
        <v>0</v>
      </c>
      <c r="B3932">
        <v>0</v>
      </c>
      <c r="C3932">
        <v>0</v>
      </c>
      <c r="D3932">
        <v>0</v>
      </c>
      <c r="E3932">
        <v>0</v>
      </c>
    </row>
    <row r="3933" spans="1:5" x14ac:dyDescent="0.35">
      <c r="A3933">
        <v>0</v>
      </c>
      <c r="B3933">
        <v>0</v>
      </c>
      <c r="C3933">
        <v>0</v>
      </c>
      <c r="D3933">
        <v>0</v>
      </c>
      <c r="E3933">
        <v>0</v>
      </c>
    </row>
    <row r="3934" spans="1:5" x14ac:dyDescent="0.35">
      <c r="A3934">
        <v>0</v>
      </c>
      <c r="B3934">
        <v>0</v>
      </c>
      <c r="C3934">
        <v>0</v>
      </c>
      <c r="D3934">
        <v>0</v>
      </c>
      <c r="E3934">
        <v>0</v>
      </c>
    </row>
    <row r="3935" spans="1:5" x14ac:dyDescent="0.35">
      <c r="A3935">
        <v>0</v>
      </c>
      <c r="B3935">
        <v>0</v>
      </c>
      <c r="C3935">
        <v>0</v>
      </c>
      <c r="D3935">
        <v>0</v>
      </c>
      <c r="E3935">
        <v>0</v>
      </c>
    </row>
    <row r="3936" spans="1:5" x14ac:dyDescent="0.35">
      <c r="A3936">
        <v>0</v>
      </c>
      <c r="B3936">
        <v>0</v>
      </c>
      <c r="C3936">
        <v>0</v>
      </c>
      <c r="D3936">
        <v>0</v>
      </c>
      <c r="E3936">
        <v>0</v>
      </c>
    </row>
    <row r="3937" spans="1:5" x14ac:dyDescent="0.35">
      <c r="A3937">
        <v>0</v>
      </c>
      <c r="B3937">
        <v>0</v>
      </c>
      <c r="C3937">
        <v>0</v>
      </c>
      <c r="D3937">
        <v>0</v>
      </c>
      <c r="E3937">
        <v>0</v>
      </c>
    </row>
    <row r="3938" spans="1:5" x14ac:dyDescent="0.35">
      <c r="A3938">
        <v>0</v>
      </c>
      <c r="B3938">
        <v>0</v>
      </c>
      <c r="C3938">
        <v>0</v>
      </c>
      <c r="D3938">
        <v>0</v>
      </c>
      <c r="E3938">
        <v>0</v>
      </c>
    </row>
    <row r="3939" spans="1:5" x14ac:dyDescent="0.35">
      <c r="A3939">
        <v>0</v>
      </c>
      <c r="B3939">
        <v>0</v>
      </c>
      <c r="C3939">
        <v>0</v>
      </c>
      <c r="D3939">
        <v>0</v>
      </c>
      <c r="E3939">
        <v>0</v>
      </c>
    </row>
    <row r="3940" spans="1:5" x14ac:dyDescent="0.35">
      <c r="A3940">
        <v>0</v>
      </c>
      <c r="B3940">
        <v>0</v>
      </c>
      <c r="C3940">
        <v>0</v>
      </c>
      <c r="D3940">
        <v>0</v>
      </c>
      <c r="E3940">
        <v>0</v>
      </c>
    </row>
    <row r="3941" spans="1:5" x14ac:dyDescent="0.35">
      <c r="A3941">
        <v>0</v>
      </c>
      <c r="B3941">
        <v>0</v>
      </c>
      <c r="C3941">
        <v>0</v>
      </c>
      <c r="D3941">
        <v>0</v>
      </c>
      <c r="E3941">
        <v>0</v>
      </c>
    </row>
    <row r="3942" spans="1:5" x14ac:dyDescent="0.35">
      <c r="A3942">
        <v>0</v>
      </c>
      <c r="B3942">
        <v>0</v>
      </c>
      <c r="C3942">
        <v>0</v>
      </c>
      <c r="D3942">
        <v>0</v>
      </c>
      <c r="E3942">
        <v>0</v>
      </c>
    </row>
    <row r="3943" spans="1:5" x14ac:dyDescent="0.35">
      <c r="A3943">
        <v>0</v>
      </c>
      <c r="B3943">
        <v>0</v>
      </c>
      <c r="C3943">
        <v>0</v>
      </c>
      <c r="D3943">
        <v>0</v>
      </c>
      <c r="E3943">
        <v>0</v>
      </c>
    </row>
    <row r="3944" spans="1:5" x14ac:dyDescent="0.35">
      <c r="A3944">
        <v>0</v>
      </c>
      <c r="B3944">
        <v>0</v>
      </c>
      <c r="C3944">
        <v>0</v>
      </c>
      <c r="D3944">
        <v>0</v>
      </c>
      <c r="E3944">
        <v>0</v>
      </c>
    </row>
    <row r="3945" spans="1:5" x14ac:dyDescent="0.35">
      <c r="A3945">
        <v>0</v>
      </c>
      <c r="B3945">
        <v>0</v>
      </c>
      <c r="C3945">
        <v>0</v>
      </c>
      <c r="D3945">
        <v>0</v>
      </c>
      <c r="E3945">
        <v>0</v>
      </c>
    </row>
    <row r="3946" spans="1:5" x14ac:dyDescent="0.35">
      <c r="A3946">
        <v>0</v>
      </c>
      <c r="B3946">
        <v>0</v>
      </c>
      <c r="C3946">
        <v>0</v>
      </c>
      <c r="D3946">
        <v>0</v>
      </c>
      <c r="E3946">
        <v>0</v>
      </c>
    </row>
    <row r="3947" spans="1:5" x14ac:dyDescent="0.35">
      <c r="A3947">
        <v>0</v>
      </c>
      <c r="B3947">
        <v>0</v>
      </c>
      <c r="C3947">
        <v>0</v>
      </c>
      <c r="D3947">
        <v>0</v>
      </c>
      <c r="E3947">
        <v>0</v>
      </c>
    </row>
    <row r="3948" spans="1:5" x14ac:dyDescent="0.35">
      <c r="A3948">
        <v>0</v>
      </c>
      <c r="B3948">
        <v>0</v>
      </c>
      <c r="C3948">
        <v>0</v>
      </c>
      <c r="D3948">
        <v>0</v>
      </c>
      <c r="E3948">
        <v>0</v>
      </c>
    </row>
    <row r="3949" spans="1:5" x14ac:dyDescent="0.35">
      <c r="A3949">
        <v>0</v>
      </c>
      <c r="B3949">
        <v>0</v>
      </c>
      <c r="C3949">
        <v>0</v>
      </c>
      <c r="D3949">
        <v>0</v>
      </c>
      <c r="E3949">
        <v>0</v>
      </c>
    </row>
    <row r="3950" spans="1:5" x14ac:dyDescent="0.35">
      <c r="A3950">
        <v>0</v>
      </c>
      <c r="B3950">
        <v>0</v>
      </c>
      <c r="C3950">
        <v>0</v>
      </c>
      <c r="D3950">
        <v>0</v>
      </c>
      <c r="E3950">
        <v>0</v>
      </c>
    </row>
    <row r="3951" spans="1:5" x14ac:dyDescent="0.35">
      <c r="A3951">
        <v>0</v>
      </c>
      <c r="B3951">
        <v>0</v>
      </c>
      <c r="C3951">
        <v>0</v>
      </c>
      <c r="D3951">
        <v>0</v>
      </c>
      <c r="E3951">
        <v>0</v>
      </c>
    </row>
    <row r="3952" spans="1:5" x14ac:dyDescent="0.35">
      <c r="A3952">
        <v>0</v>
      </c>
      <c r="B3952">
        <v>0</v>
      </c>
      <c r="C3952">
        <v>0</v>
      </c>
      <c r="D3952">
        <v>0</v>
      </c>
      <c r="E3952">
        <v>0</v>
      </c>
    </row>
    <row r="3953" spans="1:5" x14ac:dyDescent="0.35">
      <c r="A3953">
        <v>0</v>
      </c>
      <c r="B3953">
        <v>0</v>
      </c>
      <c r="C3953">
        <v>0</v>
      </c>
      <c r="D3953">
        <v>0</v>
      </c>
      <c r="E3953">
        <v>0</v>
      </c>
    </row>
    <row r="3954" spans="1:5" x14ac:dyDescent="0.35">
      <c r="A3954">
        <v>0</v>
      </c>
      <c r="B3954">
        <v>0</v>
      </c>
      <c r="C3954">
        <v>0</v>
      </c>
      <c r="D3954">
        <v>0</v>
      </c>
      <c r="E3954">
        <v>0</v>
      </c>
    </row>
    <row r="3955" spans="1:5" x14ac:dyDescent="0.35">
      <c r="A3955">
        <v>0</v>
      </c>
      <c r="B3955">
        <v>0</v>
      </c>
      <c r="C3955">
        <v>0</v>
      </c>
      <c r="D3955">
        <v>0</v>
      </c>
      <c r="E3955">
        <v>0</v>
      </c>
    </row>
    <row r="3956" spans="1:5" x14ac:dyDescent="0.35">
      <c r="A3956">
        <v>0</v>
      </c>
      <c r="B3956">
        <v>0</v>
      </c>
      <c r="C3956">
        <v>0</v>
      </c>
      <c r="D3956">
        <v>0</v>
      </c>
      <c r="E3956">
        <v>0</v>
      </c>
    </row>
    <row r="3957" spans="1:5" x14ac:dyDescent="0.35">
      <c r="A3957">
        <v>0</v>
      </c>
      <c r="B3957">
        <v>0</v>
      </c>
      <c r="C3957">
        <v>0</v>
      </c>
      <c r="D3957">
        <v>0</v>
      </c>
      <c r="E3957">
        <v>0</v>
      </c>
    </row>
    <row r="3958" spans="1:5" x14ac:dyDescent="0.35">
      <c r="A3958">
        <v>0</v>
      </c>
      <c r="B3958">
        <v>0</v>
      </c>
      <c r="C3958">
        <v>0</v>
      </c>
      <c r="D3958">
        <v>0</v>
      </c>
      <c r="E3958">
        <v>0</v>
      </c>
    </row>
    <row r="3959" spans="1:5" x14ac:dyDescent="0.35">
      <c r="A3959">
        <v>0</v>
      </c>
      <c r="B3959">
        <v>0</v>
      </c>
      <c r="C3959">
        <v>0</v>
      </c>
      <c r="D3959">
        <v>0</v>
      </c>
      <c r="E3959">
        <v>0</v>
      </c>
    </row>
    <row r="3960" spans="1:5" x14ac:dyDescent="0.35">
      <c r="A3960">
        <v>0</v>
      </c>
      <c r="B3960">
        <v>0</v>
      </c>
      <c r="C3960">
        <v>0</v>
      </c>
      <c r="D3960">
        <v>0</v>
      </c>
      <c r="E3960">
        <v>0</v>
      </c>
    </row>
    <row r="3961" spans="1:5" x14ac:dyDescent="0.35">
      <c r="A3961">
        <v>0</v>
      </c>
      <c r="B3961">
        <v>0</v>
      </c>
      <c r="C3961">
        <v>0</v>
      </c>
      <c r="D3961">
        <v>0</v>
      </c>
      <c r="E3961">
        <v>0</v>
      </c>
    </row>
    <row r="3962" spans="1:5" x14ac:dyDescent="0.35">
      <c r="A3962">
        <v>0</v>
      </c>
      <c r="B3962">
        <v>0</v>
      </c>
      <c r="C3962">
        <v>0</v>
      </c>
      <c r="D3962">
        <v>0</v>
      </c>
      <c r="E3962">
        <v>0</v>
      </c>
    </row>
    <row r="3963" spans="1:5" x14ac:dyDescent="0.35">
      <c r="A3963">
        <v>0</v>
      </c>
      <c r="B3963">
        <v>0</v>
      </c>
      <c r="C3963">
        <v>0</v>
      </c>
      <c r="D3963">
        <v>0</v>
      </c>
      <c r="E3963">
        <v>0</v>
      </c>
    </row>
    <row r="3964" spans="1:5" x14ac:dyDescent="0.35">
      <c r="A3964">
        <v>0</v>
      </c>
      <c r="B3964">
        <v>0</v>
      </c>
      <c r="C3964">
        <v>0</v>
      </c>
      <c r="D3964">
        <v>0</v>
      </c>
      <c r="E3964">
        <v>0</v>
      </c>
    </row>
    <row r="3965" spans="1:5" x14ac:dyDescent="0.35">
      <c r="A3965">
        <v>0</v>
      </c>
      <c r="B3965">
        <v>0</v>
      </c>
      <c r="C3965">
        <v>0</v>
      </c>
      <c r="D3965">
        <v>0</v>
      </c>
      <c r="E3965">
        <v>0</v>
      </c>
    </row>
    <row r="3966" spans="1:5" x14ac:dyDescent="0.35">
      <c r="A3966">
        <v>0</v>
      </c>
      <c r="B3966">
        <v>0</v>
      </c>
      <c r="C3966">
        <v>0</v>
      </c>
      <c r="D3966">
        <v>0</v>
      </c>
      <c r="E3966">
        <v>0</v>
      </c>
    </row>
    <row r="3967" spans="1:5" x14ac:dyDescent="0.35">
      <c r="A3967">
        <v>0</v>
      </c>
      <c r="B3967">
        <v>0</v>
      </c>
      <c r="C3967">
        <v>0</v>
      </c>
      <c r="D3967">
        <v>0</v>
      </c>
      <c r="E3967">
        <v>0</v>
      </c>
    </row>
    <row r="3968" spans="1:5" x14ac:dyDescent="0.35">
      <c r="A3968">
        <v>0</v>
      </c>
      <c r="B3968">
        <v>0</v>
      </c>
      <c r="C3968">
        <v>0</v>
      </c>
      <c r="D3968">
        <v>0</v>
      </c>
      <c r="E3968">
        <v>0</v>
      </c>
    </row>
    <row r="3969" spans="1:5" x14ac:dyDescent="0.35">
      <c r="A3969">
        <v>0</v>
      </c>
      <c r="B3969">
        <v>0</v>
      </c>
      <c r="C3969">
        <v>0</v>
      </c>
      <c r="D3969">
        <v>0</v>
      </c>
      <c r="E3969">
        <v>0</v>
      </c>
    </row>
    <row r="3970" spans="1:5" x14ac:dyDescent="0.35">
      <c r="A3970">
        <v>0</v>
      </c>
      <c r="B3970">
        <v>0</v>
      </c>
      <c r="C3970">
        <v>0</v>
      </c>
      <c r="D3970">
        <v>0</v>
      </c>
      <c r="E3970">
        <v>0</v>
      </c>
    </row>
    <row r="3971" spans="1:5" x14ac:dyDescent="0.35">
      <c r="A3971">
        <v>0</v>
      </c>
      <c r="B3971">
        <v>0</v>
      </c>
      <c r="C3971">
        <v>0</v>
      </c>
      <c r="D3971">
        <v>0</v>
      </c>
      <c r="E3971">
        <v>0</v>
      </c>
    </row>
    <row r="3972" spans="1:5" x14ac:dyDescent="0.35">
      <c r="A3972">
        <v>0</v>
      </c>
      <c r="B3972">
        <v>0</v>
      </c>
      <c r="C3972">
        <v>0</v>
      </c>
      <c r="D3972">
        <v>0</v>
      </c>
      <c r="E3972">
        <v>0</v>
      </c>
    </row>
    <row r="3973" spans="1:5" x14ac:dyDescent="0.35">
      <c r="A3973">
        <v>0</v>
      </c>
      <c r="B3973">
        <v>0</v>
      </c>
      <c r="C3973">
        <v>0</v>
      </c>
      <c r="D3973">
        <v>0</v>
      </c>
      <c r="E3973">
        <v>0</v>
      </c>
    </row>
    <row r="3974" spans="1:5" x14ac:dyDescent="0.35">
      <c r="A3974">
        <v>0</v>
      </c>
      <c r="B3974">
        <v>0</v>
      </c>
      <c r="C3974">
        <v>0</v>
      </c>
      <c r="D3974">
        <v>0</v>
      </c>
      <c r="E3974">
        <v>0</v>
      </c>
    </row>
    <row r="3975" spans="1:5" x14ac:dyDescent="0.35">
      <c r="A3975">
        <v>0</v>
      </c>
      <c r="B3975">
        <v>0</v>
      </c>
      <c r="C3975">
        <v>0</v>
      </c>
      <c r="D3975">
        <v>0</v>
      </c>
      <c r="E3975">
        <v>0</v>
      </c>
    </row>
    <row r="3976" spans="1:5" x14ac:dyDescent="0.35">
      <c r="A3976">
        <v>0</v>
      </c>
      <c r="B3976">
        <v>0</v>
      </c>
      <c r="C3976">
        <v>0</v>
      </c>
      <c r="D3976">
        <v>0</v>
      </c>
      <c r="E3976">
        <v>0</v>
      </c>
    </row>
    <row r="3977" spans="1:5" x14ac:dyDescent="0.35">
      <c r="A3977">
        <v>0</v>
      </c>
      <c r="B3977">
        <v>0</v>
      </c>
      <c r="C3977">
        <v>0</v>
      </c>
      <c r="D3977">
        <v>0</v>
      </c>
      <c r="E3977">
        <v>0</v>
      </c>
    </row>
    <row r="3978" spans="1:5" x14ac:dyDescent="0.35">
      <c r="A3978">
        <v>0</v>
      </c>
      <c r="B3978">
        <v>0</v>
      </c>
      <c r="C3978">
        <v>0</v>
      </c>
      <c r="D3978">
        <v>0</v>
      </c>
      <c r="E3978">
        <v>0</v>
      </c>
    </row>
    <row r="3979" spans="1:5" x14ac:dyDescent="0.35">
      <c r="A3979">
        <v>0</v>
      </c>
      <c r="B3979">
        <v>0</v>
      </c>
      <c r="C3979">
        <v>0</v>
      </c>
      <c r="D3979">
        <v>0</v>
      </c>
      <c r="E3979">
        <v>0</v>
      </c>
    </row>
    <row r="3980" spans="1:5" x14ac:dyDescent="0.35">
      <c r="A3980">
        <v>0</v>
      </c>
      <c r="B3980">
        <v>0</v>
      </c>
      <c r="C3980">
        <v>0</v>
      </c>
      <c r="D3980">
        <v>0</v>
      </c>
      <c r="E3980">
        <v>0</v>
      </c>
    </row>
    <row r="3981" spans="1:5" x14ac:dyDescent="0.35">
      <c r="A3981">
        <v>0</v>
      </c>
      <c r="B3981">
        <v>0</v>
      </c>
      <c r="C3981">
        <v>0</v>
      </c>
      <c r="D3981">
        <v>0</v>
      </c>
      <c r="E3981">
        <v>0</v>
      </c>
    </row>
    <row r="3982" spans="1:5" x14ac:dyDescent="0.35">
      <c r="A3982">
        <v>0</v>
      </c>
      <c r="B3982">
        <v>0</v>
      </c>
      <c r="C3982">
        <v>0</v>
      </c>
      <c r="D3982">
        <v>0</v>
      </c>
      <c r="E3982">
        <v>0</v>
      </c>
    </row>
    <row r="3983" spans="1:5" x14ac:dyDescent="0.35">
      <c r="A3983">
        <v>0</v>
      </c>
      <c r="B3983">
        <v>0</v>
      </c>
      <c r="C3983">
        <v>0</v>
      </c>
      <c r="D3983">
        <v>0</v>
      </c>
      <c r="E3983">
        <v>0</v>
      </c>
    </row>
    <row r="3984" spans="1:5" x14ac:dyDescent="0.35">
      <c r="A3984">
        <v>0</v>
      </c>
      <c r="B3984">
        <v>0</v>
      </c>
      <c r="C3984">
        <v>0</v>
      </c>
      <c r="D3984">
        <v>0</v>
      </c>
      <c r="E3984">
        <v>0</v>
      </c>
    </row>
    <row r="3985" spans="1:5" x14ac:dyDescent="0.35">
      <c r="A3985">
        <v>0</v>
      </c>
      <c r="B3985">
        <v>0</v>
      </c>
      <c r="C3985">
        <v>0</v>
      </c>
      <c r="D3985">
        <v>0</v>
      </c>
      <c r="E3985">
        <v>0</v>
      </c>
    </row>
    <row r="3986" spans="1:5" x14ac:dyDescent="0.35">
      <c r="A3986">
        <v>0</v>
      </c>
      <c r="B3986">
        <v>0</v>
      </c>
      <c r="C3986">
        <v>0</v>
      </c>
      <c r="D3986">
        <v>0</v>
      </c>
      <c r="E3986">
        <v>0</v>
      </c>
    </row>
    <row r="3987" spans="1:5" x14ac:dyDescent="0.35">
      <c r="A3987">
        <v>0</v>
      </c>
      <c r="B3987">
        <v>0</v>
      </c>
      <c r="C3987">
        <v>0</v>
      </c>
      <c r="D3987">
        <v>0</v>
      </c>
      <c r="E3987">
        <v>0</v>
      </c>
    </row>
    <row r="3988" spans="1:5" x14ac:dyDescent="0.35">
      <c r="A3988">
        <v>0</v>
      </c>
      <c r="B3988">
        <v>0</v>
      </c>
      <c r="C3988">
        <v>0</v>
      </c>
      <c r="D3988">
        <v>0</v>
      </c>
      <c r="E3988">
        <v>0</v>
      </c>
    </row>
    <row r="3989" spans="1:5" x14ac:dyDescent="0.35">
      <c r="A3989">
        <v>0</v>
      </c>
      <c r="B3989">
        <v>0</v>
      </c>
      <c r="C3989">
        <v>0</v>
      </c>
      <c r="D3989">
        <v>0</v>
      </c>
      <c r="E3989">
        <v>0</v>
      </c>
    </row>
    <row r="3990" spans="1:5" x14ac:dyDescent="0.35">
      <c r="A3990">
        <v>0</v>
      </c>
      <c r="B3990">
        <v>0</v>
      </c>
      <c r="C3990">
        <v>0</v>
      </c>
      <c r="D3990">
        <v>0</v>
      </c>
      <c r="E3990">
        <v>0</v>
      </c>
    </row>
    <row r="3991" spans="1:5" x14ac:dyDescent="0.35">
      <c r="A3991">
        <v>0</v>
      </c>
      <c r="B3991">
        <v>0</v>
      </c>
      <c r="C3991">
        <v>0</v>
      </c>
      <c r="D3991">
        <v>0</v>
      </c>
      <c r="E3991">
        <v>0</v>
      </c>
    </row>
    <row r="3992" spans="1:5" x14ac:dyDescent="0.35">
      <c r="A3992">
        <v>0</v>
      </c>
      <c r="B3992">
        <v>0</v>
      </c>
      <c r="C3992">
        <v>0</v>
      </c>
      <c r="D3992">
        <v>0</v>
      </c>
      <c r="E3992">
        <v>0</v>
      </c>
    </row>
    <row r="3993" spans="1:5" x14ac:dyDescent="0.35">
      <c r="A3993">
        <v>0</v>
      </c>
      <c r="B3993">
        <v>0</v>
      </c>
      <c r="C3993">
        <v>0</v>
      </c>
      <c r="D3993">
        <v>0</v>
      </c>
      <c r="E3993">
        <v>0</v>
      </c>
    </row>
    <row r="3994" spans="1:5" x14ac:dyDescent="0.35">
      <c r="A3994">
        <v>0</v>
      </c>
      <c r="B3994">
        <v>0</v>
      </c>
      <c r="C3994">
        <v>0</v>
      </c>
      <c r="D3994">
        <v>0</v>
      </c>
      <c r="E3994">
        <v>0</v>
      </c>
    </row>
    <row r="3995" spans="1:5" x14ac:dyDescent="0.35">
      <c r="A3995">
        <v>0</v>
      </c>
      <c r="B3995">
        <v>0</v>
      </c>
      <c r="C3995">
        <v>0</v>
      </c>
      <c r="D3995">
        <v>0</v>
      </c>
      <c r="E3995">
        <v>0</v>
      </c>
    </row>
    <row r="3996" spans="1:5" x14ac:dyDescent="0.35">
      <c r="A3996">
        <v>0</v>
      </c>
      <c r="B3996">
        <v>0</v>
      </c>
      <c r="C3996">
        <v>0</v>
      </c>
      <c r="D3996">
        <v>0</v>
      </c>
      <c r="E3996">
        <v>0</v>
      </c>
    </row>
    <row r="3997" spans="1:5" x14ac:dyDescent="0.35">
      <c r="A3997">
        <v>0</v>
      </c>
      <c r="B3997">
        <v>0</v>
      </c>
      <c r="C3997">
        <v>0</v>
      </c>
      <c r="D3997">
        <v>0</v>
      </c>
      <c r="E3997">
        <v>0</v>
      </c>
    </row>
    <row r="3998" spans="1:5" x14ac:dyDescent="0.35">
      <c r="A3998">
        <v>0</v>
      </c>
      <c r="B3998">
        <v>0</v>
      </c>
      <c r="C3998">
        <v>0</v>
      </c>
      <c r="D3998">
        <v>0</v>
      </c>
      <c r="E3998">
        <v>0</v>
      </c>
    </row>
    <row r="3999" spans="1:5" x14ac:dyDescent="0.35">
      <c r="A3999">
        <v>0</v>
      </c>
      <c r="B3999">
        <v>0</v>
      </c>
      <c r="C3999">
        <v>0</v>
      </c>
      <c r="D3999">
        <v>0</v>
      </c>
      <c r="E3999">
        <v>0</v>
      </c>
    </row>
    <row r="4000" spans="1:5" x14ac:dyDescent="0.35">
      <c r="A4000">
        <v>0</v>
      </c>
      <c r="B4000">
        <v>0</v>
      </c>
      <c r="C4000">
        <v>0</v>
      </c>
      <c r="D4000">
        <v>0</v>
      </c>
      <c r="E4000">
        <v>0</v>
      </c>
    </row>
    <row r="4001" spans="1:5" x14ac:dyDescent="0.35">
      <c r="A4001">
        <v>0</v>
      </c>
      <c r="B4001">
        <v>0</v>
      </c>
      <c r="C4001">
        <v>0</v>
      </c>
      <c r="D4001">
        <v>0</v>
      </c>
      <c r="E4001">
        <v>0</v>
      </c>
    </row>
    <row r="4002" spans="1:5" x14ac:dyDescent="0.35">
      <c r="A4002">
        <v>0</v>
      </c>
      <c r="B4002">
        <v>0</v>
      </c>
      <c r="C4002">
        <v>0</v>
      </c>
      <c r="D4002">
        <v>0</v>
      </c>
      <c r="E4002">
        <v>0</v>
      </c>
    </row>
    <row r="4003" spans="1:5" x14ac:dyDescent="0.35">
      <c r="A4003">
        <v>0</v>
      </c>
      <c r="B4003">
        <v>0</v>
      </c>
      <c r="C4003">
        <v>0</v>
      </c>
      <c r="D4003">
        <v>0</v>
      </c>
      <c r="E4003">
        <v>0</v>
      </c>
    </row>
    <row r="4004" spans="1:5" x14ac:dyDescent="0.35">
      <c r="A4004">
        <v>0</v>
      </c>
      <c r="B4004">
        <v>0</v>
      </c>
      <c r="C4004">
        <v>0</v>
      </c>
      <c r="D4004">
        <v>0</v>
      </c>
      <c r="E4004">
        <v>0</v>
      </c>
    </row>
    <row r="4005" spans="1:5" x14ac:dyDescent="0.35">
      <c r="A4005">
        <v>0</v>
      </c>
      <c r="B4005">
        <v>0</v>
      </c>
      <c r="C4005">
        <v>0</v>
      </c>
      <c r="D4005">
        <v>0</v>
      </c>
      <c r="E4005">
        <v>0</v>
      </c>
    </row>
    <row r="4006" spans="1:5" x14ac:dyDescent="0.35">
      <c r="A4006">
        <v>0</v>
      </c>
      <c r="B4006">
        <v>0</v>
      </c>
      <c r="C4006">
        <v>0</v>
      </c>
      <c r="D4006">
        <v>0</v>
      </c>
      <c r="E4006">
        <v>0</v>
      </c>
    </row>
    <row r="4007" spans="1:5" x14ac:dyDescent="0.35">
      <c r="A4007">
        <v>0</v>
      </c>
      <c r="B4007">
        <v>0</v>
      </c>
      <c r="C4007">
        <v>0</v>
      </c>
      <c r="D4007">
        <v>0</v>
      </c>
      <c r="E4007">
        <v>0</v>
      </c>
    </row>
    <row r="4008" spans="1:5" x14ac:dyDescent="0.35">
      <c r="A4008">
        <v>0</v>
      </c>
      <c r="B4008">
        <v>0</v>
      </c>
      <c r="C4008">
        <v>0</v>
      </c>
      <c r="D4008">
        <v>0</v>
      </c>
      <c r="E4008">
        <v>0</v>
      </c>
    </row>
    <row r="4009" spans="1:5" x14ac:dyDescent="0.35">
      <c r="A4009">
        <v>0</v>
      </c>
      <c r="B4009">
        <v>0</v>
      </c>
      <c r="C4009">
        <v>0</v>
      </c>
      <c r="D4009">
        <v>0</v>
      </c>
      <c r="E4009">
        <v>0</v>
      </c>
    </row>
    <row r="4010" spans="1:5" x14ac:dyDescent="0.35">
      <c r="A4010">
        <v>0</v>
      </c>
      <c r="B4010">
        <v>0</v>
      </c>
      <c r="C4010">
        <v>0</v>
      </c>
      <c r="D4010">
        <v>0</v>
      </c>
      <c r="E4010">
        <v>0</v>
      </c>
    </row>
    <row r="4011" spans="1:5" x14ac:dyDescent="0.35">
      <c r="A4011">
        <v>0</v>
      </c>
      <c r="B4011">
        <v>0</v>
      </c>
      <c r="C4011">
        <v>0</v>
      </c>
      <c r="D4011">
        <v>0</v>
      </c>
      <c r="E4011">
        <v>0</v>
      </c>
    </row>
    <row r="4012" spans="1:5" x14ac:dyDescent="0.35">
      <c r="A4012">
        <v>0</v>
      </c>
      <c r="B4012">
        <v>0</v>
      </c>
      <c r="C4012">
        <v>0</v>
      </c>
      <c r="D4012">
        <v>0</v>
      </c>
      <c r="E4012">
        <v>0</v>
      </c>
    </row>
    <row r="4013" spans="1:5" x14ac:dyDescent="0.35">
      <c r="A4013">
        <v>0</v>
      </c>
      <c r="B4013">
        <v>0</v>
      </c>
      <c r="C4013">
        <v>0</v>
      </c>
      <c r="D4013">
        <v>0</v>
      </c>
      <c r="E4013">
        <v>0</v>
      </c>
    </row>
    <row r="4014" spans="1:5" x14ac:dyDescent="0.35">
      <c r="A4014">
        <v>0</v>
      </c>
      <c r="B4014">
        <v>0</v>
      </c>
      <c r="C4014">
        <v>0</v>
      </c>
      <c r="D4014">
        <v>0</v>
      </c>
      <c r="E4014">
        <v>0</v>
      </c>
    </row>
    <row r="4015" spans="1:5" x14ac:dyDescent="0.35">
      <c r="A4015">
        <v>0</v>
      </c>
      <c r="B4015">
        <v>0</v>
      </c>
      <c r="C4015">
        <v>0</v>
      </c>
      <c r="D4015">
        <v>0</v>
      </c>
      <c r="E4015">
        <v>0</v>
      </c>
    </row>
    <row r="4016" spans="1:5" x14ac:dyDescent="0.35">
      <c r="A4016">
        <v>0</v>
      </c>
      <c r="B4016">
        <v>0</v>
      </c>
      <c r="C4016">
        <v>0</v>
      </c>
      <c r="D4016">
        <v>0</v>
      </c>
      <c r="E4016">
        <v>0</v>
      </c>
    </row>
    <row r="4017" spans="1:5" x14ac:dyDescent="0.35">
      <c r="A4017">
        <v>0</v>
      </c>
      <c r="B4017">
        <v>0</v>
      </c>
      <c r="C4017">
        <v>0</v>
      </c>
      <c r="D4017">
        <v>0</v>
      </c>
      <c r="E4017">
        <v>0</v>
      </c>
    </row>
    <row r="4018" spans="1:5" x14ac:dyDescent="0.35">
      <c r="A4018">
        <v>0</v>
      </c>
      <c r="B4018">
        <v>0</v>
      </c>
      <c r="C4018">
        <v>0</v>
      </c>
      <c r="D4018">
        <v>0</v>
      </c>
      <c r="E4018">
        <v>0</v>
      </c>
    </row>
    <row r="4019" spans="1:5" x14ac:dyDescent="0.35">
      <c r="A4019">
        <v>0</v>
      </c>
      <c r="B4019">
        <v>0</v>
      </c>
      <c r="C4019">
        <v>0</v>
      </c>
      <c r="D4019">
        <v>0</v>
      </c>
      <c r="E4019">
        <v>0</v>
      </c>
    </row>
    <row r="4020" spans="1:5" x14ac:dyDescent="0.35">
      <c r="A4020">
        <v>0</v>
      </c>
      <c r="B4020">
        <v>0</v>
      </c>
      <c r="C4020">
        <v>0</v>
      </c>
      <c r="D4020">
        <v>0</v>
      </c>
      <c r="E4020">
        <v>0</v>
      </c>
    </row>
    <row r="4021" spans="1:5" x14ac:dyDescent="0.35">
      <c r="A4021">
        <v>0</v>
      </c>
      <c r="B4021">
        <v>0</v>
      </c>
      <c r="C4021">
        <v>0</v>
      </c>
      <c r="D4021">
        <v>0</v>
      </c>
      <c r="E4021">
        <v>0</v>
      </c>
    </row>
    <row r="4022" spans="1:5" x14ac:dyDescent="0.35">
      <c r="A4022">
        <v>0</v>
      </c>
      <c r="B4022">
        <v>0</v>
      </c>
      <c r="C4022">
        <v>0</v>
      </c>
      <c r="D4022">
        <v>0</v>
      </c>
      <c r="E4022">
        <v>0</v>
      </c>
    </row>
    <row r="4023" spans="1:5" x14ac:dyDescent="0.35">
      <c r="A4023">
        <v>0</v>
      </c>
      <c r="B4023">
        <v>0</v>
      </c>
      <c r="C4023">
        <v>0</v>
      </c>
      <c r="D4023">
        <v>0</v>
      </c>
      <c r="E4023">
        <v>0</v>
      </c>
    </row>
    <row r="4024" spans="1:5" x14ac:dyDescent="0.35">
      <c r="A4024">
        <v>0</v>
      </c>
      <c r="B4024">
        <v>0</v>
      </c>
      <c r="C4024">
        <v>0</v>
      </c>
      <c r="D4024">
        <v>0</v>
      </c>
      <c r="E4024">
        <v>0</v>
      </c>
    </row>
    <row r="4025" spans="1:5" x14ac:dyDescent="0.35">
      <c r="A4025">
        <v>0</v>
      </c>
      <c r="B4025">
        <v>0</v>
      </c>
      <c r="C4025">
        <v>0</v>
      </c>
      <c r="D4025">
        <v>0</v>
      </c>
      <c r="E4025">
        <v>0</v>
      </c>
    </row>
    <row r="4026" spans="1:5" x14ac:dyDescent="0.35">
      <c r="A4026">
        <v>0</v>
      </c>
      <c r="B4026">
        <v>0</v>
      </c>
      <c r="C4026">
        <v>0</v>
      </c>
      <c r="D4026">
        <v>0</v>
      </c>
      <c r="E4026">
        <v>0</v>
      </c>
    </row>
    <row r="4027" spans="1:5" x14ac:dyDescent="0.35">
      <c r="A4027">
        <v>0</v>
      </c>
      <c r="B4027">
        <v>0</v>
      </c>
      <c r="C4027">
        <v>0</v>
      </c>
      <c r="D4027">
        <v>0</v>
      </c>
      <c r="E4027">
        <v>0</v>
      </c>
    </row>
    <row r="4028" spans="1:5" x14ac:dyDescent="0.35">
      <c r="A4028">
        <v>0</v>
      </c>
      <c r="B4028">
        <v>0</v>
      </c>
      <c r="C4028">
        <v>0</v>
      </c>
      <c r="D4028">
        <v>0</v>
      </c>
      <c r="E4028">
        <v>0</v>
      </c>
    </row>
    <row r="4029" spans="1:5" x14ac:dyDescent="0.35">
      <c r="A4029">
        <v>0</v>
      </c>
      <c r="B4029">
        <v>0</v>
      </c>
      <c r="C4029">
        <v>0</v>
      </c>
      <c r="D4029">
        <v>0</v>
      </c>
      <c r="E4029">
        <v>0</v>
      </c>
    </row>
    <row r="4030" spans="1:5" x14ac:dyDescent="0.35">
      <c r="A4030">
        <v>0</v>
      </c>
      <c r="B4030">
        <v>0</v>
      </c>
      <c r="C4030">
        <v>0</v>
      </c>
      <c r="D4030">
        <v>0</v>
      </c>
      <c r="E4030">
        <v>0</v>
      </c>
    </row>
    <row r="4031" spans="1:5" x14ac:dyDescent="0.35">
      <c r="A4031">
        <v>0</v>
      </c>
      <c r="B4031">
        <v>0</v>
      </c>
      <c r="C4031">
        <v>0</v>
      </c>
      <c r="D4031">
        <v>0</v>
      </c>
      <c r="E4031">
        <v>0</v>
      </c>
    </row>
    <row r="4032" spans="1:5" x14ac:dyDescent="0.35">
      <c r="A4032">
        <v>0</v>
      </c>
      <c r="B4032">
        <v>0</v>
      </c>
      <c r="C4032">
        <v>0</v>
      </c>
      <c r="D4032">
        <v>0</v>
      </c>
      <c r="E4032">
        <v>0</v>
      </c>
    </row>
    <row r="4033" spans="1:5" x14ac:dyDescent="0.35">
      <c r="A4033">
        <v>0</v>
      </c>
      <c r="B4033">
        <v>0</v>
      </c>
      <c r="C4033">
        <v>0</v>
      </c>
      <c r="D4033">
        <v>0</v>
      </c>
      <c r="E4033">
        <v>0</v>
      </c>
    </row>
    <row r="4034" spans="1:5" x14ac:dyDescent="0.35">
      <c r="A4034">
        <v>0</v>
      </c>
      <c r="B4034">
        <v>0</v>
      </c>
      <c r="C4034">
        <v>0</v>
      </c>
      <c r="D4034">
        <v>0</v>
      </c>
      <c r="E4034">
        <v>0</v>
      </c>
    </row>
    <row r="4035" spans="1:5" x14ac:dyDescent="0.35">
      <c r="A4035">
        <v>0</v>
      </c>
      <c r="B4035">
        <v>0</v>
      </c>
      <c r="C4035">
        <v>0</v>
      </c>
      <c r="D4035">
        <v>0</v>
      </c>
      <c r="E4035">
        <v>0</v>
      </c>
    </row>
    <row r="4036" spans="1:5" x14ac:dyDescent="0.35">
      <c r="A4036">
        <v>0</v>
      </c>
      <c r="B4036">
        <v>0</v>
      </c>
      <c r="C4036">
        <v>0</v>
      </c>
      <c r="D4036">
        <v>0</v>
      </c>
      <c r="E4036">
        <v>0</v>
      </c>
    </row>
    <row r="4037" spans="1:5" x14ac:dyDescent="0.35">
      <c r="A4037">
        <v>0</v>
      </c>
      <c r="B4037">
        <v>0</v>
      </c>
      <c r="C4037">
        <v>0</v>
      </c>
      <c r="D4037">
        <v>0</v>
      </c>
      <c r="E4037">
        <v>0</v>
      </c>
    </row>
    <row r="4038" spans="1:5" x14ac:dyDescent="0.35">
      <c r="A4038">
        <v>0</v>
      </c>
      <c r="B4038">
        <v>0</v>
      </c>
      <c r="C4038">
        <v>0</v>
      </c>
      <c r="D4038">
        <v>0</v>
      </c>
      <c r="E4038">
        <v>0</v>
      </c>
    </row>
    <row r="4039" spans="1:5" x14ac:dyDescent="0.35">
      <c r="A4039">
        <v>0</v>
      </c>
      <c r="B4039">
        <v>0</v>
      </c>
      <c r="C4039">
        <v>0</v>
      </c>
      <c r="D4039">
        <v>0</v>
      </c>
      <c r="E4039">
        <v>0</v>
      </c>
    </row>
    <row r="4040" spans="1:5" x14ac:dyDescent="0.35">
      <c r="A4040">
        <v>0</v>
      </c>
      <c r="B4040">
        <v>0</v>
      </c>
      <c r="C4040">
        <v>0</v>
      </c>
      <c r="D4040">
        <v>0</v>
      </c>
      <c r="E4040">
        <v>0</v>
      </c>
    </row>
    <row r="4041" spans="1:5" x14ac:dyDescent="0.35">
      <c r="A4041">
        <v>0</v>
      </c>
      <c r="B4041">
        <v>0</v>
      </c>
      <c r="C4041">
        <v>0</v>
      </c>
      <c r="D4041">
        <v>0</v>
      </c>
      <c r="E4041">
        <v>0</v>
      </c>
    </row>
    <row r="4042" spans="1:5" x14ac:dyDescent="0.35">
      <c r="A4042">
        <v>0</v>
      </c>
      <c r="B4042">
        <v>0</v>
      </c>
      <c r="C4042">
        <v>0</v>
      </c>
      <c r="D4042">
        <v>0</v>
      </c>
      <c r="E4042">
        <v>0</v>
      </c>
    </row>
    <row r="4043" spans="1:5" x14ac:dyDescent="0.35">
      <c r="A4043">
        <v>0</v>
      </c>
      <c r="B4043">
        <v>0</v>
      </c>
      <c r="C4043">
        <v>0</v>
      </c>
      <c r="D4043">
        <v>0</v>
      </c>
      <c r="E4043">
        <v>0</v>
      </c>
    </row>
    <row r="4044" spans="1:5" x14ac:dyDescent="0.35">
      <c r="A4044">
        <v>0</v>
      </c>
      <c r="B4044">
        <v>0</v>
      </c>
      <c r="C4044">
        <v>0</v>
      </c>
      <c r="D4044">
        <v>0</v>
      </c>
      <c r="E4044">
        <v>0</v>
      </c>
    </row>
    <row r="4045" spans="1:5" x14ac:dyDescent="0.35">
      <c r="A4045">
        <v>0</v>
      </c>
      <c r="B4045">
        <v>0</v>
      </c>
      <c r="C4045">
        <v>0</v>
      </c>
      <c r="D4045">
        <v>0</v>
      </c>
      <c r="E4045">
        <v>0</v>
      </c>
    </row>
    <row r="4046" spans="1:5" x14ac:dyDescent="0.35">
      <c r="A4046">
        <v>0</v>
      </c>
      <c r="B4046">
        <v>0</v>
      </c>
      <c r="C4046">
        <v>0</v>
      </c>
      <c r="D4046">
        <v>0</v>
      </c>
      <c r="E4046">
        <v>0</v>
      </c>
    </row>
    <row r="4047" spans="1:5" x14ac:dyDescent="0.35">
      <c r="A4047">
        <v>0</v>
      </c>
      <c r="B4047">
        <v>0</v>
      </c>
      <c r="C4047">
        <v>0</v>
      </c>
      <c r="D4047">
        <v>0</v>
      </c>
      <c r="E4047">
        <v>0</v>
      </c>
    </row>
    <row r="4048" spans="1:5" x14ac:dyDescent="0.35">
      <c r="A4048">
        <v>0</v>
      </c>
      <c r="B4048">
        <v>0</v>
      </c>
      <c r="C4048">
        <v>0</v>
      </c>
      <c r="D4048">
        <v>0</v>
      </c>
      <c r="E4048">
        <v>0</v>
      </c>
    </row>
    <row r="4049" spans="1:5" x14ac:dyDescent="0.35">
      <c r="A4049">
        <v>0</v>
      </c>
      <c r="B4049">
        <v>0</v>
      </c>
      <c r="C4049">
        <v>0</v>
      </c>
      <c r="D4049">
        <v>0</v>
      </c>
      <c r="E4049">
        <v>0</v>
      </c>
    </row>
    <row r="4050" spans="1:5" x14ac:dyDescent="0.35">
      <c r="A4050">
        <v>0</v>
      </c>
      <c r="B4050">
        <v>0</v>
      </c>
      <c r="C4050">
        <v>0</v>
      </c>
      <c r="D4050">
        <v>0</v>
      </c>
      <c r="E4050">
        <v>0</v>
      </c>
    </row>
    <row r="4051" spans="1:5" x14ac:dyDescent="0.35">
      <c r="A4051">
        <v>0</v>
      </c>
      <c r="B4051">
        <v>0</v>
      </c>
      <c r="C4051">
        <v>0</v>
      </c>
      <c r="D4051">
        <v>0</v>
      </c>
      <c r="E4051">
        <v>0</v>
      </c>
    </row>
    <row r="4052" spans="1:5" x14ac:dyDescent="0.35">
      <c r="A4052">
        <v>0</v>
      </c>
      <c r="B4052">
        <v>0</v>
      </c>
      <c r="C4052">
        <v>0</v>
      </c>
      <c r="D4052">
        <v>0</v>
      </c>
      <c r="E4052">
        <v>0</v>
      </c>
    </row>
    <row r="4053" spans="1:5" x14ac:dyDescent="0.35">
      <c r="A4053">
        <v>0</v>
      </c>
      <c r="B4053">
        <v>0</v>
      </c>
      <c r="C4053">
        <v>0</v>
      </c>
      <c r="D4053">
        <v>0</v>
      </c>
      <c r="E4053">
        <v>0</v>
      </c>
    </row>
    <row r="4054" spans="1:5" x14ac:dyDescent="0.35">
      <c r="A4054">
        <v>0</v>
      </c>
      <c r="B4054">
        <v>0</v>
      </c>
      <c r="C4054">
        <v>0</v>
      </c>
      <c r="D4054">
        <v>0</v>
      </c>
      <c r="E4054">
        <v>0</v>
      </c>
    </row>
    <row r="4055" spans="1:5" x14ac:dyDescent="0.35">
      <c r="A4055">
        <v>0</v>
      </c>
      <c r="B4055">
        <v>0</v>
      </c>
      <c r="C4055">
        <v>0</v>
      </c>
      <c r="D4055">
        <v>0</v>
      </c>
      <c r="E4055">
        <v>0</v>
      </c>
    </row>
    <row r="4056" spans="1:5" x14ac:dyDescent="0.35">
      <c r="A4056">
        <v>0</v>
      </c>
      <c r="B4056">
        <v>0</v>
      </c>
      <c r="C4056">
        <v>0</v>
      </c>
      <c r="D4056">
        <v>0</v>
      </c>
      <c r="E4056">
        <v>0</v>
      </c>
    </row>
    <row r="4057" spans="1:5" x14ac:dyDescent="0.35">
      <c r="A4057">
        <v>0</v>
      </c>
      <c r="B4057">
        <v>0</v>
      </c>
      <c r="C4057">
        <v>0</v>
      </c>
      <c r="D4057">
        <v>0</v>
      </c>
      <c r="E4057">
        <v>0</v>
      </c>
    </row>
    <row r="4058" spans="1:5" x14ac:dyDescent="0.35">
      <c r="A4058">
        <v>0</v>
      </c>
      <c r="B4058">
        <v>0</v>
      </c>
      <c r="C4058">
        <v>0</v>
      </c>
      <c r="D4058">
        <v>0</v>
      </c>
      <c r="E4058">
        <v>0</v>
      </c>
    </row>
    <row r="4059" spans="1:5" x14ac:dyDescent="0.35">
      <c r="A4059">
        <v>0</v>
      </c>
      <c r="B4059">
        <v>0</v>
      </c>
      <c r="C4059">
        <v>0</v>
      </c>
      <c r="D4059">
        <v>0</v>
      </c>
      <c r="E4059">
        <v>0</v>
      </c>
    </row>
    <row r="4060" spans="1:5" x14ac:dyDescent="0.35">
      <c r="A4060">
        <v>0</v>
      </c>
      <c r="B4060">
        <v>0</v>
      </c>
      <c r="C4060">
        <v>0</v>
      </c>
      <c r="D4060">
        <v>0</v>
      </c>
      <c r="E4060">
        <v>0</v>
      </c>
    </row>
    <row r="4061" spans="1:5" x14ac:dyDescent="0.35">
      <c r="A4061">
        <v>0</v>
      </c>
      <c r="B4061">
        <v>0</v>
      </c>
      <c r="C4061">
        <v>0</v>
      </c>
      <c r="D4061">
        <v>0</v>
      </c>
      <c r="E4061">
        <v>0</v>
      </c>
    </row>
    <row r="4062" spans="1:5" x14ac:dyDescent="0.35">
      <c r="A4062">
        <v>0</v>
      </c>
      <c r="B4062">
        <v>0</v>
      </c>
      <c r="C4062">
        <v>0</v>
      </c>
      <c r="D4062">
        <v>0</v>
      </c>
      <c r="E4062">
        <v>0</v>
      </c>
    </row>
    <row r="4063" spans="1:5" x14ac:dyDescent="0.35">
      <c r="A4063">
        <v>0</v>
      </c>
      <c r="B4063">
        <v>0</v>
      </c>
      <c r="C4063">
        <v>0</v>
      </c>
      <c r="D4063">
        <v>0</v>
      </c>
      <c r="E4063">
        <v>0</v>
      </c>
    </row>
    <row r="4064" spans="1:5" x14ac:dyDescent="0.35">
      <c r="A4064">
        <v>0</v>
      </c>
      <c r="B4064">
        <v>0</v>
      </c>
      <c r="C4064">
        <v>0</v>
      </c>
      <c r="D4064">
        <v>0</v>
      </c>
      <c r="E4064">
        <v>0</v>
      </c>
    </row>
    <row r="4065" spans="1:5" x14ac:dyDescent="0.35">
      <c r="A4065">
        <v>0</v>
      </c>
      <c r="B4065">
        <v>0</v>
      </c>
      <c r="C4065">
        <v>0</v>
      </c>
      <c r="D4065">
        <v>0</v>
      </c>
      <c r="E4065">
        <v>0</v>
      </c>
    </row>
    <row r="4066" spans="1:5" x14ac:dyDescent="0.35">
      <c r="A4066">
        <v>0</v>
      </c>
      <c r="B4066">
        <v>0</v>
      </c>
      <c r="C4066">
        <v>0</v>
      </c>
      <c r="D4066">
        <v>0</v>
      </c>
      <c r="E4066">
        <v>0</v>
      </c>
    </row>
    <row r="4067" spans="1:5" x14ac:dyDescent="0.35">
      <c r="A4067">
        <v>0</v>
      </c>
      <c r="B4067">
        <v>0</v>
      </c>
      <c r="C4067">
        <v>0</v>
      </c>
      <c r="D4067">
        <v>0</v>
      </c>
      <c r="E4067">
        <v>0</v>
      </c>
    </row>
    <row r="4068" spans="1:5" x14ac:dyDescent="0.35">
      <c r="A4068">
        <v>0</v>
      </c>
      <c r="B4068">
        <v>0</v>
      </c>
      <c r="C4068">
        <v>0</v>
      </c>
      <c r="D4068">
        <v>0</v>
      </c>
      <c r="E4068">
        <v>0</v>
      </c>
    </row>
    <row r="4069" spans="1:5" x14ac:dyDescent="0.35">
      <c r="A4069">
        <v>0</v>
      </c>
      <c r="B4069">
        <v>0</v>
      </c>
      <c r="C4069">
        <v>0</v>
      </c>
      <c r="D4069">
        <v>0</v>
      </c>
      <c r="E4069">
        <v>0</v>
      </c>
    </row>
    <row r="4070" spans="1:5" x14ac:dyDescent="0.35">
      <c r="A4070">
        <v>0</v>
      </c>
      <c r="B4070">
        <v>0</v>
      </c>
      <c r="C4070">
        <v>0</v>
      </c>
      <c r="D4070">
        <v>0</v>
      </c>
      <c r="E4070">
        <v>0</v>
      </c>
    </row>
    <row r="4071" spans="1:5" x14ac:dyDescent="0.35">
      <c r="A4071">
        <v>0</v>
      </c>
      <c r="B4071">
        <v>0</v>
      </c>
      <c r="C4071">
        <v>0</v>
      </c>
      <c r="D4071">
        <v>0</v>
      </c>
      <c r="E4071">
        <v>0</v>
      </c>
    </row>
    <row r="4072" spans="1:5" x14ac:dyDescent="0.35">
      <c r="A4072">
        <v>0</v>
      </c>
      <c r="B4072">
        <v>0</v>
      </c>
      <c r="C4072">
        <v>0</v>
      </c>
      <c r="D4072">
        <v>0</v>
      </c>
      <c r="E4072">
        <v>0</v>
      </c>
    </row>
    <row r="4073" spans="1:5" x14ac:dyDescent="0.35">
      <c r="A4073">
        <v>0</v>
      </c>
      <c r="B4073">
        <v>0</v>
      </c>
      <c r="C4073">
        <v>0</v>
      </c>
      <c r="D4073">
        <v>0</v>
      </c>
      <c r="E4073">
        <v>0</v>
      </c>
    </row>
    <row r="4074" spans="1:5" x14ac:dyDescent="0.35">
      <c r="A4074">
        <v>0</v>
      </c>
      <c r="B4074">
        <v>0</v>
      </c>
      <c r="C4074">
        <v>0</v>
      </c>
      <c r="D4074">
        <v>0</v>
      </c>
      <c r="E4074">
        <v>0</v>
      </c>
    </row>
    <row r="4075" spans="1:5" x14ac:dyDescent="0.35">
      <c r="A4075">
        <v>0</v>
      </c>
      <c r="B4075">
        <v>0</v>
      </c>
      <c r="C4075">
        <v>0</v>
      </c>
      <c r="D4075">
        <v>0</v>
      </c>
      <c r="E4075">
        <v>0</v>
      </c>
    </row>
    <row r="4076" spans="1:5" x14ac:dyDescent="0.35">
      <c r="A4076">
        <v>0</v>
      </c>
      <c r="B4076">
        <v>0</v>
      </c>
      <c r="C4076">
        <v>0</v>
      </c>
      <c r="D4076">
        <v>0</v>
      </c>
      <c r="E4076">
        <v>0</v>
      </c>
    </row>
    <row r="4077" spans="1:5" x14ac:dyDescent="0.35">
      <c r="A4077">
        <v>0</v>
      </c>
      <c r="B4077">
        <v>0</v>
      </c>
      <c r="C4077">
        <v>0</v>
      </c>
      <c r="D4077">
        <v>0</v>
      </c>
      <c r="E4077">
        <v>0</v>
      </c>
    </row>
    <row r="4078" spans="1:5" x14ac:dyDescent="0.35">
      <c r="A4078">
        <v>0</v>
      </c>
      <c r="B4078">
        <v>0</v>
      </c>
      <c r="C4078">
        <v>0</v>
      </c>
      <c r="D4078">
        <v>0</v>
      </c>
      <c r="E4078">
        <v>0</v>
      </c>
    </row>
    <row r="4079" spans="1:5" x14ac:dyDescent="0.35">
      <c r="A4079">
        <v>0</v>
      </c>
      <c r="B4079">
        <v>0</v>
      </c>
      <c r="C4079">
        <v>0</v>
      </c>
      <c r="D4079">
        <v>0</v>
      </c>
      <c r="E4079">
        <v>0</v>
      </c>
    </row>
    <row r="4080" spans="1:5" x14ac:dyDescent="0.35">
      <c r="A4080">
        <v>0</v>
      </c>
      <c r="B4080">
        <v>0</v>
      </c>
      <c r="C4080">
        <v>0</v>
      </c>
      <c r="D4080">
        <v>0</v>
      </c>
      <c r="E4080">
        <v>0</v>
      </c>
    </row>
    <row r="4081" spans="1:5" x14ac:dyDescent="0.35">
      <c r="A4081">
        <v>0</v>
      </c>
      <c r="B4081">
        <v>0</v>
      </c>
      <c r="C4081">
        <v>0</v>
      </c>
      <c r="D4081">
        <v>0</v>
      </c>
      <c r="E4081">
        <v>0</v>
      </c>
    </row>
    <row r="4082" spans="1:5" x14ac:dyDescent="0.35">
      <c r="A4082">
        <v>0</v>
      </c>
      <c r="B4082">
        <v>0</v>
      </c>
      <c r="C4082">
        <v>0</v>
      </c>
      <c r="D4082">
        <v>0</v>
      </c>
      <c r="E4082">
        <v>0</v>
      </c>
    </row>
    <row r="4083" spans="1:5" x14ac:dyDescent="0.35">
      <c r="A4083">
        <v>0</v>
      </c>
      <c r="B4083">
        <v>0</v>
      </c>
      <c r="C4083">
        <v>0</v>
      </c>
      <c r="D4083">
        <v>0</v>
      </c>
      <c r="E4083">
        <v>0</v>
      </c>
    </row>
    <row r="4084" spans="1:5" x14ac:dyDescent="0.35">
      <c r="A4084">
        <v>0</v>
      </c>
      <c r="B4084">
        <v>0</v>
      </c>
      <c r="C4084">
        <v>0</v>
      </c>
      <c r="D4084">
        <v>0</v>
      </c>
      <c r="E4084">
        <v>0</v>
      </c>
    </row>
    <row r="4085" spans="1:5" x14ac:dyDescent="0.35">
      <c r="A4085">
        <v>0</v>
      </c>
      <c r="B4085">
        <v>0</v>
      </c>
      <c r="C4085">
        <v>0</v>
      </c>
      <c r="D4085">
        <v>0</v>
      </c>
      <c r="E4085">
        <v>0</v>
      </c>
    </row>
    <row r="4086" spans="1:5" x14ac:dyDescent="0.35">
      <c r="A4086">
        <v>0</v>
      </c>
      <c r="B4086">
        <v>0</v>
      </c>
      <c r="C4086">
        <v>0</v>
      </c>
      <c r="D4086">
        <v>0</v>
      </c>
      <c r="E4086">
        <v>0</v>
      </c>
    </row>
    <row r="4087" spans="1:5" x14ac:dyDescent="0.35">
      <c r="A4087">
        <v>0</v>
      </c>
      <c r="B4087">
        <v>0</v>
      </c>
      <c r="C4087">
        <v>0</v>
      </c>
      <c r="D4087">
        <v>0</v>
      </c>
      <c r="E4087">
        <v>0</v>
      </c>
    </row>
    <row r="4088" spans="1:5" x14ac:dyDescent="0.35">
      <c r="A4088">
        <v>0</v>
      </c>
      <c r="B4088">
        <v>0</v>
      </c>
      <c r="C4088">
        <v>0</v>
      </c>
      <c r="D4088">
        <v>0</v>
      </c>
      <c r="E4088">
        <v>0</v>
      </c>
    </row>
    <row r="4089" spans="1:5" x14ac:dyDescent="0.35">
      <c r="A4089">
        <v>0</v>
      </c>
      <c r="B4089">
        <v>0</v>
      </c>
      <c r="C4089">
        <v>0</v>
      </c>
      <c r="D4089">
        <v>0</v>
      </c>
      <c r="E4089">
        <v>0</v>
      </c>
    </row>
    <row r="4090" spans="1:5" x14ac:dyDescent="0.35">
      <c r="A4090">
        <v>0</v>
      </c>
      <c r="B4090">
        <v>0</v>
      </c>
      <c r="C4090">
        <v>0</v>
      </c>
      <c r="D4090">
        <v>0</v>
      </c>
      <c r="E4090">
        <v>0</v>
      </c>
    </row>
    <row r="4091" spans="1:5" x14ac:dyDescent="0.35">
      <c r="A4091">
        <v>0</v>
      </c>
      <c r="B4091">
        <v>0</v>
      </c>
      <c r="C4091">
        <v>0</v>
      </c>
      <c r="D4091">
        <v>0</v>
      </c>
      <c r="E4091">
        <v>0</v>
      </c>
    </row>
    <row r="4092" spans="1:5" x14ac:dyDescent="0.35">
      <c r="A4092">
        <v>0</v>
      </c>
      <c r="B4092">
        <v>0</v>
      </c>
      <c r="C4092">
        <v>0</v>
      </c>
      <c r="D4092">
        <v>0</v>
      </c>
      <c r="E4092">
        <v>0</v>
      </c>
    </row>
    <row r="4093" spans="1:5" x14ac:dyDescent="0.35">
      <c r="A4093">
        <v>0</v>
      </c>
      <c r="B4093">
        <v>0</v>
      </c>
      <c r="C4093">
        <v>0</v>
      </c>
      <c r="D4093">
        <v>0</v>
      </c>
      <c r="E4093">
        <v>0</v>
      </c>
    </row>
    <row r="4094" spans="1:5" x14ac:dyDescent="0.35">
      <c r="A4094">
        <v>0</v>
      </c>
      <c r="B4094">
        <v>0</v>
      </c>
      <c r="C4094">
        <v>0</v>
      </c>
      <c r="D4094">
        <v>0</v>
      </c>
      <c r="E4094">
        <v>0</v>
      </c>
    </row>
    <row r="4095" spans="1:5" x14ac:dyDescent="0.35">
      <c r="A4095">
        <v>0</v>
      </c>
      <c r="B4095">
        <v>0</v>
      </c>
      <c r="C4095">
        <v>0</v>
      </c>
      <c r="D4095">
        <v>0</v>
      </c>
      <c r="E4095">
        <v>0</v>
      </c>
    </row>
    <row r="4096" spans="1:5" x14ac:dyDescent="0.35">
      <c r="A4096">
        <v>0</v>
      </c>
      <c r="B4096">
        <v>0</v>
      </c>
      <c r="C4096">
        <v>0</v>
      </c>
      <c r="D4096">
        <v>0</v>
      </c>
      <c r="E4096">
        <v>0</v>
      </c>
    </row>
    <row r="4097" spans="1:5" x14ac:dyDescent="0.35">
      <c r="A4097">
        <v>0</v>
      </c>
      <c r="B4097">
        <v>0</v>
      </c>
      <c r="C4097">
        <v>0</v>
      </c>
      <c r="D4097">
        <v>0</v>
      </c>
      <c r="E4097">
        <v>0</v>
      </c>
    </row>
    <row r="4098" spans="1:5" x14ac:dyDescent="0.35">
      <c r="A4098">
        <v>0</v>
      </c>
      <c r="B4098">
        <v>0</v>
      </c>
      <c r="C4098">
        <v>0</v>
      </c>
      <c r="D4098">
        <v>0</v>
      </c>
      <c r="E4098">
        <v>0</v>
      </c>
    </row>
    <row r="4099" spans="1:5" x14ac:dyDescent="0.35">
      <c r="A4099">
        <v>0</v>
      </c>
      <c r="B4099">
        <v>0</v>
      </c>
      <c r="C4099">
        <v>0</v>
      </c>
      <c r="D4099">
        <v>0</v>
      </c>
      <c r="E4099">
        <v>0</v>
      </c>
    </row>
    <row r="4100" spans="1:5" x14ac:dyDescent="0.35">
      <c r="A4100">
        <v>0</v>
      </c>
      <c r="B4100">
        <v>0</v>
      </c>
      <c r="C4100">
        <v>0</v>
      </c>
      <c r="D4100">
        <v>0</v>
      </c>
      <c r="E4100">
        <v>0</v>
      </c>
    </row>
    <row r="4101" spans="1:5" x14ac:dyDescent="0.35">
      <c r="A4101">
        <v>0</v>
      </c>
      <c r="B4101">
        <v>0</v>
      </c>
      <c r="C4101">
        <v>0</v>
      </c>
      <c r="D4101">
        <v>0</v>
      </c>
      <c r="E4101">
        <v>0</v>
      </c>
    </row>
    <row r="4102" spans="1:5" x14ac:dyDescent="0.35">
      <c r="A4102">
        <v>0</v>
      </c>
      <c r="B4102">
        <v>0</v>
      </c>
      <c r="C4102">
        <v>0</v>
      </c>
      <c r="D4102">
        <v>0</v>
      </c>
      <c r="E4102">
        <v>0</v>
      </c>
    </row>
    <row r="4103" spans="1:5" x14ac:dyDescent="0.35">
      <c r="A4103">
        <v>0</v>
      </c>
      <c r="B4103">
        <v>0</v>
      </c>
      <c r="C4103">
        <v>0</v>
      </c>
      <c r="D4103">
        <v>0</v>
      </c>
      <c r="E4103">
        <v>0</v>
      </c>
    </row>
    <row r="4104" spans="1:5" x14ac:dyDescent="0.35">
      <c r="A4104">
        <v>0</v>
      </c>
      <c r="B4104">
        <v>0</v>
      </c>
      <c r="C4104">
        <v>0</v>
      </c>
      <c r="D4104">
        <v>0</v>
      </c>
      <c r="E4104">
        <v>0</v>
      </c>
    </row>
    <row r="4105" spans="1:5" x14ac:dyDescent="0.35">
      <c r="A4105">
        <v>0</v>
      </c>
      <c r="B4105">
        <v>0</v>
      </c>
      <c r="C4105">
        <v>0</v>
      </c>
      <c r="D4105">
        <v>0</v>
      </c>
      <c r="E4105">
        <v>0</v>
      </c>
    </row>
    <row r="4106" spans="1:5" x14ac:dyDescent="0.35">
      <c r="A4106">
        <v>0</v>
      </c>
      <c r="B4106">
        <v>0</v>
      </c>
      <c r="C4106">
        <v>0</v>
      </c>
      <c r="D4106">
        <v>0</v>
      </c>
      <c r="E4106">
        <v>0</v>
      </c>
    </row>
    <row r="4107" spans="1:5" x14ac:dyDescent="0.35">
      <c r="A4107">
        <v>0</v>
      </c>
      <c r="B4107">
        <v>0</v>
      </c>
      <c r="C4107">
        <v>0</v>
      </c>
      <c r="D4107">
        <v>0</v>
      </c>
      <c r="E4107">
        <v>0</v>
      </c>
    </row>
    <row r="4108" spans="1:5" x14ac:dyDescent="0.35">
      <c r="A4108">
        <v>0</v>
      </c>
      <c r="B4108">
        <v>0</v>
      </c>
      <c r="C4108">
        <v>0</v>
      </c>
      <c r="D4108">
        <v>0</v>
      </c>
      <c r="E4108">
        <v>0</v>
      </c>
    </row>
    <row r="4109" spans="1:5" x14ac:dyDescent="0.35">
      <c r="A4109">
        <v>0</v>
      </c>
      <c r="B4109">
        <v>0</v>
      </c>
      <c r="C4109">
        <v>0</v>
      </c>
      <c r="D4109">
        <v>0</v>
      </c>
      <c r="E4109">
        <v>0</v>
      </c>
    </row>
    <row r="4110" spans="1:5" x14ac:dyDescent="0.35">
      <c r="A4110">
        <v>0</v>
      </c>
      <c r="B4110">
        <v>0</v>
      </c>
      <c r="C4110">
        <v>0</v>
      </c>
      <c r="D4110">
        <v>0</v>
      </c>
      <c r="E4110">
        <v>0</v>
      </c>
    </row>
    <row r="4111" spans="1:5" x14ac:dyDescent="0.35">
      <c r="A4111">
        <v>0</v>
      </c>
      <c r="B4111">
        <v>0</v>
      </c>
      <c r="C4111">
        <v>0</v>
      </c>
      <c r="D4111">
        <v>0</v>
      </c>
      <c r="E4111">
        <v>0</v>
      </c>
    </row>
    <row r="4112" spans="1:5" x14ac:dyDescent="0.35">
      <c r="A4112">
        <v>0</v>
      </c>
      <c r="B4112">
        <v>0</v>
      </c>
      <c r="C4112">
        <v>0</v>
      </c>
      <c r="D4112">
        <v>0</v>
      </c>
      <c r="E4112">
        <v>0</v>
      </c>
    </row>
    <row r="4113" spans="1:5" x14ac:dyDescent="0.35">
      <c r="A4113">
        <v>0</v>
      </c>
      <c r="B4113">
        <v>0</v>
      </c>
      <c r="C4113">
        <v>0</v>
      </c>
      <c r="D4113">
        <v>0</v>
      </c>
      <c r="E4113">
        <v>0</v>
      </c>
    </row>
    <row r="4114" spans="1:5" x14ac:dyDescent="0.35">
      <c r="A4114">
        <v>0</v>
      </c>
      <c r="B4114">
        <v>0</v>
      </c>
      <c r="C4114">
        <v>0</v>
      </c>
      <c r="D4114">
        <v>0</v>
      </c>
      <c r="E4114">
        <v>0</v>
      </c>
    </row>
    <row r="4115" spans="1:5" x14ac:dyDescent="0.35">
      <c r="A4115">
        <v>0</v>
      </c>
      <c r="B4115">
        <v>0</v>
      </c>
      <c r="C4115">
        <v>0</v>
      </c>
      <c r="D4115">
        <v>0</v>
      </c>
      <c r="E4115">
        <v>0</v>
      </c>
    </row>
    <row r="4116" spans="1:5" x14ac:dyDescent="0.35">
      <c r="A4116">
        <v>0</v>
      </c>
      <c r="B4116">
        <v>0</v>
      </c>
      <c r="C4116">
        <v>0</v>
      </c>
      <c r="D4116">
        <v>0</v>
      </c>
      <c r="E4116">
        <v>0</v>
      </c>
    </row>
    <row r="4117" spans="1:5" x14ac:dyDescent="0.35">
      <c r="A4117">
        <v>0</v>
      </c>
      <c r="B4117">
        <v>0</v>
      </c>
      <c r="C4117">
        <v>0</v>
      </c>
      <c r="D4117">
        <v>0</v>
      </c>
      <c r="E4117">
        <v>0</v>
      </c>
    </row>
    <row r="4118" spans="1:5" x14ac:dyDescent="0.35">
      <c r="A4118">
        <v>0</v>
      </c>
      <c r="B4118">
        <v>0</v>
      </c>
      <c r="C4118">
        <v>0</v>
      </c>
      <c r="D4118">
        <v>0</v>
      </c>
      <c r="E4118">
        <v>0</v>
      </c>
    </row>
    <row r="4119" spans="1:5" x14ac:dyDescent="0.35">
      <c r="A4119">
        <v>0</v>
      </c>
      <c r="B4119">
        <v>0</v>
      </c>
      <c r="C4119">
        <v>0</v>
      </c>
      <c r="D4119">
        <v>0</v>
      </c>
      <c r="E4119">
        <v>0</v>
      </c>
    </row>
    <row r="4120" spans="1:5" x14ac:dyDescent="0.35">
      <c r="A4120">
        <v>0</v>
      </c>
      <c r="B4120">
        <v>0</v>
      </c>
      <c r="C4120">
        <v>0</v>
      </c>
      <c r="D4120">
        <v>0</v>
      </c>
      <c r="E4120">
        <v>0</v>
      </c>
    </row>
    <row r="4121" spans="1:5" x14ac:dyDescent="0.35">
      <c r="A4121">
        <v>0</v>
      </c>
      <c r="B4121">
        <v>0</v>
      </c>
      <c r="C4121">
        <v>0</v>
      </c>
      <c r="D4121">
        <v>0</v>
      </c>
      <c r="E4121">
        <v>0</v>
      </c>
    </row>
    <row r="4122" spans="1:5" x14ac:dyDescent="0.35">
      <c r="A4122">
        <v>0</v>
      </c>
      <c r="B4122">
        <v>0</v>
      </c>
      <c r="C4122">
        <v>0</v>
      </c>
      <c r="D4122">
        <v>0</v>
      </c>
      <c r="E4122">
        <v>0</v>
      </c>
    </row>
    <row r="4123" spans="1:5" x14ac:dyDescent="0.35">
      <c r="A4123">
        <v>0</v>
      </c>
      <c r="B4123">
        <v>0</v>
      </c>
      <c r="C4123">
        <v>0</v>
      </c>
      <c r="D4123">
        <v>0</v>
      </c>
      <c r="E4123">
        <v>0</v>
      </c>
    </row>
    <row r="4124" spans="1:5" x14ac:dyDescent="0.35">
      <c r="A4124">
        <v>0</v>
      </c>
      <c r="B4124">
        <v>0</v>
      </c>
      <c r="C4124">
        <v>0</v>
      </c>
      <c r="D4124">
        <v>0</v>
      </c>
      <c r="E4124">
        <v>0</v>
      </c>
    </row>
    <row r="4125" spans="1:5" x14ac:dyDescent="0.35">
      <c r="A4125">
        <v>0</v>
      </c>
      <c r="B4125">
        <v>0</v>
      </c>
      <c r="C4125">
        <v>0</v>
      </c>
      <c r="D4125">
        <v>0</v>
      </c>
      <c r="E4125">
        <v>0</v>
      </c>
    </row>
    <row r="4126" spans="1:5" x14ac:dyDescent="0.35">
      <c r="A4126">
        <v>0</v>
      </c>
      <c r="B4126">
        <v>0</v>
      </c>
      <c r="C4126">
        <v>0</v>
      </c>
      <c r="D4126">
        <v>0</v>
      </c>
      <c r="E4126">
        <v>0</v>
      </c>
    </row>
    <row r="4127" spans="1:5" x14ac:dyDescent="0.35">
      <c r="A4127">
        <v>0</v>
      </c>
      <c r="B4127">
        <v>0</v>
      </c>
      <c r="C4127">
        <v>0</v>
      </c>
      <c r="D4127">
        <v>0</v>
      </c>
      <c r="E4127">
        <v>0</v>
      </c>
    </row>
    <row r="4128" spans="1:5" x14ac:dyDescent="0.35">
      <c r="A4128">
        <v>0</v>
      </c>
      <c r="B4128">
        <v>0</v>
      </c>
      <c r="C4128">
        <v>0</v>
      </c>
      <c r="D4128">
        <v>0</v>
      </c>
      <c r="E4128">
        <v>0</v>
      </c>
    </row>
    <row r="4129" spans="1:5" x14ac:dyDescent="0.35">
      <c r="A4129">
        <v>0</v>
      </c>
      <c r="B4129">
        <v>0</v>
      </c>
      <c r="C4129">
        <v>0</v>
      </c>
      <c r="D4129">
        <v>0</v>
      </c>
      <c r="E4129">
        <v>0</v>
      </c>
    </row>
    <row r="4130" spans="1:5" x14ac:dyDescent="0.35">
      <c r="A4130">
        <v>0</v>
      </c>
      <c r="B4130">
        <v>0</v>
      </c>
      <c r="C4130">
        <v>0</v>
      </c>
      <c r="D4130">
        <v>0</v>
      </c>
      <c r="E4130">
        <v>0</v>
      </c>
    </row>
    <row r="4131" spans="1:5" x14ac:dyDescent="0.35">
      <c r="A4131">
        <v>0</v>
      </c>
      <c r="B4131">
        <v>0</v>
      </c>
      <c r="C4131">
        <v>0</v>
      </c>
      <c r="D4131">
        <v>0</v>
      </c>
      <c r="E4131">
        <v>0</v>
      </c>
    </row>
    <row r="4132" spans="1:5" x14ac:dyDescent="0.35">
      <c r="A4132">
        <v>0</v>
      </c>
      <c r="B4132">
        <v>0</v>
      </c>
      <c r="C4132">
        <v>0</v>
      </c>
      <c r="D4132">
        <v>0</v>
      </c>
      <c r="E4132">
        <v>0</v>
      </c>
    </row>
    <row r="4133" spans="1:5" x14ac:dyDescent="0.35">
      <c r="A4133">
        <v>0</v>
      </c>
      <c r="B4133">
        <v>0</v>
      </c>
      <c r="C4133">
        <v>0</v>
      </c>
      <c r="D4133">
        <v>0</v>
      </c>
      <c r="E4133">
        <v>0</v>
      </c>
    </row>
    <row r="4134" spans="1:5" x14ac:dyDescent="0.35">
      <c r="A4134">
        <v>0</v>
      </c>
      <c r="B4134">
        <v>0</v>
      </c>
      <c r="C4134">
        <v>0</v>
      </c>
      <c r="D4134">
        <v>0</v>
      </c>
      <c r="E4134">
        <v>0</v>
      </c>
    </row>
    <row r="4135" spans="1:5" x14ac:dyDescent="0.35">
      <c r="A4135">
        <v>0</v>
      </c>
      <c r="B4135">
        <v>0</v>
      </c>
      <c r="C4135">
        <v>0</v>
      </c>
      <c r="D4135">
        <v>0</v>
      </c>
      <c r="E4135">
        <v>0</v>
      </c>
    </row>
    <row r="4136" spans="1:5" x14ac:dyDescent="0.35">
      <c r="A4136">
        <v>0</v>
      </c>
      <c r="B4136">
        <v>0</v>
      </c>
      <c r="C4136">
        <v>0</v>
      </c>
      <c r="D4136">
        <v>0</v>
      </c>
      <c r="E4136">
        <v>0</v>
      </c>
    </row>
    <row r="4137" spans="1:5" x14ac:dyDescent="0.35">
      <c r="A4137">
        <v>0</v>
      </c>
      <c r="B4137">
        <v>0</v>
      </c>
      <c r="C4137">
        <v>0</v>
      </c>
      <c r="D4137">
        <v>0</v>
      </c>
      <c r="E4137">
        <v>0</v>
      </c>
    </row>
    <row r="4138" spans="1:5" x14ac:dyDescent="0.35">
      <c r="A4138">
        <v>0</v>
      </c>
      <c r="B4138">
        <v>0</v>
      </c>
      <c r="C4138">
        <v>0</v>
      </c>
      <c r="D4138">
        <v>0</v>
      </c>
      <c r="E4138">
        <v>0</v>
      </c>
    </row>
    <row r="4139" spans="1:5" x14ac:dyDescent="0.35">
      <c r="A4139">
        <v>0</v>
      </c>
      <c r="B4139">
        <v>0</v>
      </c>
      <c r="C4139">
        <v>0</v>
      </c>
      <c r="D4139">
        <v>0</v>
      </c>
      <c r="E4139">
        <v>0</v>
      </c>
    </row>
    <row r="4140" spans="1:5" x14ac:dyDescent="0.35">
      <c r="A4140">
        <v>0</v>
      </c>
      <c r="B4140">
        <v>0</v>
      </c>
      <c r="C4140">
        <v>0</v>
      </c>
      <c r="D4140">
        <v>0</v>
      </c>
      <c r="E4140">
        <v>0</v>
      </c>
    </row>
    <row r="4141" spans="1:5" x14ac:dyDescent="0.35">
      <c r="A4141">
        <v>0</v>
      </c>
      <c r="B4141">
        <v>0</v>
      </c>
      <c r="C4141">
        <v>0</v>
      </c>
      <c r="D4141">
        <v>0</v>
      </c>
      <c r="E4141">
        <v>0</v>
      </c>
    </row>
    <row r="4142" spans="1:5" x14ac:dyDescent="0.35">
      <c r="A4142">
        <v>0</v>
      </c>
      <c r="B4142">
        <v>0</v>
      </c>
      <c r="C4142">
        <v>0</v>
      </c>
      <c r="D4142">
        <v>0</v>
      </c>
      <c r="E4142">
        <v>0</v>
      </c>
    </row>
    <row r="4143" spans="1:5" x14ac:dyDescent="0.35">
      <c r="A4143">
        <v>0</v>
      </c>
      <c r="B4143">
        <v>0</v>
      </c>
      <c r="C4143">
        <v>0</v>
      </c>
      <c r="D4143">
        <v>0</v>
      </c>
      <c r="E4143">
        <v>0</v>
      </c>
    </row>
    <row r="4144" spans="1:5" x14ac:dyDescent="0.35">
      <c r="A4144">
        <v>0</v>
      </c>
      <c r="B4144">
        <v>0</v>
      </c>
      <c r="C4144">
        <v>0</v>
      </c>
      <c r="D4144">
        <v>0</v>
      </c>
      <c r="E4144">
        <v>0</v>
      </c>
    </row>
    <row r="4145" spans="1:5" x14ac:dyDescent="0.35">
      <c r="A4145">
        <v>0</v>
      </c>
      <c r="B4145">
        <v>0</v>
      </c>
      <c r="C4145">
        <v>0</v>
      </c>
      <c r="D4145">
        <v>0</v>
      </c>
      <c r="E4145">
        <v>0</v>
      </c>
    </row>
    <row r="4146" spans="1:5" x14ac:dyDescent="0.35">
      <c r="A4146">
        <v>0</v>
      </c>
      <c r="B4146">
        <v>0</v>
      </c>
      <c r="C4146">
        <v>0</v>
      </c>
      <c r="D4146">
        <v>0</v>
      </c>
      <c r="E4146">
        <v>0</v>
      </c>
    </row>
    <row r="4147" spans="1:5" x14ac:dyDescent="0.35">
      <c r="A4147">
        <v>0</v>
      </c>
      <c r="B4147">
        <v>0</v>
      </c>
      <c r="C4147">
        <v>0</v>
      </c>
      <c r="D4147">
        <v>0</v>
      </c>
      <c r="E4147">
        <v>0</v>
      </c>
    </row>
    <row r="4148" spans="1:5" x14ac:dyDescent="0.35">
      <c r="A4148">
        <v>0</v>
      </c>
      <c r="B4148">
        <v>0</v>
      </c>
      <c r="C4148">
        <v>0</v>
      </c>
      <c r="D4148">
        <v>0</v>
      </c>
      <c r="E4148">
        <v>0</v>
      </c>
    </row>
    <row r="4149" spans="1:5" x14ac:dyDescent="0.35">
      <c r="A4149">
        <v>0</v>
      </c>
      <c r="B4149">
        <v>0</v>
      </c>
      <c r="C4149">
        <v>0</v>
      </c>
      <c r="D4149">
        <v>0</v>
      </c>
      <c r="E4149">
        <v>0</v>
      </c>
    </row>
    <row r="4150" spans="1:5" x14ac:dyDescent="0.35">
      <c r="A4150">
        <v>0</v>
      </c>
      <c r="B4150">
        <v>0</v>
      </c>
      <c r="C4150">
        <v>0</v>
      </c>
      <c r="D4150">
        <v>0</v>
      </c>
      <c r="E4150">
        <v>0</v>
      </c>
    </row>
    <row r="4151" spans="1:5" x14ac:dyDescent="0.35">
      <c r="A4151">
        <v>0</v>
      </c>
      <c r="B4151">
        <v>0</v>
      </c>
      <c r="C4151">
        <v>0</v>
      </c>
      <c r="D4151">
        <v>0</v>
      </c>
      <c r="E4151">
        <v>0</v>
      </c>
    </row>
    <row r="4152" spans="1:5" x14ac:dyDescent="0.35">
      <c r="A4152">
        <v>0</v>
      </c>
      <c r="B4152">
        <v>0</v>
      </c>
      <c r="C4152">
        <v>0</v>
      </c>
      <c r="D4152">
        <v>0</v>
      </c>
      <c r="E4152">
        <v>0</v>
      </c>
    </row>
    <row r="4153" spans="1:5" x14ac:dyDescent="0.35">
      <c r="A4153">
        <v>0</v>
      </c>
      <c r="B4153">
        <v>0</v>
      </c>
      <c r="C4153">
        <v>0</v>
      </c>
      <c r="D4153">
        <v>0</v>
      </c>
      <c r="E4153">
        <v>0</v>
      </c>
    </row>
    <row r="4154" spans="1:5" x14ac:dyDescent="0.35">
      <c r="A4154">
        <v>0</v>
      </c>
      <c r="B4154">
        <v>0</v>
      </c>
      <c r="C4154">
        <v>0</v>
      </c>
      <c r="D4154">
        <v>0</v>
      </c>
      <c r="E4154">
        <v>0</v>
      </c>
    </row>
    <row r="4155" spans="1:5" x14ac:dyDescent="0.35">
      <c r="A4155">
        <v>0</v>
      </c>
      <c r="B4155">
        <v>0</v>
      </c>
      <c r="C4155">
        <v>0</v>
      </c>
      <c r="D4155">
        <v>0</v>
      </c>
      <c r="E4155">
        <v>0</v>
      </c>
    </row>
    <row r="4156" spans="1:5" x14ac:dyDescent="0.35">
      <c r="A4156">
        <v>0</v>
      </c>
      <c r="B4156">
        <v>0</v>
      </c>
      <c r="C4156">
        <v>0</v>
      </c>
      <c r="D4156">
        <v>0</v>
      </c>
      <c r="E4156">
        <v>0</v>
      </c>
    </row>
    <row r="4157" spans="1:5" x14ac:dyDescent="0.35">
      <c r="A4157">
        <v>0</v>
      </c>
      <c r="B4157">
        <v>0</v>
      </c>
      <c r="C4157">
        <v>0</v>
      </c>
      <c r="D4157">
        <v>0</v>
      </c>
      <c r="E4157">
        <v>0</v>
      </c>
    </row>
    <row r="4158" spans="1:5" x14ac:dyDescent="0.35">
      <c r="A4158">
        <v>0</v>
      </c>
      <c r="B4158">
        <v>0</v>
      </c>
      <c r="C4158">
        <v>0</v>
      </c>
      <c r="D4158">
        <v>0</v>
      </c>
      <c r="E4158">
        <v>0</v>
      </c>
    </row>
    <row r="4159" spans="1:5" x14ac:dyDescent="0.35">
      <c r="A4159">
        <v>0</v>
      </c>
      <c r="B4159">
        <v>0</v>
      </c>
      <c r="C4159">
        <v>0</v>
      </c>
      <c r="D4159">
        <v>0</v>
      </c>
      <c r="E4159">
        <v>0</v>
      </c>
    </row>
    <row r="4160" spans="1:5" x14ac:dyDescent="0.35">
      <c r="A4160">
        <v>0</v>
      </c>
      <c r="B4160">
        <v>0</v>
      </c>
      <c r="C4160">
        <v>0</v>
      </c>
      <c r="D4160">
        <v>0</v>
      </c>
      <c r="E4160">
        <v>0</v>
      </c>
    </row>
    <row r="4161" spans="1:5" x14ac:dyDescent="0.35">
      <c r="A4161">
        <v>0</v>
      </c>
      <c r="B4161">
        <v>0</v>
      </c>
      <c r="C4161">
        <v>0</v>
      </c>
      <c r="D4161">
        <v>0</v>
      </c>
      <c r="E4161">
        <v>0</v>
      </c>
    </row>
    <row r="4162" spans="1:5" x14ac:dyDescent="0.35">
      <c r="A4162">
        <v>0</v>
      </c>
      <c r="B4162">
        <v>0</v>
      </c>
      <c r="C4162">
        <v>0</v>
      </c>
      <c r="D4162">
        <v>0</v>
      </c>
      <c r="E4162">
        <v>0</v>
      </c>
    </row>
    <row r="4163" spans="1:5" x14ac:dyDescent="0.35">
      <c r="A4163">
        <v>0</v>
      </c>
      <c r="B4163">
        <v>0</v>
      </c>
      <c r="C4163">
        <v>0</v>
      </c>
      <c r="D4163">
        <v>0</v>
      </c>
      <c r="E4163">
        <v>0</v>
      </c>
    </row>
    <row r="4164" spans="1:5" x14ac:dyDescent="0.35">
      <c r="A4164">
        <v>0</v>
      </c>
      <c r="B4164">
        <v>0</v>
      </c>
      <c r="C4164">
        <v>0</v>
      </c>
      <c r="D4164">
        <v>0</v>
      </c>
      <c r="E4164">
        <v>0</v>
      </c>
    </row>
    <row r="4165" spans="1:5" x14ac:dyDescent="0.35">
      <c r="A4165">
        <v>0</v>
      </c>
      <c r="B4165">
        <v>0</v>
      </c>
      <c r="C4165">
        <v>0</v>
      </c>
      <c r="D4165">
        <v>0</v>
      </c>
      <c r="E4165">
        <v>0</v>
      </c>
    </row>
    <row r="4166" spans="1:5" x14ac:dyDescent="0.35">
      <c r="A4166">
        <v>0</v>
      </c>
      <c r="B4166">
        <v>0</v>
      </c>
      <c r="C4166">
        <v>0</v>
      </c>
      <c r="D4166">
        <v>0</v>
      </c>
      <c r="E4166">
        <v>0</v>
      </c>
    </row>
    <row r="4167" spans="1:5" x14ac:dyDescent="0.35">
      <c r="A4167">
        <v>0</v>
      </c>
      <c r="B4167">
        <v>0</v>
      </c>
      <c r="C4167">
        <v>0</v>
      </c>
      <c r="D4167">
        <v>0</v>
      </c>
      <c r="E4167">
        <v>0</v>
      </c>
    </row>
    <row r="4168" spans="1:5" x14ac:dyDescent="0.35">
      <c r="A4168">
        <v>0</v>
      </c>
      <c r="B4168">
        <v>0</v>
      </c>
      <c r="C4168">
        <v>0</v>
      </c>
      <c r="D4168">
        <v>0</v>
      </c>
      <c r="E4168">
        <v>0</v>
      </c>
    </row>
    <row r="4169" spans="1:5" x14ac:dyDescent="0.35">
      <c r="A4169">
        <v>0</v>
      </c>
      <c r="B4169">
        <v>0</v>
      </c>
      <c r="C4169">
        <v>0</v>
      </c>
      <c r="D4169">
        <v>0</v>
      </c>
      <c r="E4169">
        <v>0</v>
      </c>
    </row>
    <row r="4170" spans="1:5" x14ac:dyDescent="0.35">
      <c r="A4170">
        <v>0</v>
      </c>
      <c r="B4170">
        <v>0</v>
      </c>
      <c r="C4170">
        <v>0</v>
      </c>
      <c r="D4170">
        <v>0</v>
      </c>
      <c r="E4170">
        <v>0</v>
      </c>
    </row>
    <row r="4171" spans="1:5" x14ac:dyDescent="0.35">
      <c r="A4171">
        <v>0</v>
      </c>
      <c r="B4171">
        <v>0</v>
      </c>
      <c r="C4171">
        <v>0</v>
      </c>
      <c r="D4171">
        <v>0</v>
      </c>
      <c r="E4171">
        <v>0</v>
      </c>
    </row>
    <row r="4172" spans="1:5" x14ac:dyDescent="0.35">
      <c r="A4172">
        <v>0</v>
      </c>
      <c r="B4172">
        <v>0</v>
      </c>
      <c r="C4172">
        <v>0</v>
      </c>
      <c r="D4172">
        <v>0</v>
      </c>
      <c r="E4172">
        <v>0</v>
      </c>
    </row>
    <row r="4173" spans="1:5" x14ac:dyDescent="0.35">
      <c r="A4173">
        <v>0</v>
      </c>
      <c r="B4173">
        <v>0</v>
      </c>
      <c r="C4173">
        <v>0</v>
      </c>
      <c r="D4173">
        <v>0</v>
      </c>
      <c r="E4173">
        <v>0</v>
      </c>
    </row>
    <row r="4174" spans="1:5" x14ac:dyDescent="0.35">
      <c r="A4174">
        <v>0</v>
      </c>
      <c r="B4174">
        <v>0</v>
      </c>
      <c r="C4174">
        <v>0</v>
      </c>
      <c r="D4174">
        <v>0</v>
      </c>
      <c r="E4174">
        <v>0</v>
      </c>
    </row>
    <row r="4175" spans="1:5" x14ac:dyDescent="0.35">
      <c r="A4175">
        <v>0</v>
      </c>
      <c r="B4175">
        <v>0</v>
      </c>
      <c r="C4175">
        <v>0</v>
      </c>
      <c r="D4175">
        <v>0</v>
      </c>
      <c r="E4175">
        <v>0</v>
      </c>
    </row>
    <row r="4176" spans="1:5" x14ac:dyDescent="0.35">
      <c r="A4176">
        <v>0</v>
      </c>
      <c r="B4176">
        <v>0</v>
      </c>
      <c r="C4176">
        <v>0</v>
      </c>
      <c r="D4176">
        <v>0</v>
      </c>
      <c r="E4176">
        <v>0</v>
      </c>
    </row>
    <row r="4177" spans="1:5" x14ac:dyDescent="0.35">
      <c r="A4177">
        <v>0</v>
      </c>
      <c r="B4177">
        <v>0</v>
      </c>
      <c r="C4177">
        <v>0</v>
      </c>
      <c r="D4177">
        <v>0</v>
      </c>
      <c r="E4177">
        <v>0</v>
      </c>
    </row>
    <row r="4178" spans="1:5" x14ac:dyDescent="0.35">
      <c r="A4178">
        <v>0</v>
      </c>
      <c r="B4178">
        <v>0</v>
      </c>
      <c r="C4178">
        <v>0</v>
      </c>
      <c r="D4178">
        <v>0</v>
      </c>
      <c r="E4178">
        <v>0</v>
      </c>
    </row>
    <row r="4179" spans="1:5" x14ac:dyDescent="0.35">
      <c r="A4179">
        <v>0</v>
      </c>
      <c r="B4179">
        <v>0</v>
      </c>
      <c r="C4179">
        <v>0</v>
      </c>
      <c r="D4179">
        <v>0</v>
      </c>
      <c r="E4179">
        <v>0</v>
      </c>
    </row>
    <row r="4180" spans="1:5" x14ac:dyDescent="0.35">
      <c r="A4180">
        <v>0</v>
      </c>
      <c r="B4180">
        <v>0</v>
      </c>
      <c r="C4180">
        <v>0</v>
      </c>
      <c r="D4180">
        <v>0</v>
      </c>
      <c r="E4180">
        <v>0</v>
      </c>
    </row>
    <row r="4181" spans="1:5" x14ac:dyDescent="0.35">
      <c r="A4181">
        <v>0</v>
      </c>
      <c r="B4181">
        <v>0</v>
      </c>
      <c r="C4181">
        <v>0</v>
      </c>
      <c r="D4181">
        <v>0</v>
      </c>
      <c r="E4181">
        <v>0</v>
      </c>
    </row>
    <row r="4182" spans="1:5" x14ac:dyDescent="0.35">
      <c r="A4182">
        <v>0</v>
      </c>
      <c r="B4182">
        <v>0</v>
      </c>
      <c r="C4182">
        <v>0</v>
      </c>
      <c r="D4182">
        <v>0</v>
      </c>
      <c r="E4182">
        <v>0</v>
      </c>
    </row>
    <row r="4183" spans="1:5" x14ac:dyDescent="0.35">
      <c r="A4183">
        <v>0</v>
      </c>
      <c r="B4183">
        <v>0</v>
      </c>
      <c r="C4183">
        <v>0</v>
      </c>
      <c r="D4183">
        <v>0</v>
      </c>
      <c r="E4183">
        <v>0</v>
      </c>
    </row>
    <row r="4184" spans="1:5" x14ac:dyDescent="0.35">
      <c r="A4184">
        <v>0</v>
      </c>
      <c r="B4184">
        <v>0</v>
      </c>
      <c r="C4184">
        <v>0</v>
      </c>
      <c r="D4184">
        <v>0</v>
      </c>
      <c r="E4184">
        <v>0</v>
      </c>
    </row>
    <row r="4185" spans="1:5" x14ac:dyDescent="0.35">
      <c r="A4185">
        <v>0</v>
      </c>
      <c r="B4185">
        <v>0</v>
      </c>
      <c r="C4185">
        <v>0</v>
      </c>
      <c r="D4185">
        <v>0</v>
      </c>
      <c r="E4185">
        <v>0</v>
      </c>
    </row>
    <row r="4186" spans="1:5" x14ac:dyDescent="0.35">
      <c r="A4186">
        <v>0</v>
      </c>
      <c r="B4186">
        <v>0</v>
      </c>
      <c r="C4186">
        <v>0</v>
      </c>
      <c r="D4186">
        <v>0</v>
      </c>
      <c r="E4186">
        <v>0</v>
      </c>
    </row>
    <row r="4187" spans="1:5" x14ac:dyDescent="0.35">
      <c r="A4187">
        <v>0</v>
      </c>
      <c r="B4187">
        <v>0</v>
      </c>
      <c r="C4187">
        <v>0</v>
      </c>
      <c r="D4187">
        <v>0</v>
      </c>
      <c r="E4187">
        <v>0</v>
      </c>
    </row>
    <row r="4188" spans="1:5" x14ac:dyDescent="0.35">
      <c r="A4188">
        <v>0</v>
      </c>
      <c r="B4188">
        <v>0</v>
      </c>
      <c r="C4188">
        <v>0</v>
      </c>
      <c r="D4188">
        <v>0</v>
      </c>
      <c r="E4188">
        <v>0</v>
      </c>
    </row>
    <row r="4189" spans="1:5" x14ac:dyDescent="0.35">
      <c r="A4189">
        <v>0</v>
      </c>
      <c r="B4189">
        <v>0</v>
      </c>
      <c r="C4189">
        <v>0</v>
      </c>
      <c r="D4189">
        <v>0</v>
      </c>
      <c r="E4189">
        <v>0</v>
      </c>
    </row>
    <row r="4190" spans="1:5" x14ac:dyDescent="0.35">
      <c r="A4190">
        <v>0</v>
      </c>
      <c r="B4190">
        <v>0</v>
      </c>
      <c r="C4190">
        <v>0</v>
      </c>
      <c r="D4190">
        <v>0</v>
      </c>
      <c r="E4190">
        <v>0</v>
      </c>
    </row>
    <row r="4191" spans="1:5" x14ac:dyDescent="0.35">
      <c r="A4191">
        <v>0</v>
      </c>
      <c r="B4191">
        <v>0</v>
      </c>
      <c r="C4191">
        <v>0</v>
      </c>
      <c r="D4191">
        <v>0</v>
      </c>
      <c r="E4191">
        <v>0</v>
      </c>
    </row>
    <row r="4192" spans="1:5" x14ac:dyDescent="0.35">
      <c r="A4192">
        <v>0</v>
      </c>
      <c r="B4192">
        <v>0</v>
      </c>
      <c r="C4192">
        <v>0</v>
      </c>
      <c r="D4192">
        <v>0</v>
      </c>
      <c r="E4192">
        <v>0</v>
      </c>
    </row>
    <row r="4193" spans="1:5" x14ac:dyDescent="0.35">
      <c r="A4193">
        <v>0</v>
      </c>
      <c r="B4193">
        <v>0</v>
      </c>
      <c r="C4193">
        <v>0</v>
      </c>
      <c r="D4193">
        <v>0</v>
      </c>
      <c r="E4193">
        <v>0</v>
      </c>
    </row>
    <row r="4194" spans="1:5" x14ac:dyDescent="0.35">
      <c r="A4194">
        <v>0</v>
      </c>
      <c r="B4194">
        <v>0</v>
      </c>
      <c r="C4194">
        <v>0</v>
      </c>
      <c r="D4194">
        <v>0</v>
      </c>
      <c r="E4194">
        <v>0</v>
      </c>
    </row>
    <row r="4195" spans="1:5" x14ac:dyDescent="0.35">
      <c r="A4195">
        <v>0</v>
      </c>
      <c r="B4195">
        <v>0</v>
      </c>
      <c r="C4195">
        <v>0</v>
      </c>
      <c r="D4195">
        <v>0</v>
      </c>
      <c r="E4195">
        <v>0</v>
      </c>
    </row>
    <row r="4196" spans="1:5" x14ac:dyDescent="0.35">
      <c r="A4196">
        <v>0</v>
      </c>
      <c r="B4196">
        <v>0</v>
      </c>
      <c r="C4196">
        <v>0</v>
      </c>
      <c r="D4196">
        <v>0</v>
      </c>
      <c r="E4196">
        <v>0</v>
      </c>
    </row>
    <row r="4197" spans="1:5" x14ac:dyDescent="0.35">
      <c r="A4197">
        <v>0</v>
      </c>
      <c r="B4197">
        <v>0</v>
      </c>
      <c r="C4197">
        <v>0</v>
      </c>
      <c r="D4197">
        <v>0</v>
      </c>
      <c r="E4197">
        <v>0</v>
      </c>
    </row>
    <row r="4198" spans="1:5" x14ac:dyDescent="0.35">
      <c r="A4198">
        <v>0</v>
      </c>
      <c r="B4198">
        <v>0</v>
      </c>
      <c r="C4198">
        <v>0</v>
      </c>
      <c r="D4198">
        <v>0</v>
      </c>
      <c r="E4198">
        <v>0</v>
      </c>
    </row>
    <row r="4199" spans="1:5" x14ac:dyDescent="0.35">
      <c r="A4199">
        <v>0</v>
      </c>
      <c r="B4199">
        <v>0</v>
      </c>
      <c r="C4199">
        <v>0</v>
      </c>
      <c r="D4199">
        <v>0</v>
      </c>
      <c r="E4199">
        <v>0</v>
      </c>
    </row>
    <row r="4200" spans="1:5" x14ac:dyDescent="0.35">
      <c r="A4200">
        <v>0</v>
      </c>
      <c r="B4200">
        <v>0</v>
      </c>
      <c r="C4200">
        <v>0</v>
      </c>
      <c r="D4200">
        <v>0</v>
      </c>
      <c r="E4200">
        <v>0</v>
      </c>
    </row>
    <row r="4201" spans="1:5" x14ac:dyDescent="0.35">
      <c r="A4201">
        <v>0</v>
      </c>
      <c r="B4201">
        <v>0</v>
      </c>
      <c r="C4201">
        <v>0</v>
      </c>
      <c r="D4201">
        <v>0</v>
      </c>
      <c r="E4201">
        <v>0</v>
      </c>
    </row>
    <row r="4202" spans="1:5" x14ac:dyDescent="0.35">
      <c r="A4202">
        <v>0</v>
      </c>
      <c r="B4202">
        <v>0</v>
      </c>
      <c r="C4202">
        <v>0</v>
      </c>
      <c r="D4202">
        <v>0</v>
      </c>
      <c r="E4202">
        <v>0</v>
      </c>
    </row>
    <row r="4203" spans="1:5" x14ac:dyDescent="0.35">
      <c r="A4203">
        <v>0</v>
      </c>
      <c r="B4203">
        <v>0</v>
      </c>
      <c r="C4203">
        <v>0</v>
      </c>
      <c r="D4203">
        <v>0</v>
      </c>
      <c r="E4203">
        <v>0</v>
      </c>
    </row>
    <row r="4204" spans="1:5" x14ac:dyDescent="0.35">
      <c r="A4204">
        <v>0</v>
      </c>
      <c r="B4204">
        <v>0</v>
      </c>
      <c r="C4204">
        <v>0</v>
      </c>
      <c r="D4204">
        <v>0</v>
      </c>
      <c r="E4204">
        <v>0</v>
      </c>
    </row>
    <row r="4205" spans="1:5" x14ac:dyDescent="0.35">
      <c r="A4205">
        <v>0</v>
      </c>
      <c r="B4205">
        <v>0</v>
      </c>
      <c r="C4205">
        <v>0</v>
      </c>
      <c r="D4205">
        <v>0</v>
      </c>
      <c r="E4205">
        <v>0</v>
      </c>
    </row>
    <row r="4206" spans="1:5" x14ac:dyDescent="0.35">
      <c r="A4206">
        <v>0</v>
      </c>
      <c r="B4206">
        <v>0</v>
      </c>
      <c r="C4206">
        <v>0</v>
      </c>
      <c r="D4206">
        <v>0</v>
      </c>
      <c r="E4206">
        <v>0</v>
      </c>
    </row>
    <row r="4207" spans="1:5" x14ac:dyDescent="0.35">
      <c r="A4207">
        <v>0</v>
      </c>
      <c r="B4207">
        <v>0</v>
      </c>
      <c r="C4207">
        <v>0</v>
      </c>
      <c r="D4207">
        <v>0</v>
      </c>
      <c r="E4207">
        <v>0</v>
      </c>
    </row>
    <row r="4208" spans="1:5" x14ac:dyDescent="0.35">
      <c r="A4208">
        <v>0</v>
      </c>
      <c r="B4208">
        <v>0</v>
      </c>
      <c r="C4208">
        <v>0</v>
      </c>
      <c r="D4208">
        <v>0</v>
      </c>
      <c r="E4208">
        <v>0</v>
      </c>
    </row>
    <row r="4209" spans="1:5" x14ac:dyDescent="0.35">
      <c r="A4209">
        <v>0</v>
      </c>
      <c r="B4209">
        <v>0</v>
      </c>
      <c r="C4209">
        <v>0</v>
      </c>
      <c r="D4209">
        <v>0</v>
      </c>
      <c r="E4209">
        <v>0</v>
      </c>
    </row>
    <row r="4210" spans="1:5" x14ac:dyDescent="0.35">
      <c r="A4210">
        <v>0</v>
      </c>
      <c r="B4210">
        <v>0</v>
      </c>
      <c r="C4210">
        <v>0</v>
      </c>
      <c r="D4210">
        <v>0</v>
      </c>
      <c r="E4210">
        <v>0</v>
      </c>
    </row>
    <row r="4211" spans="1:5" x14ac:dyDescent="0.35">
      <c r="A4211">
        <v>0</v>
      </c>
      <c r="B4211">
        <v>0</v>
      </c>
      <c r="C4211">
        <v>0</v>
      </c>
      <c r="D4211">
        <v>0</v>
      </c>
      <c r="E4211">
        <v>0</v>
      </c>
    </row>
    <row r="4212" spans="1:5" x14ac:dyDescent="0.35">
      <c r="A4212">
        <v>0</v>
      </c>
      <c r="B4212">
        <v>0</v>
      </c>
      <c r="C4212">
        <v>0</v>
      </c>
      <c r="D4212">
        <v>0</v>
      </c>
      <c r="E4212">
        <v>0</v>
      </c>
    </row>
    <row r="4213" spans="1:5" x14ac:dyDescent="0.35">
      <c r="A4213">
        <v>0</v>
      </c>
      <c r="B4213">
        <v>0</v>
      </c>
      <c r="C4213">
        <v>0</v>
      </c>
      <c r="D4213">
        <v>0</v>
      </c>
      <c r="E4213">
        <v>0</v>
      </c>
    </row>
    <row r="4214" spans="1:5" x14ac:dyDescent="0.35">
      <c r="A4214">
        <v>0</v>
      </c>
      <c r="B4214">
        <v>0</v>
      </c>
      <c r="C4214">
        <v>0</v>
      </c>
      <c r="D4214">
        <v>0</v>
      </c>
      <c r="E4214">
        <v>0</v>
      </c>
    </row>
    <row r="4215" spans="1:5" x14ac:dyDescent="0.35">
      <c r="A4215">
        <v>0</v>
      </c>
      <c r="B4215">
        <v>0</v>
      </c>
      <c r="C4215">
        <v>0</v>
      </c>
      <c r="D4215">
        <v>0</v>
      </c>
      <c r="E4215">
        <v>0</v>
      </c>
    </row>
    <row r="4216" spans="1:5" x14ac:dyDescent="0.35">
      <c r="A4216">
        <v>0</v>
      </c>
      <c r="B4216">
        <v>0</v>
      </c>
      <c r="C4216">
        <v>0</v>
      </c>
      <c r="D4216">
        <v>0</v>
      </c>
      <c r="E4216">
        <v>0</v>
      </c>
    </row>
    <row r="4217" spans="1:5" x14ac:dyDescent="0.35">
      <c r="A4217">
        <v>0</v>
      </c>
      <c r="B4217">
        <v>0</v>
      </c>
      <c r="C4217">
        <v>0</v>
      </c>
      <c r="D4217">
        <v>0</v>
      </c>
      <c r="E4217">
        <v>0</v>
      </c>
    </row>
    <row r="4218" spans="1:5" x14ac:dyDescent="0.35">
      <c r="A4218">
        <v>0</v>
      </c>
      <c r="B4218">
        <v>0</v>
      </c>
      <c r="C4218">
        <v>0</v>
      </c>
      <c r="D4218">
        <v>0</v>
      </c>
      <c r="E4218">
        <v>0</v>
      </c>
    </row>
    <row r="4219" spans="1:5" x14ac:dyDescent="0.35">
      <c r="A4219">
        <v>0</v>
      </c>
      <c r="B4219">
        <v>0</v>
      </c>
      <c r="C4219">
        <v>0</v>
      </c>
      <c r="D4219">
        <v>0</v>
      </c>
      <c r="E4219">
        <v>0</v>
      </c>
    </row>
    <row r="4220" spans="1:5" x14ac:dyDescent="0.35">
      <c r="A4220">
        <v>0</v>
      </c>
      <c r="B4220">
        <v>0</v>
      </c>
      <c r="C4220">
        <v>0</v>
      </c>
      <c r="D4220">
        <v>0</v>
      </c>
      <c r="E4220">
        <v>0</v>
      </c>
    </row>
    <row r="4221" spans="1:5" x14ac:dyDescent="0.35">
      <c r="A4221">
        <v>0</v>
      </c>
      <c r="B4221">
        <v>0</v>
      </c>
      <c r="C4221">
        <v>0</v>
      </c>
      <c r="D4221">
        <v>0</v>
      </c>
      <c r="E4221">
        <v>0</v>
      </c>
    </row>
    <row r="4222" spans="1:5" x14ac:dyDescent="0.35">
      <c r="A4222">
        <v>0</v>
      </c>
      <c r="B4222">
        <v>0</v>
      </c>
      <c r="C4222">
        <v>0</v>
      </c>
      <c r="D4222">
        <v>0</v>
      </c>
      <c r="E4222">
        <v>0</v>
      </c>
    </row>
    <row r="4223" spans="1:5" x14ac:dyDescent="0.35">
      <c r="A4223">
        <v>0</v>
      </c>
      <c r="B4223">
        <v>0</v>
      </c>
      <c r="C4223">
        <v>0</v>
      </c>
      <c r="D4223">
        <v>0</v>
      </c>
      <c r="E4223">
        <v>0</v>
      </c>
    </row>
    <row r="4224" spans="1:5" x14ac:dyDescent="0.35">
      <c r="A4224">
        <v>0</v>
      </c>
      <c r="B4224">
        <v>0</v>
      </c>
      <c r="C4224">
        <v>0</v>
      </c>
      <c r="D4224">
        <v>0</v>
      </c>
      <c r="E4224">
        <v>0</v>
      </c>
    </row>
    <row r="4225" spans="1:5" x14ac:dyDescent="0.35">
      <c r="A4225">
        <v>0</v>
      </c>
      <c r="B4225">
        <v>0</v>
      </c>
      <c r="C4225">
        <v>0</v>
      </c>
      <c r="D4225">
        <v>0</v>
      </c>
      <c r="E4225">
        <v>0</v>
      </c>
    </row>
    <row r="4226" spans="1:5" x14ac:dyDescent="0.35">
      <c r="A4226">
        <v>0</v>
      </c>
      <c r="B4226">
        <v>0</v>
      </c>
      <c r="C4226">
        <v>0</v>
      </c>
      <c r="D4226">
        <v>0</v>
      </c>
      <c r="E4226">
        <v>0</v>
      </c>
    </row>
    <row r="4227" spans="1:5" x14ac:dyDescent="0.35">
      <c r="A4227">
        <v>0</v>
      </c>
      <c r="B4227">
        <v>0</v>
      </c>
      <c r="C4227">
        <v>0</v>
      </c>
      <c r="D4227">
        <v>0</v>
      </c>
      <c r="E4227">
        <v>0</v>
      </c>
    </row>
    <row r="4228" spans="1:5" x14ac:dyDescent="0.35">
      <c r="A4228">
        <v>0</v>
      </c>
      <c r="B4228">
        <v>0</v>
      </c>
      <c r="C4228">
        <v>0</v>
      </c>
      <c r="D4228">
        <v>0</v>
      </c>
      <c r="E4228">
        <v>0</v>
      </c>
    </row>
    <row r="4229" spans="1:5" x14ac:dyDescent="0.35">
      <c r="A4229">
        <v>0</v>
      </c>
      <c r="B4229">
        <v>0</v>
      </c>
      <c r="C4229">
        <v>0</v>
      </c>
      <c r="D4229">
        <v>0</v>
      </c>
      <c r="E4229">
        <v>0</v>
      </c>
    </row>
    <row r="4230" spans="1:5" x14ac:dyDescent="0.35">
      <c r="A4230">
        <v>0</v>
      </c>
      <c r="B4230">
        <v>0</v>
      </c>
      <c r="C4230">
        <v>0</v>
      </c>
      <c r="D4230">
        <v>0</v>
      </c>
      <c r="E4230">
        <v>0</v>
      </c>
    </row>
    <row r="4231" spans="1:5" x14ac:dyDescent="0.35">
      <c r="A4231">
        <v>0</v>
      </c>
      <c r="B4231">
        <v>0</v>
      </c>
      <c r="C4231">
        <v>0</v>
      </c>
      <c r="D4231">
        <v>0</v>
      </c>
      <c r="E4231">
        <v>0</v>
      </c>
    </row>
    <row r="4232" spans="1:5" x14ac:dyDescent="0.35">
      <c r="A4232">
        <v>0</v>
      </c>
      <c r="B4232">
        <v>0</v>
      </c>
      <c r="C4232">
        <v>0</v>
      </c>
      <c r="D4232">
        <v>0</v>
      </c>
      <c r="E4232">
        <v>0</v>
      </c>
    </row>
    <row r="4233" spans="1:5" x14ac:dyDescent="0.35">
      <c r="A4233">
        <v>0</v>
      </c>
      <c r="B4233">
        <v>0</v>
      </c>
      <c r="C4233">
        <v>0</v>
      </c>
      <c r="D4233">
        <v>0</v>
      </c>
      <c r="E4233">
        <v>0</v>
      </c>
    </row>
    <row r="4234" spans="1:5" x14ac:dyDescent="0.35">
      <c r="A4234">
        <v>0</v>
      </c>
      <c r="B4234">
        <v>0</v>
      </c>
      <c r="C4234">
        <v>0</v>
      </c>
      <c r="D4234">
        <v>0</v>
      </c>
      <c r="E4234">
        <v>0</v>
      </c>
    </row>
    <row r="4235" spans="1:5" x14ac:dyDescent="0.35">
      <c r="A4235">
        <v>0</v>
      </c>
      <c r="B4235">
        <v>0</v>
      </c>
      <c r="C4235">
        <v>0</v>
      </c>
      <c r="D4235">
        <v>0</v>
      </c>
      <c r="E4235">
        <v>0</v>
      </c>
    </row>
    <row r="4236" spans="1:5" x14ac:dyDescent="0.35">
      <c r="A4236">
        <v>0</v>
      </c>
      <c r="B4236">
        <v>0</v>
      </c>
      <c r="C4236">
        <v>0</v>
      </c>
      <c r="D4236">
        <v>0</v>
      </c>
      <c r="E4236">
        <v>0</v>
      </c>
    </row>
    <row r="4237" spans="1:5" x14ac:dyDescent="0.35">
      <c r="A4237">
        <v>0</v>
      </c>
      <c r="B4237">
        <v>0</v>
      </c>
      <c r="C4237">
        <v>0</v>
      </c>
      <c r="D4237">
        <v>0</v>
      </c>
      <c r="E4237">
        <v>0</v>
      </c>
    </row>
    <row r="4238" spans="1:5" x14ac:dyDescent="0.35">
      <c r="A4238">
        <v>0</v>
      </c>
      <c r="B4238">
        <v>0</v>
      </c>
      <c r="C4238">
        <v>0</v>
      </c>
      <c r="D4238">
        <v>0</v>
      </c>
      <c r="E4238">
        <v>0</v>
      </c>
    </row>
    <row r="4239" spans="1:5" x14ac:dyDescent="0.35">
      <c r="A4239">
        <v>0</v>
      </c>
      <c r="B4239">
        <v>0</v>
      </c>
      <c r="C4239">
        <v>0</v>
      </c>
      <c r="D4239">
        <v>0</v>
      </c>
      <c r="E4239">
        <v>0</v>
      </c>
    </row>
    <row r="4240" spans="1:5" x14ac:dyDescent="0.35">
      <c r="A4240">
        <v>0</v>
      </c>
      <c r="B4240">
        <v>0</v>
      </c>
      <c r="C4240">
        <v>0</v>
      </c>
      <c r="D4240">
        <v>0</v>
      </c>
      <c r="E4240">
        <v>0</v>
      </c>
    </row>
    <row r="4241" spans="1:5" x14ac:dyDescent="0.35">
      <c r="A4241">
        <v>0</v>
      </c>
      <c r="B4241">
        <v>0</v>
      </c>
      <c r="C4241">
        <v>0</v>
      </c>
      <c r="D4241">
        <v>0</v>
      </c>
      <c r="E4241">
        <v>0</v>
      </c>
    </row>
    <row r="4242" spans="1:5" x14ac:dyDescent="0.35">
      <c r="A4242">
        <v>0</v>
      </c>
      <c r="B4242">
        <v>0</v>
      </c>
      <c r="C4242">
        <v>0</v>
      </c>
      <c r="D4242">
        <v>0</v>
      </c>
      <c r="E4242">
        <v>0</v>
      </c>
    </row>
    <row r="4243" spans="1:5" x14ac:dyDescent="0.35">
      <c r="A4243">
        <v>0</v>
      </c>
      <c r="B4243">
        <v>0</v>
      </c>
      <c r="C4243">
        <v>0</v>
      </c>
      <c r="D4243">
        <v>0</v>
      </c>
      <c r="E4243">
        <v>0</v>
      </c>
    </row>
    <row r="4244" spans="1:5" x14ac:dyDescent="0.35">
      <c r="A4244">
        <v>0</v>
      </c>
      <c r="B4244">
        <v>0</v>
      </c>
      <c r="C4244">
        <v>0</v>
      </c>
      <c r="D4244">
        <v>0</v>
      </c>
      <c r="E4244">
        <v>0</v>
      </c>
    </row>
    <row r="4245" spans="1:5" x14ac:dyDescent="0.35">
      <c r="A4245">
        <v>0</v>
      </c>
      <c r="B4245">
        <v>0</v>
      </c>
      <c r="C4245">
        <v>0</v>
      </c>
      <c r="D4245">
        <v>0</v>
      </c>
      <c r="E4245">
        <v>0</v>
      </c>
    </row>
    <row r="4246" spans="1:5" x14ac:dyDescent="0.35">
      <c r="A4246">
        <v>0</v>
      </c>
      <c r="B4246">
        <v>0</v>
      </c>
      <c r="C4246">
        <v>0</v>
      </c>
      <c r="D4246">
        <v>0</v>
      </c>
      <c r="E4246">
        <v>0</v>
      </c>
    </row>
    <row r="4247" spans="1:5" x14ac:dyDescent="0.35">
      <c r="A4247">
        <v>0</v>
      </c>
      <c r="B4247">
        <v>0</v>
      </c>
      <c r="C4247">
        <v>0</v>
      </c>
      <c r="D4247">
        <v>0</v>
      </c>
      <c r="E4247">
        <v>0</v>
      </c>
    </row>
    <row r="4248" spans="1:5" x14ac:dyDescent="0.35">
      <c r="A4248">
        <v>0</v>
      </c>
      <c r="B4248">
        <v>0</v>
      </c>
      <c r="C4248">
        <v>0</v>
      </c>
      <c r="D4248">
        <v>0</v>
      </c>
      <c r="E4248">
        <v>0</v>
      </c>
    </row>
    <row r="4249" spans="1:5" x14ac:dyDescent="0.35">
      <c r="A4249">
        <v>0</v>
      </c>
      <c r="B4249">
        <v>0</v>
      </c>
      <c r="C4249">
        <v>0</v>
      </c>
      <c r="D4249">
        <v>0</v>
      </c>
      <c r="E4249">
        <v>0</v>
      </c>
    </row>
    <row r="4250" spans="1:5" x14ac:dyDescent="0.35">
      <c r="A4250">
        <v>0</v>
      </c>
      <c r="B4250">
        <v>0</v>
      </c>
      <c r="C4250">
        <v>0</v>
      </c>
      <c r="D4250">
        <v>0</v>
      </c>
      <c r="E4250">
        <v>0</v>
      </c>
    </row>
    <row r="4251" spans="1:5" x14ac:dyDescent="0.35">
      <c r="A4251">
        <v>0</v>
      </c>
      <c r="B4251">
        <v>0</v>
      </c>
      <c r="C4251">
        <v>0</v>
      </c>
      <c r="D4251">
        <v>0</v>
      </c>
      <c r="E4251">
        <v>0</v>
      </c>
    </row>
    <row r="4252" spans="1:5" x14ac:dyDescent="0.35">
      <c r="A4252">
        <v>0</v>
      </c>
      <c r="B4252">
        <v>0</v>
      </c>
      <c r="C4252">
        <v>0</v>
      </c>
      <c r="D4252">
        <v>0</v>
      </c>
      <c r="E4252">
        <v>0</v>
      </c>
    </row>
    <row r="4253" spans="1:5" x14ac:dyDescent="0.35">
      <c r="A4253">
        <v>0</v>
      </c>
      <c r="B4253">
        <v>0</v>
      </c>
      <c r="C4253">
        <v>0</v>
      </c>
      <c r="D4253">
        <v>0</v>
      </c>
      <c r="E4253">
        <v>0</v>
      </c>
    </row>
    <row r="4254" spans="1:5" x14ac:dyDescent="0.35">
      <c r="A4254">
        <v>0</v>
      </c>
      <c r="B4254">
        <v>0</v>
      </c>
      <c r="C4254">
        <v>0</v>
      </c>
      <c r="D4254">
        <v>0</v>
      </c>
      <c r="E4254">
        <v>0</v>
      </c>
    </row>
    <row r="4255" spans="1:5" x14ac:dyDescent="0.35">
      <c r="A4255">
        <v>0</v>
      </c>
      <c r="B4255">
        <v>0</v>
      </c>
      <c r="C4255">
        <v>0</v>
      </c>
      <c r="D4255">
        <v>0</v>
      </c>
      <c r="E4255">
        <v>0</v>
      </c>
    </row>
    <row r="4256" spans="1:5" x14ac:dyDescent="0.35">
      <c r="A4256">
        <v>0</v>
      </c>
      <c r="B4256">
        <v>0</v>
      </c>
      <c r="C4256">
        <v>0</v>
      </c>
      <c r="D4256">
        <v>0</v>
      </c>
      <c r="E4256">
        <v>0</v>
      </c>
    </row>
    <row r="4257" spans="1:5" x14ac:dyDescent="0.35">
      <c r="A4257">
        <v>0</v>
      </c>
      <c r="B4257">
        <v>0</v>
      </c>
      <c r="C4257">
        <v>0</v>
      </c>
      <c r="D4257">
        <v>0</v>
      </c>
      <c r="E4257">
        <v>0</v>
      </c>
    </row>
    <row r="4258" spans="1:5" x14ac:dyDescent="0.35">
      <c r="A4258">
        <v>0</v>
      </c>
      <c r="B4258">
        <v>0</v>
      </c>
      <c r="C4258">
        <v>0</v>
      </c>
      <c r="D4258">
        <v>0</v>
      </c>
      <c r="E4258">
        <v>0</v>
      </c>
    </row>
    <row r="4259" spans="1:5" x14ac:dyDescent="0.35">
      <c r="A4259">
        <v>0</v>
      </c>
      <c r="B4259">
        <v>0</v>
      </c>
      <c r="C4259">
        <v>0</v>
      </c>
      <c r="D4259">
        <v>0</v>
      </c>
      <c r="E4259">
        <v>0</v>
      </c>
    </row>
    <row r="4260" spans="1:5" x14ac:dyDescent="0.35">
      <c r="A4260">
        <v>0</v>
      </c>
      <c r="B4260">
        <v>0</v>
      </c>
      <c r="C4260">
        <v>0</v>
      </c>
      <c r="D4260">
        <v>0</v>
      </c>
      <c r="E4260">
        <v>0</v>
      </c>
    </row>
    <row r="4261" spans="1:5" x14ac:dyDescent="0.35">
      <c r="A4261">
        <v>0</v>
      </c>
      <c r="B4261">
        <v>0</v>
      </c>
      <c r="C4261">
        <v>0</v>
      </c>
      <c r="D4261">
        <v>0</v>
      </c>
      <c r="E4261">
        <v>0</v>
      </c>
    </row>
    <row r="4262" spans="1:5" x14ac:dyDescent="0.35">
      <c r="A4262">
        <v>0</v>
      </c>
      <c r="B4262">
        <v>0</v>
      </c>
      <c r="C4262">
        <v>0</v>
      </c>
      <c r="D4262">
        <v>0</v>
      </c>
      <c r="E4262">
        <v>0</v>
      </c>
    </row>
    <row r="4263" spans="1:5" x14ac:dyDescent="0.35">
      <c r="A4263">
        <v>0</v>
      </c>
      <c r="B4263">
        <v>0</v>
      </c>
      <c r="C4263">
        <v>0</v>
      </c>
      <c r="D4263">
        <v>0</v>
      </c>
      <c r="E4263">
        <v>0</v>
      </c>
    </row>
    <row r="4264" spans="1:5" x14ac:dyDescent="0.35">
      <c r="A4264">
        <v>0</v>
      </c>
      <c r="B4264">
        <v>0</v>
      </c>
      <c r="C4264">
        <v>0</v>
      </c>
      <c r="D4264">
        <v>0</v>
      </c>
      <c r="E4264">
        <v>0</v>
      </c>
    </row>
    <row r="4265" spans="1:5" x14ac:dyDescent="0.35">
      <c r="A4265">
        <v>0</v>
      </c>
      <c r="B4265">
        <v>0</v>
      </c>
      <c r="C4265">
        <v>0</v>
      </c>
      <c r="D4265">
        <v>0</v>
      </c>
      <c r="E4265">
        <v>0</v>
      </c>
    </row>
    <row r="4266" spans="1:5" x14ac:dyDescent="0.35">
      <c r="A4266">
        <v>0</v>
      </c>
      <c r="B4266">
        <v>0</v>
      </c>
      <c r="C4266">
        <v>0</v>
      </c>
      <c r="D4266">
        <v>0</v>
      </c>
      <c r="E4266">
        <v>0</v>
      </c>
    </row>
    <row r="4267" spans="1:5" x14ac:dyDescent="0.35">
      <c r="A4267">
        <v>0</v>
      </c>
      <c r="B4267">
        <v>0</v>
      </c>
      <c r="C4267">
        <v>0</v>
      </c>
      <c r="D4267">
        <v>0</v>
      </c>
      <c r="E4267">
        <v>0</v>
      </c>
    </row>
    <row r="4268" spans="1:5" x14ac:dyDescent="0.35">
      <c r="A4268">
        <v>0</v>
      </c>
      <c r="B4268">
        <v>0</v>
      </c>
      <c r="C4268">
        <v>0</v>
      </c>
      <c r="D4268">
        <v>0</v>
      </c>
      <c r="E4268">
        <v>0</v>
      </c>
    </row>
    <row r="4269" spans="1:5" x14ac:dyDescent="0.35">
      <c r="A4269">
        <v>0</v>
      </c>
      <c r="B4269">
        <v>0</v>
      </c>
      <c r="C4269">
        <v>0</v>
      </c>
      <c r="D4269">
        <v>0</v>
      </c>
      <c r="E4269">
        <v>0</v>
      </c>
    </row>
    <row r="4270" spans="1:5" x14ac:dyDescent="0.35">
      <c r="A4270">
        <v>0</v>
      </c>
      <c r="B4270">
        <v>0</v>
      </c>
      <c r="C4270">
        <v>0</v>
      </c>
      <c r="D4270">
        <v>0</v>
      </c>
      <c r="E4270">
        <v>0</v>
      </c>
    </row>
    <row r="4271" spans="1:5" x14ac:dyDescent="0.35">
      <c r="A4271">
        <v>0</v>
      </c>
      <c r="B4271">
        <v>0</v>
      </c>
      <c r="C4271">
        <v>0</v>
      </c>
      <c r="D4271">
        <v>0</v>
      </c>
      <c r="E4271">
        <v>0</v>
      </c>
    </row>
    <row r="4272" spans="1:5" x14ac:dyDescent="0.35">
      <c r="A4272">
        <v>0</v>
      </c>
      <c r="B4272">
        <v>0</v>
      </c>
      <c r="C4272">
        <v>0</v>
      </c>
      <c r="D4272">
        <v>0</v>
      </c>
      <c r="E4272">
        <v>0</v>
      </c>
    </row>
    <row r="4273" spans="1:5" x14ac:dyDescent="0.35">
      <c r="A4273">
        <v>0</v>
      </c>
      <c r="B4273">
        <v>0</v>
      </c>
      <c r="C4273">
        <v>0</v>
      </c>
      <c r="D4273">
        <v>0</v>
      </c>
      <c r="E4273">
        <v>0</v>
      </c>
    </row>
    <row r="4274" spans="1:5" x14ac:dyDescent="0.35">
      <c r="A4274">
        <v>0</v>
      </c>
      <c r="B4274">
        <v>0</v>
      </c>
      <c r="C4274">
        <v>0</v>
      </c>
      <c r="D4274">
        <v>0</v>
      </c>
      <c r="E4274">
        <v>0</v>
      </c>
    </row>
    <row r="4275" spans="1:5" x14ac:dyDescent="0.35">
      <c r="A4275">
        <v>0</v>
      </c>
      <c r="B4275">
        <v>0</v>
      </c>
      <c r="C4275">
        <v>0</v>
      </c>
      <c r="D4275">
        <v>0</v>
      </c>
      <c r="E4275">
        <v>0</v>
      </c>
    </row>
    <row r="4276" spans="1:5" x14ac:dyDescent="0.35">
      <c r="A4276">
        <v>0</v>
      </c>
      <c r="B4276">
        <v>0</v>
      </c>
      <c r="C4276">
        <v>0</v>
      </c>
      <c r="D4276">
        <v>0</v>
      </c>
      <c r="E4276">
        <v>0</v>
      </c>
    </row>
    <row r="4277" spans="1:5" x14ac:dyDescent="0.35">
      <c r="A4277">
        <v>0</v>
      </c>
      <c r="B4277">
        <v>0</v>
      </c>
      <c r="C4277">
        <v>0</v>
      </c>
      <c r="D4277">
        <v>0</v>
      </c>
      <c r="E4277">
        <v>0</v>
      </c>
    </row>
    <row r="4278" spans="1:5" x14ac:dyDescent="0.35">
      <c r="A4278">
        <v>0</v>
      </c>
      <c r="B4278">
        <v>0</v>
      </c>
      <c r="C4278">
        <v>0</v>
      </c>
      <c r="D4278">
        <v>0</v>
      </c>
      <c r="E4278">
        <v>0</v>
      </c>
    </row>
    <row r="4279" spans="1:5" x14ac:dyDescent="0.35">
      <c r="A4279">
        <v>0</v>
      </c>
      <c r="B4279">
        <v>0</v>
      </c>
      <c r="C4279">
        <v>0</v>
      </c>
      <c r="D4279">
        <v>0</v>
      </c>
      <c r="E4279">
        <v>0</v>
      </c>
    </row>
    <row r="4280" spans="1:5" x14ac:dyDescent="0.35">
      <c r="A4280">
        <v>0</v>
      </c>
      <c r="B4280">
        <v>0</v>
      </c>
      <c r="C4280">
        <v>0</v>
      </c>
      <c r="D4280">
        <v>0</v>
      </c>
      <c r="E4280">
        <v>0</v>
      </c>
    </row>
    <row r="4281" spans="1:5" x14ac:dyDescent="0.35">
      <c r="A4281">
        <v>0</v>
      </c>
      <c r="B4281">
        <v>0</v>
      </c>
      <c r="C4281">
        <v>0</v>
      </c>
      <c r="D4281">
        <v>0</v>
      </c>
      <c r="E4281">
        <v>0</v>
      </c>
    </row>
    <row r="4282" spans="1:5" x14ac:dyDescent="0.35">
      <c r="A4282">
        <v>0</v>
      </c>
      <c r="B4282">
        <v>0</v>
      </c>
      <c r="C4282">
        <v>0</v>
      </c>
      <c r="D4282">
        <v>0</v>
      </c>
      <c r="E4282">
        <v>0</v>
      </c>
    </row>
    <row r="4283" spans="1:5" x14ac:dyDescent="0.35">
      <c r="A4283">
        <v>0</v>
      </c>
      <c r="B4283">
        <v>0</v>
      </c>
      <c r="C4283">
        <v>0</v>
      </c>
      <c r="D4283">
        <v>0</v>
      </c>
      <c r="E4283">
        <v>0</v>
      </c>
    </row>
    <row r="4284" spans="1:5" x14ac:dyDescent="0.35">
      <c r="A4284">
        <v>0</v>
      </c>
      <c r="B4284">
        <v>0</v>
      </c>
      <c r="C4284">
        <v>0</v>
      </c>
      <c r="D4284">
        <v>0</v>
      </c>
      <c r="E4284">
        <v>0</v>
      </c>
    </row>
    <row r="4285" spans="1:5" x14ac:dyDescent="0.35">
      <c r="A4285">
        <v>0</v>
      </c>
      <c r="B4285">
        <v>0</v>
      </c>
      <c r="C4285">
        <v>0</v>
      </c>
      <c r="D4285">
        <v>0</v>
      </c>
      <c r="E4285">
        <v>0</v>
      </c>
    </row>
    <row r="4286" spans="1:5" x14ac:dyDescent="0.35">
      <c r="A4286">
        <v>0</v>
      </c>
      <c r="B4286">
        <v>0</v>
      </c>
      <c r="C4286">
        <v>0</v>
      </c>
      <c r="D4286">
        <v>0</v>
      </c>
      <c r="E4286">
        <v>0</v>
      </c>
    </row>
    <row r="4287" spans="1:5" x14ac:dyDescent="0.35">
      <c r="A4287">
        <v>0</v>
      </c>
      <c r="B4287">
        <v>0</v>
      </c>
      <c r="C4287">
        <v>0</v>
      </c>
      <c r="D4287">
        <v>0</v>
      </c>
      <c r="E4287">
        <v>0</v>
      </c>
    </row>
    <row r="4288" spans="1:5" x14ac:dyDescent="0.35">
      <c r="A4288">
        <v>0</v>
      </c>
      <c r="B4288">
        <v>0</v>
      </c>
      <c r="C4288">
        <v>0</v>
      </c>
      <c r="D4288">
        <v>0</v>
      </c>
      <c r="E4288">
        <v>0</v>
      </c>
    </row>
    <row r="4289" spans="1:5" x14ac:dyDescent="0.35">
      <c r="A4289">
        <v>0</v>
      </c>
      <c r="B4289">
        <v>0</v>
      </c>
      <c r="C4289">
        <v>0</v>
      </c>
      <c r="D4289">
        <v>0</v>
      </c>
      <c r="E4289">
        <v>0</v>
      </c>
    </row>
    <row r="4290" spans="1:5" x14ac:dyDescent="0.35">
      <c r="A4290">
        <v>0</v>
      </c>
      <c r="B4290">
        <v>0</v>
      </c>
      <c r="C4290">
        <v>0</v>
      </c>
      <c r="D4290">
        <v>0</v>
      </c>
      <c r="E4290">
        <v>0</v>
      </c>
    </row>
    <row r="4291" spans="1:5" x14ac:dyDescent="0.35">
      <c r="A4291">
        <v>0</v>
      </c>
      <c r="B4291">
        <v>0</v>
      </c>
      <c r="C4291">
        <v>0</v>
      </c>
      <c r="D4291">
        <v>0</v>
      </c>
      <c r="E4291">
        <v>0</v>
      </c>
    </row>
    <row r="4292" spans="1:5" x14ac:dyDescent="0.35">
      <c r="A4292">
        <v>0</v>
      </c>
      <c r="B4292">
        <v>0</v>
      </c>
      <c r="C4292">
        <v>0</v>
      </c>
      <c r="D4292">
        <v>0</v>
      </c>
      <c r="E4292">
        <v>0</v>
      </c>
    </row>
    <row r="4293" spans="1:5" x14ac:dyDescent="0.35">
      <c r="A4293">
        <v>0</v>
      </c>
      <c r="B4293">
        <v>0</v>
      </c>
      <c r="C4293">
        <v>0</v>
      </c>
      <c r="D4293">
        <v>0</v>
      </c>
      <c r="E4293">
        <v>0</v>
      </c>
    </row>
    <row r="4294" spans="1:5" x14ac:dyDescent="0.35">
      <c r="A4294">
        <v>0</v>
      </c>
      <c r="B4294">
        <v>0</v>
      </c>
      <c r="C4294">
        <v>0</v>
      </c>
      <c r="D4294">
        <v>0</v>
      </c>
      <c r="E4294">
        <v>0</v>
      </c>
    </row>
    <row r="4295" spans="1:5" x14ac:dyDescent="0.35">
      <c r="A4295">
        <v>0</v>
      </c>
      <c r="B4295">
        <v>0</v>
      </c>
      <c r="C4295">
        <v>0</v>
      </c>
      <c r="D4295">
        <v>0</v>
      </c>
      <c r="E4295">
        <v>0</v>
      </c>
    </row>
    <row r="4296" spans="1:5" x14ac:dyDescent="0.35">
      <c r="A4296">
        <v>0</v>
      </c>
      <c r="B4296">
        <v>0</v>
      </c>
      <c r="C4296">
        <v>0</v>
      </c>
      <c r="D4296">
        <v>0</v>
      </c>
      <c r="E4296">
        <v>0</v>
      </c>
    </row>
    <row r="4297" spans="1:5" x14ac:dyDescent="0.35">
      <c r="A4297">
        <v>0</v>
      </c>
      <c r="B4297">
        <v>0</v>
      </c>
      <c r="C4297">
        <v>0</v>
      </c>
      <c r="D4297">
        <v>0</v>
      </c>
      <c r="E4297">
        <v>0</v>
      </c>
    </row>
    <row r="4298" spans="1:5" x14ac:dyDescent="0.35">
      <c r="A4298">
        <v>0</v>
      </c>
      <c r="B4298">
        <v>0</v>
      </c>
      <c r="C4298">
        <v>0</v>
      </c>
      <c r="D4298">
        <v>0</v>
      </c>
      <c r="E4298">
        <v>0</v>
      </c>
    </row>
    <row r="4299" spans="1:5" x14ac:dyDescent="0.35">
      <c r="A4299">
        <v>0</v>
      </c>
      <c r="B4299">
        <v>0</v>
      </c>
      <c r="C4299">
        <v>0</v>
      </c>
      <c r="D4299">
        <v>0</v>
      </c>
      <c r="E4299">
        <v>0</v>
      </c>
    </row>
    <row r="4300" spans="1:5" x14ac:dyDescent="0.35">
      <c r="A4300">
        <v>0</v>
      </c>
      <c r="B4300">
        <v>0</v>
      </c>
      <c r="C4300">
        <v>0</v>
      </c>
      <c r="D4300">
        <v>0</v>
      </c>
      <c r="E4300">
        <v>0</v>
      </c>
    </row>
    <row r="4301" spans="1:5" x14ac:dyDescent="0.35">
      <c r="A4301">
        <v>0</v>
      </c>
      <c r="B4301">
        <v>0</v>
      </c>
      <c r="C4301">
        <v>0</v>
      </c>
      <c r="D4301">
        <v>0</v>
      </c>
      <c r="E4301">
        <v>0</v>
      </c>
    </row>
    <row r="4302" spans="1:5" x14ac:dyDescent="0.35">
      <c r="A4302">
        <v>0</v>
      </c>
      <c r="B4302">
        <v>0</v>
      </c>
      <c r="C4302">
        <v>0</v>
      </c>
      <c r="D4302">
        <v>0</v>
      </c>
      <c r="E4302">
        <v>0</v>
      </c>
    </row>
    <row r="4303" spans="1:5" x14ac:dyDescent="0.35">
      <c r="A4303">
        <v>0</v>
      </c>
      <c r="B4303">
        <v>0</v>
      </c>
      <c r="C4303">
        <v>0</v>
      </c>
      <c r="D4303">
        <v>0</v>
      </c>
      <c r="E4303">
        <v>0</v>
      </c>
    </row>
    <row r="4304" spans="1:5" x14ac:dyDescent="0.35">
      <c r="A4304">
        <v>0</v>
      </c>
      <c r="B4304">
        <v>0</v>
      </c>
      <c r="C4304">
        <v>0</v>
      </c>
      <c r="D4304">
        <v>0</v>
      </c>
      <c r="E4304">
        <v>0</v>
      </c>
    </row>
    <row r="4305" spans="1:5" x14ac:dyDescent="0.35">
      <c r="A4305">
        <v>0</v>
      </c>
      <c r="B4305">
        <v>0</v>
      </c>
      <c r="C4305">
        <v>0</v>
      </c>
      <c r="D4305">
        <v>0</v>
      </c>
      <c r="E4305">
        <v>0</v>
      </c>
    </row>
    <row r="4306" spans="1:5" x14ac:dyDescent="0.35">
      <c r="A4306">
        <v>0</v>
      </c>
      <c r="B4306">
        <v>0</v>
      </c>
      <c r="C4306">
        <v>0</v>
      </c>
      <c r="D4306">
        <v>0</v>
      </c>
      <c r="E4306">
        <v>0</v>
      </c>
    </row>
    <row r="4307" spans="1:5" x14ac:dyDescent="0.35">
      <c r="A4307">
        <v>0</v>
      </c>
      <c r="B4307">
        <v>0</v>
      </c>
      <c r="C4307">
        <v>0</v>
      </c>
      <c r="D4307">
        <v>0</v>
      </c>
      <c r="E4307">
        <v>0</v>
      </c>
    </row>
    <row r="4308" spans="1:5" x14ac:dyDescent="0.35">
      <c r="A4308">
        <v>0</v>
      </c>
      <c r="B4308">
        <v>0</v>
      </c>
      <c r="C4308">
        <v>0</v>
      </c>
      <c r="D4308">
        <v>0</v>
      </c>
      <c r="E4308">
        <v>0</v>
      </c>
    </row>
    <row r="4309" spans="1:5" x14ac:dyDescent="0.35">
      <c r="A4309">
        <v>0</v>
      </c>
      <c r="B4309">
        <v>0</v>
      </c>
      <c r="C4309">
        <v>0</v>
      </c>
      <c r="D4309">
        <v>0</v>
      </c>
      <c r="E4309">
        <v>0</v>
      </c>
    </row>
    <row r="4310" spans="1:5" x14ac:dyDescent="0.35">
      <c r="A4310">
        <v>0</v>
      </c>
      <c r="B4310">
        <v>0</v>
      </c>
      <c r="C4310">
        <v>0</v>
      </c>
      <c r="D4310">
        <v>0</v>
      </c>
      <c r="E4310">
        <v>0</v>
      </c>
    </row>
    <row r="4311" spans="1:5" x14ac:dyDescent="0.35">
      <c r="A4311">
        <v>0</v>
      </c>
      <c r="B4311">
        <v>0</v>
      </c>
      <c r="C4311">
        <v>0</v>
      </c>
      <c r="D4311">
        <v>0</v>
      </c>
      <c r="E4311">
        <v>0</v>
      </c>
    </row>
    <row r="4312" spans="1:5" x14ac:dyDescent="0.35">
      <c r="A4312">
        <v>0</v>
      </c>
      <c r="B4312">
        <v>0</v>
      </c>
      <c r="C4312">
        <v>0</v>
      </c>
      <c r="D4312">
        <v>0</v>
      </c>
      <c r="E4312">
        <v>0</v>
      </c>
    </row>
    <row r="4313" spans="1:5" x14ac:dyDescent="0.35">
      <c r="A4313">
        <v>0</v>
      </c>
      <c r="B4313">
        <v>0</v>
      </c>
      <c r="C4313">
        <v>0</v>
      </c>
      <c r="D4313">
        <v>0</v>
      </c>
      <c r="E4313">
        <v>0</v>
      </c>
    </row>
    <row r="4314" spans="1:5" x14ac:dyDescent="0.35">
      <c r="A4314">
        <v>0</v>
      </c>
      <c r="B4314">
        <v>0</v>
      </c>
      <c r="C4314">
        <v>0</v>
      </c>
      <c r="D4314">
        <v>0</v>
      </c>
      <c r="E4314">
        <v>0</v>
      </c>
    </row>
    <row r="4315" spans="1:5" x14ac:dyDescent="0.35">
      <c r="A4315">
        <v>0</v>
      </c>
      <c r="B4315">
        <v>0</v>
      </c>
      <c r="C4315">
        <v>0</v>
      </c>
      <c r="D4315">
        <v>0</v>
      </c>
      <c r="E4315">
        <v>0</v>
      </c>
    </row>
    <row r="4316" spans="1:5" x14ac:dyDescent="0.35">
      <c r="A4316">
        <v>0</v>
      </c>
      <c r="B4316">
        <v>0</v>
      </c>
      <c r="C4316">
        <v>0</v>
      </c>
      <c r="D4316">
        <v>0</v>
      </c>
      <c r="E4316">
        <v>0</v>
      </c>
    </row>
    <row r="4317" spans="1:5" x14ac:dyDescent="0.35">
      <c r="A4317">
        <v>0</v>
      </c>
      <c r="B4317">
        <v>0</v>
      </c>
      <c r="C4317">
        <v>0</v>
      </c>
      <c r="D4317">
        <v>0</v>
      </c>
      <c r="E4317">
        <v>0</v>
      </c>
    </row>
    <row r="4318" spans="1:5" x14ac:dyDescent="0.35">
      <c r="A4318">
        <v>0</v>
      </c>
      <c r="B4318">
        <v>0</v>
      </c>
      <c r="C4318">
        <v>0</v>
      </c>
      <c r="D4318">
        <v>0</v>
      </c>
      <c r="E4318">
        <v>0</v>
      </c>
    </row>
    <row r="4319" spans="1:5" x14ac:dyDescent="0.35">
      <c r="A4319">
        <v>0</v>
      </c>
      <c r="B4319">
        <v>0</v>
      </c>
      <c r="C4319">
        <v>0</v>
      </c>
      <c r="D4319">
        <v>0</v>
      </c>
      <c r="E4319">
        <v>0</v>
      </c>
    </row>
    <row r="4320" spans="1:5" x14ac:dyDescent="0.35">
      <c r="A4320">
        <v>0</v>
      </c>
      <c r="B4320">
        <v>0</v>
      </c>
      <c r="C4320">
        <v>0</v>
      </c>
      <c r="D4320">
        <v>0</v>
      </c>
      <c r="E4320">
        <v>0</v>
      </c>
    </row>
    <row r="4321" spans="1:5" x14ac:dyDescent="0.35">
      <c r="A4321">
        <v>0</v>
      </c>
      <c r="B4321">
        <v>0</v>
      </c>
      <c r="C4321">
        <v>0</v>
      </c>
      <c r="D4321">
        <v>0</v>
      </c>
      <c r="E4321">
        <v>0</v>
      </c>
    </row>
    <row r="4322" spans="1:5" x14ac:dyDescent="0.35">
      <c r="A4322">
        <v>0</v>
      </c>
      <c r="B4322">
        <v>0</v>
      </c>
      <c r="C4322">
        <v>0</v>
      </c>
      <c r="D4322">
        <v>0</v>
      </c>
      <c r="E4322">
        <v>0</v>
      </c>
    </row>
    <row r="4323" spans="1:5" x14ac:dyDescent="0.35">
      <c r="A4323">
        <v>0</v>
      </c>
      <c r="B4323">
        <v>0</v>
      </c>
      <c r="C4323">
        <v>0</v>
      </c>
      <c r="D4323">
        <v>0</v>
      </c>
      <c r="E4323">
        <v>0</v>
      </c>
    </row>
    <row r="4324" spans="1:5" x14ac:dyDescent="0.35">
      <c r="A4324">
        <v>0</v>
      </c>
      <c r="B4324">
        <v>0</v>
      </c>
      <c r="C4324">
        <v>0</v>
      </c>
      <c r="D4324">
        <v>0</v>
      </c>
      <c r="E4324">
        <v>0</v>
      </c>
    </row>
    <row r="4325" spans="1:5" x14ac:dyDescent="0.35">
      <c r="A4325">
        <v>0</v>
      </c>
      <c r="B4325">
        <v>0</v>
      </c>
      <c r="C4325">
        <v>0</v>
      </c>
      <c r="D4325">
        <v>0</v>
      </c>
      <c r="E4325">
        <v>0</v>
      </c>
    </row>
    <row r="4326" spans="1:5" x14ac:dyDescent="0.35">
      <c r="A4326">
        <v>0</v>
      </c>
      <c r="B4326">
        <v>0</v>
      </c>
      <c r="C4326">
        <v>0</v>
      </c>
      <c r="D4326">
        <v>0</v>
      </c>
      <c r="E4326">
        <v>0</v>
      </c>
    </row>
    <row r="4327" spans="1:5" x14ac:dyDescent="0.35">
      <c r="A4327">
        <v>0</v>
      </c>
      <c r="B4327">
        <v>0</v>
      </c>
      <c r="C4327">
        <v>0</v>
      </c>
      <c r="D4327">
        <v>0</v>
      </c>
      <c r="E4327">
        <v>0</v>
      </c>
    </row>
    <row r="4328" spans="1:5" x14ac:dyDescent="0.35">
      <c r="A4328">
        <v>0</v>
      </c>
      <c r="B4328">
        <v>0</v>
      </c>
      <c r="C4328">
        <v>0</v>
      </c>
      <c r="D4328">
        <v>0</v>
      </c>
      <c r="E4328">
        <v>0</v>
      </c>
    </row>
    <row r="4329" spans="1:5" x14ac:dyDescent="0.35">
      <c r="A4329">
        <v>0</v>
      </c>
      <c r="B4329">
        <v>0</v>
      </c>
      <c r="C4329">
        <v>0</v>
      </c>
      <c r="D4329">
        <v>0</v>
      </c>
      <c r="E4329">
        <v>0</v>
      </c>
    </row>
    <row r="4330" spans="1:5" x14ac:dyDescent="0.35">
      <c r="A4330">
        <v>0</v>
      </c>
      <c r="B4330">
        <v>0</v>
      </c>
      <c r="C4330">
        <v>0</v>
      </c>
      <c r="D4330">
        <v>0</v>
      </c>
      <c r="E4330">
        <v>0</v>
      </c>
    </row>
    <row r="4331" spans="1:5" x14ac:dyDescent="0.35">
      <c r="A4331">
        <v>0</v>
      </c>
      <c r="B4331">
        <v>0</v>
      </c>
      <c r="C4331">
        <v>0</v>
      </c>
      <c r="D4331">
        <v>0</v>
      </c>
      <c r="E4331">
        <v>0</v>
      </c>
    </row>
    <row r="4332" spans="1:5" x14ac:dyDescent="0.35">
      <c r="A4332">
        <v>0</v>
      </c>
      <c r="B4332">
        <v>0</v>
      </c>
      <c r="C4332">
        <v>0</v>
      </c>
      <c r="D4332">
        <v>0</v>
      </c>
      <c r="E4332">
        <v>0</v>
      </c>
    </row>
    <row r="4333" spans="1:5" x14ac:dyDescent="0.35">
      <c r="A4333">
        <v>0</v>
      </c>
      <c r="B4333">
        <v>0</v>
      </c>
      <c r="C4333">
        <v>0</v>
      </c>
      <c r="D4333">
        <v>0</v>
      </c>
      <c r="E4333">
        <v>0</v>
      </c>
    </row>
    <row r="4334" spans="1:5" x14ac:dyDescent="0.35">
      <c r="A4334">
        <v>0</v>
      </c>
      <c r="B4334">
        <v>0</v>
      </c>
      <c r="C4334">
        <v>0</v>
      </c>
      <c r="D4334">
        <v>0</v>
      </c>
      <c r="E4334">
        <v>0</v>
      </c>
    </row>
    <row r="4335" spans="1:5" x14ac:dyDescent="0.35">
      <c r="A4335">
        <v>0</v>
      </c>
      <c r="B4335">
        <v>0</v>
      </c>
      <c r="C4335">
        <v>0</v>
      </c>
      <c r="D4335">
        <v>0</v>
      </c>
      <c r="E4335">
        <v>0</v>
      </c>
    </row>
    <row r="4336" spans="1:5" x14ac:dyDescent="0.35">
      <c r="A4336">
        <v>0</v>
      </c>
      <c r="B4336">
        <v>0</v>
      </c>
      <c r="C4336">
        <v>0</v>
      </c>
      <c r="D4336">
        <v>0</v>
      </c>
      <c r="E4336">
        <v>0</v>
      </c>
    </row>
    <row r="4337" spans="1:5" x14ac:dyDescent="0.35">
      <c r="A4337">
        <v>0</v>
      </c>
      <c r="B4337">
        <v>0</v>
      </c>
      <c r="C4337">
        <v>0</v>
      </c>
      <c r="D4337">
        <v>0</v>
      </c>
      <c r="E4337">
        <v>0</v>
      </c>
    </row>
    <row r="4338" spans="1:5" x14ac:dyDescent="0.35">
      <c r="A4338">
        <v>0</v>
      </c>
      <c r="B4338">
        <v>0</v>
      </c>
      <c r="C4338">
        <v>0</v>
      </c>
      <c r="D4338">
        <v>0</v>
      </c>
      <c r="E4338">
        <v>0</v>
      </c>
    </row>
    <row r="4339" spans="1:5" x14ac:dyDescent="0.35">
      <c r="A4339">
        <v>0</v>
      </c>
      <c r="B4339">
        <v>0</v>
      </c>
      <c r="C4339">
        <v>0</v>
      </c>
      <c r="D4339">
        <v>0</v>
      </c>
      <c r="E4339">
        <v>0</v>
      </c>
    </row>
    <row r="4340" spans="1:5" x14ac:dyDescent="0.35">
      <c r="A4340">
        <v>0</v>
      </c>
      <c r="B4340">
        <v>0</v>
      </c>
      <c r="C4340">
        <v>0</v>
      </c>
      <c r="D4340">
        <v>0</v>
      </c>
      <c r="E4340">
        <v>0</v>
      </c>
    </row>
    <row r="4341" spans="1:5" x14ac:dyDescent="0.35">
      <c r="A4341">
        <v>0</v>
      </c>
      <c r="B4341">
        <v>0</v>
      </c>
      <c r="C4341">
        <v>0</v>
      </c>
      <c r="D4341">
        <v>0</v>
      </c>
      <c r="E4341">
        <v>0</v>
      </c>
    </row>
    <row r="4342" spans="1:5" x14ac:dyDescent="0.35">
      <c r="A4342">
        <v>0</v>
      </c>
      <c r="B4342">
        <v>0</v>
      </c>
      <c r="C4342">
        <v>0</v>
      </c>
      <c r="D4342">
        <v>0</v>
      </c>
      <c r="E4342">
        <v>0</v>
      </c>
    </row>
    <row r="4343" spans="1:5" x14ac:dyDescent="0.35">
      <c r="A4343">
        <v>0</v>
      </c>
      <c r="B4343">
        <v>0</v>
      </c>
      <c r="C4343">
        <v>0</v>
      </c>
      <c r="D4343">
        <v>0</v>
      </c>
      <c r="E4343">
        <v>0</v>
      </c>
    </row>
    <row r="4344" spans="1:5" x14ac:dyDescent="0.35">
      <c r="A4344">
        <v>0</v>
      </c>
      <c r="B4344">
        <v>0</v>
      </c>
      <c r="C4344">
        <v>0</v>
      </c>
      <c r="D4344">
        <v>0</v>
      </c>
      <c r="E4344">
        <v>0</v>
      </c>
    </row>
    <row r="4345" spans="1:5" x14ac:dyDescent="0.35">
      <c r="A4345">
        <v>0</v>
      </c>
      <c r="B4345">
        <v>0</v>
      </c>
      <c r="C4345">
        <v>0</v>
      </c>
      <c r="D4345">
        <v>0</v>
      </c>
      <c r="E4345">
        <v>0</v>
      </c>
    </row>
    <row r="4346" spans="1:5" x14ac:dyDescent="0.35">
      <c r="A4346">
        <v>0</v>
      </c>
      <c r="B4346">
        <v>0</v>
      </c>
      <c r="C4346">
        <v>0</v>
      </c>
      <c r="D4346">
        <v>0</v>
      </c>
      <c r="E4346">
        <v>0</v>
      </c>
    </row>
    <row r="4347" spans="1:5" x14ac:dyDescent="0.35">
      <c r="A4347">
        <v>0</v>
      </c>
      <c r="B4347">
        <v>0</v>
      </c>
      <c r="C4347">
        <v>0</v>
      </c>
      <c r="D4347">
        <v>0</v>
      </c>
      <c r="E4347">
        <v>0</v>
      </c>
    </row>
    <row r="4348" spans="1:5" x14ac:dyDescent="0.35">
      <c r="A4348">
        <v>0</v>
      </c>
      <c r="B4348">
        <v>0</v>
      </c>
      <c r="C4348">
        <v>0</v>
      </c>
      <c r="D4348">
        <v>0</v>
      </c>
      <c r="E4348">
        <v>0</v>
      </c>
    </row>
    <row r="4349" spans="1:5" x14ac:dyDescent="0.35">
      <c r="A4349">
        <v>0</v>
      </c>
      <c r="B4349">
        <v>0</v>
      </c>
      <c r="C4349">
        <v>0</v>
      </c>
      <c r="D4349">
        <v>0</v>
      </c>
      <c r="E4349">
        <v>0</v>
      </c>
    </row>
    <row r="4350" spans="1:5" x14ac:dyDescent="0.35">
      <c r="A4350">
        <v>0</v>
      </c>
      <c r="B4350">
        <v>0</v>
      </c>
      <c r="C4350">
        <v>0</v>
      </c>
      <c r="D4350">
        <v>0</v>
      </c>
      <c r="E4350">
        <v>0</v>
      </c>
    </row>
    <row r="4351" spans="1:5" x14ac:dyDescent="0.35">
      <c r="A4351">
        <v>0</v>
      </c>
      <c r="B4351">
        <v>0</v>
      </c>
      <c r="C4351">
        <v>0</v>
      </c>
      <c r="D4351">
        <v>0</v>
      </c>
      <c r="E4351">
        <v>0</v>
      </c>
    </row>
    <row r="4352" spans="1:5" x14ac:dyDescent="0.35">
      <c r="A4352">
        <v>0</v>
      </c>
      <c r="B4352">
        <v>0</v>
      </c>
      <c r="C4352">
        <v>0</v>
      </c>
      <c r="D4352">
        <v>0</v>
      </c>
      <c r="E4352">
        <v>0</v>
      </c>
    </row>
    <row r="4353" spans="1:5" x14ac:dyDescent="0.35">
      <c r="A4353">
        <v>0</v>
      </c>
      <c r="B4353">
        <v>0</v>
      </c>
      <c r="C4353">
        <v>0</v>
      </c>
      <c r="D4353">
        <v>0</v>
      </c>
      <c r="E4353">
        <v>0</v>
      </c>
    </row>
    <row r="4354" spans="1:5" x14ac:dyDescent="0.35">
      <c r="A4354">
        <v>0</v>
      </c>
      <c r="B4354">
        <v>0</v>
      </c>
      <c r="C4354">
        <v>0</v>
      </c>
      <c r="D4354">
        <v>0</v>
      </c>
      <c r="E4354">
        <v>0</v>
      </c>
    </row>
    <row r="4355" spans="1:5" x14ac:dyDescent="0.35">
      <c r="A4355">
        <v>0</v>
      </c>
      <c r="B4355">
        <v>0</v>
      </c>
      <c r="C4355">
        <v>0</v>
      </c>
      <c r="D4355">
        <v>0</v>
      </c>
      <c r="E4355">
        <v>0</v>
      </c>
    </row>
    <row r="4356" spans="1:5" x14ac:dyDescent="0.35">
      <c r="A4356">
        <v>0</v>
      </c>
      <c r="B4356">
        <v>0</v>
      </c>
      <c r="C4356">
        <v>0</v>
      </c>
      <c r="D4356">
        <v>0</v>
      </c>
      <c r="E4356">
        <v>0</v>
      </c>
    </row>
    <row r="4357" spans="1:5" x14ac:dyDescent="0.35">
      <c r="A4357">
        <v>0</v>
      </c>
      <c r="B4357">
        <v>0</v>
      </c>
      <c r="C4357">
        <v>0</v>
      </c>
      <c r="D4357">
        <v>0</v>
      </c>
      <c r="E4357">
        <v>0</v>
      </c>
    </row>
    <row r="4358" spans="1:5" x14ac:dyDescent="0.35">
      <c r="A4358">
        <v>0</v>
      </c>
      <c r="B4358">
        <v>0</v>
      </c>
      <c r="C4358">
        <v>0</v>
      </c>
      <c r="D4358">
        <v>0</v>
      </c>
      <c r="E4358">
        <v>0</v>
      </c>
    </row>
    <row r="4359" spans="1:5" x14ac:dyDescent="0.35">
      <c r="A4359">
        <v>0</v>
      </c>
      <c r="B4359">
        <v>0</v>
      </c>
      <c r="C4359">
        <v>0</v>
      </c>
      <c r="D4359">
        <v>0</v>
      </c>
      <c r="E4359">
        <v>0</v>
      </c>
    </row>
    <row r="4360" spans="1:5" x14ac:dyDescent="0.35">
      <c r="A4360">
        <v>0</v>
      </c>
      <c r="B4360">
        <v>0</v>
      </c>
      <c r="C4360">
        <v>0</v>
      </c>
      <c r="D4360">
        <v>0</v>
      </c>
      <c r="E4360">
        <v>0</v>
      </c>
    </row>
    <row r="4361" spans="1:5" x14ac:dyDescent="0.35">
      <c r="A4361">
        <v>0</v>
      </c>
      <c r="B4361">
        <v>0</v>
      </c>
      <c r="C4361">
        <v>0</v>
      </c>
      <c r="D4361">
        <v>0</v>
      </c>
      <c r="E4361">
        <v>0</v>
      </c>
    </row>
    <row r="4362" spans="1:5" x14ac:dyDescent="0.35">
      <c r="A4362">
        <v>0</v>
      </c>
      <c r="B4362">
        <v>0</v>
      </c>
      <c r="C4362">
        <v>0</v>
      </c>
      <c r="D4362">
        <v>0</v>
      </c>
      <c r="E4362">
        <v>0</v>
      </c>
    </row>
    <row r="4363" spans="1:5" x14ac:dyDescent="0.35">
      <c r="A4363">
        <v>0</v>
      </c>
      <c r="B4363">
        <v>0</v>
      </c>
      <c r="C4363">
        <v>0</v>
      </c>
      <c r="D4363">
        <v>0</v>
      </c>
      <c r="E4363">
        <v>0</v>
      </c>
    </row>
    <row r="4364" spans="1:5" x14ac:dyDescent="0.35">
      <c r="A4364">
        <v>0</v>
      </c>
      <c r="B4364">
        <v>0</v>
      </c>
      <c r="C4364">
        <v>0</v>
      </c>
      <c r="D4364">
        <v>0</v>
      </c>
      <c r="E4364">
        <v>0</v>
      </c>
    </row>
    <row r="4365" spans="1:5" x14ac:dyDescent="0.35">
      <c r="A4365">
        <v>0</v>
      </c>
      <c r="B4365">
        <v>0</v>
      </c>
      <c r="C4365">
        <v>0</v>
      </c>
      <c r="D4365">
        <v>0</v>
      </c>
      <c r="E4365">
        <v>0</v>
      </c>
    </row>
    <row r="4366" spans="1:5" x14ac:dyDescent="0.35">
      <c r="A4366">
        <v>0</v>
      </c>
      <c r="B4366">
        <v>0</v>
      </c>
      <c r="C4366">
        <v>0</v>
      </c>
      <c r="D4366">
        <v>0</v>
      </c>
      <c r="E4366">
        <v>0</v>
      </c>
    </row>
    <row r="4367" spans="1:5" x14ac:dyDescent="0.35">
      <c r="A4367">
        <v>0</v>
      </c>
      <c r="B4367">
        <v>0</v>
      </c>
      <c r="C4367">
        <v>0</v>
      </c>
      <c r="D4367">
        <v>0</v>
      </c>
      <c r="E4367">
        <v>0</v>
      </c>
    </row>
    <row r="4368" spans="1:5" x14ac:dyDescent="0.35">
      <c r="A4368">
        <v>0</v>
      </c>
      <c r="B4368">
        <v>0</v>
      </c>
      <c r="C4368">
        <v>0</v>
      </c>
      <c r="D4368">
        <v>0</v>
      </c>
      <c r="E4368">
        <v>0</v>
      </c>
    </row>
    <row r="4369" spans="1:5" x14ac:dyDescent="0.35">
      <c r="A4369">
        <v>0</v>
      </c>
      <c r="B4369">
        <v>0</v>
      </c>
      <c r="C4369">
        <v>0</v>
      </c>
      <c r="D4369">
        <v>0</v>
      </c>
      <c r="E4369">
        <v>0</v>
      </c>
    </row>
    <row r="4370" spans="1:5" x14ac:dyDescent="0.35">
      <c r="A4370">
        <v>0</v>
      </c>
      <c r="B4370">
        <v>0</v>
      </c>
      <c r="C4370">
        <v>0</v>
      </c>
      <c r="D4370">
        <v>0</v>
      </c>
      <c r="E4370">
        <v>0</v>
      </c>
    </row>
    <row r="4371" spans="1:5" x14ac:dyDescent="0.35">
      <c r="A4371">
        <v>0</v>
      </c>
      <c r="B4371">
        <v>0</v>
      </c>
      <c r="C4371">
        <v>0</v>
      </c>
      <c r="D4371">
        <v>0</v>
      </c>
      <c r="E4371">
        <v>0</v>
      </c>
    </row>
    <row r="4372" spans="1:5" x14ac:dyDescent="0.35">
      <c r="A4372">
        <v>0</v>
      </c>
      <c r="B4372">
        <v>0</v>
      </c>
      <c r="C4372">
        <v>0</v>
      </c>
      <c r="D4372">
        <v>0</v>
      </c>
      <c r="E4372">
        <v>0</v>
      </c>
    </row>
    <row r="4373" spans="1:5" x14ac:dyDescent="0.35">
      <c r="A4373">
        <v>0</v>
      </c>
      <c r="B4373">
        <v>0</v>
      </c>
      <c r="C4373">
        <v>0</v>
      </c>
      <c r="D4373">
        <v>0</v>
      </c>
      <c r="E4373">
        <v>0</v>
      </c>
    </row>
    <row r="4374" spans="1:5" x14ac:dyDescent="0.35">
      <c r="A4374">
        <v>0</v>
      </c>
      <c r="B4374">
        <v>0</v>
      </c>
      <c r="C4374">
        <v>0</v>
      </c>
      <c r="D4374">
        <v>0</v>
      </c>
      <c r="E4374">
        <v>0</v>
      </c>
    </row>
    <row r="4375" spans="1:5" x14ac:dyDescent="0.35">
      <c r="A4375">
        <v>0</v>
      </c>
      <c r="B4375">
        <v>0</v>
      </c>
      <c r="C4375">
        <v>0</v>
      </c>
      <c r="D4375">
        <v>0</v>
      </c>
      <c r="E4375">
        <v>0</v>
      </c>
    </row>
    <row r="4376" spans="1:5" x14ac:dyDescent="0.35">
      <c r="A4376">
        <v>0</v>
      </c>
      <c r="B4376">
        <v>0</v>
      </c>
      <c r="C4376">
        <v>0</v>
      </c>
      <c r="D4376">
        <v>0</v>
      </c>
      <c r="E4376">
        <v>0</v>
      </c>
    </row>
    <row r="4377" spans="1:5" x14ac:dyDescent="0.35">
      <c r="A4377">
        <v>0</v>
      </c>
      <c r="B4377">
        <v>0</v>
      </c>
      <c r="C4377">
        <v>0</v>
      </c>
      <c r="D4377">
        <v>0</v>
      </c>
      <c r="E4377">
        <v>0</v>
      </c>
    </row>
    <row r="4378" spans="1:5" x14ac:dyDescent="0.35">
      <c r="A4378">
        <v>0</v>
      </c>
      <c r="B4378">
        <v>0</v>
      </c>
      <c r="C4378">
        <v>0</v>
      </c>
      <c r="D4378">
        <v>0</v>
      </c>
      <c r="E4378">
        <v>0</v>
      </c>
    </row>
    <row r="4379" spans="1:5" x14ac:dyDescent="0.35">
      <c r="A4379">
        <v>0</v>
      </c>
      <c r="B4379">
        <v>0</v>
      </c>
      <c r="C4379">
        <v>0</v>
      </c>
      <c r="D4379">
        <v>0</v>
      </c>
      <c r="E4379">
        <v>0</v>
      </c>
    </row>
    <row r="4380" spans="1:5" x14ac:dyDescent="0.35">
      <c r="A4380">
        <v>0</v>
      </c>
      <c r="B4380">
        <v>0</v>
      </c>
      <c r="C4380">
        <v>0</v>
      </c>
      <c r="D4380">
        <v>0</v>
      </c>
      <c r="E4380">
        <v>0</v>
      </c>
    </row>
    <row r="4381" spans="1:5" x14ac:dyDescent="0.35">
      <c r="A4381">
        <v>0</v>
      </c>
      <c r="B4381">
        <v>0</v>
      </c>
      <c r="C4381">
        <v>0</v>
      </c>
      <c r="D4381">
        <v>0</v>
      </c>
      <c r="E4381">
        <v>0</v>
      </c>
    </row>
    <row r="4382" spans="1:5" x14ac:dyDescent="0.35">
      <c r="A4382">
        <v>0</v>
      </c>
      <c r="B4382">
        <v>0</v>
      </c>
      <c r="C4382">
        <v>0</v>
      </c>
      <c r="D4382">
        <v>0</v>
      </c>
      <c r="E4382">
        <v>0</v>
      </c>
    </row>
    <row r="4383" spans="1:5" x14ac:dyDescent="0.35">
      <c r="A4383">
        <v>0</v>
      </c>
      <c r="B4383">
        <v>0</v>
      </c>
      <c r="C4383">
        <v>0</v>
      </c>
      <c r="D4383">
        <v>0</v>
      </c>
      <c r="E4383">
        <v>0</v>
      </c>
    </row>
    <row r="4384" spans="1:5" x14ac:dyDescent="0.35">
      <c r="A4384">
        <v>0</v>
      </c>
      <c r="B4384">
        <v>0</v>
      </c>
      <c r="C4384">
        <v>0</v>
      </c>
      <c r="D4384">
        <v>0</v>
      </c>
      <c r="E4384">
        <v>0</v>
      </c>
    </row>
    <row r="4385" spans="1:5" x14ac:dyDescent="0.35">
      <c r="A4385">
        <v>0</v>
      </c>
      <c r="B4385">
        <v>0</v>
      </c>
      <c r="C4385">
        <v>0</v>
      </c>
      <c r="D4385">
        <v>0</v>
      </c>
      <c r="E4385">
        <v>0</v>
      </c>
    </row>
    <row r="4386" spans="1:5" x14ac:dyDescent="0.35">
      <c r="A4386">
        <v>0</v>
      </c>
      <c r="B4386">
        <v>0</v>
      </c>
      <c r="C4386">
        <v>0</v>
      </c>
      <c r="D4386">
        <v>0</v>
      </c>
      <c r="E4386">
        <v>0</v>
      </c>
    </row>
    <row r="4387" spans="1:5" x14ac:dyDescent="0.35">
      <c r="A4387">
        <v>0</v>
      </c>
      <c r="B4387">
        <v>0</v>
      </c>
      <c r="C4387">
        <v>0</v>
      </c>
      <c r="D4387">
        <v>0</v>
      </c>
      <c r="E4387">
        <v>0</v>
      </c>
    </row>
    <row r="4388" spans="1:5" x14ac:dyDescent="0.35">
      <c r="A4388">
        <v>0</v>
      </c>
      <c r="B4388">
        <v>0</v>
      </c>
      <c r="C4388">
        <v>0</v>
      </c>
      <c r="D4388">
        <v>0</v>
      </c>
      <c r="E4388">
        <v>0</v>
      </c>
    </row>
    <row r="4389" spans="1:5" x14ac:dyDescent="0.35">
      <c r="A4389">
        <v>0</v>
      </c>
      <c r="B4389">
        <v>0</v>
      </c>
      <c r="C4389">
        <v>0</v>
      </c>
      <c r="D4389">
        <v>0</v>
      </c>
      <c r="E4389">
        <v>0</v>
      </c>
    </row>
    <row r="4390" spans="1:5" x14ac:dyDescent="0.35">
      <c r="A4390">
        <v>0</v>
      </c>
      <c r="B4390">
        <v>0</v>
      </c>
      <c r="C4390">
        <v>0</v>
      </c>
      <c r="D4390">
        <v>0</v>
      </c>
      <c r="E4390">
        <v>0</v>
      </c>
    </row>
    <row r="4391" spans="1:5" x14ac:dyDescent="0.35">
      <c r="A4391">
        <v>0</v>
      </c>
      <c r="B4391">
        <v>0</v>
      </c>
      <c r="C4391">
        <v>0</v>
      </c>
      <c r="D4391">
        <v>0</v>
      </c>
      <c r="E4391">
        <v>0</v>
      </c>
    </row>
    <row r="4392" spans="1:5" x14ac:dyDescent="0.35">
      <c r="A4392">
        <v>0</v>
      </c>
      <c r="B4392">
        <v>0</v>
      </c>
      <c r="C4392">
        <v>0</v>
      </c>
      <c r="D4392">
        <v>0</v>
      </c>
      <c r="E4392">
        <v>0</v>
      </c>
    </row>
    <row r="4393" spans="1:5" x14ac:dyDescent="0.35">
      <c r="A4393">
        <v>0</v>
      </c>
      <c r="B4393">
        <v>0</v>
      </c>
      <c r="C4393">
        <v>0</v>
      </c>
      <c r="D4393">
        <v>0</v>
      </c>
      <c r="E4393">
        <v>0</v>
      </c>
    </row>
    <row r="4394" spans="1:5" x14ac:dyDescent="0.35">
      <c r="A4394">
        <v>0</v>
      </c>
      <c r="B4394">
        <v>0</v>
      </c>
      <c r="C4394">
        <v>0</v>
      </c>
      <c r="D4394">
        <v>0</v>
      </c>
      <c r="E4394">
        <v>0</v>
      </c>
    </row>
    <row r="4395" spans="1:5" x14ac:dyDescent="0.35">
      <c r="A4395">
        <v>0</v>
      </c>
      <c r="B4395">
        <v>0</v>
      </c>
      <c r="C4395">
        <v>0</v>
      </c>
      <c r="D4395">
        <v>0</v>
      </c>
      <c r="E4395">
        <v>0</v>
      </c>
    </row>
    <row r="4396" spans="1:5" x14ac:dyDescent="0.35">
      <c r="A4396">
        <v>0</v>
      </c>
      <c r="B4396">
        <v>0</v>
      </c>
      <c r="C4396">
        <v>0</v>
      </c>
      <c r="D4396">
        <v>0</v>
      </c>
      <c r="E4396">
        <v>0</v>
      </c>
    </row>
    <row r="4397" spans="1:5" x14ac:dyDescent="0.35">
      <c r="A4397">
        <v>0</v>
      </c>
      <c r="B4397">
        <v>0</v>
      </c>
      <c r="C4397">
        <v>0</v>
      </c>
      <c r="D4397">
        <v>0</v>
      </c>
      <c r="E4397">
        <v>0</v>
      </c>
    </row>
    <row r="4398" spans="1:5" x14ac:dyDescent="0.35">
      <c r="A4398">
        <v>0</v>
      </c>
      <c r="B4398">
        <v>0</v>
      </c>
      <c r="C4398">
        <v>0</v>
      </c>
      <c r="D4398">
        <v>0</v>
      </c>
      <c r="E4398">
        <v>0</v>
      </c>
    </row>
    <row r="4399" spans="1:5" x14ac:dyDescent="0.35">
      <c r="A4399">
        <v>0</v>
      </c>
      <c r="B4399">
        <v>0</v>
      </c>
      <c r="C4399">
        <v>0</v>
      </c>
      <c r="D4399">
        <v>0</v>
      </c>
      <c r="E4399">
        <v>0</v>
      </c>
    </row>
    <row r="4400" spans="1:5" x14ac:dyDescent="0.35">
      <c r="A4400">
        <v>0</v>
      </c>
      <c r="B4400">
        <v>0</v>
      </c>
      <c r="C4400">
        <v>0</v>
      </c>
      <c r="D4400">
        <v>0</v>
      </c>
      <c r="E4400">
        <v>0</v>
      </c>
    </row>
    <row r="4401" spans="1:5" x14ac:dyDescent="0.35">
      <c r="A4401">
        <v>0</v>
      </c>
      <c r="B4401">
        <v>0</v>
      </c>
      <c r="C4401">
        <v>0</v>
      </c>
      <c r="D4401">
        <v>0</v>
      </c>
      <c r="E4401">
        <v>0</v>
      </c>
    </row>
    <row r="4402" spans="1:5" x14ac:dyDescent="0.35">
      <c r="A4402">
        <v>0</v>
      </c>
      <c r="B4402">
        <v>0</v>
      </c>
      <c r="C4402">
        <v>0</v>
      </c>
      <c r="D4402">
        <v>0</v>
      </c>
      <c r="E4402">
        <v>0</v>
      </c>
    </row>
    <row r="4403" spans="1:5" x14ac:dyDescent="0.35">
      <c r="A4403">
        <v>0</v>
      </c>
      <c r="B4403">
        <v>0</v>
      </c>
      <c r="C4403">
        <v>0</v>
      </c>
      <c r="D4403">
        <v>0</v>
      </c>
      <c r="E4403">
        <v>0</v>
      </c>
    </row>
    <row r="4404" spans="1:5" x14ac:dyDescent="0.35">
      <c r="A4404">
        <v>0</v>
      </c>
      <c r="B4404">
        <v>0</v>
      </c>
      <c r="C4404">
        <v>0</v>
      </c>
      <c r="D4404">
        <v>0</v>
      </c>
      <c r="E4404">
        <v>0</v>
      </c>
    </row>
    <row r="4405" spans="1:5" x14ac:dyDescent="0.35">
      <c r="A4405">
        <v>0</v>
      </c>
      <c r="B4405">
        <v>0</v>
      </c>
      <c r="C4405">
        <v>0</v>
      </c>
      <c r="D4405">
        <v>0</v>
      </c>
      <c r="E4405">
        <v>0</v>
      </c>
    </row>
    <row r="4406" spans="1:5" x14ac:dyDescent="0.35">
      <c r="A4406">
        <v>0</v>
      </c>
      <c r="B4406">
        <v>0</v>
      </c>
      <c r="C4406">
        <v>0</v>
      </c>
      <c r="D4406">
        <v>0</v>
      </c>
      <c r="E4406">
        <v>0</v>
      </c>
    </row>
    <row r="4407" spans="1:5" x14ac:dyDescent="0.35">
      <c r="A4407">
        <v>0</v>
      </c>
      <c r="B4407">
        <v>0</v>
      </c>
      <c r="C4407">
        <v>0</v>
      </c>
      <c r="D4407">
        <v>0</v>
      </c>
      <c r="E4407">
        <v>0</v>
      </c>
    </row>
    <row r="4408" spans="1:5" x14ac:dyDescent="0.35">
      <c r="A4408">
        <v>0</v>
      </c>
      <c r="B4408">
        <v>0</v>
      </c>
      <c r="C4408">
        <v>0</v>
      </c>
      <c r="D4408">
        <v>0</v>
      </c>
      <c r="E4408">
        <v>0</v>
      </c>
    </row>
    <row r="4409" spans="1:5" x14ac:dyDescent="0.35">
      <c r="A4409">
        <v>0</v>
      </c>
      <c r="B4409">
        <v>0</v>
      </c>
      <c r="C4409">
        <v>0</v>
      </c>
      <c r="D4409">
        <v>0</v>
      </c>
      <c r="E4409">
        <v>0</v>
      </c>
    </row>
    <row r="4410" spans="1:5" x14ac:dyDescent="0.35">
      <c r="A4410">
        <v>0</v>
      </c>
      <c r="B4410">
        <v>0</v>
      </c>
      <c r="C4410">
        <v>0</v>
      </c>
      <c r="D4410">
        <v>0</v>
      </c>
      <c r="E4410">
        <v>0</v>
      </c>
    </row>
    <row r="4411" spans="1:5" x14ac:dyDescent="0.35">
      <c r="A4411">
        <v>0</v>
      </c>
      <c r="B4411">
        <v>0</v>
      </c>
      <c r="C4411">
        <v>0</v>
      </c>
      <c r="D4411">
        <v>0</v>
      </c>
      <c r="E4411">
        <v>0</v>
      </c>
    </row>
    <row r="4412" spans="1:5" x14ac:dyDescent="0.35">
      <c r="A4412">
        <v>0</v>
      </c>
      <c r="B4412">
        <v>0</v>
      </c>
      <c r="C4412">
        <v>0</v>
      </c>
      <c r="D4412">
        <v>0</v>
      </c>
      <c r="E4412">
        <v>0</v>
      </c>
    </row>
    <row r="4413" spans="1:5" x14ac:dyDescent="0.35">
      <c r="A4413">
        <v>0</v>
      </c>
      <c r="B4413">
        <v>0</v>
      </c>
      <c r="C4413">
        <v>0</v>
      </c>
      <c r="D4413">
        <v>0</v>
      </c>
      <c r="E4413">
        <v>0</v>
      </c>
    </row>
    <row r="4414" spans="1:5" x14ac:dyDescent="0.35">
      <c r="A4414">
        <v>0</v>
      </c>
      <c r="B4414">
        <v>0</v>
      </c>
      <c r="C4414">
        <v>0</v>
      </c>
      <c r="D4414">
        <v>0</v>
      </c>
      <c r="E4414">
        <v>0</v>
      </c>
    </row>
    <row r="4415" spans="1:5" x14ac:dyDescent="0.35">
      <c r="A4415">
        <v>0</v>
      </c>
      <c r="B4415">
        <v>0</v>
      </c>
      <c r="C4415">
        <v>0</v>
      </c>
      <c r="D4415">
        <v>0</v>
      </c>
      <c r="E4415">
        <v>0</v>
      </c>
    </row>
    <row r="4416" spans="1:5" x14ac:dyDescent="0.35">
      <c r="A4416">
        <v>0</v>
      </c>
      <c r="B4416">
        <v>0</v>
      </c>
      <c r="C4416">
        <v>0</v>
      </c>
      <c r="D4416">
        <v>0</v>
      </c>
      <c r="E4416">
        <v>0</v>
      </c>
    </row>
    <row r="4417" spans="1:5" x14ac:dyDescent="0.35">
      <c r="A4417">
        <v>0</v>
      </c>
      <c r="B4417">
        <v>0</v>
      </c>
      <c r="C4417">
        <v>0</v>
      </c>
      <c r="D4417">
        <v>0</v>
      </c>
      <c r="E4417">
        <v>0</v>
      </c>
    </row>
    <row r="4418" spans="1:5" x14ac:dyDescent="0.35">
      <c r="A4418">
        <v>0</v>
      </c>
      <c r="B4418">
        <v>0</v>
      </c>
      <c r="C4418">
        <v>0</v>
      </c>
      <c r="D4418">
        <v>0</v>
      </c>
      <c r="E4418">
        <v>0</v>
      </c>
    </row>
    <row r="4419" spans="1:5" x14ac:dyDescent="0.35">
      <c r="A4419">
        <v>0</v>
      </c>
      <c r="B4419">
        <v>0</v>
      </c>
      <c r="C4419">
        <v>0</v>
      </c>
      <c r="D4419">
        <v>0</v>
      </c>
      <c r="E4419">
        <v>0</v>
      </c>
    </row>
    <row r="4420" spans="1:5" x14ac:dyDescent="0.35">
      <c r="A4420">
        <v>0</v>
      </c>
      <c r="B4420">
        <v>0</v>
      </c>
      <c r="C4420">
        <v>0</v>
      </c>
      <c r="D4420">
        <v>0</v>
      </c>
      <c r="E4420">
        <v>0</v>
      </c>
    </row>
    <row r="4421" spans="1:5" x14ac:dyDescent="0.35">
      <c r="A4421">
        <v>0</v>
      </c>
      <c r="B4421">
        <v>0</v>
      </c>
      <c r="C4421">
        <v>0</v>
      </c>
      <c r="D4421">
        <v>0</v>
      </c>
      <c r="E4421">
        <v>0</v>
      </c>
    </row>
    <row r="4422" spans="1:5" x14ac:dyDescent="0.35">
      <c r="A4422">
        <v>0</v>
      </c>
      <c r="B4422">
        <v>0</v>
      </c>
      <c r="C4422">
        <v>0</v>
      </c>
      <c r="D4422">
        <v>0</v>
      </c>
      <c r="E4422">
        <v>0</v>
      </c>
    </row>
    <row r="4423" spans="1:5" x14ac:dyDescent="0.35">
      <c r="A4423">
        <v>0</v>
      </c>
      <c r="B4423">
        <v>0</v>
      </c>
      <c r="C4423">
        <v>0</v>
      </c>
      <c r="D4423">
        <v>0</v>
      </c>
      <c r="E4423">
        <v>0</v>
      </c>
    </row>
    <row r="4424" spans="1:5" x14ac:dyDescent="0.35">
      <c r="A4424">
        <v>0</v>
      </c>
      <c r="B4424">
        <v>0</v>
      </c>
      <c r="C4424">
        <v>0</v>
      </c>
      <c r="D4424">
        <v>0</v>
      </c>
      <c r="E4424">
        <v>0</v>
      </c>
    </row>
    <row r="4425" spans="1:5" x14ac:dyDescent="0.35">
      <c r="A4425">
        <v>0</v>
      </c>
      <c r="B4425">
        <v>0</v>
      </c>
      <c r="C4425">
        <v>0</v>
      </c>
      <c r="D4425">
        <v>0</v>
      </c>
      <c r="E4425">
        <v>0</v>
      </c>
    </row>
    <row r="4426" spans="1:5" x14ac:dyDescent="0.35">
      <c r="A4426">
        <v>0</v>
      </c>
      <c r="B4426">
        <v>0</v>
      </c>
      <c r="C4426">
        <v>0</v>
      </c>
      <c r="D4426">
        <v>0</v>
      </c>
      <c r="E4426">
        <v>0</v>
      </c>
    </row>
    <row r="4427" spans="1:5" x14ac:dyDescent="0.35">
      <c r="A4427">
        <v>0</v>
      </c>
      <c r="B4427">
        <v>0</v>
      </c>
      <c r="C4427">
        <v>0</v>
      </c>
      <c r="D4427">
        <v>0</v>
      </c>
      <c r="E4427">
        <v>0</v>
      </c>
    </row>
    <row r="4428" spans="1:5" x14ac:dyDescent="0.35">
      <c r="A4428">
        <v>0</v>
      </c>
      <c r="B4428">
        <v>0</v>
      </c>
      <c r="C4428">
        <v>0</v>
      </c>
      <c r="D4428">
        <v>0</v>
      </c>
      <c r="E4428">
        <v>0</v>
      </c>
    </row>
    <row r="4429" spans="1:5" x14ac:dyDescent="0.35">
      <c r="A4429">
        <v>0</v>
      </c>
      <c r="B4429">
        <v>0</v>
      </c>
      <c r="C4429">
        <v>0</v>
      </c>
      <c r="D4429">
        <v>0</v>
      </c>
      <c r="E4429">
        <v>0</v>
      </c>
    </row>
    <row r="4430" spans="1:5" x14ac:dyDescent="0.35">
      <c r="A4430">
        <v>0</v>
      </c>
      <c r="B4430">
        <v>0</v>
      </c>
      <c r="C4430">
        <v>0</v>
      </c>
      <c r="D4430">
        <v>0</v>
      </c>
      <c r="E4430">
        <v>0</v>
      </c>
    </row>
    <row r="4431" spans="1:5" x14ac:dyDescent="0.35">
      <c r="A4431">
        <v>0</v>
      </c>
      <c r="B4431">
        <v>0</v>
      </c>
      <c r="C4431">
        <v>0</v>
      </c>
      <c r="D4431">
        <v>0</v>
      </c>
      <c r="E4431">
        <v>0</v>
      </c>
    </row>
    <row r="4432" spans="1:5" x14ac:dyDescent="0.35">
      <c r="A4432">
        <v>0</v>
      </c>
      <c r="B4432">
        <v>0</v>
      </c>
      <c r="C4432">
        <v>0</v>
      </c>
      <c r="D4432">
        <v>0</v>
      </c>
      <c r="E4432">
        <v>0</v>
      </c>
    </row>
    <row r="4433" spans="1:5" x14ac:dyDescent="0.35">
      <c r="A4433">
        <v>0</v>
      </c>
      <c r="B4433">
        <v>0</v>
      </c>
      <c r="C4433">
        <v>0</v>
      </c>
      <c r="D4433">
        <v>0</v>
      </c>
      <c r="E4433">
        <v>0</v>
      </c>
    </row>
    <row r="4434" spans="1:5" x14ac:dyDescent="0.35">
      <c r="A4434">
        <v>0</v>
      </c>
      <c r="B4434">
        <v>0</v>
      </c>
      <c r="C4434">
        <v>0</v>
      </c>
      <c r="D4434">
        <v>0</v>
      </c>
      <c r="E4434">
        <v>0</v>
      </c>
    </row>
    <row r="4435" spans="1:5" x14ac:dyDescent="0.35">
      <c r="A4435">
        <v>0</v>
      </c>
      <c r="B4435">
        <v>0</v>
      </c>
      <c r="C4435">
        <v>0</v>
      </c>
      <c r="D4435">
        <v>0</v>
      </c>
      <c r="E4435">
        <v>0</v>
      </c>
    </row>
    <row r="4436" spans="1:5" x14ac:dyDescent="0.35">
      <c r="A4436">
        <v>0</v>
      </c>
      <c r="B4436">
        <v>0</v>
      </c>
      <c r="C4436">
        <v>0</v>
      </c>
      <c r="D4436">
        <v>0</v>
      </c>
      <c r="E4436">
        <v>0</v>
      </c>
    </row>
    <row r="4437" spans="1:5" x14ac:dyDescent="0.35">
      <c r="A4437">
        <v>0</v>
      </c>
      <c r="B4437">
        <v>0</v>
      </c>
      <c r="C4437">
        <v>0</v>
      </c>
      <c r="D4437">
        <v>0</v>
      </c>
      <c r="E4437">
        <v>0</v>
      </c>
    </row>
    <row r="4438" spans="1:5" x14ac:dyDescent="0.35">
      <c r="A4438">
        <v>0</v>
      </c>
      <c r="B4438">
        <v>0</v>
      </c>
      <c r="C4438">
        <v>0</v>
      </c>
      <c r="D4438">
        <v>0</v>
      </c>
      <c r="E4438">
        <v>0</v>
      </c>
    </row>
    <row r="4439" spans="1:5" x14ac:dyDescent="0.35">
      <c r="A4439">
        <v>0</v>
      </c>
      <c r="B4439">
        <v>0</v>
      </c>
      <c r="C4439">
        <v>0</v>
      </c>
      <c r="D4439">
        <v>0</v>
      </c>
      <c r="E4439">
        <v>0</v>
      </c>
    </row>
    <row r="4440" spans="1:5" x14ac:dyDescent="0.35">
      <c r="A4440">
        <v>0</v>
      </c>
      <c r="B4440">
        <v>0</v>
      </c>
      <c r="C4440">
        <v>0</v>
      </c>
      <c r="D4440">
        <v>0</v>
      </c>
      <c r="E4440">
        <v>0</v>
      </c>
    </row>
    <row r="4441" spans="1:5" x14ac:dyDescent="0.35">
      <c r="A4441">
        <v>0</v>
      </c>
      <c r="B4441">
        <v>0</v>
      </c>
      <c r="C4441">
        <v>0</v>
      </c>
      <c r="D4441">
        <v>0</v>
      </c>
      <c r="E4441">
        <v>0</v>
      </c>
    </row>
    <row r="4442" spans="1:5" x14ac:dyDescent="0.35">
      <c r="A4442">
        <v>0</v>
      </c>
      <c r="B4442">
        <v>0</v>
      </c>
      <c r="C4442">
        <v>0</v>
      </c>
      <c r="D4442">
        <v>0</v>
      </c>
      <c r="E4442">
        <v>0</v>
      </c>
    </row>
    <row r="4443" spans="1:5" x14ac:dyDescent="0.35">
      <c r="A4443">
        <v>0</v>
      </c>
      <c r="B4443">
        <v>0</v>
      </c>
      <c r="C4443">
        <v>0</v>
      </c>
      <c r="D4443">
        <v>0</v>
      </c>
      <c r="E4443">
        <v>0</v>
      </c>
    </row>
    <row r="4444" spans="1:5" x14ac:dyDescent="0.35">
      <c r="A4444">
        <v>0</v>
      </c>
      <c r="B4444">
        <v>0</v>
      </c>
      <c r="C4444">
        <v>0</v>
      </c>
      <c r="D4444">
        <v>0</v>
      </c>
      <c r="E4444">
        <v>0</v>
      </c>
    </row>
    <row r="4445" spans="1:5" x14ac:dyDescent="0.35">
      <c r="A4445">
        <v>0</v>
      </c>
      <c r="B4445">
        <v>0</v>
      </c>
      <c r="C4445">
        <v>0</v>
      </c>
      <c r="D4445">
        <v>0</v>
      </c>
      <c r="E4445">
        <v>0</v>
      </c>
    </row>
    <row r="4446" spans="1:5" x14ac:dyDescent="0.35">
      <c r="A4446">
        <v>0</v>
      </c>
      <c r="B4446">
        <v>0</v>
      </c>
      <c r="C4446">
        <v>0</v>
      </c>
      <c r="D4446">
        <v>0</v>
      </c>
      <c r="E4446">
        <v>0</v>
      </c>
    </row>
    <row r="4447" spans="1:5" x14ac:dyDescent="0.35">
      <c r="A4447">
        <v>0</v>
      </c>
      <c r="B4447">
        <v>0</v>
      </c>
      <c r="C4447">
        <v>0</v>
      </c>
      <c r="D4447">
        <v>0</v>
      </c>
      <c r="E4447">
        <v>0</v>
      </c>
    </row>
    <row r="4448" spans="1:5" x14ac:dyDescent="0.35">
      <c r="A4448">
        <v>0</v>
      </c>
      <c r="B4448">
        <v>0</v>
      </c>
      <c r="C4448">
        <v>0</v>
      </c>
      <c r="D4448">
        <v>0</v>
      </c>
      <c r="E4448">
        <v>0</v>
      </c>
    </row>
    <row r="4449" spans="1:5" x14ac:dyDescent="0.35">
      <c r="A4449">
        <v>0</v>
      </c>
      <c r="B4449">
        <v>0</v>
      </c>
      <c r="C4449">
        <v>0</v>
      </c>
      <c r="D4449">
        <v>0</v>
      </c>
      <c r="E4449">
        <v>0</v>
      </c>
    </row>
    <row r="4450" spans="1:5" x14ac:dyDescent="0.35">
      <c r="A4450">
        <v>0</v>
      </c>
      <c r="B4450">
        <v>0</v>
      </c>
      <c r="C4450">
        <v>0</v>
      </c>
      <c r="D4450">
        <v>0</v>
      </c>
      <c r="E4450">
        <v>0</v>
      </c>
    </row>
    <row r="4451" spans="1:5" x14ac:dyDescent="0.35">
      <c r="A4451">
        <v>0</v>
      </c>
      <c r="B4451">
        <v>0</v>
      </c>
      <c r="C4451">
        <v>0</v>
      </c>
      <c r="D4451">
        <v>0</v>
      </c>
      <c r="E4451">
        <v>0</v>
      </c>
    </row>
    <row r="4452" spans="1:5" x14ac:dyDescent="0.35">
      <c r="A4452">
        <v>0</v>
      </c>
      <c r="B4452">
        <v>0</v>
      </c>
      <c r="C4452">
        <v>0</v>
      </c>
      <c r="D4452">
        <v>0</v>
      </c>
      <c r="E4452">
        <v>0</v>
      </c>
    </row>
    <row r="4453" spans="1:5" x14ac:dyDescent="0.35">
      <c r="A4453">
        <v>0</v>
      </c>
      <c r="B4453">
        <v>0</v>
      </c>
      <c r="C4453">
        <v>0</v>
      </c>
      <c r="D4453">
        <v>0</v>
      </c>
      <c r="E4453">
        <v>0</v>
      </c>
    </row>
    <row r="4454" spans="1:5" x14ac:dyDescent="0.35">
      <c r="A4454">
        <v>0</v>
      </c>
      <c r="B4454">
        <v>0</v>
      </c>
      <c r="C4454">
        <v>0</v>
      </c>
      <c r="D4454">
        <v>0</v>
      </c>
      <c r="E4454">
        <v>0</v>
      </c>
    </row>
    <row r="4455" spans="1:5" x14ac:dyDescent="0.35">
      <c r="A4455">
        <v>0</v>
      </c>
      <c r="B4455">
        <v>0</v>
      </c>
      <c r="C4455">
        <v>0</v>
      </c>
      <c r="D4455">
        <v>0</v>
      </c>
      <c r="E4455">
        <v>0</v>
      </c>
    </row>
    <row r="4456" spans="1:5" x14ac:dyDescent="0.35">
      <c r="A4456">
        <v>0</v>
      </c>
      <c r="B4456">
        <v>0</v>
      </c>
      <c r="C4456">
        <v>0</v>
      </c>
      <c r="D4456">
        <v>0</v>
      </c>
      <c r="E4456">
        <v>0</v>
      </c>
    </row>
    <row r="4457" spans="1:5" x14ac:dyDescent="0.35">
      <c r="A4457">
        <v>0</v>
      </c>
      <c r="B4457">
        <v>0</v>
      </c>
      <c r="C4457">
        <v>0</v>
      </c>
      <c r="D4457">
        <v>0</v>
      </c>
      <c r="E4457">
        <v>0</v>
      </c>
    </row>
    <row r="4458" spans="1:5" x14ac:dyDescent="0.35">
      <c r="A4458">
        <v>0</v>
      </c>
      <c r="B4458">
        <v>0</v>
      </c>
      <c r="C4458">
        <v>0</v>
      </c>
      <c r="D4458">
        <v>0</v>
      </c>
      <c r="E4458">
        <v>0</v>
      </c>
    </row>
    <row r="4459" spans="1:5" x14ac:dyDescent="0.35">
      <c r="A4459">
        <v>0</v>
      </c>
      <c r="B4459">
        <v>0</v>
      </c>
      <c r="C4459">
        <v>0</v>
      </c>
      <c r="D4459">
        <v>0</v>
      </c>
      <c r="E4459">
        <v>0</v>
      </c>
    </row>
    <row r="4460" spans="1:5" x14ac:dyDescent="0.35">
      <c r="A4460">
        <v>0</v>
      </c>
      <c r="B4460">
        <v>0</v>
      </c>
      <c r="C4460">
        <v>0</v>
      </c>
      <c r="D4460">
        <v>0</v>
      </c>
      <c r="E4460">
        <v>0</v>
      </c>
    </row>
    <row r="4461" spans="1:5" x14ac:dyDescent="0.35">
      <c r="A4461">
        <v>0</v>
      </c>
      <c r="B4461">
        <v>0</v>
      </c>
      <c r="C4461">
        <v>0</v>
      </c>
      <c r="D4461">
        <v>0</v>
      </c>
      <c r="E4461">
        <v>0</v>
      </c>
    </row>
    <row r="4462" spans="1:5" x14ac:dyDescent="0.35">
      <c r="A4462">
        <v>0</v>
      </c>
      <c r="B4462">
        <v>0</v>
      </c>
      <c r="C4462">
        <v>0</v>
      </c>
      <c r="D4462">
        <v>0</v>
      </c>
      <c r="E4462">
        <v>0</v>
      </c>
    </row>
    <row r="4463" spans="1:5" x14ac:dyDescent="0.35">
      <c r="A4463">
        <v>0</v>
      </c>
      <c r="B4463">
        <v>0</v>
      </c>
      <c r="C4463">
        <v>0</v>
      </c>
      <c r="D4463">
        <v>0</v>
      </c>
      <c r="E4463">
        <v>0</v>
      </c>
    </row>
    <row r="4464" spans="1:5" x14ac:dyDescent="0.35">
      <c r="A4464">
        <v>0</v>
      </c>
      <c r="B4464">
        <v>0</v>
      </c>
      <c r="C4464">
        <v>0</v>
      </c>
      <c r="D4464">
        <v>0</v>
      </c>
      <c r="E4464">
        <v>0</v>
      </c>
    </row>
    <row r="4465" spans="1:5" x14ac:dyDescent="0.35">
      <c r="A4465">
        <v>0</v>
      </c>
      <c r="B4465">
        <v>0</v>
      </c>
      <c r="C4465">
        <v>0</v>
      </c>
      <c r="D4465">
        <v>0</v>
      </c>
      <c r="E4465">
        <v>0</v>
      </c>
    </row>
    <row r="4466" spans="1:5" x14ac:dyDescent="0.35">
      <c r="A4466">
        <v>0</v>
      </c>
      <c r="B4466">
        <v>0</v>
      </c>
      <c r="C4466">
        <v>0</v>
      </c>
      <c r="D4466">
        <v>0</v>
      </c>
      <c r="E4466">
        <v>0</v>
      </c>
    </row>
    <row r="4467" spans="1:5" x14ac:dyDescent="0.35">
      <c r="A4467">
        <v>0</v>
      </c>
      <c r="B4467">
        <v>0</v>
      </c>
      <c r="C4467">
        <v>0</v>
      </c>
      <c r="D4467">
        <v>0</v>
      </c>
      <c r="E4467">
        <v>0</v>
      </c>
    </row>
    <row r="4468" spans="1:5" x14ac:dyDescent="0.35">
      <c r="A4468">
        <v>0</v>
      </c>
      <c r="B4468">
        <v>0</v>
      </c>
      <c r="C4468">
        <v>0</v>
      </c>
      <c r="D4468">
        <v>0</v>
      </c>
      <c r="E4468">
        <v>0</v>
      </c>
    </row>
    <row r="4469" spans="1:5" x14ac:dyDescent="0.35">
      <c r="A4469">
        <v>0</v>
      </c>
      <c r="B4469">
        <v>0</v>
      </c>
      <c r="C4469">
        <v>0</v>
      </c>
      <c r="D4469">
        <v>0</v>
      </c>
      <c r="E4469">
        <v>0</v>
      </c>
    </row>
    <row r="4470" spans="1:5" x14ac:dyDescent="0.35">
      <c r="A4470">
        <v>0</v>
      </c>
      <c r="B4470">
        <v>0</v>
      </c>
      <c r="C4470">
        <v>0</v>
      </c>
      <c r="D4470">
        <v>0</v>
      </c>
      <c r="E4470">
        <v>0</v>
      </c>
    </row>
    <row r="4471" spans="1:5" x14ac:dyDescent="0.35">
      <c r="A4471">
        <v>0</v>
      </c>
      <c r="B4471">
        <v>0</v>
      </c>
      <c r="C4471">
        <v>0</v>
      </c>
      <c r="D4471">
        <v>0</v>
      </c>
      <c r="E4471">
        <v>0</v>
      </c>
    </row>
    <row r="4472" spans="1:5" x14ac:dyDescent="0.35">
      <c r="A4472">
        <v>0</v>
      </c>
      <c r="B4472">
        <v>0</v>
      </c>
      <c r="C4472">
        <v>0</v>
      </c>
      <c r="D4472">
        <v>0</v>
      </c>
      <c r="E4472">
        <v>0</v>
      </c>
    </row>
    <row r="4473" spans="1:5" x14ac:dyDescent="0.35">
      <c r="A4473">
        <v>0</v>
      </c>
      <c r="B4473">
        <v>0</v>
      </c>
      <c r="C4473">
        <v>0</v>
      </c>
      <c r="D4473">
        <v>0</v>
      </c>
      <c r="E4473">
        <v>0</v>
      </c>
    </row>
    <row r="4474" spans="1:5" x14ac:dyDescent="0.35">
      <c r="A4474">
        <v>0</v>
      </c>
      <c r="B4474">
        <v>0</v>
      </c>
      <c r="C4474">
        <v>0</v>
      </c>
      <c r="D4474">
        <v>0</v>
      </c>
      <c r="E4474">
        <v>0</v>
      </c>
    </row>
    <row r="4475" spans="1:5" x14ac:dyDescent="0.35">
      <c r="A4475">
        <v>0</v>
      </c>
      <c r="B4475">
        <v>0</v>
      </c>
      <c r="C4475">
        <v>0</v>
      </c>
      <c r="D4475">
        <v>0</v>
      </c>
      <c r="E4475">
        <v>0</v>
      </c>
    </row>
    <row r="4476" spans="1:5" x14ac:dyDescent="0.35">
      <c r="A4476">
        <v>0</v>
      </c>
      <c r="B4476">
        <v>0</v>
      </c>
      <c r="C4476">
        <v>0</v>
      </c>
      <c r="D4476">
        <v>0</v>
      </c>
      <c r="E4476">
        <v>0</v>
      </c>
    </row>
    <row r="4477" spans="1:5" x14ac:dyDescent="0.35">
      <c r="A4477">
        <v>0</v>
      </c>
      <c r="B4477">
        <v>0</v>
      </c>
      <c r="C4477">
        <v>0</v>
      </c>
      <c r="D4477">
        <v>0</v>
      </c>
      <c r="E4477">
        <v>0</v>
      </c>
    </row>
    <row r="4478" spans="1:5" x14ac:dyDescent="0.35">
      <c r="A4478">
        <v>0</v>
      </c>
      <c r="B4478">
        <v>0</v>
      </c>
      <c r="C4478">
        <v>0</v>
      </c>
      <c r="D4478">
        <v>0</v>
      </c>
      <c r="E4478">
        <v>0</v>
      </c>
    </row>
    <row r="4479" spans="1:5" x14ac:dyDescent="0.35">
      <c r="A4479">
        <v>0</v>
      </c>
      <c r="B4479">
        <v>0</v>
      </c>
      <c r="C4479">
        <v>0</v>
      </c>
      <c r="D4479">
        <v>0</v>
      </c>
      <c r="E4479">
        <v>0</v>
      </c>
    </row>
    <row r="4480" spans="1:5" x14ac:dyDescent="0.35">
      <c r="A4480">
        <v>0</v>
      </c>
      <c r="B4480">
        <v>0</v>
      </c>
      <c r="C4480">
        <v>0</v>
      </c>
      <c r="D4480">
        <v>0</v>
      </c>
      <c r="E4480">
        <v>0</v>
      </c>
    </row>
    <row r="4481" spans="1:5" x14ac:dyDescent="0.35">
      <c r="A4481">
        <v>0</v>
      </c>
      <c r="B4481">
        <v>0</v>
      </c>
      <c r="C4481">
        <v>0</v>
      </c>
      <c r="D4481">
        <v>0</v>
      </c>
      <c r="E4481">
        <v>0</v>
      </c>
    </row>
    <row r="4482" spans="1:5" x14ac:dyDescent="0.35">
      <c r="A4482">
        <v>0</v>
      </c>
      <c r="B4482">
        <v>0</v>
      </c>
      <c r="C4482">
        <v>0</v>
      </c>
      <c r="D4482">
        <v>0</v>
      </c>
      <c r="E4482">
        <v>0</v>
      </c>
    </row>
    <row r="4483" spans="1:5" x14ac:dyDescent="0.35">
      <c r="A4483">
        <v>0</v>
      </c>
      <c r="B4483">
        <v>0</v>
      </c>
      <c r="C4483">
        <v>0</v>
      </c>
      <c r="D4483">
        <v>0</v>
      </c>
      <c r="E4483">
        <v>0</v>
      </c>
    </row>
    <row r="4484" spans="1:5" x14ac:dyDescent="0.35">
      <c r="A4484">
        <v>0</v>
      </c>
      <c r="B4484">
        <v>0</v>
      </c>
      <c r="C4484">
        <v>0</v>
      </c>
      <c r="D4484">
        <v>0</v>
      </c>
      <c r="E4484">
        <v>0</v>
      </c>
    </row>
    <row r="4485" spans="1:5" x14ac:dyDescent="0.35">
      <c r="A4485">
        <v>0</v>
      </c>
      <c r="B4485">
        <v>0</v>
      </c>
      <c r="C4485">
        <v>0</v>
      </c>
      <c r="D4485">
        <v>0</v>
      </c>
      <c r="E4485">
        <v>0</v>
      </c>
    </row>
    <row r="4486" spans="1:5" x14ac:dyDescent="0.35">
      <c r="A4486">
        <v>0</v>
      </c>
      <c r="B4486">
        <v>0</v>
      </c>
      <c r="C4486">
        <v>0</v>
      </c>
      <c r="D4486">
        <v>0</v>
      </c>
      <c r="E4486">
        <v>0</v>
      </c>
    </row>
    <row r="4487" spans="1:5" x14ac:dyDescent="0.35">
      <c r="A4487">
        <v>0</v>
      </c>
      <c r="B4487">
        <v>0</v>
      </c>
      <c r="C4487">
        <v>0</v>
      </c>
      <c r="D4487">
        <v>0</v>
      </c>
      <c r="E4487">
        <v>0</v>
      </c>
    </row>
    <row r="4488" spans="1:5" x14ac:dyDescent="0.35">
      <c r="A4488">
        <v>0</v>
      </c>
      <c r="B4488">
        <v>0</v>
      </c>
      <c r="C4488">
        <v>0</v>
      </c>
      <c r="D4488">
        <v>0</v>
      </c>
      <c r="E4488">
        <v>0</v>
      </c>
    </row>
    <row r="4489" spans="1:5" x14ac:dyDescent="0.35">
      <c r="A4489">
        <v>0</v>
      </c>
      <c r="B4489">
        <v>0</v>
      </c>
      <c r="C4489">
        <v>0</v>
      </c>
      <c r="D4489">
        <v>0</v>
      </c>
      <c r="E4489">
        <v>0</v>
      </c>
    </row>
    <row r="4490" spans="1:5" x14ac:dyDescent="0.35">
      <c r="A4490">
        <v>0</v>
      </c>
      <c r="B4490">
        <v>0</v>
      </c>
      <c r="C4490">
        <v>0</v>
      </c>
      <c r="D4490">
        <v>0</v>
      </c>
      <c r="E4490">
        <v>0</v>
      </c>
    </row>
    <row r="4491" spans="1:5" x14ac:dyDescent="0.35">
      <c r="A4491">
        <v>0</v>
      </c>
      <c r="B4491">
        <v>0</v>
      </c>
      <c r="C4491">
        <v>0</v>
      </c>
      <c r="D4491">
        <v>0</v>
      </c>
      <c r="E4491">
        <v>0</v>
      </c>
    </row>
    <row r="4492" spans="1:5" x14ac:dyDescent="0.35">
      <c r="A4492">
        <v>0</v>
      </c>
      <c r="B4492">
        <v>0</v>
      </c>
      <c r="C4492">
        <v>0</v>
      </c>
      <c r="D4492">
        <v>0</v>
      </c>
      <c r="E4492">
        <v>0</v>
      </c>
    </row>
    <row r="4493" spans="1:5" x14ac:dyDescent="0.35">
      <c r="A4493">
        <v>0</v>
      </c>
      <c r="B4493">
        <v>0</v>
      </c>
      <c r="C4493">
        <v>0</v>
      </c>
      <c r="D4493">
        <v>0</v>
      </c>
      <c r="E4493">
        <v>0</v>
      </c>
    </row>
    <row r="4494" spans="1:5" x14ac:dyDescent="0.35">
      <c r="A4494">
        <v>0</v>
      </c>
      <c r="B4494">
        <v>0</v>
      </c>
      <c r="C4494">
        <v>0</v>
      </c>
      <c r="D4494">
        <v>0</v>
      </c>
      <c r="E4494">
        <v>0</v>
      </c>
    </row>
    <row r="4495" spans="1:5" x14ac:dyDescent="0.35">
      <c r="A4495">
        <v>0</v>
      </c>
      <c r="B4495">
        <v>0</v>
      </c>
      <c r="C4495">
        <v>0</v>
      </c>
      <c r="D4495">
        <v>0</v>
      </c>
      <c r="E4495">
        <v>0</v>
      </c>
    </row>
    <row r="4496" spans="1:5" x14ac:dyDescent="0.35">
      <c r="A4496">
        <v>0</v>
      </c>
      <c r="B4496">
        <v>0</v>
      </c>
      <c r="C4496">
        <v>0</v>
      </c>
      <c r="D4496">
        <v>0</v>
      </c>
      <c r="E4496">
        <v>0</v>
      </c>
    </row>
    <row r="4497" spans="1:5" x14ac:dyDescent="0.35">
      <c r="A4497">
        <v>0</v>
      </c>
      <c r="B4497">
        <v>0</v>
      </c>
      <c r="C4497">
        <v>0</v>
      </c>
      <c r="D4497">
        <v>0</v>
      </c>
      <c r="E4497">
        <v>0</v>
      </c>
    </row>
    <row r="4498" spans="1:5" x14ac:dyDescent="0.35">
      <c r="A4498">
        <v>0</v>
      </c>
      <c r="B4498">
        <v>0</v>
      </c>
      <c r="C4498">
        <v>0</v>
      </c>
      <c r="D4498">
        <v>0</v>
      </c>
      <c r="E4498">
        <v>0</v>
      </c>
    </row>
    <row r="4499" spans="1:5" x14ac:dyDescent="0.35">
      <c r="A4499">
        <v>0</v>
      </c>
      <c r="B4499">
        <v>0</v>
      </c>
      <c r="C4499">
        <v>0</v>
      </c>
      <c r="D4499">
        <v>0</v>
      </c>
      <c r="E4499">
        <v>0</v>
      </c>
    </row>
    <row r="4500" spans="1:5" x14ac:dyDescent="0.35">
      <c r="A4500">
        <v>0</v>
      </c>
      <c r="B4500">
        <v>0</v>
      </c>
      <c r="C4500">
        <v>0</v>
      </c>
      <c r="D4500">
        <v>0</v>
      </c>
      <c r="E4500">
        <v>0</v>
      </c>
    </row>
    <row r="4501" spans="1:5" x14ac:dyDescent="0.35">
      <c r="A4501">
        <v>0</v>
      </c>
      <c r="B4501">
        <v>0</v>
      </c>
      <c r="C4501">
        <v>0</v>
      </c>
      <c r="D4501">
        <v>0</v>
      </c>
      <c r="E4501">
        <v>0</v>
      </c>
    </row>
    <row r="4502" spans="1:5" x14ac:dyDescent="0.35">
      <c r="A4502">
        <v>0</v>
      </c>
      <c r="B4502">
        <v>0</v>
      </c>
      <c r="C4502">
        <v>0</v>
      </c>
      <c r="D4502">
        <v>0</v>
      </c>
      <c r="E4502">
        <v>0</v>
      </c>
    </row>
    <row r="4503" spans="1:5" x14ac:dyDescent="0.35">
      <c r="A4503">
        <v>0</v>
      </c>
      <c r="B4503">
        <v>0</v>
      </c>
      <c r="C4503">
        <v>0</v>
      </c>
      <c r="D4503">
        <v>0</v>
      </c>
      <c r="E4503">
        <v>0</v>
      </c>
    </row>
    <row r="4504" spans="1:5" x14ac:dyDescent="0.35">
      <c r="A4504">
        <v>0</v>
      </c>
      <c r="B4504">
        <v>0</v>
      </c>
      <c r="C4504">
        <v>0</v>
      </c>
      <c r="D4504">
        <v>0</v>
      </c>
      <c r="E4504">
        <v>0</v>
      </c>
    </row>
    <row r="4505" spans="1:5" x14ac:dyDescent="0.35">
      <c r="A4505">
        <v>0</v>
      </c>
      <c r="B4505">
        <v>0</v>
      </c>
      <c r="C4505">
        <v>0</v>
      </c>
      <c r="D4505">
        <v>0</v>
      </c>
      <c r="E4505">
        <v>0</v>
      </c>
    </row>
    <row r="4506" spans="1:5" x14ac:dyDescent="0.35">
      <c r="A4506">
        <v>0</v>
      </c>
      <c r="B4506">
        <v>0</v>
      </c>
      <c r="C4506">
        <v>0</v>
      </c>
      <c r="D4506">
        <v>0</v>
      </c>
      <c r="E4506">
        <v>0</v>
      </c>
    </row>
    <row r="4507" spans="1:5" x14ac:dyDescent="0.35">
      <c r="A4507">
        <v>0</v>
      </c>
      <c r="B4507">
        <v>0</v>
      </c>
      <c r="C4507">
        <v>0</v>
      </c>
      <c r="D4507">
        <v>0</v>
      </c>
      <c r="E4507">
        <v>0</v>
      </c>
    </row>
    <row r="4508" spans="1:5" x14ac:dyDescent="0.35">
      <c r="A4508">
        <v>0</v>
      </c>
      <c r="B4508">
        <v>0</v>
      </c>
      <c r="C4508">
        <v>0</v>
      </c>
      <c r="D4508">
        <v>0</v>
      </c>
      <c r="E4508">
        <v>0</v>
      </c>
    </row>
    <row r="4509" spans="1:5" x14ac:dyDescent="0.35">
      <c r="A4509">
        <v>0</v>
      </c>
      <c r="B4509">
        <v>0</v>
      </c>
      <c r="C4509">
        <v>0</v>
      </c>
      <c r="D4509">
        <v>0</v>
      </c>
      <c r="E4509">
        <v>0</v>
      </c>
    </row>
    <row r="4510" spans="1:5" x14ac:dyDescent="0.35">
      <c r="A4510">
        <v>0</v>
      </c>
      <c r="B4510">
        <v>0</v>
      </c>
      <c r="C4510">
        <v>0</v>
      </c>
      <c r="D4510">
        <v>0</v>
      </c>
      <c r="E4510">
        <v>0</v>
      </c>
    </row>
    <row r="4511" spans="1:5" x14ac:dyDescent="0.35">
      <c r="A4511">
        <v>0</v>
      </c>
      <c r="B4511">
        <v>0</v>
      </c>
      <c r="C4511">
        <v>0</v>
      </c>
      <c r="D4511">
        <v>0</v>
      </c>
      <c r="E4511">
        <v>0</v>
      </c>
    </row>
    <row r="4512" spans="1:5" x14ac:dyDescent="0.35">
      <c r="A4512">
        <v>0</v>
      </c>
      <c r="B4512">
        <v>0</v>
      </c>
      <c r="C4512">
        <v>0</v>
      </c>
      <c r="D4512">
        <v>0</v>
      </c>
      <c r="E4512">
        <v>0</v>
      </c>
    </row>
    <row r="4513" spans="1:5" x14ac:dyDescent="0.35">
      <c r="A4513">
        <v>0</v>
      </c>
      <c r="B4513">
        <v>0</v>
      </c>
      <c r="C4513">
        <v>0</v>
      </c>
      <c r="D4513">
        <v>0</v>
      </c>
      <c r="E4513">
        <v>0</v>
      </c>
    </row>
    <row r="4514" spans="1:5" x14ac:dyDescent="0.35">
      <c r="A4514">
        <v>0</v>
      </c>
      <c r="B4514">
        <v>0</v>
      </c>
      <c r="C4514">
        <v>0</v>
      </c>
      <c r="D4514">
        <v>0</v>
      </c>
      <c r="E4514">
        <v>0</v>
      </c>
    </row>
    <row r="4515" spans="1:5" x14ac:dyDescent="0.35">
      <c r="A4515">
        <v>0</v>
      </c>
      <c r="B4515">
        <v>0</v>
      </c>
      <c r="C4515">
        <v>0</v>
      </c>
      <c r="D4515">
        <v>0</v>
      </c>
      <c r="E4515">
        <v>0</v>
      </c>
    </row>
    <row r="4516" spans="1:5" x14ac:dyDescent="0.35">
      <c r="A4516">
        <v>0</v>
      </c>
      <c r="B4516">
        <v>0</v>
      </c>
      <c r="C4516">
        <v>0</v>
      </c>
      <c r="D4516">
        <v>0</v>
      </c>
      <c r="E4516">
        <v>0</v>
      </c>
    </row>
    <row r="4517" spans="1:5" x14ac:dyDescent="0.35">
      <c r="A4517">
        <v>0</v>
      </c>
      <c r="B4517">
        <v>0</v>
      </c>
      <c r="C4517">
        <v>0</v>
      </c>
      <c r="D4517">
        <v>0</v>
      </c>
      <c r="E4517">
        <v>0</v>
      </c>
    </row>
    <row r="4518" spans="1:5" x14ac:dyDescent="0.35">
      <c r="A4518">
        <v>0</v>
      </c>
      <c r="B4518">
        <v>0</v>
      </c>
      <c r="C4518">
        <v>0</v>
      </c>
      <c r="D4518">
        <v>0</v>
      </c>
      <c r="E4518">
        <v>0</v>
      </c>
    </row>
    <row r="4519" spans="1:5" x14ac:dyDescent="0.35">
      <c r="A4519">
        <v>0</v>
      </c>
      <c r="B4519">
        <v>0</v>
      </c>
      <c r="C4519">
        <v>0</v>
      </c>
      <c r="D4519">
        <v>0</v>
      </c>
      <c r="E4519">
        <v>0</v>
      </c>
    </row>
    <row r="4520" spans="1:5" x14ac:dyDescent="0.35">
      <c r="A4520">
        <v>0</v>
      </c>
      <c r="B4520">
        <v>0</v>
      </c>
      <c r="C4520">
        <v>0</v>
      </c>
      <c r="D4520">
        <v>0</v>
      </c>
      <c r="E4520">
        <v>0</v>
      </c>
    </row>
    <row r="4521" spans="1:5" x14ac:dyDescent="0.35">
      <c r="A4521">
        <v>0</v>
      </c>
      <c r="B4521">
        <v>0</v>
      </c>
      <c r="C4521">
        <v>0</v>
      </c>
      <c r="D4521">
        <v>0</v>
      </c>
      <c r="E4521">
        <v>0</v>
      </c>
    </row>
    <row r="4522" spans="1:5" x14ac:dyDescent="0.35">
      <c r="A4522">
        <v>0</v>
      </c>
      <c r="B4522">
        <v>0</v>
      </c>
      <c r="C4522">
        <v>0</v>
      </c>
      <c r="D4522">
        <v>0</v>
      </c>
      <c r="E4522">
        <v>0</v>
      </c>
    </row>
    <row r="4523" spans="1:5" x14ac:dyDescent="0.35">
      <c r="A4523">
        <v>0</v>
      </c>
      <c r="B4523">
        <v>0</v>
      </c>
      <c r="C4523">
        <v>0</v>
      </c>
      <c r="D4523">
        <v>0</v>
      </c>
      <c r="E4523">
        <v>0</v>
      </c>
    </row>
    <row r="4524" spans="1:5" x14ac:dyDescent="0.35">
      <c r="A4524">
        <v>0</v>
      </c>
      <c r="B4524">
        <v>0</v>
      </c>
      <c r="C4524">
        <v>0</v>
      </c>
      <c r="D4524">
        <v>0</v>
      </c>
      <c r="E4524">
        <v>0</v>
      </c>
    </row>
    <row r="4525" spans="1:5" x14ac:dyDescent="0.35">
      <c r="A4525">
        <v>0</v>
      </c>
      <c r="B4525">
        <v>0</v>
      </c>
      <c r="C4525">
        <v>0</v>
      </c>
      <c r="D4525">
        <v>0</v>
      </c>
      <c r="E4525">
        <v>0</v>
      </c>
    </row>
    <row r="4526" spans="1:5" x14ac:dyDescent="0.35">
      <c r="A4526">
        <v>0</v>
      </c>
      <c r="B4526">
        <v>0</v>
      </c>
      <c r="C4526">
        <v>0</v>
      </c>
      <c r="D4526">
        <v>0</v>
      </c>
      <c r="E4526">
        <v>0</v>
      </c>
    </row>
    <row r="4527" spans="1:5" x14ac:dyDescent="0.35">
      <c r="A4527">
        <v>0</v>
      </c>
      <c r="B4527">
        <v>0</v>
      </c>
      <c r="C4527">
        <v>0</v>
      </c>
      <c r="D4527">
        <v>0</v>
      </c>
      <c r="E4527">
        <v>0</v>
      </c>
    </row>
    <row r="4528" spans="1:5" x14ac:dyDescent="0.35">
      <c r="A4528">
        <v>0</v>
      </c>
      <c r="B4528">
        <v>0</v>
      </c>
      <c r="C4528">
        <v>0</v>
      </c>
      <c r="D4528">
        <v>0</v>
      </c>
      <c r="E4528">
        <v>0</v>
      </c>
    </row>
    <row r="4529" spans="1:5" x14ac:dyDescent="0.35">
      <c r="A4529">
        <v>0</v>
      </c>
      <c r="B4529">
        <v>0</v>
      </c>
      <c r="C4529">
        <v>0</v>
      </c>
      <c r="D4529">
        <v>0</v>
      </c>
      <c r="E4529">
        <v>0</v>
      </c>
    </row>
    <row r="4530" spans="1:5" x14ac:dyDescent="0.35">
      <c r="A4530">
        <v>0</v>
      </c>
      <c r="B4530">
        <v>0</v>
      </c>
      <c r="C4530">
        <v>0</v>
      </c>
      <c r="D4530">
        <v>0</v>
      </c>
      <c r="E4530">
        <v>0</v>
      </c>
    </row>
    <row r="4531" spans="1:5" x14ac:dyDescent="0.35">
      <c r="A4531">
        <v>0</v>
      </c>
      <c r="B4531">
        <v>0</v>
      </c>
      <c r="C4531">
        <v>0</v>
      </c>
      <c r="D4531">
        <v>0</v>
      </c>
      <c r="E4531">
        <v>0</v>
      </c>
    </row>
    <row r="4532" spans="1:5" x14ac:dyDescent="0.35">
      <c r="A4532">
        <v>0</v>
      </c>
      <c r="B4532">
        <v>0</v>
      </c>
      <c r="C4532">
        <v>0</v>
      </c>
      <c r="D4532">
        <v>0</v>
      </c>
      <c r="E4532">
        <v>0</v>
      </c>
    </row>
    <row r="4533" spans="1:5" x14ac:dyDescent="0.35">
      <c r="A4533">
        <v>0</v>
      </c>
      <c r="B4533">
        <v>0</v>
      </c>
      <c r="C4533">
        <v>0</v>
      </c>
      <c r="D4533">
        <v>0</v>
      </c>
      <c r="E4533">
        <v>0</v>
      </c>
    </row>
    <row r="4534" spans="1:5" x14ac:dyDescent="0.35">
      <c r="A4534">
        <v>0</v>
      </c>
      <c r="B4534">
        <v>0</v>
      </c>
      <c r="C4534">
        <v>0</v>
      </c>
      <c r="D4534">
        <v>0</v>
      </c>
      <c r="E4534">
        <v>0</v>
      </c>
    </row>
    <row r="4535" spans="1:5" x14ac:dyDescent="0.35">
      <c r="A4535">
        <v>0</v>
      </c>
      <c r="B4535">
        <v>0</v>
      </c>
      <c r="C4535">
        <v>0</v>
      </c>
      <c r="D4535">
        <v>0</v>
      </c>
      <c r="E4535">
        <v>0</v>
      </c>
    </row>
    <row r="4536" spans="1:5" x14ac:dyDescent="0.35">
      <c r="A4536">
        <v>0</v>
      </c>
      <c r="B4536">
        <v>0</v>
      </c>
      <c r="C4536">
        <v>0</v>
      </c>
      <c r="D4536">
        <v>0</v>
      </c>
      <c r="E4536">
        <v>0</v>
      </c>
    </row>
    <row r="4537" spans="1:5" x14ac:dyDescent="0.35">
      <c r="A4537">
        <v>0</v>
      </c>
      <c r="B4537">
        <v>0</v>
      </c>
      <c r="C4537">
        <v>0</v>
      </c>
      <c r="D4537">
        <v>0</v>
      </c>
      <c r="E4537">
        <v>0</v>
      </c>
    </row>
    <row r="4538" spans="1:5" x14ac:dyDescent="0.35">
      <c r="A4538">
        <v>0</v>
      </c>
      <c r="B4538">
        <v>0</v>
      </c>
      <c r="C4538">
        <v>0</v>
      </c>
      <c r="D4538">
        <v>0</v>
      </c>
      <c r="E4538">
        <v>0</v>
      </c>
    </row>
    <row r="4539" spans="1:5" x14ac:dyDescent="0.35">
      <c r="A4539">
        <v>0</v>
      </c>
      <c r="B4539">
        <v>0</v>
      </c>
      <c r="C4539">
        <v>0</v>
      </c>
      <c r="D4539">
        <v>0</v>
      </c>
      <c r="E4539">
        <v>0</v>
      </c>
    </row>
    <row r="4540" spans="1:5" x14ac:dyDescent="0.35">
      <c r="A4540">
        <v>0</v>
      </c>
      <c r="B4540">
        <v>0</v>
      </c>
      <c r="C4540">
        <v>0</v>
      </c>
      <c r="D4540">
        <v>0</v>
      </c>
      <c r="E4540">
        <v>0</v>
      </c>
    </row>
    <row r="4541" spans="1:5" x14ac:dyDescent="0.35">
      <c r="A4541">
        <v>0</v>
      </c>
      <c r="B4541">
        <v>0</v>
      </c>
      <c r="C4541">
        <v>0</v>
      </c>
      <c r="D4541">
        <v>0</v>
      </c>
      <c r="E4541">
        <v>0</v>
      </c>
    </row>
    <row r="4542" spans="1:5" x14ac:dyDescent="0.35">
      <c r="A4542">
        <v>0</v>
      </c>
      <c r="B4542">
        <v>0</v>
      </c>
      <c r="C4542">
        <v>0</v>
      </c>
      <c r="D4542">
        <v>0</v>
      </c>
      <c r="E4542">
        <v>0</v>
      </c>
    </row>
    <row r="4543" spans="1:5" x14ac:dyDescent="0.35">
      <c r="A4543">
        <v>0</v>
      </c>
      <c r="B4543">
        <v>0</v>
      </c>
      <c r="C4543">
        <v>0</v>
      </c>
      <c r="D4543">
        <v>0</v>
      </c>
      <c r="E4543">
        <v>0</v>
      </c>
    </row>
    <row r="4544" spans="1:5" x14ac:dyDescent="0.35">
      <c r="A4544">
        <v>0</v>
      </c>
      <c r="B4544">
        <v>0</v>
      </c>
      <c r="C4544">
        <v>0</v>
      </c>
      <c r="D4544">
        <v>0</v>
      </c>
      <c r="E4544">
        <v>0</v>
      </c>
    </row>
    <row r="4545" spans="1:5" x14ac:dyDescent="0.35">
      <c r="A4545">
        <v>0</v>
      </c>
      <c r="B4545">
        <v>0</v>
      </c>
      <c r="C4545">
        <v>0</v>
      </c>
      <c r="D4545">
        <v>0</v>
      </c>
      <c r="E4545">
        <v>0</v>
      </c>
    </row>
    <row r="4546" spans="1:5" x14ac:dyDescent="0.35">
      <c r="A4546">
        <v>0</v>
      </c>
      <c r="B4546">
        <v>0</v>
      </c>
      <c r="C4546">
        <v>0</v>
      </c>
      <c r="D4546">
        <v>0</v>
      </c>
      <c r="E4546">
        <v>0</v>
      </c>
    </row>
    <row r="4547" spans="1:5" x14ac:dyDescent="0.35">
      <c r="A4547">
        <v>0</v>
      </c>
      <c r="B4547">
        <v>0</v>
      </c>
      <c r="C4547">
        <v>0</v>
      </c>
      <c r="D4547">
        <v>0</v>
      </c>
      <c r="E4547">
        <v>0</v>
      </c>
    </row>
    <row r="4548" spans="1:5" x14ac:dyDescent="0.35">
      <c r="A4548">
        <v>0</v>
      </c>
      <c r="B4548">
        <v>0</v>
      </c>
      <c r="C4548">
        <v>0</v>
      </c>
      <c r="D4548">
        <v>0</v>
      </c>
      <c r="E4548">
        <v>0</v>
      </c>
    </row>
    <row r="4549" spans="1:5" x14ac:dyDescent="0.35">
      <c r="A4549">
        <v>0</v>
      </c>
      <c r="B4549">
        <v>0</v>
      </c>
      <c r="C4549">
        <v>0</v>
      </c>
      <c r="D4549">
        <v>0</v>
      </c>
      <c r="E4549">
        <v>0</v>
      </c>
    </row>
    <row r="4550" spans="1:5" x14ac:dyDescent="0.35">
      <c r="A4550">
        <v>0</v>
      </c>
      <c r="B4550">
        <v>0</v>
      </c>
      <c r="C4550">
        <v>0</v>
      </c>
      <c r="D4550">
        <v>0</v>
      </c>
      <c r="E4550">
        <v>0</v>
      </c>
    </row>
    <row r="4551" spans="1:5" x14ac:dyDescent="0.35">
      <c r="A4551">
        <v>0</v>
      </c>
      <c r="B4551">
        <v>0</v>
      </c>
      <c r="C4551">
        <v>0</v>
      </c>
      <c r="D4551">
        <v>0</v>
      </c>
      <c r="E4551">
        <v>0</v>
      </c>
    </row>
    <row r="4552" spans="1:5" x14ac:dyDescent="0.35">
      <c r="A4552">
        <v>0</v>
      </c>
      <c r="B4552">
        <v>0</v>
      </c>
      <c r="C4552">
        <v>0</v>
      </c>
      <c r="D4552">
        <v>0</v>
      </c>
      <c r="E4552">
        <v>0</v>
      </c>
    </row>
    <row r="4553" spans="1:5" x14ac:dyDescent="0.35">
      <c r="A4553">
        <v>0</v>
      </c>
      <c r="B4553">
        <v>0</v>
      </c>
      <c r="C4553">
        <v>0</v>
      </c>
      <c r="D4553">
        <v>0</v>
      </c>
      <c r="E4553">
        <v>0</v>
      </c>
    </row>
    <row r="4554" spans="1:5" x14ac:dyDescent="0.35">
      <c r="A4554">
        <v>0</v>
      </c>
      <c r="B4554">
        <v>0</v>
      </c>
      <c r="C4554">
        <v>0</v>
      </c>
      <c r="D4554">
        <v>0</v>
      </c>
      <c r="E4554">
        <v>0</v>
      </c>
    </row>
    <row r="4555" spans="1:5" x14ac:dyDescent="0.35">
      <c r="A4555">
        <v>0</v>
      </c>
      <c r="B4555">
        <v>0</v>
      </c>
      <c r="C4555">
        <v>0</v>
      </c>
      <c r="D4555">
        <v>0</v>
      </c>
      <c r="E4555">
        <v>0</v>
      </c>
    </row>
    <row r="4556" spans="1:5" x14ac:dyDescent="0.35">
      <c r="A4556">
        <v>0</v>
      </c>
      <c r="B4556">
        <v>0</v>
      </c>
      <c r="C4556">
        <v>0</v>
      </c>
      <c r="D4556">
        <v>0</v>
      </c>
      <c r="E4556">
        <v>0</v>
      </c>
    </row>
    <row r="4557" spans="1:5" x14ac:dyDescent="0.35">
      <c r="A4557">
        <v>0</v>
      </c>
      <c r="B4557">
        <v>0</v>
      </c>
      <c r="C4557">
        <v>0</v>
      </c>
      <c r="D4557">
        <v>0</v>
      </c>
      <c r="E4557">
        <v>0</v>
      </c>
    </row>
    <row r="4558" spans="1:5" x14ac:dyDescent="0.35">
      <c r="A4558">
        <v>0</v>
      </c>
      <c r="B4558">
        <v>0</v>
      </c>
      <c r="C4558">
        <v>0</v>
      </c>
      <c r="D4558">
        <v>0</v>
      </c>
      <c r="E4558">
        <v>0</v>
      </c>
    </row>
    <row r="4559" spans="1:5" x14ac:dyDescent="0.35">
      <c r="A4559">
        <v>0</v>
      </c>
      <c r="B4559">
        <v>0</v>
      </c>
      <c r="C4559">
        <v>0</v>
      </c>
      <c r="D4559">
        <v>0</v>
      </c>
      <c r="E4559">
        <v>0</v>
      </c>
    </row>
    <row r="4560" spans="1:5" x14ac:dyDescent="0.35">
      <c r="A4560">
        <v>0</v>
      </c>
      <c r="B4560">
        <v>0</v>
      </c>
      <c r="C4560">
        <v>0</v>
      </c>
      <c r="D4560">
        <v>0</v>
      </c>
      <c r="E4560">
        <v>0</v>
      </c>
    </row>
    <row r="4561" spans="1:5" x14ac:dyDescent="0.35">
      <c r="A4561">
        <v>0</v>
      </c>
      <c r="B4561">
        <v>0</v>
      </c>
      <c r="C4561">
        <v>0</v>
      </c>
      <c r="D4561">
        <v>0</v>
      </c>
      <c r="E4561">
        <v>0</v>
      </c>
    </row>
    <row r="4562" spans="1:5" x14ac:dyDescent="0.35">
      <c r="A4562">
        <v>0</v>
      </c>
      <c r="B4562">
        <v>0</v>
      </c>
      <c r="C4562">
        <v>0</v>
      </c>
      <c r="D4562">
        <v>0</v>
      </c>
      <c r="E4562">
        <v>0</v>
      </c>
    </row>
    <row r="4563" spans="1:5" x14ac:dyDescent="0.35">
      <c r="A4563">
        <v>0</v>
      </c>
      <c r="B4563">
        <v>0</v>
      </c>
      <c r="C4563">
        <v>0</v>
      </c>
      <c r="D4563">
        <v>0</v>
      </c>
      <c r="E4563">
        <v>0</v>
      </c>
    </row>
    <row r="4564" spans="1:5" x14ac:dyDescent="0.35">
      <c r="A4564">
        <v>0</v>
      </c>
      <c r="B4564">
        <v>0</v>
      </c>
      <c r="C4564">
        <v>0</v>
      </c>
      <c r="D4564">
        <v>0</v>
      </c>
      <c r="E4564">
        <v>0</v>
      </c>
    </row>
    <row r="4565" spans="1:5" x14ac:dyDescent="0.35">
      <c r="A4565">
        <v>0</v>
      </c>
      <c r="B4565">
        <v>0</v>
      </c>
      <c r="C4565">
        <v>0</v>
      </c>
      <c r="D4565">
        <v>0</v>
      </c>
      <c r="E4565">
        <v>0</v>
      </c>
    </row>
    <row r="4566" spans="1:5" x14ac:dyDescent="0.35">
      <c r="A4566">
        <v>0</v>
      </c>
      <c r="B4566">
        <v>0</v>
      </c>
      <c r="C4566">
        <v>0</v>
      </c>
      <c r="D4566">
        <v>0</v>
      </c>
      <c r="E4566">
        <v>0</v>
      </c>
    </row>
    <row r="4567" spans="1:5" x14ac:dyDescent="0.35">
      <c r="A4567">
        <v>0</v>
      </c>
      <c r="B4567">
        <v>0</v>
      </c>
      <c r="C4567">
        <v>0</v>
      </c>
      <c r="D4567">
        <v>0</v>
      </c>
      <c r="E4567">
        <v>0</v>
      </c>
    </row>
    <row r="4568" spans="1:5" x14ac:dyDescent="0.35">
      <c r="A4568">
        <v>0</v>
      </c>
      <c r="B4568">
        <v>0</v>
      </c>
      <c r="C4568">
        <v>0</v>
      </c>
      <c r="D4568">
        <v>0</v>
      </c>
      <c r="E4568">
        <v>0</v>
      </c>
    </row>
    <row r="4569" spans="1:5" x14ac:dyDescent="0.35">
      <c r="A4569">
        <v>0</v>
      </c>
      <c r="B4569">
        <v>0</v>
      </c>
      <c r="C4569">
        <v>0</v>
      </c>
      <c r="D4569">
        <v>0</v>
      </c>
      <c r="E4569">
        <v>0</v>
      </c>
    </row>
    <row r="4570" spans="1:5" x14ac:dyDescent="0.35">
      <c r="A4570">
        <v>0</v>
      </c>
      <c r="B4570">
        <v>0</v>
      </c>
      <c r="C4570">
        <v>0</v>
      </c>
      <c r="D4570">
        <v>0</v>
      </c>
      <c r="E4570">
        <v>0</v>
      </c>
    </row>
    <row r="4571" spans="1:5" x14ac:dyDescent="0.35">
      <c r="A4571">
        <v>0</v>
      </c>
      <c r="B4571">
        <v>0</v>
      </c>
      <c r="C4571">
        <v>0</v>
      </c>
      <c r="D4571">
        <v>0</v>
      </c>
      <c r="E4571">
        <v>0</v>
      </c>
    </row>
    <row r="4572" spans="1:5" x14ac:dyDescent="0.35">
      <c r="A4572">
        <v>0</v>
      </c>
      <c r="B4572">
        <v>0</v>
      </c>
      <c r="C4572">
        <v>0</v>
      </c>
      <c r="D4572">
        <v>0</v>
      </c>
      <c r="E4572">
        <v>0</v>
      </c>
    </row>
    <row r="4573" spans="1:5" x14ac:dyDescent="0.35">
      <c r="A4573">
        <v>0</v>
      </c>
      <c r="B4573">
        <v>0</v>
      </c>
      <c r="C4573">
        <v>0</v>
      </c>
      <c r="D4573">
        <v>0</v>
      </c>
      <c r="E4573">
        <v>0</v>
      </c>
    </row>
    <row r="4574" spans="1:5" x14ac:dyDescent="0.35">
      <c r="A4574">
        <v>0</v>
      </c>
      <c r="B4574">
        <v>0</v>
      </c>
      <c r="C4574">
        <v>0</v>
      </c>
      <c r="D4574">
        <v>0</v>
      </c>
      <c r="E4574">
        <v>0</v>
      </c>
    </row>
    <row r="4575" spans="1:5" x14ac:dyDescent="0.35">
      <c r="A4575">
        <v>0</v>
      </c>
      <c r="B4575">
        <v>0</v>
      </c>
      <c r="C4575">
        <v>0</v>
      </c>
      <c r="D4575">
        <v>0</v>
      </c>
      <c r="E4575">
        <v>0</v>
      </c>
    </row>
    <row r="4576" spans="1:5" x14ac:dyDescent="0.35">
      <c r="A4576">
        <v>0</v>
      </c>
      <c r="B4576">
        <v>0</v>
      </c>
      <c r="C4576">
        <v>0</v>
      </c>
      <c r="D4576">
        <v>0</v>
      </c>
      <c r="E4576">
        <v>0</v>
      </c>
    </row>
    <row r="4577" spans="1:5" x14ac:dyDescent="0.35">
      <c r="A4577">
        <v>0</v>
      </c>
      <c r="B4577">
        <v>0</v>
      </c>
      <c r="C4577">
        <v>0</v>
      </c>
      <c r="D4577">
        <v>0</v>
      </c>
      <c r="E4577">
        <v>0</v>
      </c>
    </row>
    <row r="4578" spans="1:5" x14ac:dyDescent="0.35">
      <c r="A4578">
        <v>0</v>
      </c>
      <c r="B4578">
        <v>0</v>
      </c>
      <c r="C4578">
        <v>0</v>
      </c>
      <c r="D4578">
        <v>0</v>
      </c>
      <c r="E4578">
        <v>0</v>
      </c>
    </row>
    <row r="4579" spans="1:5" x14ac:dyDescent="0.35">
      <c r="A4579">
        <v>0</v>
      </c>
      <c r="B4579">
        <v>0</v>
      </c>
      <c r="C4579">
        <v>0</v>
      </c>
      <c r="D4579">
        <v>0</v>
      </c>
      <c r="E4579">
        <v>0</v>
      </c>
    </row>
    <row r="4580" spans="1:5" x14ac:dyDescent="0.35">
      <c r="A4580">
        <v>0</v>
      </c>
      <c r="B4580">
        <v>0</v>
      </c>
      <c r="C4580">
        <v>0</v>
      </c>
      <c r="D4580">
        <v>0</v>
      </c>
      <c r="E4580">
        <v>0</v>
      </c>
    </row>
    <row r="4581" spans="1:5" x14ac:dyDescent="0.35">
      <c r="A4581">
        <v>0</v>
      </c>
      <c r="B4581">
        <v>0</v>
      </c>
      <c r="C4581">
        <v>0</v>
      </c>
      <c r="D4581">
        <v>0</v>
      </c>
      <c r="E4581">
        <v>0</v>
      </c>
    </row>
    <row r="4582" spans="1:5" x14ac:dyDescent="0.35">
      <c r="A4582">
        <v>0</v>
      </c>
      <c r="B4582">
        <v>0</v>
      </c>
      <c r="C4582">
        <v>0</v>
      </c>
      <c r="D4582">
        <v>0</v>
      </c>
      <c r="E4582">
        <v>0</v>
      </c>
    </row>
    <row r="4583" spans="1:5" x14ac:dyDescent="0.35">
      <c r="A4583">
        <v>0</v>
      </c>
      <c r="B4583">
        <v>0</v>
      </c>
      <c r="C4583">
        <v>0</v>
      </c>
      <c r="D4583">
        <v>0</v>
      </c>
      <c r="E4583">
        <v>0</v>
      </c>
    </row>
    <row r="4584" spans="1:5" x14ac:dyDescent="0.35">
      <c r="A4584">
        <v>0</v>
      </c>
      <c r="B4584">
        <v>0</v>
      </c>
      <c r="C4584">
        <v>0</v>
      </c>
      <c r="D4584">
        <v>0</v>
      </c>
      <c r="E4584">
        <v>0</v>
      </c>
    </row>
    <row r="4585" spans="1:5" x14ac:dyDescent="0.35">
      <c r="A4585">
        <v>0</v>
      </c>
      <c r="B4585">
        <v>0</v>
      </c>
      <c r="C4585">
        <v>0</v>
      </c>
      <c r="D4585">
        <v>0</v>
      </c>
      <c r="E4585">
        <v>0</v>
      </c>
    </row>
    <row r="4586" spans="1:5" x14ac:dyDescent="0.35">
      <c r="A4586">
        <v>0</v>
      </c>
      <c r="B4586">
        <v>0</v>
      </c>
      <c r="C4586">
        <v>0</v>
      </c>
      <c r="D4586">
        <v>0</v>
      </c>
      <c r="E4586">
        <v>0</v>
      </c>
    </row>
    <row r="4587" spans="1:5" x14ac:dyDescent="0.35">
      <c r="A4587">
        <v>0</v>
      </c>
      <c r="B4587">
        <v>0</v>
      </c>
      <c r="C4587">
        <v>0</v>
      </c>
      <c r="D4587">
        <v>0</v>
      </c>
      <c r="E4587">
        <v>0</v>
      </c>
    </row>
    <row r="4588" spans="1:5" x14ac:dyDescent="0.35">
      <c r="A4588">
        <v>0</v>
      </c>
      <c r="B4588">
        <v>0</v>
      </c>
      <c r="C4588">
        <v>0</v>
      </c>
      <c r="D4588">
        <v>0</v>
      </c>
      <c r="E4588">
        <v>0</v>
      </c>
    </row>
    <row r="4589" spans="1:5" x14ac:dyDescent="0.35">
      <c r="A4589">
        <v>0</v>
      </c>
      <c r="B4589">
        <v>0</v>
      </c>
      <c r="C4589">
        <v>0</v>
      </c>
      <c r="D4589">
        <v>0</v>
      </c>
      <c r="E4589">
        <v>0</v>
      </c>
    </row>
    <row r="4590" spans="1:5" x14ac:dyDescent="0.35">
      <c r="A4590">
        <v>0</v>
      </c>
      <c r="B4590">
        <v>0</v>
      </c>
      <c r="C4590">
        <v>0</v>
      </c>
      <c r="D4590">
        <v>0</v>
      </c>
      <c r="E4590">
        <v>0</v>
      </c>
    </row>
    <row r="4591" spans="1:5" x14ac:dyDescent="0.35">
      <c r="A4591">
        <v>0</v>
      </c>
      <c r="B4591">
        <v>0</v>
      </c>
      <c r="C4591">
        <v>0</v>
      </c>
      <c r="D4591">
        <v>0</v>
      </c>
      <c r="E4591">
        <v>0</v>
      </c>
    </row>
    <row r="4592" spans="1:5" x14ac:dyDescent="0.35">
      <c r="A4592">
        <v>0</v>
      </c>
      <c r="B4592">
        <v>0</v>
      </c>
      <c r="C4592">
        <v>0</v>
      </c>
      <c r="D4592">
        <v>0</v>
      </c>
      <c r="E4592">
        <v>0</v>
      </c>
    </row>
    <row r="4593" spans="1:5" x14ac:dyDescent="0.35">
      <c r="A4593">
        <v>0</v>
      </c>
      <c r="B4593">
        <v>0</v>
      </c>
      <c r="C4593">
        <v>0</v>
      </c>
      <c r="D4593">
        <v>0</v>
      </c>
      <c r="E4593">
        <v>0</v>
      </c>
    </row>
    <row r="4594" spans="1:5" x14ac:dyDescent="0.35">
      <c r="A4594">
        <v>0</v>
      </c>
      <c r="B4594">
        <v>0</v>
      </c>
      <c r="C4594">
        <v>0</v>
      </c>
      <c r="D4594">
        <v>0</v>
      </c>
      <c r="E4594">
        <v>0</v>
      </c>
    </row>
    <row r="4595" spans="1:5" x14ac:dyDescent="0.35">
      <c r="A4595">
        <v>0</v>
      </c>
      <c r="B4595">
        <v>0</v>
      </c>
      <c r="C4595">
        <v>0</v>
      </c>
      <c r="D4595">
        <v>0</v>
      </c>
      <c r="E4595">
        <v>0</v>
      </c>
    </row>
    <row r="4596" spans="1:5" x14ac:dyDescent="0.35">
      <c r="A4596">
        <v>0</v>
      </c>
      <c r="B4596">
        <v>0</v>
      </c>
      <c r="C4596">
        <v>0</v>
      </c>
      <c r="D4596">
        <v>0</v>
      </c>
      <c r="E4596">
        <v>0</v>
      </c>
    </row>
    <row r="4597" spans="1:5" x14ac:dyDescent="0.35">
      <c r="A4597">
        <v>0</v>
      </c>
      <c r="B4597">
        <v>0</v>
      </c>
      <c r="C4597">
        <v>0</v>
      </c>
      <c r="D4597">
        <v>0</v>
      </c>
      <c r="E4597">
        <v>0</v>
      </c>
    </row>
    <row r="4598" spans="1:5" x14ac:dyDescent="0.35">
      <c r="A4598">
        <v>0</v>
      </c>
      <c r="B4598">
        <v>0</v>
      </c>
      <c r="C4598">
        <v>0</v>
      </c>
      <c r="D4598">
        <v>0</v>
      </c>
      <c r="E4598">
        <v>0</v>
      </c>
    </row>
    <row r="4599" spans="1:5" x14ac:dyDescent="0.35">
      <c r="A4599">
        <v>0</v>
      </c>
      <c r="B4599">
        <v>0</v>
      </c>
      <c r="C4599">
        <v>0</v>
      </c>
      <c r="D4599">
        <v>0</v>
      </c>
      <c r="E4599">
        <v>0</v>
      </c>
    </row>
    <row r="4600" spans="1:5" x14ac:dyDescent="0.35">
      <c r="A4600">
        <v>0</v>
      </c>
      <c r="B4600">
        <v>0</v>
      </c>
      <c r="C4600">
        <v>0</v>
      </c>
      <c r="D4600">
        <v>0</v>
      </c>
      <c r="E4600">
        <v>0</v>
      </c>
    </row>
    <row r="4601" spans="1:5" x14ac:dyDescent="0.35">
      <c r="A4601">
        <v>0</v>
      </c>
      <c r="B4601">
        <v>0</v>
      </c>
      <c r="C4601">
        <v>0</v>
      </c>
      <c r="D4601">
        <v>0</v>
      </c>
      <c r="E4601">
        <v>0</v>
      </c>
    </row>
    <row r="4602" spans="1:5" x14ac:dyDescent="0.35">
      <c r="A4602">
        <v>0</v>
      </c>
      <c r="B4602">
        <v>0</v>
      </c>
      <c r="C4602">
        <v>0</v>
      </c>
      <c r="D4602">
        <v>0</v>
      </c>
      <c r="E4602">
        <v>0</v>
      </c>
    </row>
    <row r="4603" spans="1:5" x14ac:dyDescent="0.35">
      <c r="A4603">
        <v>0</v>
      </c>
      <c r="B4603">
        <v>0</v>
      </c>
      <c r="C4603">
        <v>0</v>
      </c>
      <c r="D4603">
        <v>0</v>
      </c>
      <c r="E4603">
        <v>0</v>
      </c>
    </row>
    <row r="4604" spans="1:5" x14ac:dyDescent="0.35">
      <c r="A4604">
        <v>0</v>
      </c>
      <c r="B4604">
        <v>0</v>
      </c>
      <c r="C4604">
        <v>0</v>
      </c>
      <c r="D4604">
        <v>0</v>
      </c>
      <c r="E4604">
        <v>0</v>
      </c>
    </row>
    <row r="4605" spans="1:5" x14ac:dyDescent="0.35">
      <c r="A4605">
        <v>0</v>
      </c>
      <c r="B4605">
        <v>0</v>
      </c>
      <c r="C4605">
        <v>0</v>
      </c>
      <c r="D4605">
        <v>0</v>
      </c>
      <c r="E4605">
        <v>0</v>
      </c>
    </row>
    <row r="4606" spans="1:5" x14ac:dyDescent="0.35">
      <c r="A4606">
        <v>0</v>
      </c>
      <c r="B4606">
        <v>0</v>
      </c>
      <c r="C4606">
        <v>0</v>
      </c>
      <c r="D4606">
        <v>0</v>
      </c>
      <c r="E4606">
        <v>0</v>
      </c>
    </row>
    <row r="4607" spans="1:5" x14ac:dyDescent="0.35">
      <c r="A4607">
        <v>0</v>
      </c>
      <c r="B4607">
        <v>0</v>
      </c>
      <c r="C4607">
        <v>0</v>
      </c>
      <c r="D4607">
        <v>0</v>
      </c>
      <c r="E4607">
        <v>0</v>
      </c>
    </row>
    <row r="4608" spans="1:5" x14ac:dyDescent="0.35">
      <c r="A4608">
        <v>0</v>
      </c>
      <c r="B4608">
        <v>0</v>
      </c>
      <c r="C4608">
        <v>0</v>
      </c>
      <c r="D4608">
        <v>0</v>
      </c>
      <c r="E4608">
        <v>0</v>
      </c>
    </row>
    <row r="4609" spans="1:5" x14ac:dyDescent="0.35">
      <c r="A4609">
        <v>0</v>
      </c>
      <c r="B4609">
        <v>0</v>
      </c>
      <c r="C4609">
        <v>0</v>
      </c>
      <c r="D4609">
        <v>0</v>
      </c>
      <c r="E4609">
        <v>0</v>
      </c>
    </row>
    <row r="4610" spans="1:5" x14ac:dyDescent="0.35">
      <c r="A4610">
        <v>0</v>
      </c>
      <c r="B4610">
        <v>0</v>
      </c>
      <c r="C4610">
        <v>0</v>
      </c>
      <c r="D4610">
        <v>0</v>
      </c>
      <c r="E4610">
        <v>0</v>
      </c>
    </row>
    <row r="4611" spans="1:5" x14ac:dyDescent="0.35">
      <c r="A4611">
        <v>0</v>
      </c>
      <c r="B4611">
        <v>0</v>
      </c>
      <c r="C4611">
        <v>0</v>
      </c>
      <c r="D4611">
        <v>0</v>
      </c>
      <c r="E4611">
        <v>0</v>
      </c>
    </row>
    <row r="4612" spans="1:5" x14ac:dyDescent="0.35">
      <c r="A4612">
        <v>0</v>
      </c>
      <c r="B4612">
        <v>0</v>
      </c>
      <c r="C4612">
        <v>0</v>
      </c>
      <c r="D4612">
        <v>0</v>
      </c>
      <c r="E4612">
        <v>0</v>
      </c>
    </row>
    <row r="4613" spans="1:5" x14ac:dyDescent="0.35">
      <c r="A4613">
        <v>0</v>
      </c>
      <c r="B4613">
        <v>0</v>
      </c>
      <c r="C4613">
        <v>0</v>
      </c>
      <c r="D4613">
        <v>0</v>
      </c>
      <c r="E4613">
        <v>0</v>
      </c>
    </row>
    <row r="4614" spans="1:5" x14ac:dyDescent="0.35">
      <c r="A4614">
        <v>0</v>
      </c>
      <c r="B4614">
        <v>0</v>
      </c>
      <c r="C4614">
        <v>0</v>
      </c>
      <c r="D4614">
        <v>0</v>
      </c>
      <c r="E4614">
        <v>0</v>
      </c>
    </row>
    <row r="4615" spans="1:5" x14ac:dyDescent="0.35">
      <c r="A4615">
        <v>0</v>
      </c>
      <c r="B4615">
        <v>0</v>
      </c>
      <c r="C4615">
        <v>0</v>
      </c>
      <c r="D4615">
        <v>0</v>
      </c>
      <c r="E4615">
        <v>0</v>
      </c>
    </row>
    <row r="4616" spans="1:5" x14ac:dyDescent="0.35">
      <c r="A4616">
        <v>0</v>
      </c>
      <c r="B4616">
        <v>0</v>
      </c>
      <c r="C4616">
        <v>0</v>
      </c>
      <c r="D4616">
        <v>0</v>
      </c>
      <c r="E4616">
        <v>0</v>
      </c>
    </row>
    <row r="4617" spans="1:5" x14ac:dyDescent="0.35">
      <c r="A4617">
        <v>0</v>
      </c>
      <c r="B4617">
        <v>0</v>
      </c>
      <c r="C4617">
        <v>0</v>
      </c>
      <c r="D4617">
        <v>0</v>
      </c>
      <c r="E4617">
        <v>0</v>
      </c>
    </row>
    <row r="4618" spans="1:5" x14ac:dyDescent="0.35">
      <c r="A4618">
        <v>0</v>
      </c>
      <c r="B4618">
        <v>0</v>
      </c>
      <c r="C4618">
        <v>0</v>
      </c>
      <c r="D4618">
        <v>0</v>
      </c>
      <c r="E4618">
        <v>0</v>
      </c>
    </row>
    <row r="4619" spans="1:5" x14ac:dyDescent="0.35">
      <c r="A4619">
        <v>0</v>
      </c>
      <c r="B4619">
        <v>0</v>
      </c>
      <c r="C4619">
        <v>0</v>
      </c>
      <c r="D4619">
        <v>0</v>
      </c>
      <c r="E4619">
        <v>0</v>
      </c>
    </row>
    <row r="4620" spans="1:5" x14ac:dyDescent="0.35">
      <c r="A4620">
        <v>0</v>
      </c>
      <c r="B4620">
        <v>0</v>
      </c>
      <c r="C4620">
        <v>0</v>
      </c>
      <c r="D4620">
        <v>0</v>
      </c>
      <c r="E4620">
        <v>0</v>
      </c>
    </row>
    <row r="4621" spans="1:5" x14ac:dyDescent="0.35">
      <c r="A4621">
        <v>0</v>
      </c>
      <c r="B4621">
        <v>0</v>
      </c>
      <c r="C4621">
        <v>0</v>
      </c>
      <c r="D4621">
        <v>0</v>
      </c>
      <c r="E4621">
        <v>0</v>
      </c>
    </row>
    <row r="4622" spans="1:5" x14ac:dyDescent="0.35">
      <c r="A4622">
        <v>0</v>
      </c>
      <c r="B4622">
        <v>0</v>
      </c>
      <c r="C4622">
        <v>0</v>
      </c>
      <c r="D4622">
        <v>0</v>
      </c>
      <c r="E4622">
        <v>0</v>
      </c>
    </row>
    <row r="4623" spans="1:5" x14ac:dyDescent="0.35">
      <c r="A4623">
        <v>0</v>
      </c>
      <c r="B4623">
        <v>0</v>
      </c>
      <c r="C4623">
        <v>0</v>
      </c>
      <c r="D4623">
        <v>0</v>
      </c>
      <c r="E4623">
        <v>0</v>
      </c>
    </row>
    <row r="4624" spans="1:5" x14ac:dyDescent="0.35">
      <c r="A4624">
        <v>0</v>
      </c>
      <c r="B4624">
        <v>0</v>
      </c>
      <c r="C4624">
        <v>0</v>
      </c>
      <c r="D4624">
        <v>0</v>
      </c>
      <c r="E4624">
        <v>0</v>
      </c>
    </row>
    <row r="4625" spans="1:5" x14ac:dyDescent="0.35">
      <c r="A4625">
        <v>0</v>
      </c>
      <c r="B4625">
        <v>0</v>
      </c>
      <c r="C4625">
        <v>0</v>
      </c>
      <c r="D4625">
        <v>0</v>
      </c>
      <c r="E4625">
        <v>0</v>
      </c>
    </row>
    <row r="4626" spans="1:5" x14ac:dyDescent="0.35">
      <c r="A4626">
        <v>0</v>
      </c>
      <c r="B4626">
        <v>0</v>
      </c>
      <c r="C4626">
        <v>0</v>
      </c>
      <c r="D4626">
        <v>0</v>
      </c>
      <c r="E4626">
        <v>0</v>
      </c>
    </row>
    <row r="4627" spans="1:5" x14ac:dyDescent="0.35">
      <c r="A4627">
        <v>0</v>
      </c>
      <c r="B4627">
        <v>0</v>
      </c>
      <c r="C4627">
        <v>0</v>
      </c>
      <c r="D4627">
        <v>0</v>
      </c>
      <c r="E4627">
        <v>0</v>
      </c>
    </row>
    <row r="4628" spans="1:5" x14ac:dyDescent="0.35">
      <c r="A4628">
        <v>0</v>
      </c>
      <c r="B4628">
        <v>0</v>
      </c>
      <c r="C4628">
        <v>0</v>
      </c>
      <c r="D4628">
        <v>0</v>
      </c>
      <c r="E4628">
        <v>0</v>
      </c>
    </row>
    <row r="4629" spans="1:5" x14ac:dyDescent="0.35">
      <c r="A4629">
        <v>0</v>
      </c>
      <c r="B4629">
        <v>0</v>
      </c>
      <c r="C4629">
        <v>0</v>
      </c>
      <c r="D4629">
        <v>0</v>
      </c>
      <c r="E4629">
        <v>0</v>
      </c>
    </row>
    <row r="4630" spans="1:5" x14ac:dyDescent="0.35">
      <c r="A4630">
        <v>0</v>
      </c>
      <c r="B4630">
        <v>0</v>
      </c>
      <c r="C4630">
        <v>0</v>
      </c>
      <c r="D4630">
        <v>0</v>
      </c>
      <c r="E4630">
        <v>0</v>
      </c>
    </row>
    <row r="4631" spans="1:5" x14ac:dyDescent="0.35">
      <c r="A4631">
        <v>0</v>
      </c>
      <c r="B4631">
        <v>0</v>
      </c>
      <c r="C4631">
        <v>0</v>
      </c>
      <c r="D4631">
        <v>0</v>
      </c>
      <c r="E4631">
        <v>0</v>
      </c>
    </row>
    <row r="4632" spans="1:5" x14ac:dyDescent="0.35">
      <c r="A4632">
        <v>0</v>
      </c>
      <c r="B4632">
        <v>0</v>
      </c>
      <c r="C4632">
        <v>0</v>
      </c>
      <c r="D4632">
        <v>0</v>
      </c>
      <c r="E4632">
        <v>0</v>
      </c>
    </row>
    <row r="4633" spans="1:5" x14ac:dyDescent="0.35">
      <c r="A4633">
        <v>0</v>
      </c>
      <c r="B4633">
        <v>0</v>
      </c>
      <c r="C4633">
        <v>0</v>
      </c>
      <c r="D4633">
        <v>0</v>
      </c>
      <c r="E4633">
        <v>0</v>
      </c>
    </row>
    <row r="4634" spans="1:5" x14ac:dyDescent="0.35">
      <c r="A4634">
        <v>0</v>
      </c>
      <c r="B4634">
        <v>0</v>
      </c>
      <c r="C4634">
        <v>0</v>
      </c>
      <c r="D4634">
        <v>0</v>
      </c>
      <c r="E4634">
        <v>0</v>
      </c>
    </row>
    <row r="4635" spans="1:5" x14ac:dyDescent="0.35">
      <c r="A4635">
        <v>0</v>
      </c>
      <c r="B4635">
        <v>0</v>
      </c>
      <c r="C4635">
        <v>0</v>
      </c>
      <c r="D4635">
        <v>0</v>
      </c>
      <c r="E4635">
        <v>0</v>
      </c>
    </row>
    <row r="4636" spans="1:5" x14ac:dyDescent="0.35">
      <c r="A4636">
        <v>0</v>
      </c>
      <c r="B4636">
        <v>0</v>
      </c>
      <c r="C4636">
        <v>0</v>
      </c>
      <c r="D4636">
        <v>0</v>
      </c>
      <c r="E4636">
        <v>0</v>
      </c>
    </row>
    <row r="4637" spans="1:5" x14ac:dyDescent="0.35">
      <c r="A4637">
        <v>0</v>
      </c>
      <c r="B4637">
        <v>0</v>
      </c>
      <c r="C4637">
        <v>0</v>
      </c>
      <c r="D4637">
        <v>0</v>
      </c>
      <c r="E4637">
        <v>0</v>
      </c>
    </row>
    <row r="4638" spans="1:5" x14ac:dyDescent="0.35">
      <c r="A4638">
        <v>0</v>
      </c>
      <c r="B4638">
        <v>0</v>
      </c>
      <c r="C4638">
        <v>0</v>
      </c>
      <c r="D4638">
        <v>0</v>
      </c>
      <c r="E4638">
        <v>0</v>
      </c>
    </row>
    <row r="4639" spans="1:5" x14ac:dyDescent="0.35">
      <c r="A4639">
        <v>0</v>
      </c>
      <c r="B4639">
        <v>0</v>
      </c>
      <c r="C4639">
        <v>0</v>
      </c>
      <c r="D4639">
        <v>0</v>
      </c>
      <c r="E4639">
        <v>0</v>
      </c>
    </row>
    <row r="4640" spans="1:5" x14ac:dyDescent="0.35">
      <c r="A4640">
        <v>0</v>
      </c>
      <c r="B4640">
        <v>0</v>
      </c>
      <c r="C4640">
        <v>0</v>
      </c>
      <c r="D4640">
        <v>0</v>
      </c>
      <c r="E4640">
        <v>0</v>
      </c>
    </row>
    <row r="4641" spans="1:5" x14ac:dyDescent="0.35">
      <c r="A4641">
        <v>0</v>
      </c>
      <c r="B4641">
        <v>0</v>
      </c>
      <c r="C4641">
        <v>0</v>
      </c>
      <c r="D4641">
        <v>0</v>
      </c>
      <c r="E4641">
        <v>0</v>
      </c>
    </row>
    <row r="4642" spans="1:5" x14ac:dyDescent="0.35">
      <c r="A4642">
        <v>0</v>
      </c>
      <c r="B4642">
        <v>0</v>
      </c>
      <c r="C4642">
        <v>0</v>
      </c>
      <c r="D4642">
        <v>0</v>
      </c>
      <c r="E4642">
        <v>0</v>
      </c>
    </row>
    <row r="4643" spans="1:5" x14ac:dyDescent="0.35">
      <c r="A4643">
        <v>0</v>
      </c>
      <c r="B4643">
        <v>0</v>
      </c>
      <c r="C4643">
        <v>0</v>
      </c>
      <c r="D4643">
        <v>0</v>
      </c>
      <c r="E4643">
        <v>0</v>
      </c>
    </row>
    <row r="4644" spans="1:5" x14ac:dyDescent="0.35">
      <c r="A4644">
        <v>0</v>
      </c>
      <c r="B4644">
        <v>0</v>
      </c>
      <c r="C4644">
        <v>0</v>
      </c>
      <c r="D4644">
        <v>0</v>
      </c>
      <c r="E4644">
        <v>0</v>
      </c>
    </row>
    <row r="4645" spans="1:5" x14ac:dyDescent="0.35">
      <c r="A4645">
        <v>0</v>
      </c>
      <c r="B4645">
        <v>0</v>
      </c>
      <c r="C4645">
        <v>0</v>
      </c>
      <c r="D4645">
        <v>0</v>
      </c>
      <c r="E4645">
        <v>0</v>
      </c>
    </row>
    <row r="4646" spans="1:5" x14ac:dyDescent="0.35">
      <c r="A4646">
        <v>0</v>
      </c>
      <c r="B4646">
        <v>0</v>
      </c>
      <c r="C4646">
        <v>0</v>
      </c>
      <c r="D4646">
        <v>0</v>
      </c>
      <c r="E4646">
        <v>0</v>
      </c>
    </row>
    <row r="4647" spans="1:5" x14ac:dyDescent="0.35">
      <c r="A4647">
        <v>0</v>
      </c>
      <c r="B4647">
        <v>0</v>
      </c>
      <c r="C4647">
        <v>0</v>
      </c>
      <c r="D4647">
        <v>0</v>
      </c>
      <c r="E4647">
        <v>0</v>
      </c>
    </row>
    <row r="4648" spans="1:5" x14ac:dyDescent="0.35">
      <c r="A4648">
        <v>0</v>
      </c>
      <c r="B4648">
        <v>0</v>
      </c>
      <c r="C4648">
        <v>0</v>
      </c>
      <c r="D4648">
        <v>0</v>
      </c>
      <c r="E4648">
        <v>0</v>
      </c>
    </row>
    <row r="4649" spans="1:5" x14ac:dyDescent="0.35">
      <c r="A4649">
        <v>0</v>
      </c>
      <c r="B4649">
        <v>0</v>
      </c>
      <c r="C4649">
        <v>0</v>
      </c>
      <c r="D4649">
        <v>0</v>
      </c>
      <c r="E4649">
        <v>0</v>
      </c>
    </row>
    <row r="4650" spans="1:5" x14ac:dyDescent="0.35">
      <c r="A4650">
        <v>0</v>
      </c>
      <c r="B4650">
        <v>0</v>
      </c>
      <c r="C4650">
        <v>0</v>
      </c>
      <c r="D4650">
        <v>0</v>
      </c>
      <c r="E4650">
        <v>0</v>
      </c>
    </row>
    <row r="4651" spans="1:5" x14ac:dyDescent="0.35">
      <c r="A4651">
        <v>0</v>
      </c>
      <c r="B4651">
        <v>0</v>
      </c>
      <c r="C4651">
        <v>0</v>
      </c>
      <c r="D4651">
        <v>0</v>
      </c>
      <c r="E4651">
        <v>0</v>
      </c>
    </row>
    <row r="4652" spans="1:5" x14ac:dyDescent="0.35">
      <c r="A4652">
        <v>0</v>
      </c>
      <c r="B4652">
        <v>0</v>
      </c>
      <c r="C4652">
        <v>0</v>
      </c>
      <c r="D4652">
        <v>0</v>
      </c>
      <c r="E4652">
        <v>0</v>
      </c>
    </row>
    <row r="4653" spans="1:5" x14ac:dyDescent="0.35">
      <c r="A4653">
        <v>0</v>
      </c>
      <c r="B4653">
        <v>0</v>
      </c>
      <c r="C4653">
        <v>0</v>
      </c>
      <c r="D4653">
        <v>0</v>
      </c>
      <c r="E4653">
        <v>0</v>
      </c>
    </row>
    <row r="4654" spans="1:5" x14ac:dyDescent="0.35">
      <c r="A4654">
        <v>0</v>
      </c>
      <c r="B4654">
        <v>0</v>
      </c>
      <c r="C4654">
        <v>0</v>
      </c>
      <c r="D4654">
        <v>0</v>
      </c>
      <c r="E4654">
        <v>0</v>
      </c>
    </row>
    <row r="4655" spans="1:5" x14ac:dyDescent="0.35">
      <c r="A4655">
        <v>0</v>
      </c>
      <c r="B4655">
        <v>0</v>
      </c>
      <c r="C4655">
        <v>0</v>
      </c>
      <c r="D4655">
        <v>0</v>
      </c>
      <c r="E4655">
        <v>0</v>
      </c>
    </row>
    <row r="4656" spans="1:5" x14ac:dyDescent="0.35">
      <c r="A4656">
        <v>0</v>
      </c>
      <c r="B4656">
        <v>0</v>
      </c>
      <c r="C4656">
        <v>0</v>
      </c>
      <c r="D4656">
        <v>0</v>
      </c>
      <c r="E4656">
        <v>0</v>
      </c>
    </row>
    <row r="4657" spans="1:5" x14ac:dyDescent="0.35">
      <c r="A4657">
        <v>0</v>
      </c>
      <c r="B4657">
        <v>0</v>
      </c>
      <c r="C4657">
        <v>0</v>
      </c>
      <c r="D4657">
        <v>0</v>
      </c>
      <c r="E4657">
        <v>0</v>
      </c>
    </row>
    <row r="4658" spans="1:5" x14ac:dyDescent="0.35">
      <c r="A4658">
        <v>0</v>
      </c>
      <c r="B4658">
        <v>0</v>
      </c>
      <c r="C4658">
        <v>0</v>
      </c>
      <c r="D4658">
        <v>0</v>
      </c>
      <c r="E4658">
        <v>0</v>
      </c>
    </row>
    <row r="4659" spans="1:5" x14ac:dyDescent="0.35">
      <c r="A4659">
        <v>0</v>
      </c>
      <c r="B4659">
        <v>0</v>
      </c>
      <c r="C4659">
        <v>0</v>
      </c>
      <c r="D4659">
        <v>0</v>
      </c>
      <c r="E4659">
        <v>0</v>
      </c>
    </row>
    <row r="4660" spans="1:5" x14ac:dyDescent="0.35">
      <c r="A4660">
        <v>0</v>
      </c>
      <c r="B4660">
        <v>0</v>
      </c>
      <c r="C4660">
        <v>0</v>
      </c>
      <c r="D4660">
        <v>0</v>
      </c>
      <c r="E4660">
        <v>0</v>
      </c>
    </row>
    <row r="4661" spans="1:5" x14ac:dyDescent="0.35">
      <c r="A4661">
        <v>0</v>
      </c>
      <c r="B4661">
        <v>0</v>
      </c>
      <c r="C4661">
        <v>0</v>
      </c>
      <c r="D4661">
        <v>0</v>
      </c>
      <c r="E4661">
        <v>0</v>
      </c>
    </row>
    <row r="4662" spans="1:5" x14ac:dyDescent="0.35">
      <c r="A4662">
        <v>0</v>
      </c>
      <c r="B4662">
        <v>0</v>
      </c>
      <c r="C4662">
        <v>0</v>
      </c>
      <c r="D4662">
        <v>0</v>
      </c>
      <c r="E4662">
        <v>0</v>
      </c>
    </row>
    <row r="4663" spans="1:5" x14ac:dyDescent="0.35">
      <c r="A4663">
        <v>0</v>
      </c>
      <c r="B4663">
        <v>0</v>
      </c>
      <c r="C4663">
        <v>0</v>
      </c>
      <c r="D4663">
        <v>0</v>
      </c>
      <c r="E4663">
        <v>0</v>
      </c>
    </row>
    <row r="4664" spans="1:5" x14ac:dyDescent="0.35">
      <c r="A4664">
        <v>0</v>
      </c>
      <c r="B4664">
        <v>0</v>
      </c>
      <c r="C4664">
        <v>0</v>
      </c>
      <c r="D4664">
        <v>0</v>
      </c>
      <c r="E4664">
        <v>0</v>
      </c>
    </row>
    <row r="4665" spans="1:5" x14ac:dyDescent="0.35">
      <c r="A4665">
        <v>0</v>
      </c>
      <c r="B4665">
        <v>0</v>
      </c>
      <c r="C4665">
        <v>0</v>
      </c>
      <c r="D4665">
        <v>0</v>
      </c>
      <c r="E4665">
        <v>0</v>
      </c>
    </row>
    <row r="4666" spans="1:5" x14ac:dyDescent="0.35">
      <c r="A4666">
        <v>0</v>
      </c>
      <c r="B4666">
        <v>0</v>
      </c>
      <c r="C4666">
        <v>0</v>
      </c>
      <c r="D4666">
        <v>0</v>
      </c>
      <c r="E4666">
        <v>0</v>
      </c>
    </row>
    <row r="4667" spans="1:5" x14ac:dyDescent="0.35">
      <c r="A4667">
        <v>0</v>
      </c>
      <c r="B4667">
        <v>0</v>
      </c>
      <c r="C4667">
        <v>0</v>
      </c>
      <c r="D4667">
        <v>0</v>
      </c>
      <c r="E4667">
        <v>0</v>
      </c>
    </row>
    <row r="4668" spans="1:5" x14ac:dyDescent="0.35">
      <c r="A4668">
        <v>0</v>
      </c>
      <c r="B4668">
        <v>0</v>
      </c>
      <c r="C4668">
        <v>0</v>
      </c>
      <c r="D4668">
        <v>0</v>
      </c>
      <c r="E4668">
        <v>0</v>
      </c>
    </row>
    <row r="4669" spans="1:5" x14ac:dyDescent="0.35">
      <c r="A4669">
        <v>0</v>
      </c>
      <c r="B4669">
        <v>0</v>
      </c>
      <c r="C4669">
        <v>0</v>
      </c>
      <c r="D4669">
        <v>0</v>
      </c>
      <c r="E4669">
        <v>0</v>
      </c>
    </row>
    <row r="4670" spans="1:5" x14ac:dyDescent="0.35">
      <c r="A4670">
        <v>0</v>
      </c>
      <c r="B4670">
        <v>0</v>
      </c>
      <c r="C4670">
        <v>0</v>
      </c>
      <c r="D4670">
        <v>0</v>
      </c>
      <c r="E4670">
        <v>0</v>
      </c>
    </row>
    <row r="4671" spans="1:5" x14ac:dyDescent="0.35">
      <c r="A4671">
        <v>0</v>
      </c>
      <c r="B4671">
        <v>0</v>
      </c>
      <c r="C4671">
        <v>0</v>
      </c>
      <c r="D4671">
        <v>0</v>
      </c>
      <c r="E4671">
        <v>0</v>
      </c>
    </row>
    <row r="4672" spans="1:5" x14ac:dyDescent="0.35">
      <c r="A4672">
        <v>0</v>
      </c>
      <c r="B4672">
        <v>0</v>
      </c>
      <c r="C4672">
        <v>0</v>
      </c>
      <c r="D4672">
        <v>0</v>
      </c>
      <c r="E4672">
        <v>0</v>
      </c>
    </row>
    <row r="4673" spans="1:5" x14ac:dyDescent="0.35">
      <c r="A4673">
        <v>0</v>
      </c>
      <c r="B4673">
        <v>0</v>
      </c>
      <c r="C4673">
        <v>0</v>
      </c>
      <c r="D4673">
        <v>0</v>
      </c>
      <c r="E4673">
        <v>0</v>
      </c>
    </row>
    <row r="4674" spans="1:5" x14ac:dyDescent="0.35">
      <c r="A4674">
        <v>0</v>
      </c>
      <c r="B4674">
        <v>0</v>
      </c>
      <c r="C4674">
        <v>0</v>
      </c>
      <c r="D4674">
        <v>0</v>
      </c>
      <c r="E4674">
        <v>0</v>
      </c>
    </row>
    <row r="4675" spans="1:5" x14ac:dyDescent="0.35">
      <c r="A4675">
        <v>0</v>
      </c>
      <c r="B4675">
        <v>0</v>
      </c>
      <c r="C4675">
        <v>0</v>
      </c>
      <c r="D4675">
        <v>0</v>
      </c>
      <c r="E4675">
        <v>0</v>
      </c>
    </row>
    <row r="4676" spans="1:5" x14ac:dyDescent="0.35">
      <c r="A4676">
        <v>0</v>
      </c>
      <c r="B4676">
        <v>0</v>
      </c>
      <c r="C4676">
        <v>0</v>
      </c>
      <c r="D4676">
        <v>0</v>
      </c>
      <c r="E4676">
        <v>0</v>
      </c>
    </row>
    <row r="4677" spans="1:5" x14ac:dyDescent="0.35">
      <c r="A4677">
        <v>0</v>
      </c>
      <c r="B4677">
        <v>0</v>
      </c>
      <c r="C4677">
        <v>0</v>
      </c>
      <c r="D4677">
        <v>0</v>
      </c>
      <c r="E4677">
        <v>0</v>
      </c>
    </row>
    <row r="4678" spans="1:5" x14ac:dyDescent="0.35">
      <c r="A4678">
        <v>0</v>
      </c>
      <c r="B4678">
        <v>0</v>
      </c>
      <c r="C4678">
        <v>0</v>
      </c>
      <c r="D4678">
        <v>0</v>
      </c>
      <c r="E4678">
        <v>0</v>
      </c>
    </row>
    <row r="4679" spans="1:5" x14ac:dyDescent="0.35">
      <c r="A4679">
        <v>0</v>
      </c>
      <c r="B4679">
        <v>0</v>
      </c>
      <c r="C4679">
        <v>0</v>
      </c>
      <c r="D4679">
        <v>0</v>
      </c>
      <c r="E4679">
        <v>0</v>
      </c>
    </row>
    <row r="4680" spans="1:5" x14ac:dyDescent="0.35">
      <c r="A4680">
        <v>0</v>
      </c>
      <c r="B4680">
        <v>0</v>
      </c>
      <c r="C4680">
        <v>0</v>
      </c>
      <c r="D4680">
        <v>0</v>
      </c>
      <c r="E4680">
        <v>0</v>
      </c>
    </row>
    <row r="4681" spans="1:5" x14ac:dyDescent="0.35">
      <c r="A4681">
        <v>0</v>
      </c>
      <c r="B4681">
        <v>0</v>
      </c>
      <c r="C4681">
        <v>0</v>
      </c>
      <c r="D4681">
        <v>0</v>
      </c>
      <c r="E4681">
        <v>0</v>
      </c>
    </row>
    <row r="4682" spans="1:5" x14ac:dyDescent="0.35">
      <c r="A4682">
        <v>0</v>
      </c>
      <c r="B4682">
        <v>0</v>
      </c>
      <c r="C4682">
        <v>0</v>
      </c>
      <c r="D4682">
        <v>0</v>
      </c>
      <c r="E4682">
        <v>0</v>
      </c>
    </row>
    <row r="4683" spans="1:5" x14ac:dyDescent="0.35">
      <c r="A4683">
        <v>0</v>
      </c>
      <c r="B4683">
        <v>0</v>
      </c>
      <c r="C4683">
        <v>0</v>
      </c>
      <c r="D4683">
        <v>0</v>
      </c>
      <c r="E4683">
        <v>0</v>
      </c>
    </row>
    <row r="4684" spans="1:5" x14ac:dyDescent="0.35">
      <c r="A4684">
        <v>0</v>
      </c>
      <c r="B4684">
        <v>0</v>
      </c>
      <c r="C4684">
        <v>0</v>
      </c>
      <c r="D4684">
        <v>0</v>
      </c>
      <c r="E4684">
        <v>0</v>
      </c>
    </row>
    <row r="4685" spans="1:5" x14ac:dyDescent="0.35">
      <c r="A4685">
        <v>0</v>
      </c>
      <c r="B4685">
        <v>0</v>
      </c>
      <c r="C4685">
        <v>0</v>
      </c>
      <c r="D4685">
        <v>0</v>
      </c>
      <c r="E4685">
        <v>0</v>
      </c>
    </row>
    <row r="4686" spans="1:5" x14ac:dyDescent="0.35">
      <c r="A4686">
        <v>0</v>
      </c>
      <c r="B4686">
        <v>0</v>
      </c>
      <c r="C4686">
        <v>0</v>
      </c>
      <c r="D4686">
        <v>0</v>
      </c>
      <c r="E4686">
        <v>0</v>
      </c>
    </row>
    <row r="4687" spans="1:5" x14ac:dyDescent="0.35">
      <c r="A4687">
        <v>0</v>
      </c>
      <c r="B4687">
        <v>0</v>
      </c>
      <c r="C4687">
        <v>0</v>
      </c>
      <c r="D4687">
        <v>0</v>
      </c>
      <c r="E4687">
        <v>0</v>
      </c>
    </row>
    <row r="4688" spans="1:5" x14ac:dyDescent="0.35">
      <c r="A4688">
        <v>0</v>
      </c>
      <c r="B4688">
        <v>0</v>
      </c>
      <c r="C4688">
        <v>0</v>
      </c>
      <c r="D4688">
        <v>0</v>
      </c>
      <c r="E4688">
        <v>0</v>
      </c>
    </row>
    <row r="4689" spans="1:5" x14ac:dyDescent="0.35">
      <c r="A4689">
        <v>0</v>
      </c>
      <c r="B4689">
        <v>0</v>
      </c>
      <c r="C4689">
        <v>0</v>
      </c>
      <c r="D4689">
        <v>0</v>
      </c>
      <c r="E4689">
        <v>0</v>
      </c>
    </row>
    <row r="4690" spans="1:5" x14ac:dyDescent="0.35">
      <c r="A4690">
        <v>0</v>
      </c>
      <c r="B4690">
        <v>0</v>
      </c>
      <c r="C4690">
        <v>0</v>
      </c>
      <c r="D4690">
        <v>0</v>
      </c>
      <c r="E4690">
        <v>0</v>
      </c>
    </row>
    <row r="4691" spans="1:5" x14ac:dyDescent="0.35">
      <c r="A4691">
        <v>0</v>
      </c>
      <c r="B4691">
        <v>0</v>
      </c>
      <c r="C4691">
        <v>0</v>
      </c>
      <c r="D4691">
        <v>0</v>
      </c>
      <c r="E4691">
        <v>0</v>
      </c>
    </row>
    <row r="4692" spans="1:5" x14ac:dyDescent="0.35">
      <c r="A4692">
        <v>0</v>
      </c>
      <c r="B4692">
        <v>0</v>
      </c>
      <c r="C4692">
        <v>0</v>
      </c>
      <c r="D4692">
        <v>0</v>
      </c>
      <c r="E4692">
        <v>0</v>
      </c>
    </row>
    <row r="4693" spans="1:5" x14ac:dyDescent="0.35">
      <c r="A4693">
        <v>0</v>
      </c>
      <c r="B4693">
        <v>0</v>
      </c>
      <c r="C4693">
        <v>0</v>
      </c>
      <c r="D4693">
        <v>0</v>
      </c>
      <c r="E4693">
        <v>0</v>
      </c>
    </row>
    <row r="4694" spans="1:5" x14ac:dyDescent="0.35">
      <c r="A4694">
        <v>0</v>
      </c>
      <c r="B4694">
        <v>0</v>
      </c>
      <c r="C4694">
        <v>0</v>
      </c>
      <c r="D4694">
        <v>0</v>
      </c>
      <c r="E4694">
        <v>0</v>
      </c>
    </row>
    <row r="4695" spans="1:5" x14ac:dyDescent="0.35">
      <c r="A4695">
        <v>0</v>
      </c>
      <c r="B4695">
        <v>0</v>
      </c>
      <c r="C4695">
        <v>0</v>
      </c>
      <c r="D4695">
        <v>0</v>
      </c>
      <c r="E4695">
        <v>0</v>
      </c>
    </row>
    <row r="4696" spans="1:5" x14ac:dyDescent="0.35">
      <c r="A4696">
        <v>0</v>
      </c>
      <c r="B4696">
        <v>0</v>
      </c>
      <c r="C4696">
        <v>0</v>
      </c>
      <c r="D4696">
        <v>0</v>
      </c>
      <c r="E4696">
        <v>0</v>
      </c>
    </row>
    <row r="4697" spans="1:5" x14ac:dyDescent="0.35">
      <c r="A4697">
        <v>0</v>
      </c>
      <c r="B4697">
        <v>0</v>
      </c>
      <c r="C4697">
        <v>0</v>
      </c>
      <c r="D4697">
        <v>0</v>
      </c>
      <c r="E4697">
        <v>0</v>
      </c>
    </row>
    <row r="4698" spans="1:5" x14ac:dyDescent="0.35">
      <c r="A4698">
        <v>0</v>
      </c>
      <c r="B4698">
        <v>0</v>
      </c>
      <c r="C4698">
        <v>0</v>
      </c>
      <c r="D4698">
        <v>0</v>
      </c>
      <c r="E4698">
        <v>0</v>
      </c>
    </row>
    <row r="4699" spans="1:5" x14ac:dyDescent="0.35">
      <c r="A4699">
        <v>0</v>
      </c>
      <c r="B4699">
        <v>0</v>
      </c>
      <c r="C4699">
        <v>0</v>
      </c>
      <c r="D4699">
        <v>0</v>
      </c>
      <c r="E4699">
        <v>0</v>
      </c>
    </row>
    <row r="4700" spans="1:5" x14ac:dyDescent="0.35">
      <c r="A4700">
        <v>0</v>
      </c>
      <c r="B4700">
        <v>0</v>
      </c>
      <c r="C4700">
        <v>0</v>
      </c>
      <c r="D4700">
        <v>0</v>
      </c>
      <c r="E4700">
        <v>0</v>
      </c>
    </row>
    <row r="4701" spans="1:5" x14ac:dyDescent="0.35">
      <c r="A4701">
        <v>0</v>
      </c>
      <c r="B4701">
        <v>0</v>
      </c>
      <c r="C4701">
        <v>0</v>
      </c>
      <c r="D4701">
        <v>0</v>
      </c>
      <c r="E4701">
        <v>0</v>
      </c>
    </row>
    <row r="4702" spans="1:5" x14ac:dyDescent="0.35">
      <c r="A4702">
        <v>0</v>
      </c>
      <c r="B4702">
        <v>0</v>
      </c>
      <c r="C4702">
        <v>0</v>
      </c>
      <c r="D4702">
        <v>0</v>
      </c>
      <c r="E4702">
        <v>0</v>
      </c>
    </row>
    <row r="4703" spans="1:5" x14ac:dyDescent="0.35">
      <c r="A4703">
        <v>0</v>
      </c>
      <c r="B4703">
        <v>0</v>
      </c>
      <c r="C4703">
        <v>0</v>
      </c>
      <c r="D4703">
        <v>0</v>
      </c>
      <c r="E4703">
        <v>0</v>
      </c>
    </row>
    <row r="4704" spans="1:5" x14ac:dyDescent="0.35">
      <c r="A4704">
        <v>0</v>
      </c>
      <c r="B4704">
        <v>0</v>
      </c>
      <c r="C4704">
        <v>0</v>
      </c>
      <c r="D4704">
        <v>0</v>
      </c>
      <c r="E4704">
        <v>0</v>
      </c>
    </row>
    <row r="4705" spans="1:5" x14ac:dyDescent="0.35">
      <c r="A4705">
        <v>0</v>
      </c>
      <c r="B4705">
        <v>0</v>
      </c>
      <c r="C4705">
        <v>0</v>
      </c>
      <c r="D4705">
        <v>0</v>
      </c>
      <c r="E4705">
        <v>0</v>
      </c>
    </row>
    <row r="4706" spans="1:5" x14ac:dyDescent="0.35">
      <c r="A4706">
        <v>0</v>
      </c>
      <c r="B4706">
        <v>0</v>
      </c>
      <c r="C4706">
        <v>0</v>
      </c>
      <c r="D4706">
        <v>0</v>
      </c>
      <c r="E4706">
        <v>0</v>
      </c>
    </row>
    <row r="4707" spans="1:5" x14ac:dyDescent="0.35">
      <c r="A4707">
        <v>0</v>
      </c>
      <c r="B4707">
        <v>0</v>
      </c>
      <c r="C4707">
        <v>0</v>
      </c>
      <c r="D4707">
        <v>0</v>
      </c>
      <c r="E4707">
        <v>0</v>
      </c>
    </row>
    <row r="4708" spans="1:5" x14ac:dyDescent="0.35">
      <c r="A4708">
        <v>0</v>
      </c>
      <c r="B4708">
        <v>0</v>
      </c>
      <c r="C4708">
        <v>0</v>
      </c>
      <c r="D4708">
        <v>0</v>
      </c>
      <c r="E4708">
        <v>0</v>
      </c>
    </row>
    <row r="4709" spans="1:5" x14ac:dyDescent="0.35">
      <c r="A4709">
        <v>0</v>
      </c>
      <c r="B4709">
        <v>0</v>
      </c>
      <c r="C4709">
        <v>0</v>
      </c>
      <c r="D4709">
        <v>0</v>
      </c>
      <c r="E4709">
        <v>0</v>
      </c>
    </row>
    <row r="4710" spans="1:5" x14ac:dyDescent="0.35">
      <c r="A4710">
        <v>0</v>
      </c>
      <c r="B4710">
        <v>0</v>
      </c>
      <c r="C4710">
        <v>0</v>
      </c>
      <c r="D4710">
        <v>0</v>
      </c>
      <c r="E4710">
        <v>0</v>
      </c>
    </row>
    <row r="4711" spans="1:5" x14ac:dyDescent="0.35">
      <c r="A4711">
        <v>0</v>
      </c>
      <c r="B4711">
        <v>0</v>
      </c>
      <c r="C4711">
        <v>0</v>
      </c>
      <c r="D4711">
        <v>0</v>
      </c>
      <c r="E4711">
        <v>0</v>
      </c>
    </row>
    <row r="4712" spans="1:5" x14ac:dyDescent="0.35">
      <c r="A4712">
        <v>0</v>
      </c>
      <c r="B4712">
        <v>0</v>
      </c>
      <c r="C4712">
        <v>0</v>
      </c>
      <c r="D4712">
        <v>0</v>
      </c>
      <c r="E4712">
        <v>0</v>
      </c>
    </row>
    <row r="4713" spans="1:5" x14ac:dyDescent="0.35">
      <c r="A4713">
        <v>0</v>
      </c>
      <c r="B4713">
        <v>0</v>
      </c>
      <c r="C4713">
        <v>0</v>
      </c>
      <c r="D4713">
        <v>0</v>
      </c>
      <c r="E4713">
        <v>0</v>
      </c>
    </row>
    <row r="4714" spans="1:5" x14ac:dyDescent="0.35">
      <c r="A4714">
        <v>0</v>
      </c>
      <c r="B4714">
        <v>0</v>
      </c>
      <c r="C4714">
        <v>0</v>
      </c>
      <c r="D4714">
        <v>0</v>
      </c>
      <c r="E4714">
        <v>0</v>
      </c>
    </row>
    <row r="4715" spans="1:5" x14ac:dyDescent="0.35">
      <c r="A4715">
        <v>0</v>
      </c>
      <c r="B4715">
        <v>0</v>
      </c>
      <c r="C4715">
        <v>0</v>
      </c>
      <c r="D4715">
        <v>0</v>
      </c>
      <c r="E4715">
        <v>0</v>
      </c>
    </row>
    <row r="4716" spans="1:5" x14ac:dyDescent="0.35">
      <c r="A4716">
        <v>0</v>
      </c>
      <c r="B4716">
        <v>0</v>
      </c>
      <c r="C4716">
        <v>0</v>
      </c>
      <c r="D4716">
        <v>0</v>
      </c>
      <c r="E4716">
        <v>0</v>
      </c>
    </row>
    <row r="4717" spans="1:5" x14ac:dyDescent="0.35">
      <c r="A4717">
        <v>0</v>
      </c>
      <c r="B4717">
        <v>0</v>
      </c>
      <c r="C4717">
        <v>0</v>
      </c>
      <c r="D4717">
        <v>0</v>
      </c>
      <c r="E4717">
        <v>0</v>
      </c>
    </row>
    <row r="4718" spans="1:5" x14ac:dyDescent="0.35">
      <c r="A4718">
        <v>0</v>
      </c>
      <c r="B4718">
        <v>0</v>
      </c>
      <c r="C4718">
        <v>0</v>
      </c>
      <c r="D4718">
        <v>0</v>
      </c>
      <c r="E4718">
        <v>0</v>
      </c>
    </row>
    <row r="4719" spans="1:5" x14ac:dyDescent="0.35">
      <c r="A4719">
        <v>0</v>
      </c>
      <c r="B4719">
        <v>0</v>
      </c>
      <c r="C4719">
        <v>0</v>
      </c>
      <c r="D4719">
        <v>0</v>
      </c>
      <c r="E4719">
        <v>0</v>
      </c>
    </row>
    <row r="4720" spans="1:5" x14ac:dyDescent="0.35">
      <c r="A4720">
        <v>0</v>
      </c>
      <c r="B4720">
        <v>0</v>
      </c>
      <c r="C4720">
        <v>0</v>
      </c>
      <c r="D4720">
        <v>0</v>
      </c>
      <c r="E4720">
        <v>0</v>
      </c>
    </row>
    <row r="4721" spans="1:5" x14ac:dyDescent="0.35">
      <c r="A4721">
        <v>0</v>
      </c>
      <c r="B4721">
        <v>0</v>
      </c>
      <c r="C4721">
        <v>0</v>
      </c>
      <c r="D4721">
        <v>0</v>
      </c>
      <c r="E4721">
        <v>0</v>
      </c>
    </row>
    <row r="4722" spans="1:5" x14ac:dyDescent="0.35">
      <c r="A4722">
        <v>0</v>
      </c>
      <c r="B4722">
        <v>0</v>
      </c>
      <c r="C4722">
        <v>0</v>
      </c>
      <c r="D4722">
        <v>0</v>
      </c>
      <c r="E4722">
        <v>0</v>
      </c>
    </row>
    <row r="4723" spans="1:5" x14ac:dyDescent="0.35">
      <c r="A4723">
        <v>0</v>
      </c>
      <c r="B4723">
        <v>0</v>
      </c>
      <c r="C4723">
        <v>0</v>
      </c>
      <c r="D4723">
        <v>0</v>
      </c>
      <c r="E4723">
        <v>0</v>
      </c>
    </row>
    <row r="4724" spans="1:5" x14ac:dyDescent="0.35">
      <c r="A4724">
        <v>0</v>
      </c>
      <c r="B4724">
        <v>0</v>
      </c>
      <c r="C4724">
        <v>0</v>
      </c>
      <c r="D4724">
        <v>0</v>
      </c>
      <c r="E4724">
        <v>0</v>
      </c>
    </row>
    <row r="4725" spans="1:5" x14ac:dyDescent="0.35">
      <c r="A4725">
        <v>0</v>
      </c>
      <c r="B4725">
        <v>0</v>
      </c>
      <c r="C4725">
        <v>0</v>
      </c>
      <c r="D4725">
        <v>0</v>
      </c>
      <c r="E4725">
        <v>0</v>
      </c>
    </row>
    <row r="4726" spans="1:5" x14ac:dyDescent="0.35">
      <c r="A4726">
        <v>0</v>
      </c>
      <c r="B4726">
        <v>0</v>
      </c>
      <c r="C4726">
        <v>0</v>
      </c>
      <c r="D4726">
        <v>0</v>
      </c>
      <c r="E4726">
        <v>0</v>
      </c>
    </row>
    <row r="4727" spans="1:5" x14ac:dyDescent="0.35">
      <c r="A4727">
        <v>0</v>
      </c>
      <c r="B4727">
        <v>0</v>
      </c>
      <c r="C4727">
        <v>0</v>
      </c>
      <c r="D4727">
        <v>0</v>
      </c>
      <c r="E4727">
        <v>0</v>
      </c>
    </row>
    <row r="4728" spans="1:5" x14ac:dyDescent="0.35">
      <c r="A4728">
        <v>0</v>
      </c>
      <c r="B4728">
        <v>0</v>
      </c>
      <c r="C4728">
        <v>0</v>
      </c>
      <c r="D4728">
        <v>0</v>
      </c>
      <c r="E4728">
        <v>0</v>
      </c>
    </row>
    <row r="4729" spans="1:5" x14ac:dyDescent="0.35">
      <c r="A4729">
        <v>0</v>
      </c>
      <c r="B4729">
        <v>0</v>
      </c>
      <c r="C4729">
        <v>0</v>
      </c>
      <c r="D4729">
        <v>0</v>
      </c>
      <c r="E4729">
        <v>0</v>
      </c>
    </row>
    <row r="4730" spans="1:5" x14ac:dyDescent="0.35">
      <c r="A4730">
        <v>0</v>
      </c>
      <c r="B4730">
        <v>0</v>
      </c>
      <c r="C4730">
        <v>0</v>
      </c>
      <c r="D4730">
        <v>0</v>
      </c>
      <c r="E4730">
        <v>0</v>
      </c>
    </row>
    <row r="4731" spans="1:5" x14ac:dyDescent="0.35">
      <c r="A4731">
        <v>0</v>
      </c>
      <c r="B4731">
        <v>0</v>
      </c>
      <c r="C4731">
        <v>0</v>
      </c>
      <c r="D4731">
        <v>0</v>
      </c>
      <c r="E4731">
        <v>0</v>
      </c>
    </row>
    <row r="4732" spans="1:5" x14ac:dyDescent="0.35">
      <c r="A4732">
        <v>0</v>
      </c>
      <c r="B4732">
        <v>0</v>
      </c>
      <c r="C4732">
        <v>0</v>
      </c>
      <c r="D4732">
        <v>0</v>
      </c>
      <c r="E4732">
        <v>0</v>
      </c>
    </row>
    <row r="4733" spans="1:5" x14ac:dyDescent="0.35">
      <c r="A4733">
        <v>0</v>
      </c>
      <c r="B4733">
        <v>0</v>
      </c>
      <c r="C4733">
        <v>0</v>
      </c>
      <c r="D4733">
        <v>0</v>
      </c>
      <c r="E4733">
        <v>0</v>
      </c>
    </row>
    <row r="4734" spans="1:5" x14ac:dyDescent="0.35">
      <c r="A4734">
        <v>0</v>
      </c>
      <c r="B4734">
        <v>0</v>
      </c>
      <c r="C4734">
        <v>0</v>
      </c>
      <c r="D4734">
        <v>0</v>
      </c>
      <c r="E4734">
        <v>0</v>
      </c>
    </row>
    <row r="4735" spans="1:5" x14ac:dyDescent="0.35">
      <c r="A4735">
        <v>0</v>
      </c>
      <c r="B4735">
        <v>0</v>
      </c>
      <c r="C4735">
        <v>0</v>
      </c>
      <c r="D4735">
        <v>0</v>
      </c>
      <c r="E4735">
        <v>0</v>
      </c>
    </row>
    <row r="4736" spans="1:5" x14ac:dyDescent="0.35">
      <c r="A4736">
        <v>0</v>
      </c>
      <c r="B4736">
        <v>0</v>
      </c>
      <c r="C4736">
        <v>0</v>
      </c>
      <c r="D4736">
        <v>0</v>
      </c>
      <c r="E4736">
        <v>0</v>
      </c>
    </row>
    <row r="4737" spans="1:5" x14ac:dyDescent="0.35">
      <c r="A4737">
        <v>0</v>
      </c>
      <c r="B4737">
        <v>0</v>
      </c>
      <c r="C4737">
        <v>0</v>
      </c>
      <c r="D4737">
        <v>0</v>
      </c>
      <c r="E4737">
        <v>0</v>
      </c>
    </row>
    <row r="4738" spans="1:5" x14ac:dyDescent="0.35">
      <c r="A4738">
        <v>0</v>
      </c>
      <c r="B4738">
        <v>0</v>
      </c>
      <c r="C4738">
        <v>0</v>
      </c>
      <c r="D4738">
        <v>0</v>
      </c>
      <c r="E4738">
        <v>0</v>
      </c>
    </row>
    <row r="4739" spans="1:5" x14ac:dyDescent="0.35">
      <c r="A4739">
        <v>0</v>
      </c>
      <c r="B4739">
        <v>0</v>
      </c>
      <c r="C4739">
        <v>0</v>
      </c>
      <c r="D4739">
        <v>0</v>
      </c>
      <c r="E4739">
        <v>0</v>
      </c>
    </row>
    <row r="4740" spans="1:5" x14ac:dyDescent="0.35">
      <c r="A4740">
        <v>0</v>
      </c>
      <c r="B4740">
        <v>0</v>
      </c>
      <c r="C4740">
        <v>0</v>
      </c>
      <c r="D4740">
        <v>0</v>
      </c>
      <c r="E4740">
        <v>0</v>
      </c>
    </row>
    <row r="4741" spans="1:5" x14ac:dyDescent="0.35">
      <c r="A4741">
        <v>0</v>
      </c>
      <c r="B4741">
        <v>0</v>
      </c>
      <c r="C4741">
        <v>0</v>
      </c>
      <c r="D4741">
        <v>0</v>
      </c>
      <c r="E4741">
        <v>0</v>
      </c>
    </row>
    <row r="4742" spans="1:5" x14ac:dyDescent="0.35">
      <c r="A4742">
        <v>0</v>
      </c>
      <c r="B4742">
        <v>0</v>
      </c>
      <c r="C4742">
        <v>0</v>
      </c>
      <c r="D4742">
        <v>0</v>
      </c>
      <c r="E4742">
        <v>0</v>
      </c>
    </row>
    <row r="4743" spans="1:5" x14ac:dyDescent="0.35">
      <c r="A4743">
        <v>0</v>
      </c>
      <c r="B4743">
        <v>0</v>
      </c>
      <c r="C4743">
        <v>0</v>
      </c>
      <c r="D4743">
        <v>0</v>
      </c>
      <c r="E4743">
        <v>0</v>
      </c>
    </row>
    <row r="4744" spans="1:5" x14ac:dyDescent="0.35">
      <c r="A4744">
        <v>0</v>
      </c>
      <c r="B4744">
        <v>0</v>
      </c>
      <c r="C4744">
        <v>0</v>
      </c>
      <c r="D4744">
        <v>0</v>
      </c>
      <c r="E4744">
        <v>0</v>
      </c>
    </row>
    <row r="4745" spans="1:5" x14ac:dyDescent="0.35">
      <c r="A4745">
        <v>0</v>
      </c>
      <c r="B4745">
        <v>0</v>
      </c>
      <c r="C4745">
        <v>0</v>
      </c>
      <c r="D4745">
        <v>0</v>
      </c>
      <c r="E4745">
        <v>0</v>
      </c>
    </row>
    <row r="4746" spans="1:5" x14ac:dyDescent="0.35">
      <c r="A4746">
        <v>0</v>
      </c>
      <c r="B4746">
        <v>0</v>
      </c>
      <c r="C4746">
        <v>0</v>
      </c>
      <c r="D4746">
        <v>0</v>
      </c>
      <c r="E4746">
        <v>0</v>
      </c>
    </row>
    <row r="4747" spans="1:5" x14ac:dyDescent="0.35">
      <c r="A4747">
        <v>0</v>
      </c>
      <c r="B4747">
        <v>0</v>
      </c>
      <c r="C4747">
        <v>0</v>
      </c>
      <c r="D4747">
        <v>0</v>
      </c>
      <c r="E4747">
        <v>0</v>
      </c>
    </row>
    <row r="4748" spans="1:5" x14ac:dyDescent="0.35">
      <c r="A4748">
        <v>0</v>
      </c>
      <c r="B4748">
        <v>0</v>
      </c>
      <c r="C4748">
        <v>0</v>
      </c>
      <c r="D4748">
        <v>0</v>
      </c>
      <c r="E4748">
        <v>0</v>
      </c>
    </row>
    <row r="4749" spans="1:5" x14ac:dyDescent="0.35">
      <c r="A4749">
        <v>0</v>
      </c>
      <c r="B4749">
        <v>0</v>
      </c>
      <c r="C4749">
        <v>0</v>
      </c>
      <c r="D4749">
        <v>0</v>
      </c>
      <c r="E4749">
        <v>0</v>
      </c>
    </row>
    <row r="4750" spans="1:5" x14ac:dyDescent="0.35">
      <c r="A4750">
        <v>0</v>
      </c>
      <c r="B4750">
        <v>0</v>
      </c>
      <c r="C4750">
        <v>0</v>
      </c>
      <c r="D4750">
        <v>0</v>
      </c>
      <c r="E4750">
        <v>0</v>
      </c>
    </row>
    <row r="4751" spans="1:5" x14ac:dyDescent="0.35">
      <c r="A4751">
        <v>0</v>
      </c>
      <c r="B4751">
        <v>0</v>
      </c>
      <c r="C4751">
        <v>0</v>
      </c>
      <c r="D4751">
        <v>0</v>
      </c>
      <c r="E4751">
        <v>0</v>
      </c>
    </row>
    <row r="4752" spans="1:5" x14ac:dyDescent="0.35">
      <c r="A4752">
        <v>0</v>
      </c>
      <c r="B4752">
        <v>0</v>
      </c>
      <c r="C4752">
        <v>0</v>
      </c>
      <c r="D4752">
        <v>0</v>
      </c>
      <c r="E4752">
        <v>0</v>
      </c>
    </row>
    <row r="4753" spans="1:5" x14ac:dyDescent="0.35">
      <c r="A4753">
        <v>0</v>
      </c>
      <c r="B4753">
        <v>0</v>
      </c>
      <c r="C4753">
        <v>0</v>
      </c>
      <c r="D4753">
        <v>0</v>
      </c>
      <c r="E4753">
        <v>0</v>
      </c>
    </row>
    <row r="4754" spans="1:5" x14ac:dyDescent="0.35">
      <c r="A4754">
        <v>0</v>
      </c>
      <c r="B4754">
        <v>0</v>
      </c>
      <c r="C4754">
        <v>0</v>
      </c>
      <c r="D4754">
        <v>0</v>
      </c>
      <c r="E4754">
        <v>0</v>
      </c>
    </row>
    <row r="4755" spans="1:5" x14ac:dyDescent="0.35">
      <c r="A4755">
        <v>0</v>
      </c>
      <c r="B4755">
        <v>0</v>
      </c>
      <c r="C4755">
        <v>0</v>
      </c>
      <c r="D4755">
        <v>0</v>
      </c>
      <c r="E4755">
        <v>0</v>
      </c>
    </row>
    <row r="4756" spans="1:5" x14ac:dyDescent="0.35">
      <c r="A4756">
        <v>0</v>
      </c>
      <c r="B4756">
        <v>0</v>
      </c>
      <c r="C4756">
        <v>0</v>
      </c>
      <c r="D4756">
        <v>0</v>
      </c>
      <c r="E4756">
        <v>0</v>
      </c>
    </row>
    <row r="4757" spans="1:5" x14ac:dyDescent="0.35">
      <c r="A4757">
        <v>0</v>
      </c>
      <c r="B4757">
        <v>0</v>
      </c>
      <c r="C4757">
        <v>0</v>
      </c>
      <c r="D4757">
        <v>0</v>
      </c>
      <c r="E4757">
        <v>0</v>
      </c>
    </row>
    <row r="4758" spans="1:5" x14ac:dyDescent="0.35">
      <c r="A4758">
        <v>0</v>
      </c>
      <c r="B4758">
        <v>0</v>
      </c>
      <c r="C4758">
        <v>0</v>
      </c>
      <c r="D4758">
        <v>0</v>
      </c>
      <c r="E4758">
        <v>0</v>
      </c>
    </row>
    <row r="4759" spans="1:5" x14ac:dyDescent="0.35">
      <c r="A4759">
        <v>0</v>
      </c>
      <c r="B4759">
        <v>0</v>
      </c>
      <c r="C4759">
        <v>0</v>
      </c>
      <c r="D4759">
        <v>0</v>
      </c>
      <c r="E4759">
        <v>0</v>
      </c>
    </row>
    <row r="4760" spans="1:5" x14ac:dyDescent="0.35">
      <c r="A4760">
        <v>0</v>
      </c>
      <c r="B4760">
        <v>0</v>
      </c>
      <c r="C4760">
        <v>0</v>
      </c>
      <c r="D4760">
        <v>0</v>
      </c>
      <c r="E4760">
        <v>0</v>
      </c>
    </row>
    <row r="4761" spans="1:5" x14ac:dyDescent="0.35">
      <c r="A4761">
        <v>0</v>
      </c>
      <c r="B4761">
        <v>0</v>
      </c>
      <c r="C4761">
        <v>0</v>
      </c>
      <c r="D4761">
        <v>0</v>
      </c>
      <c r="E4761">
        <v>0</v>
      </c>
    </row>
    <row r="4762" spans="1:5" x14ac:dyDescent="0.35">
      <c r="A4762">
        <v>0</v>
      </c>
      <c r="B4762">
        <v>0</v>
      </c>
      <c r="C4762">
        <v>0</v>
      </c>
      <c r="D4762">
        <v>0</v>
      </c>
      <c r="E4762">
        <v>0</v>
      </c>
    </row>
    <row r="4763" spans="1:5" x14ac:dyDescent="0.35">
      <c r="A4763">
        <v>0</v>
      </c>
      <c r="B4763">
        <v>0</v>
      </c>
      <c r="C4763">
        <v>0</v>
      </c>
      <c r="D4763">
        <v>0</v>
      </c>
      <c r="E4763">
        <v>0</v>
      </c>
    </row>
    <row r="4764" spans="1:5" x14ac:dyDescent="0.35">
      <c r="A4764">
        <v>0</v>
      </c>
      <c r="B4764">
        <v>0</v>
      </c>
      <c r="C4764">
        <v>0</v>
      </c>
      <c r="D4764">
        <v>0</v>
      </c>
      <c r="E4764">
        <v>0</v>
      </c>
    </row>
    <row r="4765" spans="1:5" x14ac:dyDescent="0.35">
      <c r="A4765">
        <v>0</v>
      </c>
      <c r="B4765">
        <v>0</v>
      </c>
      <c r="C4765">
        <v>0</v>
      </c>
      <c r="D4765">
        <v>0</v>
      </c>
      <c r="E4765">
        <v>0</v>
      </c>
    </row>
    <row r="4766" spans="1:5" x14ac:dyDescent="0.35">
      <c r="A4766">
        <v>0</v>
      </c>
      <c r="B4766">
        <v>0</v>
      </c>
      <c r="C4766">
        <v>0</v>
      </c>
      <c r="D4766">
        <v>0</v>
      </c>
      <c r="E4766">
        <v>0</v>
      </c>
    </row>
    <row r="4767" spans="1:5" x14ac:dyDescent="0.35">
      <c r="A4767">
        <v>0</v>
      </c>
      <c r="B4767">
        <v>0</v>
      </c>
      <c r="C4767">
        <v>0</v>
      </c>
      <c r="D4767">
        <v>0</v>
      </c>
      <c r="E4767">
        <v>0</v>
      </c>
    </row>
    <row r="4768" spans="1:5" x14ac:dyDescent="0.35">
      <c r="A4768">
        <v>0</v>
      </c>
      <c r="B4768">
        <v>0</v>
      </c>
      <c r="C4768">
        <v>0</v>
      </c>
      <c r="D4768">
        <v>0</v>
      </c>
      <c r="E4768">
        <v>0</v>
      </c>
    </row>
    <row r="4769" spans="1:5" x14ac:dyDescent="0.35">
      <c r="A4769">
        <v>0</v>
      </c>
      <c r="B4769">
        <v>0</v>
      </c>
      <c r="C4769">
        <v>0</v>
      </c>
      <c r="D4769">
        <v>0</v>
      </c>
      <c r="E4769">
        <v>0</v>
      </c>
    </row>
    <row r="4770" spans="1:5" x14ac:dyDescent="0.35">
      <c r="A4770">
        <v>0</v>
      </c>
      <c r="B4770">
        <v>0</v>
      </c>
      <c r="C4770">
        <v>0</v>
      </c>
      <c r="D4770">
        <v>0</v>
      </c>
      <c r="E4770">
        <v>0</v>
      </c>
    </row>
    <row r="4771" spans="1:5" x14ac:dyDescent="0.35">
      <c r="A4771">
        <v>0</v>
      </c>
      <c r="B4771">
        <v>0</v>
      </c>
      <c r="C4771">
        <v>0</v>
      </c>
      <c r="D4771">
        <v>0</v>
      </c>
      <c r="E4771">
        <v>0</v>
      </c>
    </row>
    <row r="4772" spans="1:5" x14ac:dyDescent="0.35">
      <c r="A4772">
        <v>0</v>
      </c>
      <c r="B4772">
        <v>0</v>
      </c>
      <c r="C4772">
        <v>0</v>
      </c>
      <c r="D4772">
        <v>0</v>
      </c>
      <c r="E4772">
        <v>0</v>
      </c>
    </row>
    <row r="4773" spans="1:5" x14ac:dyDescent="0.35">
      <c r="A4773">
        <v>0</v>
      </c>
      <c r="B4773">
        <v>0</v>
      </c>
      <c r="C4773">
        <v>0</v>
      </c>
      <c r="D4773">
        <v>0</v>
      </c>
      <c r="E4773">
        <v>0</v>
      </c>
    </row>
    <row r="4774" spans="1:5" x14ac:dyDescent="0.35">
      <c r="A4774">
        <v>0</v>
      </c>
      <c r="B4774">
        <v>0</v>
      </c>
      <c r="C4774">
        <v>0</v>
      </c>
      <c r="D4774">
        <v>0</v>
      </c>
      <c r="E4774">
        <v>0</v>
      </c>
    </row>
    <row r="4775" spans="1:5" x14ac:dyDescent="0.35">
      <c r="A4775">
        <v>0</v>
      </c>
      <c r="B4775">
        <v>0</v>
      </c>
      <c r="C4775">
        <v>0</v>
      </c>
      <c r="D4775">
        <v>0</v>
      </c>
      <c r="E4775">
        <v>0</v>
      </c>
    </row>
    <row r="4776" spans="1:5" x14ac:dyDescent="0.35">
      <c r="A4776">
        <v>0</v>
      </c>
      <c r="B4776">
        <v>0</v>
      </c>
      <c r="C4776">
        <v>0</v>
      </c>
      <c r="D4776">
        <v>0</v>
      </c>
      <c r="E4776">
        <v>0</v>
      </c>
    </row>
    <row r="4777" spans="1:5" x14ac:dyDescent="0.35">
      <c r="A4777">
        <v>0</v>
      </c>
      <c r="B4777">
        <v>0</v>
      </c>
      <c r="C4777">
        <v>0</v>
      </c>
      <c r="D4777">
        <v>0</v>
      </c>
      <c r="E4777">
        <v>0</v>
      </c>
    </row>
    <row r="4778" spans="1:5" x14ac:dyDescent="0.35">
      <c r="A4778">
        <v>0</v>
      </c>
      <c r="B4778">
        <v>0</v>
      </c>
      <c r="C4778">
        <v>0</v>
      </c>
      <c r="D4778">
        <v>0</v>
      </c>
      <c r="E4778">
        <v>0</v>
      </c>
    </row>
    <row r="4779" spans="1:5" x14ac:dyDescent="0.35">
      <c r="A4779">
        <v>0</v>
      </c>
      <c r="B4779">
        <v>0</v>
      </c>
      <c r="C4779">
        <v>0</v>
      </c>
      <c r="D4779">
        <v>0</v>
      </c>
      <c r="E4779">
        <v>0</v>
      </c>
    </row>
    <row r="4780" spans="1:5" x14ac:dyDescent="0.35">
      <c r="A4780">
        <v>0</v>
      </c>
      <c r="B4780">
        <v>0</v>
      </c>
      <c r="C4780">
        <v>0</v>
      </c>
      <c r="D4780">
        <v>0</v>
      </c>
      <c r="E4780">
        <v>0</v>
      </c>
    </row>
    <row r="4781" spans="1:5" x14ac:dyDescent="0.35">
      <c r="A4781">
        <v>0</v>
      </c>
      <c r="B4781">
        <v>0</v>
      </c>
      <c r="C4781">
        <v>0</v>
      </c>
      <c r="D4781">
        <v>0</v>
      </c>
      <c r="E4781">
        <v>0</v>
      </c>
    </row>
    <row r="4782" spans="1:5" x14ac:dyDescent="0.35">
      <c r="A4782">
        <v>0</v>
      </c>
      <c r="B4782">
        <v>0</v>
      </c>
      <c r="C4782">
        <v>0</v>
      </c>
      <c r="D4782">
        <v>0</v>
      </c>
      <c r="E4782">
        <v>0</v>
      </c>
    </row>
    <row r="4783" spans="1:5" x14ac:dyDescent="0.35">
      <c r="A4783">
        <v>0</v>
      </c>
      <c r="B4783">
        <v>0</v>
      </c>
      <c r="C4783">
        <v>0</v>
      </c>
      <c r="D4783">
        <v>0</v>
      </c>
      <c r="E4783">
        <v>0</v>
      </c>
    </row>
    <row r="4784" spans="1:5" x14ac:dyDescent="0.35">
      <c r="A4784">
        <v>0</v>
      </c>
      <c r="B4784">
        <v>0</v>
      </c>
      <c r="C4784">
        <v>0</v>
      </c>
      <c r="D4784">
        <v>0</v>
      </c>
      <c r="E4784">
        <v>0</v>
      </c>
    </row>
    <row r="4785" spans="1:5" x14ac:dyDescent="0.35">
      <c r="A4785">
        <v>0</v>
      </c>
      <c r="B4785">
        <v>0</v>
      </c>
      <c r="C4785">
        <v>0</v>
      </c>
      <c r="D4785">
        <v>0</v>
      </c>
      <c r="E4785">
        <v>0</v>
      </c>
    </row>
    <row r="4786" spans="1:5" x14ac:dyDescent="0.35">
      <c r="A4786">
        <v>0</v>
      </c>
      <c r="B4786">
        <v>0</v>
      </c>
      <c r="C4786">
        <v>0</v>
      </c>
      <c r="D4786">
        <v>0</v>
      </c>
      <c r="E4786">
        <v>0</v>
      </c>
    </row>
    <row r="4787" spans="1:5" x14ac:dyDescent="0.35">
      <c r="A4787">
        <v>0</v>
      </c>
      <c r="B4787">
        <v>0</v>
      </c>
      <c r="C4787">
        <v>0</v>
      </c>
      <c r="D4787">
        <v>0</v>
      </c>
      <c r="E4787">
        <v>0</v>
      </c>
    </row>
    <row r="4788" spans="1:5" x14ac:dyDescent="0.35">
      <c r="A4788">
        <v>0</v>
      </c>
      <c r="B4788">
        <v>0</v>
      </c>
      <c r="C4788">
        <v>0</v>
      </c>
      <c r="D4788">
        <v>0</v>
      </c>
      <c r="E4788">
        <v>0</v>
      </c>
    </row>
    <row r="4789" spans="1:5" x14ac:dyDescent="0.35">
      <c r="A4789">
        <v>0</v>
      </c>
      <c r="B4789">
        <v>0</v>
      </c>
      <c r="C4789">
        <v>0</v>
      </c>
      <c r="D4789">
        <v>0</v>
      </c>
      <c r="E4789">
        <v>0</v>
      </c>
    </row>
    <row r="4790" spans="1:5" x14ac:dyDescent="0.35">
      <c r="A4790">
        <v>0</v>
      </c>
      <c r="B4790">
        <v>0</v>
      </c>
      <c r="C4790">
        <v>0</v>
      </c>
      <c r="D4790">
        <v>0</v>
      </c>
      <c r="E4790">
        <v>0</v>
      </c>
    </row>
    <row r="4791" spans="1:5" x14ac:dyDescent="0.35">
      <c r="A4791">
        <v>0</v>
      </c>
      <c r="B4791">
        <v>0</v>
      </c>
      <c r="C4791">
        <v>0</v>
      </c>
      <c r="D4791">
        <v>0</v>
      </c>
      <c r="E4791">
        <v>0</v>
      </c>
    </row>
    <row r="4792" spans="1:5" x14ac:dyDescent="0.35">
      <c r="A4792">
        <v>0</v>
      </c>
      <c r="B4792">
        <v>0</v>
      </c>
      <c r="C4792">
        <v>0</v>
      </c>
      <c r="D4792">
        <v>0</v>
      </c>
      <c r="E4792">
        <v>0</v>
      </c>
    </row>
    <row r="4793" spans="1:5" x14ac:dyDescent="0.35">
      <c r="A4793">
        <v>0</v>
      </c>
      <c r="B4793">
        <v>0</v>
      </c>
      <c r="C4793">
        <v>0</v>
      </c>
      <c r="D4793">
        <v>0</v>
      </c>
      <c r="E4793">
        <v>0</v>
      </c>
    </row>
    <row r="4794" spans="1:5" x14ac:dyDescent="0.35">
      <c r="A4794">
        <v>0</v>
      </c>
      <c r="B4794">
        <v>0</v>
      </c>
      <c r="C4794">
        <v>0</v>
      </c>
      <c r="D4794">
        <v>0</v>
      </c>
      <c r="E4794">
        <v>0</v>
      </c>
    </row>
    <row r="4795" spans="1:5" x14ac:dyDescent="0.35">
      <c r="A4795">
        <v>0</v>
      </c>
      <c r="B4795">
        <v>0</v>
      </c>
      <c r="C4795">
        <v>0</v>
      </c>
      <c r="D4795">
        <v>0</v>
      </c>
      <c r="E4795">
        <v>0</v>
      </c>
    </row>
    <row r="4796" spans="1:5" x14ac:dyDescent="0.35">
      <c r="A4796">
        <v>0</v>
      </c>
      <c r="B4796">
        <v>0</v>
      </c>
      <c r="C4796">
        <v>0</v>
      </c>
      <c r="D4796">
        <v>0</v>
      </c>
      <c r="E4796">
        <v>0</v>
      </c>
    </row>
    <row r="4797" spans="1:5" x14ac:dyDescent="0.35">
      <c r="A4797">
        <v>0</v>
      </c>
      <c r="B4797">
        <v>0</v>
      </c>
      <c r="C4797">
        <v>0</v>
      </c>
      <c r="D4797">
        <v>0</v>
      </c>
      <c r="E4797">
        <v>0</v>
      </c>
    </row>
    <row r="4798" spans="1:5" x14ac:dyDescent="0.35">
      <c r="A4798">
        <v>0</v>
      </c>
      <c r="B4798">
        <v>0</v>
      </c>
      <c r="C4798">
        <v>0</v>
      </c>
      <c r="D4798">
        <v>0</v>
      </c>
      <c r="E4798">
        <v>0</v>
      </c>
    </row>
    <row r="4799" spans="1:5" x14ac:dyDescent="0.35">
      <c r="A4799">
        <v>0</v>
      </c>
      <c r="B4799">
        <v>0</v>
      </c>
      <c r="C4799">
        <v>0</v>
      </c>
      <c r="D4799">
        <v>0</v>
      </c>
      <c r="E4799">
        <v>0</v>
      </c>
    </row>
    <row r="4800" spans="1:5" x14ac:dyDescent="0.35">
      <c r="A4800">
        <v>0</v>
      </c>
      <c r="B4800">
        <v>0</v>
      </c>
      <c r="C4800">
        <v>0</v>
      </c>
      <c r="D4800">
        <v>0</v>
      </c>
      <c r="E4800">
        <v>0</v>
      </c>
    </row>
    <row r="4801" spans="1:5" x14ac:dyDescent="0.35">
      <c r="A4801">
        <v>0</v>
      </c>
      <c r="B4801">
        <v>0</v>
      </c>
      <c r="C4801">
        <v>0</v>
      </c>
      <c r="D4801">
        <v>0</v>
      </c>
      <c r="E4801">
        <v>0</v>
      </c>
    </row>
    <row r="4802" spans="1:5" x14ac:dyDescent="0.35">
      <c r="A4802">
        <v>0</v>
      </c>
      <c r="B4802">
        <v>0</v>
      </c>
      <c r="C4802">
        <v>0</v>
      </c>
      <c r="D4802">
        <v>0</v>
      </c>
      <c r="E4802">
        <v>0</v>
      </c>
    </row>
    <row r="4803" spans="1:5" x14ac:dyDescent="0.35">
      <c r="A4803">
        <v>0</v>
      </c>
      <c r="B4803">
        <v>0</v>
      </c>
      <c r="C4803">
        <v>0</v>
      </c>
      <c r="D4803">
        <v>0</v>
      </c>
      <c r="E4803">
        <v>0</v>
      </c>
    </row>
    <row r="4804" spans="1:5" x14ac:dyDescent="0.35">
      <c r="A4804">
        <v>0</v>
      </c>
      <c r="B4804">
        <v>0</v>
      </c>
      <c r="C4804">
        <v>0</v>
      </c>
      <c r="D4804">
        <v>0</v>
      </c>
      <c r="E4804">
        <v>0</v>
      </c>
    </row>
    <row r="4805" spans="1:5" x14ac:dyDescent="0.35">
      <c r="A4805">
        <v>0</v>
      </c>
      <c r="B4805">
        <v>0</v>
      </c>
      <c r="C4805">
        <v>0</v>
      </c>
      <c r="D4805">
        <v>0</v>
      </c>
      <c r="E4805">
        <v>0</v>
      </c>
    </row>
    <row r="4806" spans="1:5" x14ac:dyDescent="0.35">
      <c r="A4806">
        <v>0</v>
      </c>
      <c r="B4806">
        <v>0</v>
      </c>
      <c r="C4806">
        <v>0</v>
      </c>
      <c r="D4806">
        <v>0</v>
      </c>
      <c r="E4806">
        <v>0</v>
      </c>
    </row>
    <row r="4807" spans="1:5" x14ac:dyDescent="0.35">
      <c r="A4807">
        <v>0</v>
      </c>
      <c r="B4807">
        <v>0</v>
      </c>
      <c r="C4807">
        <v>0</v>
      </c>
      <c r="D4807">
        <v>0</v>
      </c>
      <c r="E4807">
        <v>0</v>
      </c>
    </row>
    <row r="4808" spans="1:5" x14ac:dyDescent="0.35">
      <c r="A4808">
        <v>0</v>
      </c>
      <c r="B4808">
        <v>0</v>
      </c>
      <c r="C4808">
        <v>0</v>
      </c>
      <c r="D4808">
        <v>0</v>
      </c>
      <c r="E4808">
        <v>0</v>
      </c>
    </row>
    <row r="4809" spans="1:5" x14ac:dyDescent="0.35">
      <c r="A4809">
        <v>0</v>
      </c>
      <c r="B4809">
        <v>0</v>
      </c>
      <c r="C4809">
        <v>0</v>
      </c>
      <c r="D4809">
        <v>0</v>
      </c>
      <c r="E4809">
        <v>0</v>
      </c>
    </row>
    <row r="4810" spans="1:5" x14ac:dyDescent="0.35">
      <c r="A4810">
        <v>0</v>
      </c>
      <c r="B4810">
        <v>0</v>
      </c>
      <c r="C4810">
        <v>0</v>
      </c>
      <c r="D4810">
        <v>0</v>
      </c>
      <c r="E4810">
        <v>0</v>
      </c>
    </row>
    <row r="4811" spans="1:5" x14ac:dyDescent="0.35">
      <c r="A4811">
        <v>0</v>
      </c>
      <c r="B4811">
        <v>0</v>
      </c>
      <c r="C4811">
        <v>0</v>
      </c>
      <c r="D4811">
        <v>0</v>
      </c>
      <c r="E4811">
        <v>0</v>
      </c>
    </row>
    <row r="4812" spans="1:5" x14ac:dyDescent="0.35">
      <c r="A4812">
        <v>0</v>
      </c>
      <c r="B4812">
        <v>0</v>
      </c>
      <c r="C4812">
        <v>0</v>
      </c>
      <c r="D4812">
        <v>0</v>
      </c>
      <c r="E4812">
        <v>0</v>
      </c>
    </row>
    <row r="4813" spans="1:5" x14ac:dyDescent="0.35">
      <c r="A4813">
        <v>0</v>
      </c>
      <c r="B4813">
        <v>0</v>
      </c>
      <c r="C4813">
        <v>0</v>
      </c>
      <c r="D4813">
        <v>0</v>
      </c>
      <c r="E4813">
        <v>0</v>
      </c>
    </row>
    <row r="4814" spans="1:5" x14ac:dyDescent="0.35">
      <c r="A4814">
        <v>0</v>
      </c>
      <c r="B4814">
        <v>0</v>
      </c>
      <c r="C4814">
        <v>0</v>
      </c>
      <c r="D4814">
        <v>0</v>
      </c>
      <c r="E4814">
        <v>0</v>
      </c>
    </row>
    <row r="4815" spans="1:5" x14ac:dyDescent="0.35">
      <c r="A4815">
        <v>0</v>
      </c>
      <c r="B4815">
        <v>0</v>
      </c>
      <c r="C4815">
        <v>0</v>
      </c>
      <c r="D4815">
        <v>0</v>
      </c>
      <c r="E4815">
        <v>0</v>
      </c>
    </row>
    <row r="4816" spans="1:5" x14ac:dyDescent="0.35">
      <c r="A4816">
        <v>0</v>
      </c>
      <c r="B4816">
        <v>0</v>
      </c>
      <c r="C4816">
        <v>0</v>
      </c>
      <c r="D4816">
        <v>0</v>
      </c>
      <c r="E4816">
        <v>0</v>
      </c>
    </row>
    <row r="4817" spans="1:5" x14ac:dyDescent="0.35">
      <c r="A4817">
        <v>0</v>
      </c>
      <c r="B4817">
        <v>0</v>
      </c>
      <c r="C4817">
        <v>0</v>
      </c>
      <c r="D4817">
        <v>0</v>
      </c>
      <c r="E4817">
        <v>0</v>
      </c>
    </row>
    <row r="4818" spans="1:5" x14ac:dyDescent="0.35">
      <c r="A4818">
        <v>0</v>
      </c>
      <c r="B4818">
        <v>0</v>
      </c>
      <c r="C4818">
        <v>0</v>
      </c>
      <c r="D4818">
        <v>0</v>
      </c>
      <c r="E4818">
        <v>0</v>
      </c>
    </row>
    <row r="4819" spans="1:5" x14ac:dyDescent="0.35">
      <c r="A4819">
        <v>0</v>
      </c>
      <c r="B4819">
        <v>0</v>
      </c>
      <c r="C4819">
        <v>0</v>
      </c>
      <c r="D4819">
        <v>0</v>
      </c>
      <c r="E4819">
        <v>0</v>
      </c>
    </row>
    <row r="4820" spans="1:5" x14ac:dyDescent="0.35">
      <c r="A4820">
        <v>0</v>
      </c>
      <c r="B4820">
        <v>0</v>
      </c>
      <c r="C4820">
        <v>0</v>
      </c>
      <c r="D4820">
        <v>0</v>
      </c>
      <c r="E4820">
        <v>0</v>
      </c>
    </row>
    <row r="4821" spans="1:5" x14ac:dyDescent="0.35">
      <c r="A4821">
        <v>0</v>
      </c>
      <c r="B4821">
        <v>0</v>
      </c>
      <c r="C4821">
        <v>0</v>
      </c>
      <c r="D4821">
        <v>0</v>
      </c>
      <c r="E4821">
        <v>0</v>
      </c>
    </row>
    <row r="4822" spans="1:5" x14ac:dyDescent="0.35">
      <c r="A4822">
        <v>0</v>
      </c>
      <c r="B4822">
        <v>0</v>
      </c>
      <c r="C4822">
        <v>0</v>
      </c>
      <c r="D4822">
        <v>0</v>
      </c>
      <c r="E4822">
        <v>0</v>
      </c>
    </row>
    <row r="4823" spans="1:5" x14ac:dyDescent="0.35">
      <c r="A4823">
        <v>0</v>
      </c>
      <c r="B4823">
        <v>0</v>
      </c>
      <c r="C4823">
        <v>0</v>
      </c>
      <c r="D4823">
        <v>0</v>
      </c>
      <c r="E4823">
        <v>0</v>
      </c>
    </row>
    <row r="4824" spans="1:5" x14ac:dyDescent="0.35">
      <c r="A4824">
        <v>0</v>
      </c>
      <c r="B4824">
        <v>0</v>
      </c>
      <c r="C4824">
        <v>0</v>
      </c>
      <c r="D4824">
        <v>0</v>
      </c>
      <c r="E4824">
        <v>0</v>
      </c>
    </row>
    <row r="4825" spans="1:5" x14ac:dyDescent="0.35">
      <c r="A4825">
        <v>0</v>
      </c>
      <c r="B4825">
        <v>0</v>
      </c>
      <c r="C4825">
        <v>0</v>
      </c>
      <c r="D4825">
        <v>0</v>
      </c>
      <c r="E4825">
        <v>0</v>
      </c>
    </row>
    <row r="4826" spans="1:5" x14ac:dyDescent="0.35">
      <c r="A4826">
        <v>0</v>
      </c>
      <c r="B4826">
        <v>0</v>
      </c>
      <c r="C4826">
        <v>0</v>
      </c>
      <c r="D4826">
        <v>0</v>
      </c>
      <c r="E4826">
        <v>0</v>
      </c>
    </row>
    <row r="4827" spans="1:5" x14ac:dyDescent="0.35">
      <c r="A4827">
        <v>0</v>
      </c>
      <c r="B4827">
        <v>0</v>
      </c>
      <c r="C4827">
        <v>0</v>
      </c>
      <c r="D4827">
        <v>0</v>
      </c>
      <c r="E4827">
        <v>0</v>
      </c>
    </row>
    <row r="4828" spans="1:5" x14ac:dyDescent="0.35">
      <c r="A4828">
        <v>0</v>
      </c>
      <c r="B4828">
        <v>0</v>
      </c>
      <c r="C4828">
        <v>0</v>
      </c>
      <c r="D4828">
        <v>0</v>
      </c>
      <c r="E4828">
        <v>0</v>
      </c>
    </row>
    <row r="4829" spans="1:5" x14ac:dyDescent="0.35">
      <c r="A4829">
        <v>0</v>
      </c>
      <c r="B4829">
        <v>0</v>
      </c>
      <c r="C4829">
        <v>0</v>
      </c>
      <c r="D4829">
        <v>0</v>
      </c>
      <c r="E4829">
        <v>0</v>
      </c>
    </row>
    <row r="4830" spans="1:5" x14ac:dyDescent="0.35">
      <c r="A4830">
        <v>0</v>
      </c>
      <c r="B4830">
        <v>0</v>
      </c>
      <c r="C4830">
        <v>0</v>
      </c>
      <c r="D4830">
        <v>0</v>
      </c>
      <c r="E4830">
        <v>0</v>
      </c>
    </row>
    <row r="4831" spans="1:5" x14ac:dyDescent="0.35">
      <c r="A4831">
        <v>0</v>
      </c>
      <c r="B4831">
        <v>0</v>
      </c>
      <c r="C4831">
        <v>0</v>
      </c>
      <c r="D4831">
        <v>0</v>
      </c>
      <c r="E4831">
        <v>0</v>
      </c>
    </row>
    <row r="4832" spans="1:5" x14ac:dyDescent="0.35">
      <c r="A4832">
        <v>0</v>
      </c>
      <c r="B4832">
        <v>0</v>
      </c>
      <c r="C4832">
        <v>0</v>
      </c>
      <c r="D4832">
        <v>0</v>
      </c>
      <c r="E4832">
        <v>0</v>
      </c>
    </row>
    <row r="4833" spans="1:5" x14ac:dyDescent="0.35">
      <c r="A4833">
        <v>0</v>
      </c>
      <c r="B4833">
        <v>0</v>
      </c>
      <c r="C4833">
        <v>0</v>
      </c>
      <c r="D4833">
        <v>0</v>
      </c>
      <c r="E4833">
        <v>0</v>
      </c>
    </row>
    <row r="4834" spans="1:5" x14ac:dyDescent="0.35">
      <c r="A4834">
        <v>0</v>
      </c>
      <c r="B4834">
        <v>0</v>
      </c>
      <c r="C4834">
        <v>0</v>
      </c>
      <c r="D4834">
        <v>0</v>
      </c>
      <c r="E4834">
        <v>0</v>
      </c>
    </row>
    <row r="4835" spans="1:5" x14ac:dyDescent="0.35">
      <c r="A4835">
        <v>0</v>
      </c>
      <c r="B4835">
        <v>0</v>
      </c>
      <c r="C4835">
        <v>0</v>
      </c>
      <c r="D4835">
        <v>0</v>
      </c>
      <c r="E4835">
        <v>0</v>
      </c>
    </row>
    <row r="4836" spans="1:5" x14ac:dyDescent="0.35">
      <c r="A4836">
        <v>0</v>
      </c>
      <c r="B4836">
        <v>0</v>
      </c>
      <c r="C4836">
        <v>0</v>
      </c>
      <c r="D4836">
        <v>0</v>
      </c>
      <c r="E4836">
        <v>0</v>
      </c>
    </row>
    <row r="4837" spans="1:5" x14ac:dyDescent="0.35">
      <c r="A4837">
        <v>0</v>
      </c>
      <c r="B4837">
        <v>0</v>
      </c>
      <c r="C4837">
        <v>0</v>
      </c>
      <c r="D4837">
        <v>0</v>
      </c>
      <c r="E4837">
        <v>0</v>
      </c>
    </row>
    <row r="4838" spans="1:5" x14ac:dyDescent="0.35">
      <c r="A4838">
        <v>0</v>
      </c>
      <c r="B4838">
        <v>0</v>
      </c>
      <c r="C4838">
        <v>0</v>
      </c>
      <c r="D4838">
        <v>0</v>
      </c>
      <c r="E4838">
        <v>0</v>
      </c>
    </row>
    <row r="4839" spans="1:5" x14ac:dyDescent="0.35">
      <c r="A4839">
        <v>0</v>
      </c>
      <c r="B4839">
        <v>0</v>
      </c>
      <c r="C4839">
        <v>0</v>
      </c>
      <c r="D4839">
        <v>0</v>
      </c>
      <c r="E4839">
        <v>0</v>
      </c>
    </row>
    <row r="4840" spans="1:5" x14ac:dyDescent="0.35">
      <c r="A4840">
        <v>0</v>
      </c>
      <c r="B4840">
        <v>0</v>
      </c>
      <c r="C4840">
        <v>0</v>
      </c>
      <c r="D4840">
        <v>0</v>
      </c>
      <c r="E4840">
        <v>0</v>
      </c>
    </row>
    <row r="4841" spans="1:5" x14ac:dyDescent="0.35">
      <c r="A4841">
        <v>0</v>
      </c>
      <c r="B4841">
        <v>0</v>
      </c>
      <c r="C4841">
        <v>0</v>
      </c>
      <c r="D4841">
        <v>0</v>
      </c>
      <c r="E4841">
        <v>0</v>
      </c>
    </row>
    <row r="4842" spans="1:5" x14ac:dyDescent="0.35">
      <c r="A4842">
        <v>0</v>
      </c>
      <c r="B4842">
        <v>0</v>
      </c>
      <c r="C4842">
        <v>0</v>
      </c>
      <c r="D4842">
        <v>0</v>
      </c>
      <c r="E4842">
        <v>0</v>
      </c>
    </row>
    <row r="4843" spans="1:5" x14ac:dyDescent="0.35">
      <c r="A4843">
        <v>0</v>
      </c>
      <c r="B4843">
        <v>0</v>
      </c>
      <c r="C4843">
        <v>0</v>
      </c>
      <c r="D4843">
        <v>0</v>
      </c>
      <c r="E4843">
        <v>0</v>
      </c>
    </row>
    <row r="4844" spans="1:5" x14ac:dyDescent="0.35">
      <c r="A4844">
        <v>0</v>
      </c>
      <c r="B4844">
        <v>0</v>
      </c>
      <c r="C4844">
        <v>0</v>
      </c>
      <c r="D4844">
        <v>0</v>
      </c>
      <c r="E4844">
        <v>0</v>
      </c>
    </row>
    <row r="4845" spans="1:5" x14ac:dyDescent="0.35">
      <c r="A4845">
        <v>0</v>
      </c>
      <c r="B4845">
        <v>0</v>
      </c>
      <c r="C4845">
        <v>0</v>
      </c>
      <c r="D4845">
        <v>0</v>
      </c>
      <c r="E4845">
        <v>0</v>
      </c>
    </row>
    <row r="4846" spans="1:5" x14ac:dyDescent="0.35">
      <c r="A4846">
        <v>0</v>
      </c>
      <c r="B4846">
        <v>0</v>
      </c>
      <c r="C4846">
        <v>0</v>
      </c>
      <c r="D4846">
        <v>0</v>
      </c>
      <c r="E4846">
        <v>0</v>
      </c>
    </row>
    <row r="4847" spans="1:5" x14ac:dyDescent="0.35">
      <c r="A4847">
        <v>0</v>
      </c>
      <c r="B4847">
        <v>0</v>
      </c>
      <c r="C4847">
        <v>0</v>
      </c>
      <c r="D4847">
        <v>0</v>
      </c>
      <c r="E4847">
        <v>0</v>
      </c>
    </row>
    <row r="4848" spans="1:5" x14ac:dyDescent="0.35">
      <c r="A4848">
        <v>0</v>
      </c>
      <c r="B4848">
        <v>0</v>
      </c>
      <c r="C4848">
        <v>0</v>
      </c>
      <c r="D4848">
        <v>0</v>
      </c>
      <c r="E4848">
        <v>0</v>
      </c>
    </row>
    <row r="4849" spans="1:5" x14ac:dyDescent="0.35">
      <c r="A4849">
        <v>0</v>
      </c>
      <c r="B4849">
        <v>0</v>
      </c>
      <c r="C4849">
        <v>0</v>
      </c>
      <c r="D4849">
        <v>0</v>
      </c>
      <c r="E4849">
        <v>0</v>
      </c>
    </row>
    <row r="4850" spans="1:5" x14ac:dyDescent="0.35">
      <c r="A4850">
        <v>0</v>
      </c>
      <c r="B4850">
        <v>0</v>
      </c>
      <c r="C4850">
        <v>0</v>
      </c>
      <c r="D4850">
        <v>0</v>
      </c>
      <c r="E4850">
        <v>0</v>
      </c>
    </row>
    <row r="4851" spans="1:5" x14ac:dyDescent="0.35">
      <c r="A4851">
        <v>0</v>
      </c>
      <c r="B4851">
        <v>0</v>
      </c>
      <c r="C4851">
        <v>0</v>
      </c>
      <c r="D4851">
        <v>0</v>
      </c>
      <c r="E4851">
        <v>0</v>
      </c>
    </row>
    <row r="4852" spans="1:5" x14ac:dyDescent="0.35">
      <c r="A4852">
        <v>0</v>
      </c>
      <c r="B4852">
        <v>0</v>
      </c>
      <c r="C4852">
        <v>0</v>
      </c>
      <c r="D4852">
        <v>0</v>
      </c>
      <c r="E4852">
        <v>0</v>
      </c>
    </row>
    <row r="4853" spans="1:5" x14ac:dyDescent="0.35">
      <c r="A4853">
        <v>0</v>
      </c>
      <c r="B4853">
        <v>0</v>
      </c>
      <c r="C4853">
        <v>0</v>
      </c>
      <c r="D4853">
        <v>0</v>
      </c>
      <c r="E4853">
        <v>0</v>
      </c>
    </row>
    <row r="4854" spans="1:5" x14ac:dyDescent="0.35">
      <c r="A4854">
        <v>0</v>
      </c>
      <c r="B4854">
        <v>0</v>
      </c>
      <c r="C4854">
        <v>0</v>
      </c>
      <c r="D4854">
        <v>0</v>
      </c>
      <c r="E4854">
        <v>0</v>
      </c>
    </row>
    <row r="4855" spans="1:5" x14ac:dyDescent="0.35">
      <c r="A4855">
        <v>0</v>
      </c>
      <c r="B4855">
        <v>0</v>
      </c>
      <c r="C4855">
        <v>0</v>
      </c>
      <c r="D4855">
        <v>0</v>
      </c>
      <c r="E4855">
        <v>0</v>
      </c>
    </row>
    <row r="4856" spans="1:5" x14ac:dyDescent="0.35">
      <c r="A4856">
        <v>0</v>
      </c>
      <c r="B4856">
        <v>0</v>
      </c>
      <c r="C4856">
        <v>0</v>
      </c>
      <c r="D4856">
        <v>0</v>
      </c>
      <c r="E4856">
        <v>0</v>
      </c>
    </row>
    <row r="4857" spans="1:5" x14ac:dyDescent="0.35">
      <c r="A4857">
        <v>0</v>
      </c>
      <c r="B4857">
        <v>0</v>
      </c>
      <c r="C4857">
        <v>0</v>
      </c>
      <c r="D4857">
        <v>0</v>
      </c>
      <c r="E4857">
        <v>0</v>
      </c>
    </row>
    <row r="4858" spans="1:5" x14ac:dyDescent="0.35">
      <c r="A4858">
        <v>0</v>
      </c>
      <c r="B4858">
        <v>0</v>
      </c>
      <c r="C4858">
        <v>0</v>
      </c>
      <c r="D4858">
        <v>0</v>
      </c>
      <c r="E4858">
        <v>0</v>
      </c>
    </row>
    <row r="4859" spans="1:5" x14ac:dyDescent="0.35">
      <c r="A4859">
        <v>0</v>
      </c>
      <c r="B4859">
        <v>0</v>
      </c>
      <c r="C4859">
        <v>0</v>
      </c>
      <c r="D4859">
        <v>0</v>
      </c>
      <c r="E4859">
        <v>0</v>
      </c>
    </row>
    <row r="4860" spans="1:5" x14ac:dyDescent="0.35">
      <c r="A4860">
        <v>0</v>
      </c>
      <c r="B4860">
        <v>0</v>
      </c>
      <c r="C4860">
        <v>0</v>
      </c>
      <c r="D4860">
        <v>0</v>
      </c>
      <c r="E4860">
        <v>0</v>
      </c>
    </row>
    <row r="4861" spans="1:5" x14ac:dyDescent="0.35">
      <c r="A4861">
        <v>0</v>
      </c>
      <c r="B4861">
        <v>0</v>
      </c>
      <c r="C4861">
        <v>0</v>
      </c>
      <c r="D4861">
        <v>0</v>
      </c>
      <c r="E4861">
        <v>0</v>
      </c>
    </row>
    <row r="4862" spans="1:5" x14ac:dyDescent="0.35">
      <c r="A4862">
        <v>0</v>
      </c>
      <c r="B4862">
        <v>0</v>
      </c>
      <c r="C4862">
        <v>0</v>
      </c>
      <c r="D4862">
        <v>0</v>
      </c>
      <c r="E4862">
        <v>0</v>
      </c>
    </row>
    <row r="4863" spans="1:5" x14ac:dyDescent="0.35">
      <c r="A4863">
        <v>0</v>
      </c>
      <c r="B4863">
        <v>0</v>
      </c>
      <c r="C4863">
        <v>0</v>
      </c>
      <c r="D4863">
        <v>0</v>
      </c>
      <c r="E4863">
        <v>0</v>
      </c>
    </row>
    <row r="4864" spans="1:5" x14ac:dyDescent="0.35">
      <c r="A4864">
        <v>0</v>
      </c>
      <c r="B4864">
        <v>0</v>
      </c>
      <c r="C4864">
        <v>0</v>
      </c>
      <c r="D4864">
        <v>0</v>
      </c>
      <c r="E4864">
        <v>0</v>
      </c>
    </row>
    <row r="4865" spans="1:5" x14ac:dyDescent="0.35">
      <c r="A4865">
        <v>0</v>
      </c>
      <c r="B4865">
        <v>0</v>
      </c>
      <c r="C4865">
        <v>0</v>
      </c>
      <c r="D4865">
        <v>0</v>
      </c>
      <c r="E4865">
        <v>0</v>
      </c>
    </row>
    <row r="4866" spans="1:5" x14ac:dyDescent="0.35">
      <c r="A4866">
        <v>0</v>
      </c>
      <c r="B4866">
        <v>0</v>
      </c>
      <c r="C4866">
        <v>0</v>
      </c>
      <c r="D4866">
        <v>0</v>
      </c>
      <c r="E4866">
        <v>0</v>
      </c>
    </row>
    <row r="4867" spans="1:5" x14ac:dyDescent="0.35">
      <c r="A4867">
        <v>0</v>
      </c>
      <c r="B4867">
        <v>0</v>
      </c>
      <c r="C4867">
        <v>0</v>
      </c>
      <c r="D4867">
        <v>0</v>
      </c>
      <c r="E4867">
        <v>0</v>
      </c>
    </row>
    <row r="4868" spans="1:5" x14ac:dyDescent="0.35">
      <c r="A4868">
        <v>0</v>
      </c>
      <c r="B4868">
        <v>0</v>
      </c>
      <c r="C4868">
        <v>0</v>
      </c>
      <c r="D4868">
        <v>0</v>
      </c>
      <c r="E4868">
        <v>0</v>
      </c>
    </row>
    <row r="4869" spans="1:5" x14ac:dyDescent="0.35">
      <c r="A4869">
        <v>0</v>
      </c>
      <c r="B4869">
        <v>0</v>
      </c>
      <c r="C4869">
        <v>0</v>
      </c>
      <c r="D4869">
        <v>0</v>
      </c>
      <c r="E4869">
        <v>0</v>
      </c>
    </row>
    <row r="4870" spans="1:5" x14ac:dyDescent="0.35">
      <c r="A4870">
        <v>0</v>
      </c>
      <c r="B4870">
        <v>0</v>
      </c>
      <c r="C4870">
        <v>0</v>
      </c>
      <c r="D4870">
        <v>0</v>
      </c>
      <c r="E4870">
        <v>0</v>
      </c>
    </row>
    <row r="4871" spans="1:5" x14ac:dyDescent="0.35">
      <c r="A4871">
        <v>0</v>
      </c>
      <c r="B4871">
        <v>0</v>
      </c>
      <c r="C4871">
        <v>0</v>
      </c>
      <c r="D4871">
        <v>0</v>
      </c>
      <c r="E4871">
        <v>0</v>
      </c>
    </row>
    <row r="4872" spans="1:5" x14ac:dyDescent="0.35">
      <c r="A4872">
        <v>0</v>
      </c>
      <c r="B4872">
        <v>0</v>
      </c>
      <c r="C4872">
        <v>0</v>
      </c>
      <c r="D4872">
        <v>0</v>
      </c>
      <c r="E4872">
        <v>0</v>
      </c>
    </row>
    <row r="4873" spans="1:5" x14ac:dyDescent="0.35">
      <c r="A4873">
        <v>0</v>
      </c>
      <c r="B4873">
        <v>0</v>
      </c>
      <c r="C4873">
        <v>0</v>
      </c>
      <c r="D4873">
        <v>0</v>
      </c>
      <c r="E4873">
        <v>0</v>
      </c>
    </row>
    <row r="4874" spans="1:5" x14ac:dyDescent="0.35">
      <c r="A4874">
        <v>0</v>
      </c>
      <c r="B4874">
        <v>0</v>
      </c>
      <c r="C4874">
        <v>0</v>
      </c>
      <c r="D4874">
        <v>0</v>
      </c>
      <c r="E4874">
        <v>0</v>
      </c>
    </row>
    <row r="4875" spans="1:5" x14ac:dyDescent="0.35">
      <c r="A4875">
        <v>0</v>
      </c>
      <c r="B4875">
        <v>0</v>
      </c>
      <c r="C4875">
        <v>0</v>
      </c>
      <c r="D4875">
        <v>0</v>
      </c>
      <c r="E4875">
        <v>0</v>
      </c>
    </row>
    <row r="4876" spans="1:5" x14ac:dyDescent="0.35">
      <c r="A4876">
        <v>0</v>
      </c>
      <c r="B4876">
        <v>0</v>
      </c>
      <c r="C4876">
        <v>0</v>
      </c>
      <c r="D4876">
        <v>0</v>
      </c>
      <c r="E4876">
        <v>0</v>
      </c>
    </row>
    <row r="4877" spans="1:5" x14ac:dyDescent="0.35">
      <c r="A4877">
        <v>0</v>
      </c>
      <c r="B4877">
        <v>0</v>
      </c>
      <c r="C4877">
        <v>0</v>
      </c>
      <c r="D4877">
        <v>0</v>
      </c>
      <c r="E4877">
        <v>0</v>
      </c>
    </row>
    <row r="4878" spans="1:5" x14ac:dyDescent="0.35">
      <c r="A4878">
        <v>0</v>
      </c>
      <c r="B4878">
        <v>0</v>
      </c>
      <c r="C4878">
        <v>0</v>
      </c>
      <c r="D4878">
        <v>0</v>
      </c>
      <c r="E4878">
        <v>0</v>
      </c>
    </row>
    <row r="4879" spans="1:5" x14ac:dyDescent="0.35">
      <c r="A4879">
        <v>0</v>
      </c>
      <c r="B4879">
        <v>0</v>
      </c>
      <c r="C4879">
        <v>0</v>
      </c>
      <c r="D4879">
        <v>0</v>
      </c>
      <c r="E4879">
        <v>0</v>
      </c>
    </row>
    <row r="4880" spans="1:5" x14ac:dyDescent="0.35">
      <c r="A4880">
        <v>0</v>
      </c>
      <c r="B4880">
        <v>0</v>
      </c>
      <c r="C4880">
        <v>0</v>
      </c>
      <c r="D4880">
        <v>0</v>
      </c>
      <c r="E4880">
        <v>0</v>
      </c>
    </row>
    <row r="4881" spans="1:5" x14ac:dyDescent="0.35">
      <c r="A4881">
        <v>0</v>
      </c>
      <c r="B4881">
        <v>0</v>
      </c>
      <c r="C4881">
        <v>0</v>
      </c>
      <c r="D4881">
        <v>0</v>
      </c>
      <c r="E4881">
        <v>0</v>
      </c>
    </row>
    <row r="4882" spans="1:5" x14ac:dyDescent="0.35">
      <c r="A4882">
        <v>0</v>
      </c>
      <c r="B4882">
        <v>0</v>
      </c>
      <c r="C4882">
        <v>0</v>
      </c>
      <c r="D4882">
        <v>0</v>
      </c>
      <c r="E4882">
        <v>0</v>
      </c>
    </row>
    <row r="4883" spans="1:5" x14ac:dyDescent="0.35">
      <c r="A4883">
        <v>0</v>
      </c>
      <c r="B4883">
        <v>0</v>
      </c>
      <c r="C4883">
        <v>0</v>
      </c>
      <c r="D4883">
        <v>0</v>
      </c>
      <c r="E4883">
        <v>0</v>
      </c>
    </row>
    <row r="4884" spans="1:5" x14ac:dyDescent="0.35">
      <c r="A4884">
        <v>0</v>
      </c>
      <c r="B4884">
        <v>0</v>
      </c>
      <c r="C4884">
        <v>0</v>
      </c>
      <c r="D4884">
        <v>0</v>
      </c>
      <c r="E4884">
        <v>0</v>
      </c>
    </row>
    <row r="4885" spans="1:5" x14ac:dyDescent="0.35">
      <c r="A4885">
        <v>0</v>
      </c>
      <c r="B4885">
        <v>0</v>
      </c>
      <c r="C4885">
        <v>0</v>
      </c>
      <c r="D4885">
        <v>0</v>
      </c>
      <c r="E4885">
        <v>0</v>
      </c>
    </row>
    <row r="4886" spans="1:5" x14ac:dyDescent="0.35">
      <c r="A4886">
        <v>0</v>
      </c>
      <c r="B4886">
        <v>0</v>
      </c>
      <c r="C4886">
        <v>0</v>
      </c>
      <c r="D4886">
        <v>0</v>
      </c>
      <c r="E4886">
        <v>0</v>
      </c>
    </row>
    <row r="4887" spans="1:5" x14ac:dyDescent="0.35">
      <c r="A4887">
        <v>0</v>
      </c>
      <c r="B4887">
        <v>0</v>
      </c>
      <c r="C4887">
        <v>0</v>
      </c>
      <c r="D4887">
        <v>0</v>
      </c>
      <c r="E4887">
        <v>0</v>
      </c>
    </row>
    <row r="4888" spans="1:5" x14ac:dyDescent="0.35">
      <c r="A4888">
        <v>0</v>
      </c>
      <c r="B4888">
        <v>0</v>
      </c>
      <c r="C4888">
        <v>0</v>
      </c>
      <c r="D4888">
        <v>0</v>
      </c>
      <c r="E4888">
        <v>0</v>
      </c>
    </row>
    <row r="4889" spans="1:5" x14ac:dyDescent="0.35">
      <c r="A4889">
        <v>0</v>
      </c>
      <c r="B4889">
        <v>0</v>
      </c>
      <c r="C4889">
        <v>0</v>
      </c>
      <c r="D4889">
        <v>0</v>
      </c>
      <c r="E4889">
        <v>0</v>
      </c>
    </row>
    <row r="4890" spans="1:5" x14ac:dyDescent="0.35">
      <c r="A4890">
        <v>0</v>
      </c>
      <c r="B4890">
        <v>0</v>
      </c>
      <c r="C4890">
        <v>0</v>
      </c>
      <c r="D4890">
        <v>0</v>
      </c>
      <c r="E4890">
        <v>0</v>
      </c>
    </row>
    <row r="4891" spans="1:5" x14ac:dyDescent="0.35">
      <c r="A4891">
        <v>0</v>
      </c>
      <c r="B4891">
        <v>0</v>
      </c>
      <c r="C4891">
        <v>0</v>
      </c>
      <c r="D4891">
        <v>0</v>
      </c>
      <c r="E4891">
        <v>0</v>
      </c>
    </row>
    <row r="4892" spans="1:5" x14ac:dyDescent="0.35">
      <c r="A4892">
        <v>0</v>
      </c>
      <c r="B4892">
        <v>0</v>
      </c>
      <c r="C4892">
        <v>0</v>
      </c>
      <c r="D4892">
        <v>0</v>
      </c>
      <c r="E4892">
        <v>0</v>
      </c>
    </row>
    <row r="4893" spans="1:5" x14ac:dyDescent="0.35">
      <c r="A4893">
        <v>0</v>
      </c>
      <c r="B4893">
        <v>0</v>
      </c>
      <c r="C4893">
        <v>0</v>
      </c>
      <c r="D4893">
        <v>0</v>
      </c>
      <c r="E4893">
        <v>0</v>
      </c>
    </row>
    <row r="4894" spans="1:5" x14ac:dyDescent="0.35">
      <c r="A4894">
        <v>0</v>
      </c>
      <c r="B4894">
        <v>0</v>
      </c>
      <c r="C4894">
        <v>0</v>
      </c>
      <c r="D4894">
        <v>0</v>
      </c>
      <c r="E4894">
        <v>0</v>
      </c>
    </row>
    <row r="4895" spans="1:5" x14ac:dyDescent="0.35">
      <c r="A4895">
        <v>0</v>
      </c>
      <c r="B4895">
        <v>0</v>
      </c>
      <c r="C4895">
        <v>0</v>
      </c>
      <c r="D4895">
        <v>0</v>
      </c>
      <c r="E4895">
        <v>0</v>
      </c>
    </row>
    <row r="4896" spans="1:5" x14ac:dyDescent="0.35">
      <c r="A4896">
        <v>0</v>
      </c>
      <c r="B4896">
        <v>0</v>
      </c>
      <c r="C4896">
        <v>0</v>
      </c>
      <c r="D4896">
        <v>0</v>
      </c>
      <c r="E4896">
        <v>0</v>
      </c>
    </row>
    <row r="4897" spans="1:5" x14ac:dyDescent="0.35">
      <c r="A4897">
        <v>0</v>
      </c>
      <c r="B4897">
        <v>0</v>
      </c>
      <c r="C4897">
        <v>0</v>
      </c>
      <c r="D4897">
        <v>0</v>
      </c>
      <c r="E4897">
        <v>0</v>
      </c>
    </row>
    <row r="4898" spans="1:5" x14ac:dyDescent="0.35">
      <c r="A4898">
        <v>0</v>
      </c>
      <c r="B4898">
        <v>0</v>
      </c>
      <c r="C4898">
        <v>0</v>
      </c>
      <c r="D4898">
        <v>0</v>
      </c>
      <c r="E4898">
        <v>0</v>
      </c>
    </row>
    <row r="4899" spans="1:5" x14ac:dyDescent="0.35">
      <c r="A4899">
        <v>0</v>
      </c>
      <c r="B4899">
        <v>0</v>
      </c>
      <c r="C4899">
        <v>0</v>
      </c>
      <c r="D4899">
        <v>0</v>
      </c>
      <c r="E4899">
        <v>0</v>
      </c>
    </row>
    <row r="4900" spans="1:5" x14ac:dyDescent="0.35">
      <c r="A4900">
        <v>0</v>
      </c>
      <c r="B4900">
        <v>0</v>
      </c>
      <c r="C4900">
        <v>0</v>
      </c>
      <c r="D4900">
        <v>0</v>
      </c>
      <c r="E4900">
        <v>0</v>
      </c>
    </row>
    <row r="4901" spans="1:5" x14ac:dyDescent="0.35">
      <c r="A4901">
        <v>0</v>
      </c>
      <c r="B4901">
        <v>0</v>
      </c>
      <c r="C4901">
        <v>0</v>
      </c>
      <c r="D4901">
        <v>0</v>
      </c>
      <c r="E4901">
        <v>0</v>
      </c>
    </row>
    <row r="4902" spans="1:5" x14ac:dyDescent="0.35">
      <c r="A4902">
        <v>0</v>
      </c>
      <c r="B4902">
        <v>0</v>
      </c>
      <c r="C4902">
        <v>0</v>
      </c>
      <c r="D4902">
        <v>0</v>
      </c>
      <c r="E4902">
        <v>0</v>
      </c>
    </row>
    <row r="4903" spans="1:5" x14ac:dyDescent="0.35">
      <c r="A4903">
        <v>0</v>
      </c>
      <c r="B4903">
        <v>0</v>
      </c>
      <c r="C4903">
        <v>0</v>
      </c>
      <c r="D4903">
        <v>0</v>
      </c>
      <c r="E4903">
        <v>0</v>
      </c>
    </row>
    <row r="4904" spans="1:5" x14ac:dyDescent="0.35">
      <c r="A4904">
        <v>0</v>
      </c>
      <c r="B4904">
        <v>0</v>
      </c>
      <c r="C4904">
        <v>0</v>
      </c>
      <c r="D4904">
        <v>0</v>
      </c>
      <c r="E4904">
        <v>0</v>
      </c>
    </row>
    <row r="4905" spans="1:5" x14ac:dyDescent="0.35">
      <c r="A4905">
        <v>0</v>
      </c>
      <c r="B4905">
        <v>0</v>
      </c>
      <c r="C4905">
        <v>0</v>
      </c>
      <c r="D4905">
        <v>0</v>
      </c>
      <c r="E4905">
        <v>0</v>
      </c>
    </row>
    <row r="4906" spans="1:5" x14ac:dyDescent="0.35">
      <c r="A4906">
        <v>0</v>
      </c>
      <c r="B4906">
        <v>0</v>
      </c>
      <c r="C4906">
        <v>0</v>
      </c>
      <c r="D4906">
        <v>0</v>
      </c>
      <c r="E4906">
        <v>0</v>
      </c>
    </row>
    <row r="4907" spans="1:5" x14ac:dyDescent="0.35">
      <c r="A4907">
        <v>0</v>
      </c>
      <c r="B4907">
        <v>0</v>
      </c>
      <c r="C4907">
        <v>0</v>
      </c>
      <c r="D4907">
        <v>0</v>
      </c>
      <c r="E4907">
        <v>0</v>
      </c>
    </row>
    <row r="4908" spans="1:5" x14ac:dyDescent="0.35">
      <c r="A4908">
        <v>0</v>
      </c>
      <c r="B4908">
        <v>0</v>
      </c>
      <c r="C4908">
        <v>0</v>
      </c>
      <c r="D4908">
        <v>0</v>
      </c>
      <c r="E4908">
        <v>0</v>
      </c>
    </row>
    <row r="4909" spans="1:5" x14ac:dyDescent="0.35">
      <c r="A4909">
        <v>0</v>
      </c>
      <c r="B4909">
        <v>0</v>
      </c>
      <c r="C4909">
        <v>0</v>
      </c>
      <c r="D4909">
        <v>0</v>
      </c>
      <c r="E4909">
        <v>0</v>
      </c>
    </row>
    <row r="4910" spans="1:5" x14ac:dyDescent="0.35">
      <c r="A4910">
        <v>0</v>
      </c>
      <c r="B4910">
        <v>0</v>
      </c>
      <c r="C4910">
        <v>0</v>
      </c>
      <c r="D4910">
        <v>0</v>
      </c>
      <c r="E4910">
        <v>0</v>
      </c>
    </row>
    <row r="4911" spans="1:5" x14ac:dyDescent="0.35">
      <c r="A4911">
        <v>0</v>
      </c>
      <c r="B4911">
        <v>0</v>
      </c>
      <c r="C4911">
        <v>0</v>
      </c>
      <c r="D4911">
        <v>0</v>
      </c>
      <c r="E4911">
        <v>0</v>
      </c>
    </row>
    <row r="4912" spans="1:5" x14ac:dyDescent="0.35">
      <c r="A4912">
        <v>0</v>
      </c>
      <c r="B4912">
        <v>0</v>
      </c>
      <c r="C4912">
        <v>0</v>
      </c>
      <c r="D4912">
        <v>0</v>
      </c>
      <c r="E4912">
        <v>0</v>
      </c>
    </row>
    <row r="4913" spans="1:5" x14ac:dyDescent="0.35">
      <c r="A4913">
        <v>0</v>
      </c>
      <c r="B4913">
        <v>0</v>
      </c>
      <c r="C4913">
        <v>0</v>
      </c>
      <c r="D4913">
        <v>0</v>
      </c>
      <c r="E4913">
        <v>0</v>
      </c>
    </row>
    <row r="4914" spans="1:5" x14ac:dyDescent="0.35">
      <c r="A4914">
        <v>0</v>
      </c>
      <c r="B4914">
        <v>0</v>
      </c>
      <c r="C4914">
        <v>0</v>
      </c>
      <c r="D4914">
        <v>0</v>
      </c>
      <c r="E4914">
        <v>0</v>
      </c>
    </row>
    <row r="4915" spans="1:5" x14ac:dyDescent="0.35">
      <c r="A4915">
        <v>0</v>
      </c>
      <c r="B4915">
        <v>0</v>
      </c>
      <c r="C4915">
        <v>0</v>
      </c>
      <c r="D4915">
        <v>0</v>
      </c>
      <c r="E4915">
        <v>0</v>
      </c>
    </row>
    <row r="4916" spans="1:5" x14ac:dyDescent="0.35">
      <c r="A4916">
        <v>0</v>
      </c>
      <c r="B4916">
        <v>0</v>
      </c>
      <c r="C4916">
        <v>0</v>
      </c>
      <c r="D4916">
        <v>0</v>
      </c>
      <c r="E4916">
        <v>0</v>
      </c>
    </row>
    <row r="4917" spans="1:5" x14ac:dyDescent="0.35">
      <c r="A4917">
        <v>0</v>
      </c>
      <c r="B4917">
        <v>0</v>
      </c>
      <c r="C4917">
        <v>0</v>
      </c>
      <c r="D4917">
        <v>0</v>
      </c>
      <c r="E4917">
        <v>0</v>
      </c>
    </row>
    <row r="4918" spans="1:5" x14ac:dyDescent="0.35">
      <c r="A4918">
        <v>0</v>
      </c>
      <c r="B4918">
        <v>0</v>
      </c>
      <c r="C4918">
        <v>0</v>
      </c>
      <c r="D4918">
        <v>0</v>
      </c>
      <c r="E4918">
        <v>0</v>
      </c>
    </row>
    <row r="4919" spans="1:5" x14ac:dyDescent="0.35">
      <c r="A4919">
        <v>0</v>
      </c>
      <c r="B4919">
        <v>0</v>
      </c>
      <c r="C4919">
        <v>0</v>
      </c>
      <c r="D4919">
        <v>0</v>
      </c>
      <c r="E4919">
        <v>0</v>
      </c>
    </row>
    <row r="4920" spans="1:5" x14ac:dyDescent="0.35">
      <c r="A4920">
        <v>0</v>
      </c>
      <c r="B4920">
        <v>0</v>
      </c>
      <c r="C4920">
        <v>0</v>
      </c>
      <c r="D4920">
        <v>0</v>
      </c>
      <c r="E4920">
        <v>0</v>
      </c>
    </row>
    <row r="4921" spans="1:5" x14ac:dyDescent="0.35">
      <c r="A4921">
        <v>0</v>
      </c>
      <c r="B4921">
        <v>0</v>
      </c>
      <c r="C4921">
        <v>0</v>
      </c>
      <c r="D4921">
        <v>0</v>
      </c>
      <c r="E4921">
        <v>0</v>
      </c>
    </row>
    <row r="4922" spans="1:5" x14ac:dyDescent="0.35">
      <c r="A4922">
        <v>0</v>
      </c>
      <c r="B4922">
        <v>0</v>
      </c>
      <c r="C4922">
        <v>0</v>
      </c>
      <c r="D4922">
        <v>0</v>
      </c>
      <c r="E4922">
        <v>0</v>
      </c>
    </row>
    <row r="4923" spans="1:5" x14ac:dyDescent="0.35">
      <c r="A4923">
        <v>0</v>
      </c>
      <c r="B4923">
        <v>0</v>
      </c>
      <c r="C4923">
        <v>0</v>
      </c>
      <c r="D4923">
        <v>0</v>
      </c>
      <c r="E4923">
        <v>0</v>
      </c>
    </row>
    <row r="4924" spans="1:5" x14ac:dyDescent="0.35">
      <c r="A4924">
        <v>0</v>
      </c>
      <c r="B4924">
        <v>0</v>
      </c>
      <c r="C4924">
        <v>0</v>
      </c>
      <c r="D4924">
        <v>0</v>
      </c>
      <c r="E4924">
        <v>0</v>
      </c>
    </row>
    <row r="4925" spans="1:5" x14ac:dyDescent="0.35">
      <c r="A4925">
        <v>0</v>
      </c>
      <c r="B4925">
        <v>0</v>
      </c>
      <c r="C4925">
        <v>0</v>
      </c>
      <c r="D4925">
        <v>0</v>
      </c>
      <c r="E4925">
        <v>0</v>
      </c>
    </row>
    <row r="4926" spans="1:5" x14ac:dyDescent="0.35">
      <c r="A4926">
        <v>0</v>
      </c>
      <c r="B4926">
        <v>0</v>
      </c>
      <c r="C4926">
        <v>0</v>
      </c>
      <c r="D4926">
        <v>0</v>
      </c>
      <c r="E4926">
        <v>0</v>
      </c>
    </row>
    <row r="4927" spans="1:5" x14ac:dyDescent="0.35">
      <c r="A4927">
        <v>0</v>
      </c>
      <c r="B4927">
        <v>0</v>
      </c>
      <c r="C4927">
        <v>0</v>
      </c>
      <c r="D4927">
        <v>0</v>
      </c>
      <c r="E4927">
        <v>0</v>
      </c>
    </row>
    <row r="4928" spans="1:5" x14ac:dyDescent="0.35">
      <c r="A4928">
        <v>0</v>
      </c>
      <c r="B4928">
        <v>0</v>
      </c>
      <c r="C4928">
        <v>0</v>
      </c>
      <c r="D4928">
        <v>0</v>
      </c>
      <c r="E4928">
        <v>0</v>
      </c>
    </row>
    <row r="4929" spans="1:5" x14ac:dyDescent="0.35">
      <c r="A4929">
        <v>0</v>
      </c>
      <c r="B4929">
        <v>0</v>
      </c>
      <c r="C4929">
        <v>0</v>
      </c>
      <c r="D4929">
        <v>0</v>
      </c>
      <c r="E4929">
        <v>0</v>
      </c>
    </row>
    <row r="4930" spans="1:5" x14ac:dyDescent="0.35">
      <c r="A4930">
        <v>0</v>
      </c>
      <c r="B4930">
        <v>0</v>
      </c>
      <c r="C4930">
        <v>0</v>
      </c>
      <c r="D4930">
        <v>0</v>
      </c>
      <c r="E4930">
        <v>0</v>
      </c>
    </row>
    <row r="4931" spans="1:5" x14ac:dyDescent="0.35">
      <c r="A4931">
        <v>0</v>
      </c>
      <c r="B4931">
        <v>0</v>
      </c>
      <c r="C4931">
        <v>0</v>
      </c>
      <c r="D4931">
        <v>0</v>
      </c>
      <c r="E4931">
        <v>0</v>
      </c>
    </row>
    <row r="4932" spans="1:5" x14ac:dyDescent="0.35">
      <c r="A4932">
        <v>0</v>
      </c>
      <c r="B4932">
        <v>0</v>
      </c>
      <c r="C4932">
        <v>0</v>
      </c>
      <c r="D4932">
        <v>0</v>
      </c>
      <c r="E4932">
        <v>0</v>
      </c>
    </row>
    <row r="4933" spans="1:5" x14ac:dyDescent="0.35">
      <c r="A4933">
        <v>0</v>
      </c>
      <c r="B4933">
        <v>0</v>
      </c>
      <c r="C4933">
        <v>0</v>
      </c>
      <c r="D4933">
        <v>0</v>
      </c>
      <c r="E4933">
        <v>0</v>
      </c>
    </row>
    <row r="4934" spans="1:5" x14ac:dyDescent="0.35">
      <c r="A4934">
        <v>0</v>
      </c>
      <c r="B4934">
        <v>0</v>
      </c>
      <c r="C4934">
        <v>0</v>
      </c>
      <c r="D4934">
        <v>0</v>
      </c>
      <c r="E4934">
        <v>0</v>
      </c>
    </row>
    <row r="4935" spans="1:5" x14ac:dyDescent="0.35">
      <c r="A4935">
        <v>0</v>
      </c>
      <c r="B4935">
        <v>0</v>
      </c>
      <c r="C4935">
        <v>0</v>
      </c>
      <c r="D4935">
        <v>0</v>
      </c>
      <c r="E4935">
        <v>0</v>
      </c>
    </row>
    <row r="4936" spans="1:5" x14ac:dyDescent="0.35">
      <c r="A4936">
        <v>0</v>
      </c>
      <c r="B4936">
        <v>0</v>
      </c>
      <c r="C4936">
        <v>0</v>
      </c>
      <c r="D4936">
        <v>0</v>
      </c>
      <c r="E4936">
        <v>0</v>
      </c>
    </row>
    <row r="4937" spans="1:5" x14ac:dyDescent="0.35">
      <c r="A4937">
        <v>0</v>
      </c>
      <c r="B4937">
        <v>0</v>
      </c>
      <c r="C4937">
        <v>0</v>
      </c>
      <c r="D4937">
        <v>0</v>
      </c>
      <c r="E4937">
        <v>0</v>
      </c>
    </row>
    <row r="4938" spans="1:5" x14ac:dyDescent="0.35">
      <c r="A4938">
        <v>0</v>
      </c>
      <c r="B4938">
        <v>0</v>
      </c>
      <c r="C4938">
        <v>0</v>
      </c>
      <c r="D4938">
        <v>0</v>
      </c>
      <c r="E4938">
        <v>0</v>
      </c>
    </row>
    <row r="4939" spans="1:5" x14ac:dyDescent="0.35">
      <c r="A4939">
        <v>0</v>
      </c>
      <c r="B4939">
        <v>0</v>
      </c>
      <c r="C4939">
        <v>0</v>
      </c>
      <c r="D4939">
        <v>0</v>
      </c>
      <c r="E4939">
        <v>0</v>
      </c>
    </row>
    <row r="4940" spans="1:5" x14ac:dyDescent="0.35">
      <c r="A4940">
        <v>0</v>
      </c>
      <c r="B4940">
        <v>0</v>
      </c>
      <c r="C4940">
        <v>0</v>
      </c>
      <c r="D4940">
        <v>0</v>
      </c>
      <c r="E4940">
        <v>0</v>
      </c>
    </row>
    <row r="4941" spans="1:5" x14ac:dyDescent="0.35">
      <c r="A4941">
        <v>0</v>
      </c>
      <c r="B4941">
        <v>0</v>
      </c>
      <c r="C4941">
        <v>0</v>
      </c>
      <c r="D4941">
        <v>0</v>
      </c>
      <c r="E4941">
        <v>0</v>
      </c>
    </row>
    <row r="4942" spans="1:5" x14ac:dyDescent="0.35">
      <c r="A4942">
        <v>0</v>
      </c>
      <c r="B4942">
        <v>0</v>
      </c>
      <c r="C4942">
        <v>0</v>
      </c>
      <c r="D4942">
        <v>0</v>
      </c>
      <c r="E4942">
        <v>0</v>
      </c>
    </row>
    <row r="4943" spans="1:5" x14ac:dyDescent="0.35">
      <c r="A4943">
        <v>0</v>
      </c>
      <c r="B4943">
        <v>0</v>
      </c>
      <c r="C4943">
        <v>0</v>
      </c>
      <c r="D4943">
        <v>0</v>
      </c>
      <c r="E4943">
        <v>0</v>
      </c>
    </row>
    <row r="4944" spans="1:5" x14ac:dyDescent="0.35">
      <c r="A4944">
        <v>0</v>
      </c>
      <c r="B4944">
        <v>0</v>
      </c>
      <c r="C4944">
        <v>0</v>
      </c>
      <c r="D4944">
        <v>0</v>
      </c>
      <c r="E4944">
        <v>0</v>
      </c>
    </row>
    <row r="4945" spans="1:5" x14ac:dyDescent="0.35">
      <c r="A4945">
        <v>0</v>
      </c>
      <c r="B4945">
        <v>0</v>
      </c>
      <c r="C4945">
        <v>0</v>
      </c>
      <c r="D4945">
        <v>0</v>
      </c>
      <c r="E4945">
        <v>0</v>
      </c>
    </row>
    <row r="4946" spans="1:5" x14ac:dyDescent="0.35">
      <c r="A4946">
        <v>0</v>
      </c>
      <c r="B4946">
        <v>0</v>
      </c>
      <c r="C4946">
        <v>0</v>
      </c>
      <c r="D4946">
        <v>0</v>
      </c>
      <c r="E4946">
        <v>0</v>
      </c>
    </row>
    <row r="4947" spans="1:5" x14ac:dyDescent="0.35">
      <c r="A4947">
        <v>0</v>
      </c>
      <c r="B4947">
        <v>0</v>
      </c>
      <c r="C4947">
        <v>0</v>
      </c>
      <c r="D4947">
        <v>0</v>
      </c>
      <c r="E4947">
        <v>0</v>
      </c>
    </row>
    <row r="4948" spans="1:5" x14ac:dyDescent="0.35">
      <c r="A4948">
        <v>0</v>
      </c>
      <c r="B4948">
        <v>0</v>
      </c>
      <c r="C4948">
        <v>0</v>
      </c>
      <c r="D4948">
        <v>0</v>
      </c>
      <c r="E4948">
        <v>0</v>
      </c>
    </row>
    <row r="4949" spans="1:5" x14ac:dyDescent="0.35">
      <c r="A4949">
        <v>0</v>
      </c>
      <c r="B4949">
        <v>0</v>
      </c>
      <c r="C4949">
        <v>0</v>
      </c>
      <c r="D4949">
        <v>0</v>
      </c>
      <c r="E4949">
        <v>0</v>
      </c>
    </row>
    <row r="4950" spans="1:5" x14ac:dyDescent="0.35">
      <c r="A4950">
        <v>0</v>
      </c>
      <c r="B4950">
        <v>0</v>
      </c>
      <c r="C4950">
        <v>0</v>
      </c>
      <c r="D4950">
        <v>0</v>
      </c>
      <c r="E4950">
        <v>0</v>
      </c>
    </row>
    <row r="4951" spans="1:5" x14ac:dyDescent="0.35">
      <c r="A4951">
        <v>0</v>
      </c>
      <c r="B4951">
        <v>0</v>
      </c>
      <c r="C4951">
        <v>0</v>
      </c>
      <c r="D4951">
        <v>0</v>
      </c>
      <c r="E4951">
        <v>0</v>
      </c>
    </row>
    <row r="4952" spans="1:5" x14ac:dyDescent="0.35">
      <c r="A4952">
        <v>0</v>
      </c>
      <c r="B4952">
        <v>0</v>
      </c>
      <c r="C4952">
        <v>0</v>
      </c>
      <c r="D4952">
        <v>0</v>
      </c>
      <c r="E4952">
        <v>0</v>
      </c>
    </row>
    <row r="4953" spans="1:5" x14ac:dyDescent="0.35">
      <c r="A4953">
        <v>0</v>
      </c>
      <c r="B4953">
        <v>0</v>
      </c>
      <c r="C4953">
        <v>0</v>
      </c>
      <c r="D4953">
        <v>0</v>
      </c>
      <c r="E4953">
        <v>0</v>
      </c>
    </row>
    <row r="4954" spans="1:5" x14ac:dyDescent="0.35">
      <c r="A4954">
        <v>0</v>
      </c>
      <c r="B4954">
        <v>0</v>
      </c>
      <c r="C4954">
        <v>0</v>
      </c>
      <c r="D4954">
        <v>0</v>
      </c>
      <c r="E4954">
        <v>0</v>
      </c>
    </row>
    <row r="4955" spans="1:5" x14ac:dyDescent="0.35">
      <c r="A4955">
        <v>0</v>
      </c>
      <c r="B4955">
        <v>0</v>
      </c>
      <c r="C4955">
        <v>0</v>
      </c>
      <c r="D4955">
        <v>0</v>
      </c>
      <c r="E4955">
        <v>0</v>
      </c>
    </row>
    <row r="4956" spans="1:5" x14ac:dyDescent="0.35">
      <c r="A4956">
        <v>0</v>
      </c>
      <c r="B4956">
        <v>0</v>
      </c>
      <c r="C4956">
        <v>0</v>
      </c>
      <c r="D4956">
        <v>0</v>
      </c>
      <c r="E4956">
        <v>0</v>
      </c>
    </row>
    <row r="4957" spans="1:5" x14ac:dyDescent="0.35">
      <c r="A4957">
        <v>0</v>
      </c>
      <c r="B4957">
        <v>0</v>
      </c>
      <c r="C4957">
        <v>0</v>
      </c>
      <c r="D4957">
        <v>0</v>
      </c>
      <c r="E4957">
        <v>0</v>
      </c>
    </row>
    <row r="4958" spans="1:5" x14ac:dyDescent="0.35">
      <c r="A4958">
        <v>0</v>
      </c>
      <c r="B4958">
        <v>0</v>
      </c>
      <c r="C4958">
        <v>0</v>
      </c>
      <c r="D4958">
        <v>0</v>
      </c>
      <c r="E4958">
        <v>0</v>
      </c>
    </row>
    <row r="4959" spans="1:5" x14ac:dyDescent="0.35">
      <c r="A4959">
        <v>0</v>
      </c>
      <c r="B4959">
        <v>0</v>
      </c>
      <c r="C4959">
        <v>0</v>
      </c>
      <c r="D4959">
        <v>0</v>
      </c>
      <c r="E4959">
        <v>0</v>
      </c>
    </row>
    <row r="4960" spans="1:5" x14ac:dyDescent="0.35">
      <c r="A4960">
        <v>0</v>
      </c>
      <c r="B4960">
        <v>0</v>
      </c>
      <c r="C4960">
        <v>0</v>
      </c>
      <c r="D4960">
        <v>0</v>
      </c>
      <c r="E4960">
        <v>0</v>
      </c>
    </row>
    <row r="4961" spans="1:5" x14ac:dyDescent="0.35">
      <c r="A4961">
        <v>0</v>
      </c>
      <c r="B4961">
        <v>0</v>
      </c>
      <c r="C4961">
        <v>0</v>
      </c>
      <c r="D4961">
        <v>0</v>
      </c>
      <c r="E4961">
        <v>0</v>
      </c>
    </row>
    <row r="4962" spans="1:5" x14ac:dyDescent="0.35">
      <c r="A4962">
        <v>0</v>
      </c>
      <c r="B4962">
        <v>0</v>
      </c>
      <c r="C4962">
        <v>0</v>
      </c>
      <c r="D4962">
        <v>0</v>
      </c>
      <c r="E4962">
        <v>0</v>
      </c>
    </row>
    <row r="4963" spans="1:5" x14ac:dyDescent="0.35">
      <c r="A4963">
        <v>0</v>
      </c>
      <c r="B4963">
        <v>0</v>
      </c>
      <c r="C4963">
        <v>0</v>
      </c>
      <c r="D4963">
        <v>0</v>
      </c>
      <c r="E4963">
        <v>0</v>
      </c>
    </row>
    <row r="4964" spans="1:5" x14ac:dyDescent="0.35">
      <c r="A4964">
        <v>0</v>
      </c>
      <c r="B4964">
        <v>0</v>
      </c>
      <c r="C4964">
        <v>0</v>
      </c>
      <c r="D4964">
        <v>0</v>
      </c>
      <c r="E4964">
        <v>0</v>
      </c>
    </row>
    <row r="4965" spans="1:5" x14ac:dyDescent="0.35">
      <c r="A4965">
        <v>0</v>
      </c>
      <c r="B4965">
        <v>0</v>
      </c>
      <c r="C4965">
        <v>0</v>
      </c>
      <c r="D4965">
        <v>0</v>
      </c>
      <c r="E4965">
        <v>0</v>
      </c>
    </row>
    <row r="4966" spans="1:5" x14ac:dyDescent="0.35">
      <c r="A4966">
        <v>0</v>
      </c>
      <c r="B4966">
        <v>0</v>
      </c>
      <c r="C4966">
        <v>0</v>
      </c>
      <c r="D4966">
        <v>0</v>
      </c>
      <c r="E4966">
        <v>0</v>
      </c>
    </row>
    <row r="4967" spans="1:5" x14ac:dyDescent="0.35">
      <c r="A4967">
        <v>0</v>
      </c>
      <c r="B4967">
        <v>0</v>
      </c>
      <c r="C4967">
        <v>0</v>
      </c>
      <c r="D4967">
        <v>0</v>
      </c>
      <c r="E4967">
        <v>0</v>
      </c>
    </row>
    <row r="4968" spans="1:5" x14ac:dyDescent="0.35">
      <c r="A4968">
        <v>0</v>
      </c>
      <c r="B4968">
        <v>0</v>
      </c>
      <c r="C4968">
        <v>0</v>
      </c>
      <c r="D4968">
        <v>0</v>
      </c>
      <c r="E4968">
        <v>0</v>
      </c>
    </row>
    <row r="4969" spans="1:5" x14ac:dyDescent="0.35">
      <c r="A4969">
        <v>0</v>
      </c>
      <c r="B4969">
        <v>0</v>
      </c>
      <c r="C4969">
        <v>0</v>
      </c>
      <c r="D4969">
        <v>0</v>
      </c>
      <c r="E4969">
        <v>0</v>
      </c>
    </row>
    <row r="4970" spans="1:5" x14ac:dyDescent="0.35">
      <c r="A4970">
        <v>0</v>
      </c>
      <c r="B4970">
        <v>0</v>
      </c>
      <c r="C4970">
        <v>0</v>
      </c>
      <c r="D4970">
        <v>0</v>
      </c>
      <c r="E4970">
        <v>0</v>
      </c>
    </row>
    <row r="4971" spans="1:5" x14ac:dyDescent="0.35">
      <c r="A4971">
        <v>0</v>
      </c>
      <c r="B4971">
        <v>0</v>
      </c>
      <c r="C4971">
        <v>0</v>
      </c>
      <c r="D4971">
        <v>0</v>
      </c>
      <c r="E4971">
        <v>0</v>
      </c>
    </row>
    <row r="4972" spans="1:5" x14ac:dyDescent="0.35">
      <c r="A4972">
        <v>0</v>
      </c>
      <c r="B4972">
        <v>0</v>
      </c>
      <c r="C4972">
        <v>0</v>
      </c>
      <c r="D4972">
        <v>0</v>
      </c>
      <c r="E4972">
        <v>0</v>
      </c>
    </row>
    <row r="4973" spans="1:5" x14ac:dyDescent="0.35">
      <c r="A4973">
        <v>0</v>
      </c>
      <c r="B4973">
        <v>0</v>
      </c>
      <c r="C4973">
        <v>0</v>
      </c>
      <c r="D4973">
        <v>0</v>
      </c>
      <c r="E4973">
        <v>0</v>
      </c>
    </row>
    <row r="4974" spans="1:5" x14ac:dyDescent="0.35">
      <c r="A4974">
        <v>0</v>
      </c>
      <c r="B4974">
        <v>0</v>
      </c>
      <c r="C4974">
        <v>0</v>
      </c>
      <c r="D4974">
        <v>0</v>
      </c>
      <c r="E4974">
        <v>0</v>
      </c>
    </row>
    <row r="4975" spans="1:5" x14ac:dyDescent="0.35">
      <c r="A4975">
        <v>0</v>
      </c>
      <c r="B4975">
        <v>0</v>
      </c>
      <c r="C4975">
        <v>0</v>
      </c>
      <c r="D4975">
        <v>0</v>
      </c>
      <c r="E4975">
        <v>0</v>
      </c>
    </row>
    <row r="4976" spans="1:5" x14ac:dyDescent="0.35">
      <c r="A4976">
        <v>0</v>
      </c>
      <c r="B4976">
        <v>0</v>
      </c>
      <c r="C4976">
        <v>0</v>
      </c>
      <c r="D4976">
        <v>0</v>
      </c>
      <c r="E4976">
        <v>0</v>
      </c>
    </row>
    <row r="4977" spans="1:5" x14ac:dyDescent="0.35">
      <c r="A4977">
        <v>0</v>
      </c>
      <c r="B4977">
        <v>0</v>
      </c>
      <c r="C4977">
        <v>0</v>
      </c>
      <c r="D4977">
        <v>0</v>
      </c>
      <c r="E4977">
        <v>0</v>
      </c>
    </row>
    <row r="4978" spans="1:5" x14ac:dyDescent="0.35">
      <c r="A4978">
        <v>0</v>
      </c>
      <c r="B4978">
        <v>0</v>
      </c>
      <c r="C4978">
        <v>0</v>
      </c>
      <c r="D4978">
        <v>0</v>
      </c>
      <c r="E4978">
        <v>0</v>
      </c>
    </row>
    <row r="4979" spans="1:5" x14ac:dyDescent="0.35">
      <c r="A4979">
        <v>0</v>
      </c>
      <c r="B4979">
        <v>0</v>
      </c>
      <c r="C4979">
        <v>0</v>
      </c>
      <c r="D4979">
        <v>0</v>
      </c>
      <c r="E4979">
        <v>0</v>
      </c>
    </row>
    <row r="4980" spans="1:5" x14ac:dyDescent="0.35">
      <c r="A4980">
        <v>0</v>
      </c>
      <c r="B4980">
        <v>0</v>
      </c>
      <c r="C4980">
        <v>0</v>
      </c>
      <c r="D4980">
        <v>0</v>
      </c>
      <c r="E4980">
        <v>0</v>
      </c>
    </row>
    <row r="4981" spans="1:5" x14ac:dyDescent="0.35">
      <c r="A4981">
        <v>0</v>
      </c>
      <c r="B4981">
        <v>0</v>
      </c>
      <c r="C4981">
        <v>0</v>
      </c>
      <c r="D4981">
        <v>0</v>
      </c>
      <c r="E4981">
        <v>0</v>
      </c>
    </row>
    <row r="4982" spans="1:5" x14ac:dyDescent="0.35">
      <c r="A4982">
        <v>0</v>
      </c>
      <c r="B4982">
        <v>0</v>
      </c>
      <c r="C4982">
        <v>0</v>
      </c>
      <c r="D4982">
        <v>0</v>
      </c>
      <c r="E4982">
        <v>0</v>
      </c>
    </row>
    <row r="4983" spans="1:5" x14ac:dyDescent="0.35">
      <c r="A4983">
        <v>0</v>
      </c>
      <c r="B4983">
        <v>0</v>
      </c>
      <c r="C4983">
        <v>0</v>
      </c>
      <c r="D4983">
        <v>0</v>
      </c>
      <c r="E4983">
        <v>0</v>
      </c>
    </row>
    <row r="4984" spans="1:5" x14ac:dyDescent="0.35">
      <c r="A4984">
        <v>0</v>
      </c>
      <c r="B4984">
        <v>0</v>
      </c>
      <c r="C4984">
        <v>0</v>
      </c>
      <c r="D4984">
        <v>0</v>
      </c>
      <c r="E4984">
        <v>0</v>
      </c>
    </row>
    <row r="4985" spans="1:5" x14ac:dyDescent="0.35">
      <c r="A4985">
        <v>0</v>
      </c>
      <c r="B4985">
        <v>0</v>
      </c>
      <c r="C4985">
        <v>0</v>
      </c>
      <c r="D4985">
        <v>0</v>
      </c>
      <c r="E4985">
        <v>0</v>
      </c>
    </row>
    <row r="4986" spans="1:5" x14ac:dyDescent="0.35">
      <c r="A4986">
        <v>0</v>
      </c>
      <c r="B4986">
        <v>0</v>
      </c>
      <c r="C4986">
        <v>0</v>
      </c>
      <c r="D4986">
        <v>0</v>
      </c>
      <c r="E4986">
        <v>0</v>
      </c>
    </row>
    <row r="4987" spans="1:5" x14ac:dyDescent="0.35">
      <c r="A4987">
        <v>0</v>
      </c>
      <c r="B4987">
        <v>0</v>
      </c>
      <c r="C4987">
        <v>0</v>
      </c>
      <c r="D4987">
        <v>0</v>
      </c>
      <c r="E4987">
        <v>0</v>
      </c>
    </row>
    <row r="4988" spans="1:5" x14ac:dyDescent="0.35">
      <c r="A4988">
        <v>0</v>
      </c>
      <c r="B4988">
        <v>0</v>
      </c>
      <c r="C4988">
        <v>0</v>
      </c>
      <c r="D4988">
        <v>0</v>
      </c>
      <c r="E4988">
        <v>0</v>
      </c>
    </row>
    <row r="4989" spans="1:5" x14ac:dyDescent="0.35">
      <c r="A4989">
        <v>0</v>
      </c>
      <c r="B4989">
        <v>0</v>
      </c>
      <c r="C4989">
        <v>0</v>
      </c>
      <c r="D4989">
        <v>0</v>
      </c>
      <c r="E4989">
        <v>0</v>
      </c>
    </row>
    <row r="4990" spans="1:5" x14ac:dyDescent="0.35">
      <c r="A4990">
        <v>0</v>
      </c>
      <c r="B4990">
        <v>0</v>
      </c>
      <c r="C4990">
        <v>0</v>
      </c>
      <c r="D4990">
        <v>0</v>
      </c>
      <c r="E4990">
        <v>0</v>
      </c>
    </row>
    <row r="4991" spans="1:5" x14ac:dyDescent="0.35">
      <c r="A4991">
        <v>0</v>
      </c>
      <c r="B4991">
        <v>0</v>
      </c>
      <c r="C4991">
        <v>0</v>
      </c>
      <c r="D4991">
        <v>0</v>
      </c>
      <c r="E4991">
        <v>0</v>
      </c>
    </row>
    <row r="4992" spans="1:5" x14ac:dyDescent="0.35">
      <c r="A4992">
        <v>0</v>
      </c>
      <c r="B4992">
        <v>0</v>
      </c>
      <c r="C4992">
        <v>0</v>
      </c>
      <c r="D4992">
        <v>0</v>
      </c>
      <c r="E4992">
        <v>0</v>
      </c>
    </row>
    <row r="4993" spans="1:5" x14ac:dyDescent="0.35">
      <c r="A4993">
        <v>0</v>
      </c>
      <c r="B4993">
        <v>0</v>
      </c>
      <c r="C4993">
        <v>0</v>
      </c>
      <c r="D4993">
        <v>0</v>
      </c>
      <c r="E4993">
        <v>0</v>
      </c>
    </row>
    <row r="4994" spans="1:5" x14ac:dyDescent="0.35">
      <c r="A4994">
        <v>0</v>
      </c>
      <c r="B4994">
        <v>0</v>
      </c>
      <c r="C4994">
        <v>0</v>
      </c>
      <c r="D4994">
        <v>0</v>
      </c>
      <c r="E4994">
        <v>0</v>
      </c>
    </row>
    <row r="4995" spans="1:5" x14ac:dyDescent="0.35">
      <c r="A4995">
        <v>0</v>
      </c>
      <c r="B4995">
        <v>0</v>
      </c>
      <c r="C4995">
        <v>0</v>
      </c>
      <c r="D4995">
        <v>0</v>
      </c>
      <c r="E4995">
        <v>0</v>
      </c>
    </row>
    <row r="4996" spans="1:5" x14ac:dyDescent="0.35">
      <c r="A4996">
        <v>0</v>
      </c>
      <c r="B4996">
        <v>0</v>
      </c>
      <c r="C4996">
        <v>0</v>
      </c>
      <c r="D4996">
        <v>0</v>
      </c>
      <c r="E4996">
        <v>0</v>
      </c>
    </row>
    <row r="4997" spans="1:5" x14ac:dyDescent="0.35">
      <c r="A4997">
        <v>0</v>
      </c>
      <c r="B4997">
        <v>0</v>
      </c>
      <c r="C4997">
        <v>0</v>
      </c>
      <c r="D4997">
        <v>0</v>
      </c>
      <c r="E4997">
        <v>0</v>
      </c>
    </row>
    <row r="4998" spans="1:5" x14ac:dyDescent="0.35">
      <c r="A4998">
        <v>0</v>
      </c>
      <c r="B4998">
        <v>0</v>
      </c>
      <c r="C4998">
        <v>0</v>
      </c>
      <c r="D4998">
        <v>0</v>
      </c>
      <c r="E4998">
        <v>0</v>
      </c>
    </row>
    <row r="4999" spans="1:5" x14ac:dyDescent="0.35">
      <c r="A4999">
        <v>0</v>
      </c>
      <c r="B4999">
        <v>0</v>
      </c>
      <c r="C4999">
        <v>0</v>
      </c>
      <c r="D4999">
        <v>0</v>
      </c>
      <c r="E4999">
        <v>0</v>
      </c>
    </row>
    <row r="5000" spans="1:5" x14ac:dyDescent="0.35">
      <c r="A5000">
        <v>0</v>
      </c>
      <c r="B5000">
        <v>0</v>
      </c>
      <c r="C5000">
        <v>0</v>
      </c>
      <c r="D5000">
        <v>0</v>
      </c>
      <c r="E5000">
        <v>0</v>
      </c>
    </row>
    <row r="5001" spans="1:5" x14ac:dyDescent="0.35">
      <c r="A5001">
        <v>0</v>
      </c>
      <c r="B5001">
        <v>0</v>
      </c>
      <c r="C5001">
        <v>0</v>
      </c>
      <c r="D5001">
        <v>0</v>
      </c>
      <c r="E5001">
        <v>0</v>
      </c>
    </row>
    <row r="5002" spans="1:5" x14ac:dyDescent="0.35">
      <c r="A5002">
        <v>0</v>
      </c>
      <c r="B5002">
        <v>0</v>
      </c>
      <c r="C5002">
        <v>0</v>
      </c>
      <c r="D5002">
        <v>0</v>
      </c>
      <c r="E5002">
        <v>0</v>
      </c>
    </row>
    <row r="5003" spans="1:5" x14ac:dyDescent="0.35">
      <c r="A5003">
        <v>0</v>
      </c>
      <c r="B5003">
        <v>0</v>
      </c>
      <c r="C5003">
        <v>0</v>
      </c>
      <c r="D5003">
        <v>0</v>
      </c>
      <c r="E5003">
        <v>0</v>
      </c>
    </row>
    <row r="5004" spans="1:5" x14ac:dyDescent="0.35">
      <c r="A5004">
        <v>0</v>
      </c>
      <c r="B5004">
        <v>0</v>
      </c>
      <c r="C5004">
        <v>0</v>
      </c>
      <c r="D5004">
        <v>0</v>
      </c>
      <c r="E5004">
        <v>0</v>
      </c>
    </row>
    <row r="5005" spans="1:5" x14ac:dyDescent="0.35">
      <c r="A5005">
        <v>0</v>
      </c>
      <c r="B5005">
        <v>0</v>
      </c>
      <c r="C5005">
        <v>0</v>
      </c>
      <c r="D5005">
        <v>0</v>
      </c>
      <c r="E5005">
        <v>0</v>
      </c>
    </row>
    <row r="5006" spans="1:5" x14ac:dyDescent="0.35">
      <c r="A5006">
        <v>0</v>
      </c>
      <c r="B5006">
        <v>0</v>
      </c>
      <c r="C5006">
        <v>0</v>
      </c>
      <c r="D5006">
        <v>0</v>
      </c>
      <c r="E5006">
        <v>0</v>
      </c>
    </row>
    <row r="5007" spans="1:5" x14ac:dyDescent="0.35">
      <c r="A5007">
        <v>0</v>
      </c>
      <c r="B5007">
        <v>0</v>
      </c>
      <c r="C5007">
        <v>0</v>
      </c>
      <c r="D5007">
        <v>0</v>
      </c>
      <c r="E5007">
        <v>0</v>
      </c>
    </row>
    <row r="5008" spans="1:5" x14ac:dyDescent="0.35">
      <c r="A5008">
        <v>0</v>
      </c>
      <c r="B5008">
        <v>0</v>
      </c>
      <c r="C5008">
        <v>0</v>
      </c>
      <c r="D5008">
        <v>0</v>
      </c>
      <c r="E5008">
        <v>0</v>
      </c>
    </row>
    <row r="5009" spans="1:5" x14ac:dyDescent="0.35">
      <c r="A5009">
        <v>0</v>
      </c>
      <c r="B5009">
        <v>0</v>
      </c>
      <c r="C5009">
        <v>0</v>
      </c>
      <c r="D5009">
        <v>0</v>
      </c>
      <c r="E5009">
        <v>0</v>
      </c>
    </row>
    <row r="5010" spans="1:5" x14ac:dyDescent="0.35">
      <c r="A5010">
        <v>0</v>
      </c>
      <c r="B5010">
        <v>0</v>
      </c>
      <c r="C5010">
        <v>0</v>
      </c>
      <c r="D5010">
        <v>0</v>
      </c>
      <c r="E5010">
        <v>0</v>
      </c>
    </row>
    <row r="5011" spans="1:5" x14ac:dyDescent="0.35">
      <c r="A5011">
        <v>0</v>
      </c>
      <c r="B5011">
        <v>0</v>
      </c>
      <c r="C5011">
        <v>0</v>
      </c>
      <c r="D5011">
        <v>0</v>
      </c>
      <c r="E5011">
        <v>0</v>
      </c>
    </row>
    <row r="5012" spans="1:5" x14ac:dyDescent="0.35">
      <c r="A5012">
        <v>0</v>
      </c>
      <c r="B5012">
        <v>0</v>
      </c>
      <c r="C5012">
        <v>0</v>
      </c>
      <c r="D5012">
        <v>0</v>
      </c>
      <c r="E5012">
        <v>0</v>
      </c>
    </row>
    <row r="5013" spans="1:5" x14ac:dyDescent="0.35">
      <c r="A5013">
        <v>0</v>
      </c>
      <c r="B5013">
        <v>0</v>
      </c>
      <c r="C5013">
        <v>0</v>
      </c>
      <c r="D5013">
        <v>0</v>
      </c>
      <c r="E5013">
        <v>0</v>
      </c>
    </row>
    <row r="5014" spans="1:5" x14ac:dyDescent="0.35">
      <c r="A5014">
        <v>0</v>
      </c>
      <c r="B5014">
        <v>0</v>
      </c>
      <c r="C5014">
        <v>0</v>
      </c>
      <c r="D5014">
        <v>0</v>
      </c>
      <c r="E5014">
        <v>0</v>
      </c>
    </row>
    <row r="5015" spans="1:5" x14ac:dyDescent="0.35">
      <c r="A5015">
        <v>0</v>
      </c>
      <c r="B5015">
        <v>0</v>
      </c>
      <c r="C5015">
        <v>0</v>
      </c>
      <c r="D5015">
        <v>0</v>
      </c>
      <c r="E5015">
        <v>0</v>
      </c>
    </row>
    <row r="5016" spans="1:5" x14ac:dyDescent="0.35">
      <c r="A5016">
        <v>0</v>
      </c>
      <c r="B5016">
        <v>0</v>
      </c>
      <c r="C5016">
        <v>0</v>
      </c>
      <c r="D5016">
        <v>0</v>
      </c>
      <c r="E5016">
        <v>0</v>
      </c>
    </row>
    <row r="5017" spans="1:5" x14ac:dyDescent="0.35">
      <c r="A5017">
        <v>0</v>
      </c>
      <c r="B5017">
        <v>0</v>
      </c>
      <c r="C5017">
        <v>0</v>
      </c>
      <c r="D5017">
        <v>0</v>
      </c>
      <c r="E5017">
        <v>0</v>
      </c>
    </row>
    <row r="5018" spans="1:5" x14ac:dyDescent="0.35">
      <c r="A5018">
        <v>0</v>
      </c>
      <c r="B5018">
        <v>0</v>
      </c>
      <c r="C5018">
        <v>0</v>
      </c>
      <c r="D5018">
        <v>0</v>
      </c>
      <c r="E5018">
        <v>0</v>
      </c>
    </row>
    <row r="5019" spans="1:5" x14ac:dyDescent="0.35">
      <c r="A5019">
        <v>0</v>
      </c>
      <c r="B5019">
        <v>0</v>
      </c>
      <c r="C5019">
        <v>0</v>
      </c>
      <c r="D5019">
        <v>0</v>
      </c>
      <c r="E5019">
        <v>0</v>
      </c>
    </row>
    <row r="5020" spans="1:5" x14ac:dyDescent="0.35">
      <c r="A5020">
        <v>0</v>
      </c>
      <c r="B5020">
        <v>0</v>
      </c>
      <c r="C5020">
        <v>0</v>
      </c>
      <c r="D5020">
        <v>0</v>
      </c>
      <c r="E5020">
        <v>0</v>
      </c>
    </row>
    <row r="5021" spans="1:5" x14ac:dyDescent="0.35">
      <c r="A5021">
        <v>0</v>
      </c>
      <c r="B5021">
        <v>0</v>
      </c>
      <c r="C5021">
        <v>0</v>
      </c>
      <c r="D5021">
        <v>0</v>
      </c>
      <c r="E5021">
        <v>0</v>
      </c>
    </row>
    <row r="5022" spans="1:5" x14ac:dyDescent="0.35">
      <c r="A5022">
        <v>0</v>
      </c>
      <c r="B5022">
        <v>0</v>
      </c>
      <c r="C5022">
        <v>0</v>
      </c>
      <c r="D5022">
        <v>0</v>
      </c>
      <c r="E5022">
        <v>0</v>
      </c>
    </row>
    <row r="5023" spans="1:5" x14ac:dyDescent="0.35">
      <c r="A5023">
        <v>0</v>
      </c>
      <c r="B5023">
        <v>0</v>
      </c>
      <c r="C5023">
        <v>0</v>
      </c>
      <c r="D5023">
        <v>0</v>
      </c>
      <c r="E5023">
        <v>0</v>
      </c>
    </row>
    <row r="5024" spans="1:5" x14ac:dyDescent="0.35">
      <c r="A5024">
        <v>0</v>
      </c>
      <c r="B5024">
        <v>0</v>
      </c>
      <c r="C5024">
        <v>0</v>
      </c>
      <c r="D5024">
        <v>0</v>
      </c>
      <c r="E5024">
        <v>0</v>
      </c>
    </row>
    <row r="5025" spans="1:5" x14ac:dyDescent="0.35">
      <c r="A5025">
        <v>0</v>
      </c>
      <c r="B5025">
        <v>0</v>
      </c>
      <c r="C5025">
        <v>0</v>
      </c>
      <c r="D5025">
        <v>0</v>
      </c>
      <c r="E5025">
        <v>0</v>
      </c>
    </row>
    <row r="5026" spans="1:5" x14ac:dyDescent="0.35">
      <c r="A5026">
        <v>0</v>
      </c>
      <c r="B5026">
        <v>0</v>
      </c>
      <c r="C5026">
        <v>0</v>
      </c>
      <c r="D5026">
        <v>0</v>
      </c>
      <c r="E5026">
        <v>0</v>
      </c>
    </row>
    <row r="5027" spans="1:5" x14ac:dyDescent="0.35">
      <c r="A5027">
        <v>0</v>
      </c>
      <c r="B5027">
        <v>0</v>
      </c>
      <c r="C5027">
        <v>0</v>
      </c>
      <c r="D5027">
        <v>0</v>
      </c>
      <c r="E5027">
        <v>0</v>
      </c>
    </row>
    <row r="5028" spans="1:5" x14ac:dyDescent="0.35">
      <c r="A5028">
        <v>0</v>
      </c>
      <c r="B5028">
        <v>0</v>
      </c>
      <c r="C5028">
        <v>0</v>
      </c>
      <c r="D5028">
        <v>0</v>
      </c>
      <c r="E5028">
        <v>0</v>
      </c>
    </row>
    <row r="5029" spans="1:5" x14ac:dyDescent="0.35">
      <c r="A5029">
        <v>0</v>
      </c>
      <c r="B5029">
        <v>0</v>
      </c>
      <c r="C5029">
        <v>0</v>
      </c>
      <c r="D5029">
        <v>0</v>
      </c>
      <c r="E5029">
        <v>0</v>
      </c>
    </row>
    <row r="5030" spans="1:5" x14ac:dyDescent="0.35">
      <c r="A5030">
        <v>0</v>
      </c>
      <c r="B5030">
        <v>0</v>
      </c>
      <c r="C5030">
        <v>0</v>
      </c>
      <c r="D5030">
        <v>0</v>
      </c>
      <c r="E5030">
        <v>0</v>
      </c>
    </row>
    <row r="5031" spans="1:5" x14ac:dyDescent="0.35">
      <c r="A5031">
        <v>0</v>
      </c>
      <c r="B5031">
        <v>0</v>
      </c>
      <c r="C5031">
        <v>0</v>
      </c>
      <c r="D5031">
        <v>0</v>
      </c>
      <c r="E5031">
        <v>0</v>
      </c>
    </row>
    <row r="5032" spans="1:5" x14ac:dyDescent="0.35">
      <c r="A5032">
        <v>0</v>
      </c>
      <c r="B5032">
        <v>0</v>
      </c>
      <c r="C5032">
        <v>0</v>
      </c>
      <c r="D5032">
        <v>0</v>
      </c>
      <c r="E5032">
        <v>0</v>
      </c>
    </row>
    <row r="5033" spans="1:5" x14ac:dyDescent="0.35">
      <c r="A5033">
        <v>0</v>
      </c>
      <c r="B5033">
        <v>0</v>
      </c>
      <c r="C5033">
        <v>0</v>
      </c>
      <c r="D5033">
        <v>0</v>
      </c>
      <c r="E5033">
        <v>0</v>
      </c>
    </row>
    <row r="5034" spans="1:5" x14ac:dyDescent="0.35">
      <c r="A5034">
        <v>0</v>
      </c>
      <c r="B5034">
        <v>0</v>
      </c>
      <c r="C5034">
        <v>0</v>
      </c>
      <c r="D5034">
        <v>0</v>
      </c>
      <c r="E5034">
        <v>0</v>
      </c>
    </row>
    <row r="5035" spans="1:5" x14ac:dyDescent="0.35">
      <c r="A5035">
        <v>0</v>
      </c>
      <c r="B5035">
        <v>0</v>
      </c>
      <c r="C5035">
        <v>0</v>
      </c>
      <c r="D5035">
        <v>0</v>
      </c>
      <c r="E5035">
        <v>0</v>
      </c>
    </row>
    <row r="5036" spans="1:5" x14ac:dyDescent="0.35">
      <c r="A5036">
        <v>0</v>
      </c>
      <c r="B5036">
        <v>0</v>
      </c>
      <c r="C5036">
        <v>0</v>
      </c>
      <c r="D5036">
        <v>0</v>
      </c>
      <c r="E5036">
        <v>0</v>
      </c>
    </row>
    <row r="5037" spans="1:5" x14ac:dyDescent="0.35">
      <c r="A5037">
        <v>0</v>
      </c>
      <c r="B5037">
        <v>0</v>
      </c>
      <c r="C5037">
        <v>0</v>
      </c>
      <c r="D5037">
        <v>0</v>
      </c>
      <c r="E5037">
        <v>0</v>
      </c>
    </row>
    <row r="5038" spans="1:5" x14ac:dyDescent="0.35">
      <c r="A5038">
        <v>0</v>
      </c>
      <c r="B5038">
        <v>0</v>
      </c>
      <c r="C5038">
        <v>0</v>
      </c>
      <c r="D5038">
        <v>0</v>
      </c>
      <c r="E5038">
        <v>0</v>
      </c>
    </row>
    <row r="5039" spans="1:5" x14ac:dyDescent="0.35">
      <c r="A5039">
        <v>0</v>
      </c>
      <c r="B5039">
        <v>0</v>
      </c>
      <c r="C5039">
        <v>0</v>
      </c>
      <c r="D5039">
        <v>0</v>
      </c>
      <c r="E5039">
        <v>0</v>
      </c>
    </row>
    <row r="5040" spans="1:5" x14ac:dyDescent="0.35">
      <c r="A5040">
        <v>0</v>
      </c>
      <c r="B5040">
        <v>0</v>
      </c>
      <c r="C5040">
        <v>0</v>
      </c>
      <c r="D5040">
        <v>0</v>
      </c>
      <c r="E5040">
        <v>0</v>
      </c>
    </row>
    <row r="5041" spans="1:5" x14ac:dyDescent="0.35">
      <c r="A5041">
        <v>0</v>
      </c>
      <c r="B5041">
        <v>0</v>
      </c>
      <c r="C5041">
        <v>0</v>
      </c>
      <c r="D5041">
        <v>0</v>
      </c>
      <c r="E5041">
        <v>0</v>
      </c>
    </row>
    <row r="5042" spans="1:5" x14ac:dyDescent="0.35">
      <c r="A5042">
        <v>0</v>
      </c>
      <c r="B5042">
        <v>0</v>
      </c>
      <c r="C5042">
        <v>0</v>
      </c>
      <c r="D5042">
        <v>0</v>
      </c>
      <c r="E5042">
        <v>0</v>
      </c>
    </row>
    <row r="5043" spans="1:5" x14ac:dyDescent="0.35">
      <c r="A5043">
        <v>0</v>
      </c>
      <c r="B5043">
        <v>0</v>
      </c>
      <c r="C5043">
        <v>0</v>
      </c>
      <c r="D5043">
        <v>0</v>
      </c>
      <c r="E5043">
        <v>0</v>
      </c>
    </row>
    <row r="5044" spans="1:5" x14ac:dyDescent="0.35">
      <c r="A5044">
        <v>0</v>
      </c>
      <c r="B5044">
        <v>0</v>
      </c>
      <c r="C5044">
        <v>0</v>
      </c>
      <c r="D5044">
        <v>0</v>
      </c>
      <c r="E5044">
        <v>0</v>
      </c>
    </row>
    <row r="5045" spans="1:5" x14ac:dyDescent="0.35">
      <c r="A5045">
        <v>0</v>
      </c>
      <c r="B5045">
        <v>0</v>
      </c>
      <c r="C5045">
        <v>0</v>
      </c>
      <c r="D5045">
        <v>0</v>
      </c>
      <c r="E5045">
        <v>0</v>
      </c>
    </row>
    <row r="5046" spans="1:5" x14ac:dyDescent="0.35">
      <c r="A5046">
        <v>0</v>
      </c>
      <c r="B5046">
        <v>0</v>
      </c>
      <c r="C5046">
        <v>0</v>
      </c>
      <c r="D5046">
        <v>0</v>
      </c>
      <c r="E5046">
        <v>0</v>
      </c>
    </row>
    <row r="5047" spans="1:5" x14ac:dyDescent="0.35">
      <c r="A5047">
        <v>0</v>
      </c>
      <c r="B5047">
        <v>0</v>
      </c>
      <c r="C5047">
        <v>0</v>
      </c>
      <c r="D5047">
        <v>0</v>
      </c>
      <c r="E5047">
        <v>0</v>
      </c>
    </row>
    <row r="5048" spans="1:5" x14ac:dyDescent="0.35">
      <c r="A5048">
        <v>0</v>
      </c>
      <c r="B5048">
        <v>0</v>
      </c>
      <c r="C5048">
        <v>0</v>
      </c>
      <c r="D5048">
        <v>0</v>
      </c>
      <c r="E5048">
        <v>0</v>
      </c>
    </row>
    <row r="5049" spans="1:5" x14ac:dyDescent="0.35">
      <c r="A5049">
        <v>0</v>
      </c>
      <c r="B5049">
        <v>0</v>
      </c>
      <c r="C5049">
        <v>0</v>
      </c>
      <c r="D5049">
        <v>0</v>
      </c>
      <c r="E5049">
        <v>0</v>
      </c>
    </row>
    <row r="5050" spans="1:5" x14ac:dyDescent="0.35">
      <c r="A5050">
        <v>0</v>
      </c>
      <c r="B5050">
        <v>0</v>
      </c>
      <c r="C5050">
        <v>0</v>
      </c>
      <c r="D5050">
        <v>0</v>
      </c>
      <c r="E5050">
        <v>0</v>
      </c>
    </row>
    <row r="5051" spans="1:5" x14ac:dyDescent="0.35">
      <c r="A5051">
        <v>0</v>
      </c>
      <c r="B5051">
        <v>0</v>
      </c>
      <c r="C5051">
        <v>0</v>
      </c>
      <c r="D5051">
        <v>0</v>
      </c>
      <c r="E5051">
        <v>0</v>
      </c>
    </row>
    <row r="5052" spans="1:5" x14ac:dyDescent="0.35">
      <c r="A5052">
        <v>0</v>
      </c>
      <c r="B5052">
        <v>0</v>
      </c>
      <c r="C5052">
        <v>0</v>
      </c>
      <c r="D5052">
        <v>0</v>
      </c>
      <c r="E5052">
        <v>0</v>
      </c>
    </row>
    <row r="5053" spans="1:5" x14ac:dyDescent="0.35">
      <c r="A5053">
        <v>0</v>
      </c>
      <c r="B5053">
        <v>0</v>
      </c>
      <c r="C5053">
        <v>0</v>
      </c>
      <c r="D5053">
        <v>0</v>
      </c>
      <c r="E5053">
        <v>0</v>
      </c>
    </row>
    <row r="5054" spans="1:5" x14ac:dyDescent="0.35">
      <c r="A5054">
        <v>0</v>
      </c>
      <c r="B5054">
        <v>0</v>
      </c>
      <c r="C5054">
        <v>0</v>
      </c>
      <c r="D5054">
        <v>0</v>
      </c>
      <c r="E5054">
        <v>0</v>
      </c>
    </row>
    <row r="5055" spans="1:5" x14ac:dyDescent="0.35">
      <c r="A5055">
        <v>0</v>
      </c>
      <c r="B5055">
        <v>0</v>
      </c>
      <c r="C5055">
        <v>0</v>
      </c>
      <c r="D5055">
        <v>0</v>
      </c>
      <c r="E5055">
        <v>0</v>
      </c>
    </row>
    <row r="5056" spans="1:5" x14ac:dyDescent="0.35">
      <c r="A5056">
        <v>0</v>
      </c>
      <c r="B5056">
        <v>0</v>
      </c>
      <c r="C5056">
        <v>0</v>
      </c>
      <c r="D5056">
        <v>0</v>
      </c>
      <c r="E5056">
        <v>0</v>
      </c>
    </row>
    <row r="5057" spans="1:5" x14ac:dyDescent="0.35">
      <c r="A5057">
        <v>0</v>
      </c>
      <c r="B5057">
        <v>0</v>
      </c>
      <c r="C5057">
        <v>0</v>
      </c>
      <c r="D5057">
        <v>0</v>
      </c>
      <c r="E5057">
        <v>0</v>
      </c>
    </row>
    <row r="5058" spans="1:5" x14ac:dyDescent="0.35">
      <c r="A5058">
        <v>0</v>
      </c>
      <c r="B5058">
        <v>0</v>
      </c>
      <c r="C5058">
        <v>0</v>
      </c>
      <c r="D5058">
        <v>0</v>
      </c>
      <c r="E5058">
        <v>0</v>
      </c>
    </row>
    <row r="5059" spans="1:5" x14ac:dyDescent="0.35">
      <c r="A5059">
        <v>0</v>
      </c>
      <c r="B5059">
        <v>0</v>
      </c>
      <c r="C5059">
        <v>0</v>
      </c>
      <c r="D5059">
        <v>0</v>
      </c>
      <c r="E5059">
        <v>0</v>
      </c>
    </row>
    <row r="5060" spans="1:5" x14ac:dyDescent="0.35">
      <c r="A5060">
        <v>0</v>
      </c>
      <c r="B5060">
        <v>0</v>
      </c>
      <c r="C5060">
        <v>0</v>
      </c>
      <c r="D5060">
        <v>0</v>
      </c>
      <c r="E5060">
        <v>0</v>
      </c>
    </row>
    <row r="5061" spans="1:5" x14ac:dyDescent="0.35">
      <c r="A5061">
        <v>0</v>
      </c>
      <c r="B5061">
        <v>0</v>
      </c>
      <c r="C5061">
        <v>0</v>
      </c>
      <c r="D5061">
        <v>0</v>
      </c>
      <c r="E5061">
        <v>0</v>
      </c>
    </row>
    <row r="5062" spans="1:5" x14ac:dyDescent="0.35">
      <c r="A5062">
        <v>0</v>
      </c>
      <c r="B5062">
        <v>0</v>
      </c>
      <c r="C5062">
        <v>0</v>
      </c>
      <c r="D5062">
        <v>0</v>
      </c>
      <c r="E5062">
        <v>0</v>
      </c>
    </row>
    <row r="5063" spans="1:5" x14ac:dyDescent="0.35">
      <c r="A5063">
        <v>0</v>
      </c>
      <c r="B5063">
        <v>0</v>
      </c>
      <c r="C5063">
        <v>0</v>
      </c>
      <c r="D5063">
        <v>0</v>
      </c>
      <c r="E5063">
        <v>0</v>
      </c>
    </row>
    <row r="5064" spans="1:5" x14ac:dyDescent="0.35">
      <c r="A5064">
        <v>0</v>
      </c>
      <c r="B5064">
        <v>0</v>
      </c>
      <c r="C5064">
        <v>0</v>
      </c>
      <c r="D5064">
        <v>0</v>
      </c>
      <c r="E5064">
        <v>0</v>
      </c>
    </row>
    <row r="5065" spans="1:5" x14ac:dyDescent="0.35">
      <c r="A5065">
        <v>0</v>
      </c>
      <c r="B5065">
        <v>0</v>
      </c>
      <c r="C5065">
        <v>0</v>
      </c>
      <c r="D5065">
        <v>0</v>
      </c>
      <c r="E5065">
        <v>0</v>
      </c>
    </row>
    <row r="5066" spans="1:5" x14ac:dyDescent="0.35">
      <c r="A5066">
        <v>0</v>
      </c>
      <c r="B5066">
        <v>0</v>
      </c>
      <c r="C5066">
        <v>0</v>
      </c>
      <c r="D5066">
        <v>0</v>
      </c>
      <c r="E5066">
        <v>0</v>
      </c>
    </row>
    <row r="5067" spans="1:5" x14ac:dyDescent="0.35">
      <c r="A5067">
        <v>0</v>
      </c>
      <c r="B5067">
        <v>0</v>
      </c>
      <c r="C5067">
        <v>0</v>
      </c>
      <c r="D5067">
        <v>0</v>
      </c>
      <c r="E5067">
        <v>0</v>
      </c>
    </row>
    <row r="5068" spans="1:5" x14ac:dyDescent="0.35">
      <c r="A5068">
        <v>0</v>
      </c>
      <c r="B5068">
        <v>0</v>
      </c>
      <c r="C5068">
        <v>0</v>
      </c>
      <c r="D5068">
        <v>0</v>
      </c>
      <c r="E5068">
        <v>0</v>
      </c>
    </row>
    <row r="5069" spans="1:5" x14ac:dyDescent="0.35">
      <c r="A5069">
        <v>0</v>
      </c>
      <c r="B5069">
        <v>0</v>
      </c>
      <c r="C5069">
        <v>0</v>
      </c>
      <c r="D5069">
        <v>0</v>
      </c>
      <c r="E5069">
        <v>0</v>
      </c>
    </row>
    <row r="5070" spans="1:5" x14ac:dyDescent="0.35">
      <c r="A5070">
        <v>0</v>
      </c>
      <c r="B5070">
        <v>0</v>
      </c>
      <c r="C5070">
        <v>0</v>
      </c>
      <c r="D5070">
        <v>0</v>
      </c>
      <c r="E5070">
        <v>0</v>
      </c>
    </row>
    <row r="5071" spans="1:5" x14ac:dyDescent="0.35">
      <c r="A5071">
        <v>0</v>
      </c>
      <c r="B5071">
        <v>0</v>
      </c>
      <c r="C5071">
        <v>0</v>
      </c>
      <c r="D5071">
        <v>0</v>
      </c>
      <c r="E5071">
        <v>0</v>
      </c>
    </row>
    <row r="5072" spans="1:5" x14ac:dyDescent="0.35">
      <c r="A5072">
        <v>0</v>
      </c>
      <c r="B5072">
        <v>0</v>
      </c>
      <c r="C5072">
        <v>0</v>
      </c>
      <c r="D5072">
        <v>0</v>
      </c>
      <c r="E5072">
        <v>0</v>
      </c>
    </row>
    <row r="5073" spans="1:5" x14ac:dyDescent="0.35">
      <c r="A5073">
        <v>0</v>
      </c>
      <c r="B5073">
        <v>0</v>
      </c>
      <c r="C5073">
        <v>0</v>
      </c>
      <c r="D5073">
        <v>0</v>
      </c>
      <c r="E5073">
        <v>0</v>
      </c>
    </row>
    <row r="5074" spans="1:5" x14ac:dyDescent="0.35">
      <c r="A5074">
        <v>0</v>
      </c>
      <c r="B5074">
        <v>0</v>
      </c>
      <c r="C5074">
        <v>0</v>
      </c>
      <c r="D5074">
        <v>0</v>
      </c>
      <c r="E5074">
        <v>0</v>
      </c>
    </row>
    <row r="5075" spans="1:5" x14ac:dyDescent="0.35">
      <c r="A5075">
        <v>0</v>
      </c>
      <c r="B5075">
        <v>0</v>
      </c>
      <c r="C5075">
        <v>0</v>
      </c>
      <c r="D5075">
        <v>0</v>
      </c>
      <c r="E5075">
        <v>0</v>
      </c>
    </row>
    <row r="5076" spans="1:5" x14ac:dyDescent="0.35">
      <c r="A5076">
        <v>0</v>
      </c>
      <c r="B5076">
        <v>0</v>
      </c>
      <c r="C5076">
        <v>0</v>
      </c>
      <c r="D5076">
        <v>0</v>
      </c>
      <c r="E5076">
        <v>0</v>
      </c>
    </row>
    <row r="5077" spans="1:5" x14ac:dyDescent="0.35">
      <c r="A5077">
        <v>0</v>
      </c>
      <c r="B5077">
        <v>0</v>
      </c>
      <c r="C5077">
        <v>0</v>
      </c>
      <c r="D5077">
        <v>0</v>
      </c>
      <c r="E5077">
        <v>0</v>
      </c>
    </row>
    <row r="5078" spans="1:5" x14ac:dyDescent="0.35">
      <c r="A5078">
        <v>0</v>
      </c>
      <c r="B5078">
        <v>0</v>
      </c>
      <c r="C5078">
        <v>0</v>
      </c>
      <c r="D5078">
        <v>0</v>
      </c>
      <c r="E5078">
        <v>0</v>
      </c>
    </row>
    <row r="5079" spans="1:5" x14ac:dyDescent="0.35">
      <c r="A5079">
        <v>0</v>
      </c>
      <c r="B5079">
        <v>0</v>
      </c>
      <c r="C5079">
        <v>0</v>
      </c>
      <c r="D5079">
        <v>0</v>
      </c>
      <c r="E5079">
        <v>0</v>
      </c>
    </row>
    <row r="5080" spans="1:5" x14ac:dyDescent="0.35">
      <c r="A5080">
        <v>0</v>
      </c>
      <c r="B5080">
        <v>0</v>
      </c>
      <c r="C5080">
        <v>0</v>
      </c>
      <c r="D5080">
        <v>0</v>
      </c>
      <c r="E5080">
        <v>0</v>
      </c>
    </row>
    <row r="5081" spans="1:5" x14ac:dyDescent="0.35">
      <c r="A5081">
        <v>0</v>
      </c>
      <c r="B5081">
        <v>0</v>
      </c>
      <c r="C5081">
        <v>0</v>
      </c>
      <c r="D5081">
        <v>0</v>
      </c>
      <c r="E5081">
        <v>0</v>
      </c>
    </row>
    <row r="5082" spans="1:5" x14ac:dyDescent="0.35">
      <c r="A5082">
        <v>0</v>
      </c>
      <c r="B5082">
        <v>0</v>
      </c>
      <c r="C5082">
        <v>0</v>
      </c>
      <c r="D5082">
        <v>0</v>
      </c>
      <c r="E5082">
        <v>0</v>
      </c>
    </row>
    <row r="5083" spans="1:5" x14ac:dyDescent="0.35">
      <c r="A5083">
        <v>0</v>
      </c>
      <c r="B5083">
        <v>0</v>
      </c>
      <c r="C5083">
        <v>0</v>
      </c>
      <c r="D5083">
        <v>0</v>
      </c>
      <c r="E5083">
        <v>0</v>
      </c>
    </row>
    <row r="5084" spans="1:5" x14ac:dyDescent="0.35">
      <c r="A5084">
        <v>0</v>
      </c>
      <c r="B5084">
        <v>0</v>
      </c>
      <c r="C5084">
        <v>0</v>
      </c>
      <c r="D5084">
        <v>0</v>
      </c>
      <c r="E5084">
        <v>0</v>
      </c>
    </row>
    <row r="5085" spans="1:5" x14ac:dyDescent="0.35">
      <c r="A5085">
        <v>0</v>
      </c>
      <c r="B5085">
        <v>0</v>
      </c>
      <c r="C5085">
        <v>0</v>
      </c>
      <c r="D5085">
        <v>0</v>
      </c>
      <c r="E5085">
        <v>0</v>
      </c>
    </row>
    <row r="5086" spans="1:5" x14ac:dyDescent="0.35">
      <c r="A5086">
        <v>0</v>
      </c>
      <c r="B5086">
        <v>0</v>
      </c>
      <c r="C5086">
        <v>0</v>
      </c>
      <c r="D5086">
        <v>0</v>
      </c>
      <c r="E5086">
        <v>0</v>
      </c>
    </row>
    <row r="5087" spans="1:5" x14ac:dyDescent="0.35">
      <c r="A5087">
        <v>0</v>
      </c>
      <c r="B5087">
        <v>0</v>
      </c>
      <c r="C5087">
        <v>0</v>
      </c>
      <c r="D5087">
        <v>0</v>
      </c>
      <c r="E5087">
        <v>0</v>
      </c>
    </row>
    <row r="5088" spans="1:5" x14ac:dyDescent="0.35">
      <c r="A5088">
        <v>0</v>
      </c>
      <c r="B5088">
        <v>0</v>
      </c>
      <c r="C5088">
        <v>0</v>
      </c>
      <c r="D5088">
        <v>0</v>
      </c>
      <c r="E5088">
        <v>0</v>
      </c>
    </row>
    <row r="5089" spans="1:5" x14ac:dyDescent="0.35">
      <c r="A5089">
        <v>0</v>
      </c>
      <c r="B5089">
        <v>0</v>
      </c>
      <c r="C5089">
        <v>0</v>
      </c>
      <c r="D5089">
        <v>0</v>
      </c>
      <c r="E5089">
        <v>0</v>
      </c>
    </row>
    <row r="5090" spans="1:5" x14ac:dyDescent="0.35">
      <c r="A5090">
        <v>0</v>
      </c>
      <c r="B5090">
        <v>0</v>
      </c>
      <c r="C5090">
        <v>0</v>
      </c>
      <c r="D5090">
        <v>0</v>
      </c>
      <c r="E5090">
        <v>0</v>
      </c>
    </row>
    <row r="5091" spans="1:5" x14ac:dyDescent="0.35">
      <c r="A5091">
        <v>0</v>
      </c>
      <c r="B5091">
        <v>0</v>
      </c>
      <c r="C5091">
        <v>0</v>
      </c>
      <c r="D5091">
        <v>0</v>
      </c>
      <c r="E5091">
        <v>0</v>
      </c>
    </row>
    <row r="5092" spans="1:5" x14ac:dyDescent="0.35">
      <c r="A5092">
        <v>0</v>
      </c>
      <c r="B5092">
        <v>0</v>
      </c>
      <c r="C5092">
        <v>0</v>
      </c>
      <c r="D5092">
        <v>0</v>
      </c>
      <c r="E5092">
        <v>0</v>
      </c>
    </row>
    <row r="5093" spans="1:5" x14ac:dyDescent="0.35">
      <c r="A5093">
        <v>0</v>
      </c>
      <c r="B5093">
        <v>0</v>
      </c>
      <c r="C5093">
        <v>0</v>
      </c>
      <c r="D5093">
        <v>0</v>
      </c>
      <c r="E5093">
        <v>0</v>
      </c>
    </row>
    <row r="5094" spans="1:5" x14ac:dyDescent="0.35">
      <c r="A5094">
        <v>0</v>
      </c>
      <c r="B5094">
        <v>0</v>
      </c>
      <c r="C5094">
        <v>0</v>
      </c>
      <c r="D5094">
        <v>0</v>
      </c>
      <c r="E5094">
        <v>0</v>
      </c>
    </row>
    <row r="5095" spans="1:5" x14ac:dyDescent="0.35">
      <c r="A5095">
        <v>0</v>
      </c>
      <c r="B5095">
        <v>0</v>
      </c>
      <c r="C5095">
        <v>0</v>
      </c>
      <c r="D5095">
        <v>0</v>
      </c>
      <c r="E5095">
        <v>0</v>
      </c>
    </row>
    <row r="5096" spans="1:5" x14ac:dyDescent="0.35">
      <c r="A5096">
        <v>0</v>
      </c>
      <c r="B5096">
        <v>0</v>
      </c>
      <c r="C5096">
        <v>0</v>
      </c>
      <c r="D5096">
        <v>0</v>
      </c>
      <c r="E5096">
        <v>0</v>
      </c>
    </row>
    <row r="5097" spans="1:5" x14ac:dyDescent="0.35">
      <c r="A5097">
        <v>0</v>
      </c>
      <c r="B5097">
        <v>0</v>
      </c>
      <c r="C5097">
        <v>0</v>
      </c>
      <c r="D5097">
        <v>0</v>
      </c>
      <c r="E5097">
        <v>0</v>
      </c>
    </row>
    <row r="5098" spans="1:5" x14ac:dyDescent="0.35">
      <c r="A5098">
        <v>0</v>
      </c>
      <c r="B5098">
        <v>0</v>
      </c>
      <c r="C5098">
        <v>0</v>
      </c>
      <c r="D5098">
        <v>0</v>
      </c>
      <c r="E5098">
        <v>0</v>
      </c>
    </row>
    <row r="5099" spans="1:5" x14ac:dyDescent="0.35">
      <c r="A5099">
        <v>0</v>
      </c>
      <c r="B5099">
        <v>0</v>
      </c>
      <c r="C5099">
        <v>0</v>
      </c>
      <c r="D5099">
        <v>0</v>
      </c>
      <c r="E5099">
        <v>0</v>
      </c>
    </row>
    <row r="5100" spans="1:5" x14ac:dyDescent="0.35">
      <c r="A5100">
        <v>0</v>
      </c>
      <c r="B5100">
        <v>0</v>
      </c>
      <c r="C5100">
        <v>0</v>
      </c>
      <c r="D5100">
        <v>0</v>
      </c>
      <c r="E5100">
        <v>0</v>
      </c>
    </row>
    <row r="5101" spans="1:5" x14ac:dyDescent="0.35">
      <c r="A5101">
        <v>0</v>
      </c>
      <c r="B5101">
        <v>0</v>
      </c>
      <c r="C5101">
        <v>0</v>
      </c>
      <c r="D5101">
        <v>0</v>
      </c>
      <c r="E5101">
        <v>0</v>
      </c>
    </row>
    <row r="5102" spans="1:5" x14ac:dyDescent="0.35">
      <c r="A5102">
        <v>0</v>
      </c>
      <c r="B5102">
        <v>0</v>
      </c>
      <c r="C5102">
        <v>0</v>
      </c>
      <c r="D5102">
        <v>0</v>
      </c>
      <c r="E5102">
        <v>0</v>
      </c>
    </row>
    <row r="5103" spans="1:5" x14ac:dyDescent="0.35">
      <c r="A5103">
        <v>0</v>
      </c>
      <c r="B5103">
        <v>0</v>
      </c>
      <c r="C5103">
        <v>0</v>
      </c>
      <c r="D5103">
        <v>0</v>
      </c>
      <c r="E5103">
        <v>0</v>
      </c>
    </row>
    <row r="5104" spans="1:5" x14ac:dyDescent="0.35">
      <c r="A5104">
        <v>0</v>
      </c>
      <c r="B5104">
        <v>0</v>
      </c>
      <c r="C5104">
        <v>0</v>
      </c>
      <c r="D5104">
        <v>0</v>
      </c>
      <c r="E5104">
        <v>0</v>
      </c>
    </row>
    <row r="5105" spans="1:5" x14ac:dyDescent="0.35">
      <c r="A5105">
        <v>0</v>
      </c>
      <c r="B5105">
        <v>0</v>
      </c>
      <c r="C5105">
        <v>0</v>
      </c>
      <c r="D5105">
        <v>0</v>
      </c>
      <c r="E5105">
        <v>0</v>
      </c>
    </row>
    <row r="5106" spans="1:5" x14ac:dyDescent="0.35">
      <c r="A5106">
        <v>0</v>
      </c>
      <c r="B5106">
        <v>0</v>
      </c>
      <c r="C5106">
        <v>0</v>
      </c>
      <c r="D5106">
        <v>0</v>
      </c>
      <c r="E5106">
        <v>0</v>
      </c>
    </row>
    <row r="5107" spans="1:5" x14ac:dyDescent="0.35">
      <c r="A5107">
        <v>0</v>
      </c>
      <c r="B5107">
        <v>0</v>
      </c>
      <c r="C5107">
        <v>0</v>
      </c>
      <c r="D5107">
        <v>0</v>
      </c>
      <c r="E5107">
        <v>0</v>
      </c>
    </row>
    <row r="5108" spans="1:5" x14ac:dyDescent="0.35">
      <c r="A5108">
        <v>0</v>
      </c>
      <c r="B5108">
        <v>0</v>
      </c>
      <c r="C5108">
        <v>0</v>
      </c>
      <c r="D5108">
        <v>0</v>
      </c>
      <c r="E5108">
        <v>0</v>
      </c>
    </row>
    <row r="5109" spans="1:5" x14ac:dyDescent="0.35">
      <c r="A5109">
        <v>0</v>
      </c>
      <c r="B5109">
        <v>0</v>
      </c>
      <c r="C5109">
        <v>0</v>
      </c>
      <c r="D5109">
        <v>0</v>
      </c>
      <c r="E5109">
        <v>0</v>
      </c>
    </row>
    <row r="5110" spans="1:5" x14ac:dyDescent="0.35">
      <c r="A5110">
        <v>0</v>
      </c>
      <c r="B5110">
        <v>0</v>
      </c>
      <c r="C5110">
        <v>0</v>
      </c>
      <c r="D5110">
        <v>0</v>
      </c>
      <c r="E5110">
        <v>0</v>
      </c>
    </row>
    <row r="5111" spans="1:5" x14ac:dyDescent="0.35">
      <c r="A5111">
        <v>0</v>
      </c>
      <c r="B5111">
        <v>0</v>
      </c>
      <c r="C5111">
        <v>0</v>
      </c>
      <c r="D5111">
        <v>0</v>
      </c>
      <c r="E5111">
        <v>0</v>
      </c>
    </row>
    <row r="5112" spans="1:5" x14ac:dyDescent="0.35">
      <c r="A5112">
        <v>0</v>
      </c>
      <c r="B5112">
        <v>0</v>
      </c>
      <c r="C5112">
        <v>0</v>
      </c>
      <c r="D5112">
        <v>0</v>
      </c>
      <c r="E5112">
        <v>0</v>
      </c>
    </row>
    <row r="5113" spans="1:5" x14ac:dyDescent="0.35">
      <c r="A5113">
        <v>0</v>
      </c>
      <c r="B5113">
        <v>0</v>
      </c>
      <c r="C5113">
        <v>0</v>
      </c>
      <c r="D5113">
        <v>0</v>
      </c>
      <c r="E5113">
        <v>0</v>
      </c>
    </row>
    <row r="5114" spans="1:5" x14ac:dyDescent="0.35">
      <c r="A5114">
        <v>0</v>
      </c>
      <c r="B5114">
        <v>0</v>
      </c>
      <c r="C5114">
        <v>0</v>
      </c>
      <c r="D5114">
        <v>0</v>
      </c>
      <c r="E5114">
        <v>0</v>
      </c>
    </row>
    <row r="5115" spans="1:5" x14ac:dyDescent="0.35">
      <c r="A5115">
        <v>0</v>
      </c>
      <c r="B5115">
        <v>0</v>
      </c>
      <c r="C5115">
        <v>0</v>
      </c>
      <c r="D5115">
        <v>0</v>
      </c>
      <c r="E5115">
        <v>0</v>
      </c>
    </row>
    <row r="5116" spans="1:5" x14ac:dyDescent="0.35">
      <c r="A5116">
        <v>0</v>
      </c>
      <c r="B5116">
        <v>0</v>
      </c>
      <c r="C5116">
        <v>0</v>
      </c>
      <c r="D5116">
        <v>0</v>
      </c>
      <c r="E5116">
        <v>0</v>
      </c>
    </row>
    <row r="5117" spans="1:5" x14ac:dyDescent="0.35">
      <c r="A5117">
        <v>0</v>
      </c>
      <c r="B5117">
        <v>0</v>
      </c>
      <c r="C5117">
        <v>0</v>
      </c>
      <c r="D5117">
        <v>0</v>
      </c>
      <c r="E5117">
        <v>0</v>
      </c>
    </row>
    <row r="5118" spans="1:5" x14ac:dyDescent="0.35">
      <c r="A5118">
        <v>0</v>
      </c>
      <c r="B5118">
        <v>0</v>
      </c>
      <c r="C5118">
        <v>0</v>
      </c>
      <c r="D5118">
        <v>0</v>
      </c>
      <c r="E5118">
        <v>0</v>
      </c>
    </row>
    <row r="5119" spans="1:5" x14ac:dyDescent="0.35">
      <c r="A5119">
        <v>0</v>
      </c>
      <c r="B5119">
        <v>0</v>
      </c>
      <c r="C5119">
        <v>0</v>
      </c>
      <c r="D5119">
        <v>0</v>
      </c>
      <c r="E5119">
        <v>0</v>
      </c>
    </row>
    <row r="5120" spans="1:5" x14ac:dyDescent="0.35">
      <c r="A5120">
        <v>0</v>
      </c>
      <c r="B5120">
        <v>0</v>
      </c>
      <c r="C5120">
        <v>0</v>
      </c>
      <c r="D5120">
        <v>0</v>
      </c>
      <c r="E5120">
        <v>0</v>
      </c>
    </row>
    <row r="5121" spans="1:5" x14ac:dyDescent="0.35">
      <c r="A5121">
        <v>0</v>
      </c>
      <c r="B5121">
        <v>0</v>
      </c>
      <c r="C5121">
        <v>0</v>
      </c>
      <c r="D5121">
        <v>0</v>
      </c>
      <c r="E5121">
        <v>0</v>
      </c>
    </row>
    <row r="5122" spans="1:5" x14ac:dyDescent="0.35">
      <c r="A5122">
        <v>0</v>
      </c>
      <c r="B5122">
        <v>0</v>
      </c>
      <c r="C5122">
        <v>0</v>
      </c>
      <c r="D5122">
        <v>0</v>
      </c>
      <c r="E5122">
        <v>0</v>
      </c>
    </row>
    <row r="5123" spans="1:5" x14ac:dyDescent="0.35">
      <c r="A5123">
        <v>0</v>
      </c>
      <c r="B5123">
        <v>0</v>
      </c>
      <c r="C5123">
        <v>0</v>
      </c>
      <c r="D5123">
        <v>0</v>
      </c>
      <c r="E5123">
        <v>0</v>
      </c>
    </row>
    <row r="5124" spans="1:5" x14ac:dyDescent="0.35">
      <c r="A5124">
        <v>0</v>
      </c>
      <c r="B5124">
        <v>0</v>
      </c>
      <c r="C5124">
        <v>0</v>
      </c>
      <c r="D5124">
        <v>0</v>
      </c>
      <c r="E5124">
        <v>0</v>
      </c>
    </row>
    <row r="5125" spans="1:5" x14ac:dyDescent="0.35">
      <c r="A5125">
        <v>0</v>
      </c>
      <c r="B5125">
        <v>0</v>
      </c>
      <c r="C5125">
        <v>0</v>
      </c>
      <c r="D5125">
        <v>0</v>
      </c>
      <c r="E5125">
        <v>0</v>
      </c>
    </row>
    <row r="5126" spans="1:5" x14ac:dyDescent="0.35">
      <c r="A5126">
        <v>0</v>
      </c>
      <c r="B5126">
        <v>0</v>
      </c>
      <c r="C5126">
        <v>0</v>
      </c>
      <c r="D5126">
        <v>0</v>
      </c>
      <c r="E5126">
        <v>0</v>
      </c>
    </row>
    <row r="5127" spans="1:5" x14ac:dyDescent="0.35">
      <c r="A5127">
        <v>0</v>
      </c>
      <c r="B5127">
        <v>0</v>
      </c>
      <c r="C5127">
        <v>0</v>
      </c>
      <c r="D5127">
        <v>0</v>
      </c>
      <c r="E5127">
        <v>0</v>
      </c>
    </row>
    <row r="5128" spans="1:5" x14ac:dyDescent="0.35">
      <c r="A5128">
        <v>0</v>
      </c>
      <c r="B5128">
        <v>0</v>
      </c>
      <c r="C5128">
        <v>0</v>
      </c>
      <c r="D5128">
        <v>0</v>
      </c>
      <c r="E5128">
        <v>0</v>
      </c>
    </row>
    <row r="5129" spans="1:5" x14ac:dyDescent="0.35">
      <c r="A5129">
        <v>0</v>
      </c>
      <c r="B5129">
        <v>0</v>
      </c>
      <c r="C5129">
        <v>0</v>
      </c>
      <c r="D5129">
        <v>0</v>
      </c>
      <c r="E5129">
        <v>0</v>
      </c>
    </row>
    <row r="5130" spans="1:5" x14ac:dyDescent="0.35">
      <c r="A5130">
        <v>0</v>
      </c>
      <c r="B5130">
        <v>0</v>
      </c>
      <c r="C5130">
        <v>0</v>
      </c>
      <c r="D5130">
        <v>0</v>
      </c>
      <c r="E5130">
        <v>0</v>
      </c>
    </row>
    <row r="5131" spans="1:5" x14ac:dyDescent="0.35">
      <c r="A5131">
        <v>0</v>
      </c>
      <c r="B5131">
        <v>0</v>
      </c>
      <c r="C5131">
        <v>0</v>
      </c>
      <c r="D5131">
        <v>0</v>
      </c>
      <c r="E5131">
        <v>0</v>
      </c>
    </row>
    <row r="5132" spans="1:5" x14ac:dyDescent="0.35">
      <c r="A5132">
        <v>0</v>
      </c>
      <c r="B5132">
        <v>0</v>
      </c>
      <c r="C5132">
        <v>0</v>
      </c>
      <c r="D5132">
        <v>0</v>
      </c>
      <c r="E5132">
        <v>0</v>
      </c>
    </row>
    <row r="5133" spans="1:5" x14ac:dyDescent="0.35">
      <c r="A5133">
        <v>0</v>
      </c>
      <c r="B5133">
        <v>0</v>
      </c>
      <c r="C5133">
        <v>0</v>
      </c>
      <c r="D5133">
        <v>0</v>
      </c>
      <c r="E5133">
        <v>0</v>
      </c>
    </row>
    <row r="5134" spans="1:5" x14ac:dyDescent="0.35">
      <c r="A5134">
        <v>0</v>
      </c>
      <c r="B5134">
        <v>0</v>
      </c>
      <c r="C5134">
        <v>0</v>
      </c>
      <c r="D5134">
        <v>0</v>
      </c>
      <c r="E5134">
        <v>0</v>
      </c>
    </row>
    <row r="5135" spans="1:5" x14ac:dyDescent="0.35">
      <c r="A5135">
        <v>0</v>
      </c>
      <c r="B5135">
        <v>0</v>
      </c>
      <c r="C5135">
        <v>0</v>
      </c>
      <c r="D5135">
        <v>0</v>
      </c>
      <c r="E5135">
        <v>0</v>
      </c>
    </row>
    <row r="5136" spans="1:5" x14ac:dyDescent="0.35">
      <c r="A5136">
        <v>0</v>
      </c>
      <c r="B5136">
        <v>0</v>
      </c>
      <c r="C5136">
        <v>0</v>
      </c>
      <c r="D5136">
        <v>0</v>
      </c>
      <c r="E5136">
        <v>0</v>
      </c>
    </row>
    <row r="5137" spans="1:5" x14ac:dyDescent="0.35">
      <c r="A5137">
        <v>0</v>
      </c>
      <c r="B5137">
        <v>0</v>
      </c>
      <c r="C5137">
        <v>0</v>
      </c>
      <c r="D5137">
        <v>0</v>
      </c>
      <c r="E5137">
        <v>0</v>
      </c>
    </row>
    <row r="5138" spans="1:5" x14ac:dyDescent="0.35">
      <c r="A5138">
        <v>0</v>
      </c>
      <c r="B5138">
        <v>0</v>
      </c>
      <c r="C5138">
        <v>0</v>
      </c>
      <c r="D5138">
        <v>0</v>
      </c>
      <c r="E5138">
        <v>0</v>
      </c>
    </row>
    <row r="5139" spans="1:5" x14ac:dyDescent="0.35">
      <c r="A5139">
        <v>0</v>
      </c>
      <c r="B5139">
        <v>0</v>
      </c>
      <c r="C5139">
        <v>0</v>
      </c>
      <c r="D5139">
        <v>0</v>
      </c>
      <c r="E5139">
        <v>0</v>
      </c>
    </row>
    <row r="5140" spans="1:5" x14ac:dyDescent="0.35">
      <c r="A5140">
        <v>0</v>
      </c>
      <c r="B5140">
        <v>0</v>
      </c>
      <c r="C5140">
        <v>0</v>
      </c>
      <c r="D5140">
        <v>0</v>
      </c>
      <c r="E5140">
        <v>0</v>
      </c>
    </row>
    <row r="5141" spans="1:5" x14ac:dyDescent="0.35">
      <c r="A5141">
        <v>0</v>
      </c>
      <c r="B5141">
        <v>0</v>
      </c>
      <c r="C5141">
        <v>0</v>
      </c>
      <c r="D5141">
        <v>0</v>
      </c>
      <c r="E5141">
        <v>0</v>
      </c>
    </row>
    <row r="5142" spans="1:5" x14ac:dyDescent="0.35">
      <c r="A5142">
        <v>0</v>
      </c>
      <c r="B5142">
        <v>0</v>
      </c>
      <c r="C5142">
        <v>0</v>
      </c>
      <c r="D5142">
        <v>0</v>
      </c>
      <c r="E5142">
        <v>0</v>
      </c>
    </row>
    <row r="5143" spans="1:5" x14ac:dyDescent="0.35">
      <c r="A5143">
        <v>0</v>
      </c>
      <c r="B5143">
        <v>0</v>
      </c>
      <c r="C5143">
        <v>0</v>
      </c>
      <c r="D5143">
        <v>0</v>
      </c>
      <c r="E5143">
        <v>0</v>
      </c>
    </row>
    <row r="5144" spans="1:5" x14ac:dyDescent="0.35">
      <c r="A5144">
        <v>0</v>
      </c>
      <c r="B5144">
        <v>0</v>
      </c>
      <c r="C5144">
        <v>0</v>
      </c>
      <c r="D5144">
        <v>0</v>
      </c>
      <c r="E5144">
        <v>0</v>
      </c>
    </row>
    <row r="5145" spans="1:5" x14ac:dyDescent="0.35">
      <c r="A5145">
        <v>0</v>
      </c>
      <c r="B5145">
        <v>0</v>
      </c>
      <c r="C5145">
        <v>0</v>
      </c>
      <c r="D5145">
        <v>0</v>
      </c>
      <c r="E5145">
        <v>0</v>
      </c>
    </row>
    <row r="5146" spans="1:5" x14ac:dyDescent="0.35">
      <c r="A5146">
        <v>0</v>
      </c>
      <c r="B5146">
        <v>0</v>
      </c>
      <c r="C5146">
        <v>0</v>
      </c>
      <c r="D5146">
        <v>0</v>
      </c>
      <c r="E5146">
        <v>0</v>
      </c>
    </row>
    <row r="5147" spans="1:5" x14ac:dyDescent="0.35">
      <c r="A5147">
        <v>0</v>
      </c>
      <c r="B5147">
        <v>0</v>
      </c>
      <c r="C5147">
        <v>0</v>
      </c>
      <c r="D5147">
        <v>0</v>
      </c>
      <c r="E5147">
        <v>0</v>
      </c>
    </row>
    <row r="5148" spans="1:5" x14ac:dyDescent="0.35">
      <c r="A5148">
        <v>0</v>
      </c>
      <c r="B5148">
        <v>0</v>
      </c>
      <c r="C5148">
        <v>0</v>
      </c>
      <c r="D5148">
        <v>0</v>
      </c>
      <c r="E5148">
        <v>0</v>
      </c>
    </row>
    <row r="5149" spans="1:5" x14ac:dyDescent="0.35">
      <c r="A5149">
        <v>0</v>
      </c>
      <c r="B5149">
        <v>0</v>
      </c>
      <c r="C5149">
        <v>0</v>
      </c>
      <c r="D5149">
        <v>0</v>
      </c>
      <c r="E5149">
        <v>0</v>
      </c>
    </row>
    <row r="5150" spans="1:5" x14ac:dyDescent="0.35">
      <c r="A5150">
        <v>0</v>
      </c>
      <c r="B5150">
        <v>0</v>
      </c>
      <c r="C5150">
        <v>0</v>
      </c>
      <c r="D5150">
        <v>0</v>
      </c>
      <c r="E5150">
        <v>0</v>
      </c>
    </row>
    <row r="5151" spans="1:5" x14ac:dyDescent="0.35">
      <c r="A5151">
        <v>0</v>
      </c>
      <c r="B5151">
        <v>0</v>
      </c>
      <c r="C5151">
        <v>0</v>
      </c>
      <c r="D5151">
        <v>0</v>
      </c>
      <c r="E5151">
        <v>0</v>
      </c>
    </row>
    <row r="5152" spans="1:5" x14ac:dyDescent="0.35">
      <c r="A5152">
        <v>0</v>
      </c>
      <c r="B5152">
        <v>0</v>
      </c>
      <c r="C5152">
        <v>0</v>
      </c>
      <c r="D5152">
        <v>0</v>
      </c>
      <c r="E5152">
        <v>0</v>
      </c>
    </row>
    <row r="5153" spans="1:5" x14ac:dyDescent="0.35">
      <c r="A5153">
        <v>0</v>
      </c>
      <c r="B5153">
        <v>0</v>
      </c>
      <c r="C5153">
        <v>0</v>
      </c>
      <c r="D5153">
        <v>0</v>
      </c>
      <c r="E5153">
        <v>0</v>
      </c>
    </row>
    <row r="5154" spans="1:5" x14ac:dyDescent="0.35">
      <c r="A5154">
        <v>0</v>
      </c>
      <c r="B5154">
        <v>0</v>
      </c>
      <c r="C5154">
        <v>0</v>
      </c>
      <c r="D5154">
        <v>0</v>
      </c>
      <c r="E5154">
        <v>0</v>
      </c>
    </row>
    <row r="5155" spans="1:5" x14ac:dyDescent="0.35">
      <c r="A5155">
        <v>0</v>
      </c>
      <c r="B5155">
        <v>0</v>
      </c>
      <c r="C5155">
        <v>0</v>
      </c>
      <c r="D5155">
        <v>0</v>
      </c>
      <c r="E5155">
        <v>0</v>
      </c>
    </row>
    <row r="5156" spans="1:5" x14ac:dyDescent="0.35">
      <c r="A5156">
        <v>0</v>
      </c>
      <c r="B5156">
        <v>0</v>
      </c>
      <c r="C5156">
        <v>0</v>
      </c>
      <c r="D5156">
        <v>0</v>
      </c>
      <c r="E5156">
        <v>0</v>
      </c>
    </row>
    <row r="5157" spans="1:5" x14ac:dyDescent="0.35">
      <c r="A5157">
        <v>0</v>
      </c>
      <c r="B5157">
        <v>0</v>
      </c>
      <c r="C5157">
        <v>0</v>
      </c>
      <c r="D5157">
        <v>0</v>
      </c>
      <c r="E5157">
        <v>0</v>
      </c>
    </row>
    <row r="5158" spans="1:5" x14ac:dyDescent="0.35">
      <c r="A5158">
        <v>0</v>
      </c>
      <c r="B5158">
        <v>0</v>
      </c>
      <c r="C5158">
        <v>0</v>
      </c>
      <c r="D5158">
        <v>0</v>
      </c>
      <c r="E5158">
        <v>0</v>
      </c>
    </row>
    <row r="5159" spans="1:5" x14ac:dyDescent="0.35">
      <c r="A5159">
        <v>0</v>
      </c>
      <c r="B5159">
        <v>0</v>
      </c>
      <c r="C5159">
        <v>0</v>
      </c>
      <c r="D5159">
        <v>0</v>
      </c>
      <c r="E5159">
        <v>0</v>
      </c>
    </row>
    <row r="5160" spans="1:5" x14ac:dyDescent="0.35">
      <c r="A5160">
        <v>0</v>
      </c>
      <c r="B5160">
        <v>0</v>
      </c>
      <c r="C5160">
        <v>0</v>
      </c>
      <c r="D5160">
        <v>0</v>
      </c>
      <c r="E5160">
        <v>0</v>
      </c>
    </row>
    <row r="5161" spans="1:5" x14ac:dyDescent="0.35">
      <c r="A5161">
        <v>0</v>
      </c>
      <c r="B5161">
        <v>0</v>
      </c>
      <c r="C5161">
        <v>0</v>
      </c>
      <c r="D5161">
        <v>0</v>
      </c>
      <c r="E5161">
        <v>0</v>
      </c>
    </row>
    <row r="5162" spans="1:5" x14ac:dyDescent="0.35">
      <c r="A5162">
        <v>0</v>
      </c>
      <c r="B5162">
        <v>0</v>
      </c>
      <c r="C5162">
        <v>0</v>
      </c>
      <c r="D5162">
        <v>0</v>
      </c>
      <c r="E5162">
        <v>0</v>
      </c>
    </row>
    <row r="5163" spans="1:5" x14ac:dyDescent="0.35">
      <c r="A5163">
        <v>0</v>
      </c>
      <c r="B5163">
        <v>0</v>
      </c>
      <c r="C5163">
        <v>0</v>
      </c>
      <c r="D5163">
        <v>0</v>
      </c>
      <c r="E5163">
        <v>0</v>
      </c>
    </row>
    <row r="5164" spans="1:5" x14ac:dyDescent="0.35">
      <c r="A5164">
        <v>0</v>
      </c>
      <c r="B5164">
        <v>0</v>
      </c>
      <c r="C5164">
        <v>0</v>
      </c>
      <c r="D5164">
        <v>0</v>
      </c>
      <c r="E5164">
        <v>0</v>
      </c>
    </row>
    <row r="5165" spans="1:5" x14ac:dyDescent="0.35">
      <c r="A5165">
        <v>0</v>
      </c>
      <c r="B5165">
        <v>0</v>
      </c>
      <c r="C5165">
        <v>0</v>
      </c>
      <c r="D5165">
        <v>0</v>
      </c>
      <c r="E5165">
        <v>0</v>
      </c>
    </row>
    <row r="5166" spans="1:5" x14ac:dyDescent="0.35">
      <c r="A5166">
        <v>0</v>
      </c>
      <c r="B5166">
        <v>0</v>
      </c>
      <c r="C5166">
        <v>0</v>
      </c>
      <c r="D5166">
        <v>0</v>
      </c>
      <c r="E5166">
        <v>0</v>
      </c>
    </row>
    <row r="5167" spans="1:5" x14ac:dyDescent="0.35">
      <c r="A5167">
        <v>0</v>
      </c>
      <c r="B5167">
        <v>0</v>
      </c>
      <c r="C5167">
        <v>0</v>
      </c>
      <c r="D5167">
        <v>0</v>
      </c>
      <c r="E5167">
        <v>0</v>
      </c>
    </row>
    <row r="5168" spans="1:5" x14ac:dyDescent="0.35">
      <c r="A5168">
        <v>0</v>
      </c>
      <c r="B5168">
        <v>0</v>
      </c>
      <c r="C5168">
        <v>0</v>
      </c>
      <c r="D5168">
        <v>0</v>
      </c>
      <c r="E5168">
        <v>0</v>
      </c>
    </row>
    <row r="5169" spans="1:5" x14ac:dyDescent="0.35">
      <c r="A5169">
        <v>0</v>
      </c>
      <c r="B5169">
        <v>0</v>
      </c>
      <c r="C5169">
        <v>0</v>
      </c>
      <c r="D5169">
        <v>0</v>
      </c>
      <c r="E5169">
        <v>0</v>
      </c>
    </row>
    <row r="5170" spans="1:5" x14ac:dyDescent="0.35">
      <c r="A5170">
        <v>0</v>
      </c>
      <c r="B5170">
        <v>0</v>
      </c>
      <c r="C5170">
        <v>0</v>
      </c>
      <c r="D5170">
        <v>0</v>
      </c>
      <c r="E5170">
        <v>0</v>
      </c>
    </row>
    <row r="5171" spans="1:5" x14ac:dyDescent="0.35">
      <c r="A5171">
        <v>0</v>
      </c>
      <c r="B5171">
        <v>0</v>
      </c>
      <c r="C5171">
        <v>0</v>
      </c>
      <c r="D5171">
        <v>0</v>
      </c>
      <c r="E5171">
        <v>0</v>
      </c>
    </row>
    <row r="5172" spans="1:5" x14ac:dyDescent="0.35">
      <c r="A5172">
        <v>0</v>
      </c>
      <c r="B5172">
        <v>0</v>
      </c>
      <c r="C5172">
        <v>0</v>
      </c>
      <c r="D5172">
        <v>0</v>
      </c>
      <c r="E5172">
        <v>0</v>
      </c>
    </row>
    <row r="5173" spans="1:5" x14ac:dyDescent="0.35">
      <c r="A5173">
        <v>0</v>
      </c>
      <c r="B5173">
        <v>0</v>
      </c>
      <c r="C5173">
        <v>0</v>
      </c>
      <c r="D5173">
        <v>0</v>
      </c>
      <c r="E5173">
        <v>0</v>
      </c>
    </row>
    <row r="5174" spans="1:5" x14ac:dyDescent="0.35">
      <c r="A5174">
        <v>0</v>
      </c>
      <c r="B5174">
        <v>0</v>
      </c>
      <c r="C5174">
        <v>0</v>
      </c>
      <c r="D5174">
        <v>0</v>
      </c>
      <c r="E5174">
        <v>0</v>
      </c>
    </row>
    <row r="5175" spans="1:5" x14ac:dyDescent="0.35">
      <c r="A5175">
        <v>0</v>
      </c>
      <c r="B5175">
        <v>0</v>
      </c>
      <c r="C5175">
        <v>0</v>
      </c>
      <c r="D5175">
        <v>0</v>
      </c>
      <c r="E5175">
        <v>0</v>
      </c>
    </row>
    <row r="5176" spans="1:5" x14ac:dyDescent="0.35">
      <c r="A5176">
        <v>0</v>
      </c>
      <c r="B5176">
        <v>0</v>
      </c>
      <c r="C5176">
        <v>0</v>
      </c>
      <c r="D5176">
        <v>0</v>
      </c>
      <c r="E5176">
        <v>0</v>
      </c>
    </row>
    <row r="5177" spans="1:5" x14ac:dyDescent="0.35">
      <c r="A5177">
        <v>0</v>
      </c>
      <c r="B5177">
        <v>0</v>
      </c>
      <c r="C5177">
        <v>0</v>
      </c>
      <c r="D5177">
        <v>0</v>
      </c>
      <c r="E5177">
        <v>0</v>
      </c>
    </row>
    <row r="5178" spans="1:5" x14ac:dyDescent="0.35">
      <c r="A5178">
        <v>0</v>
      </c>
      <c r="B5178">
        <v>0</v>
      </c>
      <c r="C5178">
        <v>0</v>
      </c>
      <c r="D5178">
        <v>0</v>
      </c>
      <c r="E5178">
        <v>0</v>
      </c>
    </row>
    <row r="5179" spans="1:5" x14ac:dyDescent="0.35">
      <c r="A5179">
        <v>0</v>
      </c>
      <c r="B5179">
        <v>0</v>
      </c>
      <c r="C5179">
        <v>0</v>
      </c>
      <c r="D5179">
        <v>0</v>
      </c>
      <c r="E5179">
        <v>0</v>
      </c>
    </row>
    <row r="5180" spans="1:5" x14ac:dyDescent="0.35">
      <c r="A5180">
        <v>0</v>
      </c>
      <c r="B5180">
        <v>0</v>
      </c>
      <c r="C5180">
        <v>0</v>
      </c>
      <c r="D5180">
        <v>0</v>
      </c>
      <c r="E5180">
        <v>0</v>
      </c>
    </row>
    <row r="5181" spans="1:5" x14ac:dyDescent="0.35">
      <c r="A5181">
        <v>0</v>
      </c>
      <c r="B5181">
        <v>0</v>
      </c>
      <c r="C5181">
        <v>0</v>
      </c>
      <c r="D5181">
        <v>0</v>
      </c>
      <c r="E5181">
        <v>0</v>
      </c>
    </row>
    <row r="5182" spans="1:5" x14ac:dyDescent="0.35">
      <c r="A5182">
        <v>0</v>
      </c>
      <c r="B5182">
        <v>0</v>
      </c>
      <c r="C5182">
        <v>0</v>
      </c>
      <c r="D5182">
        <v>0</v>
      </c>
      <c r="E5182">
        <v>0</v>
      </c>
    </row>
    <row r="5183" spans="1:5" x14ac:dyDescent="0.35">
      <c r="A5183">
        <v>0</v>
      </c>
      <c r="B5183">
        <v>0</v>
      </c>
      <c r="C5183">
        <v>0</v>
      </c>
      <c r="D5183">
        <v>0</v>
      </c>
      <c r="E5183">
        <v>0</v>
      </c>
    </row>
    <row r="5184" spans="1:5" x14ac:dyDescent="0.35">
      <c r="A5184">
        <v>0</v>
      </c>
      <c r="B5184">
        <v>0</v>
      </c>
      <c r="C5184">
        <v>0</v>
      </c>
      <c r="D5184">
        <v>0</v>
      </c>
      <c r="E5184">
        <v>0</v>
      </c>
    </row>
    <row r="5185" spans="1:5" x14ac:dyDescent="0.35">
      <c r="A5185">
        <v>0</v>
      </c>
      <c r="B5185">
        <v>0</v>
      </c>
      <c r="C5185">
        <v>0</v>
      </c>
      <c r="D5185">
        <v>0</v>
      </c>
      <c r="E5185">
        <v>0</v>
      </c>
    </row>
    <row r="5186" spans="1:5" x14ac:dyDescent="0.35">
      <c r="A5186">
        <v>0</v>
      </c>
      <c r="B5186">
        <v>0</v>
      </c>
      <c r="C5186">
        <v>0</v>
      </c>
      <c r="D5186">
        <v>0</v>
      </c>
      <c r="E5186">
        <v>0</v>
      </c>
    </row>
    <row r="5187" spans="1:5" x14ac:dyDescent="0.35">
      <c r="A5187">
        <v>0</v>
      </c>
      <c r="B5187">
        <v>0</v>
      </c>
      <c r="C5187">
        <v>0</v>
      </c>
      <c r="D5187">
        <v>0</v>
      </c>
      <c r="E5187">
        <v>0</v>
      </c>
    </row>
    <row r="5188" spans="1:5" x14ac:dyDescent="0.35">
      <c r="A5188">
        <v>0</v>
      </c>
      <c r="B5188">
        <v>0</v>
      </c>
      <c r="C5188">
        <v>0</v>
      </c>
      <c r="D5188">
        <v>0</v>
      </c>
      <c r="E5188">
        <v>0</v>
      </c>
    </row>
    <row r="5189" spans="1:5" x14ac:dyDescent="0.35">
      <c r="A5189">
        <v>0</v>
      </c>
      <c r="B5189">
        <v>0</v>
      </c>
      <c r="C5189">
        <v>0</v>
      </c>
      <c r="D5189">
        <v>0</v>
      </c>
      <c r="E5189">
        <v>0</v>
      </c>
    </row>
    <row r="5190" spans="1:5" x14ac:dyDescent="0.35">
      <c r="A5190">
        <v>0</v>
      </c>
      <c r="B5190">
        <v>0</v>
      </c>
      <c r="C5190">
        <v>0</v>
      </c>
      <c r="D5190">
        <v>0</v>
      </c>
      <c r="E5190">
        <v>0</v>
      </c>
    </row>
    <row r="5191" spans="1:5" x14ac:dyDescent="0.35">
      <c r="A5191">
        <v>0</v>
      </c>
      <c r="B5191">
        <v>0</v>
      </c>
      <c r="C5191">
        <v>0</v>
      </c>
      <c r="D5191">
        <v>0</v>
      </c>
      <c r="E5191">
        <v>0</v>
      </c>
    </row>
    <row r="5192" spans="1:5" x14ac:dyDescent="0.35">
      <c r="A5192">
        <v>0</v>
      </c>
      <c r="B5192">
        <v>0</v>
      </c>
      <c r="C5192">
        <v>0</v>
      </c>
      <c r="D5192">
        <v>0</v>
      </c>
      <c r="E5192">
        <v>0</v>
      </c>
    </row>
    <row r="5193" spans="1:5" x14ac:dyDescent="0.35">
      <c r="A5193">
        <v>0</v>
      </c>
      <c r="B5193">
        <v>0</v>
      </c>
      <c r="C5193">
        <v>0</v>
      </c>
      <c r="D5193">
        <v>0</v>
      </c>
      <c r="E5193">
        <v>0</v>
      </c>
    </row>
    <row r="5194" spans="1:5" x14ac:dyDescent="0.35">
      <c r="A5194">
        <v>0</v>
      </c>
      <c r="B5194">
        <v>0</v>
      </c>
      <c r="C5194">
        <v>0</v>
      </c>
      <c r="D5194">
        <v>0</v>
      </c>
      <c r="E5194">
        <v>0</v>
      </c>
    </row>
    <row r="5195" spans="1:5" x14ac:dyDescent="0.35">
      <c r="A5195">
        <v>0</v>
      </c>
      <c r="B5195">
        <v>0</v>
      </c>
      <c r="C5195">
        <v>0</v>
      </c>
      <c r="D5195">
        <v>0</v>
      </c>
      <c r="E5195">
        <v>0</v>
      </c>
    </row>
    <row r="5196" spans="1:5" x14ac:dyDescent="0.35">
      <c r="A5196">
        <v>0</v>
      </c>
      <c r="B5196">
        <v>0</v>
      </c>
      <c r="C5196">
        <v>0</v>
      </c>
      <c r="D5196">
        <v>0</v>
      </c>
      <c r="E5196">
        <v>0</v>
      </c>
    </row>
    <row r="5197" spans="1:5" x14ac:dyDescent="0.35">
      <c r="A5197">
        <v>0</v>
      </c>
      <c r="B5197">
        <v>0</v>
      </c>
      <c r="C5197">
        <v>0</v>
      </c>
      <c r="D5197">
        <v>0</v>
      </c>
      <c r="E5197">
        <v>0</v>
      </c>
    </row>
    <row r="5198" spans="1:5" x14ac:dyDescent="0.35">
      <c r="A5198">
        <v>0</v>
      </c>
      <c r="B5198">
        <v>0</v>
      </c>
      <c r="C5198">
        <v>0</v>
      </c>
      <c r="D5198">
        <v>0</v>
      </c>
      <c r="E5198">
        <v>0</v>
      </c>
    </row>
    <row r="5199" spans="1:5" x14ac:dyDescent="0.35">
      <c r="A5199">
        <v>0</v>
      </c>
      <c r="B5199">
        <v>0</v>
      </c>
      <c r="C5199">
        <v>0</v>
      </c>
      <c r="D5199">
        <v>0</v>
      </c>
      <c r="E5199">
        <v>0</v>
      </c>
    </row>
    <row r="5200" spans="1:5" x14ac:dyDescent="0.35">
      <c r="A5200">
        <v>0</v>
      </c>
      <c r="B5200">
        <v>0</v>
      </c>
      <c r="C5200">
        <v>0</v>
      </c>
      <c r="D5200">
        <v>0</v>
      </c>
      <c r="E5200">
        <v>0</v>
      </c>
    </row>
    <row r="5201" spans="1:5" x14ac:dyDescent="0.35">
      <c r="A5201">
        <v>0</v>
      </c>
      <c r="B5201">
        <v>0</v>
      </c>
      <c r="C5201">
        <v>0</v>
      </c>
      <c r="D5201">
        <v>0</v>
      </c>
      <c r="E5201">
        <v>0</v>
      </c>
    </row>
    <row r="5202" spans="1:5" x14ac:dyDescent="0.35">
      <c r="A5202">
        <v>0</v>
      </c>
      <c r="B5202">
        <v>0</v>
      </c>
      <c r="C5202">
        <v>0</v>
      </c>
      <c r="D5202">
        <v>0</v>
      </c>
      <c r="E5202">
        <v>0</v>
      </c>
    </row>
    <row r="5203" spans="1:5" x14ac:dyDescent="0.35">
      <c r="A5203">
        <v>0</v>
      </c>
      <c r="B5203">
        <v>0</v>
      </c>
      <c r="C5203">
        <v>0</v>
      </c>
      <c r="D5203">
        <v>0</v>
      </c>
      <c r="E5203">
        <v>0</v>
      </c>
    </row>
    <row r="5204" spans="1:5" x14ac:dyDescent="0.35">
      <c r="A5204">
        <v>0</v>
      </c>
      <c r="B5204">
        <v>0</v>
      </c>
      <c r="C5204">
        <v>0</v>
      </c>
      <c r="D5204">
        <v>0</v>
      </c>
      <c r="E5204">
        <v>0</v>
      </c>
    </row>
    <row r="5205" spans="1:5" x14ac:dyDescent="0.35">
      <c r="A5205">
        <v>0</v>
      </c>
      <c r="B5205">
        <v>0</v>
      </c>
      <c r="C5205">
        <v>0</v>
      </c>
      <c r="D5205">
        <v>0</v>
      </c>
      <c r="E5205">
        <v>0</v>
      </c>
    </row>
    <row r="5206" spans="1:5" x14ac:dyDescent="0.35">
      <c r="A5206">
        <v>0</v>
      </c>
      <c r="B5206">
        <v>0</v>
      </c>
      <c r="C5206">
        <v>0</v>
      </c>
      <c r="D5206">
        <v>0</v>
      </c>
      <c r="E5206">
        <v>0</v>
      </c>
    </row>
    <row r="5207" spans="1:5" x14ac:dyDescent="0.35">
      <c r="A5207">
        <v>0</v>
      </c>
      <c r="B5207">
        <v>0</v>
      </c>
      <c r="C5207">
        <v>0</v>
      </c>
      <c r="D5207">
        <v>0</v>
      </c>
      <c r="E5207">
        <v>0</v>
      </c>
    </row>
    <row r="5208" spans="1:5" x14ac:dyDescent="0.35">
      <c r="A5208">
        <v>0</v>
      </c>
      <c r="B5208">
        <v>0</v>
      </c>
      <c r="C5208">
        <v>0</v>
      </c>
      <c r="D5208">
        <v>0</v>
      </c>
      <c r="E5208">
        <v>0</v>
      </c>
    </row>
    <row r="5209" spans="1:5" x14ac:dyDescent="0.35">
      <c r="A5209">
        <v>0</v>
      </c>
      <c r="B5209">
        <v>0</v>
      </c>
      <c r="C5209">
        <v>0</v>
      </c>
      <c r="D5209">
        <v>0</v>
      </c>
      <c r="E5209">
        <v>0</v>
      </c>
    </row>
    <row r="5210" spans="1:5" x14ac:dyDescent="0.35">
      <c r="A5210">
        <v>0</v>
      </c>
      <c r="B5210">
        <v>0</v>
      </c>
      <c r="C5210">
        <v>0</v>
      </c>
      <c r="D5210">
        <v>0</v>
      </c>
      <c r="E5210">
        <v>0</v>
      </c>
    </row>
    <row r="5211" spans="1:5" x14ac:dyDescent="0.35">
      <c r="A5211">
        <v>0</v>
      </c>
      <c r="B5211">
        <v>0</v>
      </c>
      <c r="C5211">
        <v>0</v>
      </c>
      <c r="D5211">
        <v>0</v>
      </c>
      <c r="E5211">
        <v>0</v>
      </c>
    </row>
    <row r="5212" spans="1:5" x14ac:dyDescent="0.35">
      <c r="A5212">
        <v>0</v>
      </c>
      <c r="B5212">
        <v>0</v>
      </c>
      <c r="C5212">
        <v>0</v>
      </c>
      <c r="D5212">
        <v>0</v>
      </c>
      <c r="E5212">
        <v>0</v>
      </c>
    </row>
    <row r="5213" spans="1:5" x14ac:dyDescent="0.35">
      <c r="A5213">
        <v>0</v>
      </c>
      <c r="B5213">
        <v>0</v>
      </c>
      <c r="C5213">
        <v>0</v>
      </c>
      <c r="D5213">
        <v>0</v>
      </c>
      <c r="E5213">
        <v>0</v>
      </c>
    </row>
    <row r="5214" spans="1:5" x14ac:dyDescent="0.35">
      <c r="A5214">
        <v>0</v>
      </c>
      <c r="B5214">
        <v>0</v>
      </c>
      <c r="C5214">
        <v>0</v>
      </c>
      <c r="D5214">
        <v>0</v>
      </c>
      <c r="E5214">
        <v>0</v>
      </c>
    </row>
    <row r="5215" spans="1:5" x14ac:dyDescent="0.35">
      <c r="A5215">
        <v>0</v>
      </c>
      <c r="B5215">
        <v>0</v>
      </c>
      <c r="C5215">
        <v>0</v>
      </c>
      <c r="D5215">
        <v>0</v>
      </c>
      <c r="E5215">
        <v>0</v>
      </c>
    </row>
    <row r="5216" spans="1:5" x14ac:dyDescent="0.35">
      <c r="A5216">
        <v>0</v>
      </c>
      <c r="B5216">
        <v>0</v>
      </c>
      <c r="C5216">
        <v>0</v>
      </c>
      <c r="D5216">
        <v>0</v>
      </c>
      <c r="E5216">
        <v>0</v>
      </c>
    </row>
    <row r="5217" spans="1:5" x14ac:dyDescent="0.35">
      <c r="A5217">
        <v>0</v>
      </c>
      <c r="B5217">
        <v>0</v>
      </c>
      <c r="C5217">
        <v>0</v>
      </c>
      <c r="D5217">
        <v>0</v>
      </c>
      <c r="E5217">
        <v>0</v>
      </c>
    </row>
    <row r="5218" spans="1:5" x14ac:dyDescent="0.35">
      <c r="A5218">
        <v>0</v>
      </c>
      <c r="B5218">
        <v>0</v>
      </c>
      <c r="C5218">
        <v>0</v>
      </c>
      <c r="D5218">
        <v>0</v>
      </c>
      <c r="E5218">
        <v>0</v>
      </c>
    </row>
    <row r="5219" spans="1:5" x14ac:dyDescent="0.35">
      <c r="A5219">
        <v>0</v>
      </c>
      <c r="B5219">
        <v>0</v>
      </c>
      <c r="C5219">
        <v>0</v>
      </c>
      <c r="D5219">
        <v>0</v>
      </c>
      <c r="E5219">
        <v>0</v>
      </c>
    </row>
    <row r="5220" spans="1:5" x14ac:dyDescent="0.35">
      <c r="A5220">
        <v>0</v>
      </c>
      <c r="B5220">
        <v>0</v>
      </c>
      <c r="C5220">
        <v>0</v>
      </c>
      <c r="D5220">
        <v>0</v>
      </c>
      <c r="E5220">
        <v>0</v>
      </c>
    </row>
    <row r="5221" spans="1:5" x14ac:dyDescent="0.35">
      <c r="A5221">
        <v>0</v>
      </c>
      <c r="B5221">
        <v>0</v>
      </c>
      <c r="C5221">
        <v>0</v>
      </c>
      <c r="D5221">
        <v>0</v>
      </c>
      <c r="E5221">
        <v>0</v>
      </c>
    </row>
    <row r="5222" spans="1:5" x14ac:dyDescent="0.35">
      <c r="A5222">
        <v>0</v>
      </c>
      <c r="B5222">
        <v>0</v>
      </c>
      <c r="C5222">
        <v>0</v>
      </c>
      <c r="D5222">
        <v>0</v>
      </c>
      <c r="E5222">
        <v>0</v>
      </c>
    </row>
    <row r="5223" spans="1:5" x14ac:dyDescent="0.35">
      <c r="A5223">
        <v>0</v>
      </c>
      <c r="B5223">
        <v>0</v>
      </c>
      <c r="C5223">
        <v>0</v>
      </c>
      <c r="D5223">
        <v>0</v>
      </c>
      <c r="E5223">
        <v>0</v>
      </c>
    </row>
    <row r="5224" spans="1:5" x14ac:dyDescent="0.35">
      <c r="A5224">
        <v>0</v>
      </c>
      <c r="B5224">
        <v>0</v>
      </c>
      <c r="C5224">
        <v>0</v>
      </c>
      <c r="D5224">
        <v>0</v>
      </c>
      <c r="E5224">
        <v>0</v>
      </c>
    </row>
    <row r="5225" spans="1:5" x14ac:dyDescent="0.35">
      <c r="A5225">
        <v>0</v>
      </c>
      <c r="B5225">
        <v>0</v>
      </c>
      <c r="C5225">
        <v>0</v>
      </c>
      <c r="D5225">
        <v>0</v>
      </c>
      <c r="E5225">
        <v>0</v>
      </c>
    </row>
    <row r="5226" spans="1:5" x14ac:dyDescent="0.35">
      <c r="A5226">
        <v>0</v>
      </c>
      <c r="B5226">
        <v>0</v>
      </c>
      <c r="C5226">
        <v>0</v>
      </c>
      <c r="D5226">
        <v>0</v>
      </c>
      <c r="E5226">
        <v>0</v>
      </c>
    </row>
    <row r="5227" spans="1:5" x14ac:dyDescent="0.35">
      <c r="A5227">
        <v>0</v>
      </c>
      <c r="B5227">
        <v>0</v>
      </c>
      <c r="C5227">
        <v>0</v>
      </c>
      <c r="D5227">
        <v>0</v>
      </c>
      <c r="E5227">
        <v>0</v>
      </c>
    </row>
    <row r="5228" spans="1:5" x14ac:dyDescent="0.35">
      <c r="A5228">
        <v>0</v>
      </c>
      <c r="B5228">
        <v>0</v>
      </c>
      <c r="C5228">
        <v>0</v>
      </c>
      <c r="D5228">
        <v>0</v>
      </c>
      <c r="E5228">
        <v>0</v>
      </c>
    </row>
    <row r="5229" spans="1:5" x14ac:dyDescent="0.35">
      <c r="A5229">
        <v>0</v>
      </c>
      <c r="B5229">
        <v>0</v>
      </c>
      <c r="C5229">
        <v>0</v>
      </c>
      <c r="D5229">
        <v>0</v>
      </c>
      <c r="E5229">
        <v>0</v>
      </c>
    </row>
    <row r="5230" spans="1:5" x14ac:dyDescent="0.35">
      <c r="A5230">
        <v>0</v>
      </c>
      <c r="B5230">
        <v>0</v>
      </c>
      <c r="C5230">
        <v>0</v>
      </c>
      <c r="D5230">
        <v>0</v>
      </c>
      <c r="E5230">
        <v>0</v>
      </c>
    </row>
    <row r="5231" spans="1:5" x14ac:dyDescent="0.35">
      <c r="A5231">
        <v>0</v>
      </c>
      <c r="B5231">
        <v>0</v>
      </c>
      <c r="C5231">
        <v>0</v>
      </c>
      <c r="D5231">
        <v>0</v>
      </c>
      <c r="E5231">
        <v>0</v>
      </c>
    </row>
    <row r="5232" spans="1:5" x14ac:dyDescent="0.35">
      <c r="A5232">
        <v>0</v>
      </c>
      <c r="B5232">
        <v>0</v>
      </c>
      <c r="C5232">
        <v>0</v>
      </c>
      <c r="D5232">
        <v>0</v>
      </c>
      <c r="E5232">
        <v>0</v>
      </c>
    </row>
    <row r="5233" spans="1:5" x14ac:dyDescent="0.35">
      <c r="A5233">
        <v>0</v>
      </c>
      <c r="B5233">
        <v>0</v>
      </c>
      <c r="C5233">
        <v>0</v>
      </c>
      <c r="D5233">
        <v>0</v>
      </c>
      <c r="E5233">
        <v>0</v>
      </c>
    </row>
    <row r="5234" spans="1:5" x14ac:dyDescent="0.35">
      <c r="A5234">
        <v>0</v>
      </c>
      <c r="B5234">
        <v>0</v>
      </c>
      <c r="C5234">
        <v>0</v>
      </c>
      <c r="D5234">
        <v>0</v>
      </c>
      <c r="E5234">
        <v>0</v>
      </c>
    </row>
    <row r="5235" spans="1:5" x14ac:dyDescent="0.35">
      <c r="A5235">
        <v>0</v>
      </c>
      <c r="B5235">
        <v>0</v>
      </c>
      <c r="C5235">
        <v>0</v>
      </c>
      <c r="D5235">
        <v>0</v>
      </c>
      <c r="E5235">
        <v>0</v>
      </c>
    </row>
    <row r="5236" spans="1:5" x14ac:dyDescent="0.35">
      <c r="A5236">
        <v>0</v>
      </c>
      <c r="B5236">
        <v>0</v>
      </c>
      <c r="C5236">
        <v>0</v>
      </c>
      <c r="D5236">
        <v>0</v>
      </c>
      <c r="E5236">
        <v>0</v>
      </c>
    </row>
    <row r="5237" spans="1:5" x14ac:dyDescent="0.35">
      <c r="A5237">
        <v>0</v>
      </c>
      <c r="B5237">
        <v>0</v>
      </c>
      <c r="C5237">
        <v>0</v>
      </c>
      <c r="D5237">
        <v>0</v>
      </c>
      <c r="E5237">
        <v>0</v>
      </c>
    </row>
    <row r="5238" spans="1:5" x14ac:dyDescent="0.35">
      <c r="A5238">
        <v>0</v>
      </c>
      <c r="B5238">
        <v>0</v>
      </c>
      <c r="C5238">
        <v>0</v>
      </c>
      <c r="D5238">
        <v>0</v>
      </c>
      <c r="E5238">
        <v>0</v>
      </c>
    </row>
    <row r="5239" spans="1:5" x14ac:dyDescent="0.35">
      <c r="A5239">
        <v>0</v>
      </c>
      <c r="B5239">
        <v>0</v>
      </c>
      <c r="C5239">
        <v>0</v>
      </c>
      <c r="D5239">
        <v>0</v>
      </c>
      <c r="E5239">
        <v>0</v>
      </c>
    </row>
    <row r="5240" spans="1:5" x14ac:dyDescent="0.35">
      <c r="A5240">
        <v>0</v>
      </c>
      <c r="B5240">
        <v>0</v>
      </c>
      <c r="C5240">
        <v>0</v>
      </c>
      <c r="D5240">
        <v>0</v>
      </c>
      <c r="E5240">
        <v>0</v>
      </c>
    </row>
    <row r="5241" spans="1:5" x14ac:dyDescent="0.35">
      <c r="A5241">
        <v>0</v>
      </c>
      <c r="B5241">
        <v>0</v>
      </c>
      <c r="C5241">
        <v>0</v>
      </c>
      <c r="D5241">
        <v>0</v>
      </c>
      <c r="E5241">
        <v>0</v>
      </c>
    </row>
    <row r="5242" spans="1:5" x14ac:dyDescent="0.35">
      <c r="A5242">
        <v>0</v>
      </c>
      <c r="B5242">
        <v>0</v>
      </c>
      <c r="C5242">
        <v>0</v>
      </c>
      <c r="D5242">
        <v>0</v>
      </c>
      <c r="E5242">
        <v>0</v>
      </c>
    </row>
    <row r="5243" spans="1:5" x14ac:dyDescent="0.35">
      <c r="A5243">
        <v>0</v>
      </c>
      <c r="B5243">
        <v>0</v>
      </c>
      <c r="C5243">
        <v>0</v>
      </c>
      <c r="D5243">
        <v>0</v>
      </c>
      <c r="E5243">
        <v>0</v>
      </c>
    </row>
    <row r="5244" spans="1:5" x14ac:dyDescent="0.35">
      <c r="A5244">
        <v>0</v>
      </c>
      <c r="B5244">
        <v>0</v>
      </c>
      <c r="C5244">
        <v>0</v>
      </c>
      <c r="D5244">
        <v>0</v>
      </c>
      <c r="E5244">
        <v>0</v>
      </c>
    </row>
    <row r="5245" spans="1:5" x14ac:dyDescent="0.35">
      <c r="A5245">
        <v>0</v>
      </c>
      <c r="B5245">
        <v>0</v>
      </c>
      <c r="C5245">
        <v>0</v>
      </c>
      <c r="D5245">
        <v>0</v>
      </c>
      <c r="E5245">
        <v>0</v>
      </c>
    </row>
    <row r="5246" spans="1:5" x14ac:dyDescent="0.35">
      <c r="A5246">
        <v>0</v>
      </c>
      <c r="B5246">
        <v>0</v>
      </c>
      <c r="C5246">
        <v>0</v>
      </c>
      <c r="D5246">
        <v>0</v>
      </c>
      <c r="E5246">
        <v>0</v>
      </c>
    </row>
    <row r="5247" spans="1:5" x14ac:dyDescent="0.35">
      <c r="A5247">
        <v>0</v>
      </c>
      <c r="B5247">
        <v>0</v>
      </c>
      <c r="C5247">
        <v>0</v>
      </c>
      <c r="D5247">
        <v>0</v>
      </c>
      <c r="E5247">
        <v>0</v>
      </c>
    </row>
    <row r="5248" spans="1:5" x14ac:dyDescent="0.35">
      <c r="A5248">
        <v>0</v>
      </c>
      <c r="B5248">
        <v>0</v>
      </c>
      <c r="C5248">
        <v>0</v>
      </c>
      <c r="D5248">
        <v>0</v>
      </c>
      <c r="E5248">
        <v>0</v>
      </c>
    </row>
    <row r="5249" spans="1:5" x14ac:dyDescent="0.35">
      <c r="A5249">
        <v>0</v>
      </c>
      <c r="B5249">
        <v>0</v>
      </c>
      <c r="C5249">
        <v>0</v>
      </c>
      <c r="D5249">
        <v>0</v>
      </c>
      <c r="E5249">
        <v>0</v>
      </c>
    </row>
    <row r="5250" spans="1:5" x14ac:dyDescent="0.35">
      <c r="A5250">
        <v>0</v>
      </c>
      <c r="B5250">
        <v>0</v>
      </c>
      <c r="C5250">
        <v>0</v>
      </c>
      <c r="D5250">
        <v>0</v>
      </c>
      <c r="E5250">
        <v>0</v>
      </c>
    </row>
    <row r="5251" spans="1:5" x14ac:dyDescent="0.35">
      <c r="A5251">
        <v>0</v>
      </c>
      <c r="B5251">
        <v>0</v>
      </c>
      <c r="C5251">
        <v>0</v>
      </c>
      <c r="D5251">
        <v>0</v>
      </c>
      <c r="E5251">
        <v>0</v>
      </c>
    </row>
    <row r="5252" spans="1:5" x14ac:dyDescent="0.35">
      <c r="A5252">
        <v>0</v>
      </c>
      <c r="B5252">
        <v>0</v>
      </c>
      <c r="C5252">
        <v>0</v>
      </c>
      <c r="D5252">
        <v>0</v>
      </c>
      <c r="E5252">
        <v>0</v>
      </c>
    </row>
    <row r="5253" spans="1:5" x14ac:dyDescent="0.35">
      <c r="A5253">
        <v>0</v>
      </c>
      <c r="B5253">
        <v>0</v>
      </c>
      <c r="C5253">
        <v>0</v>
      </c>
      <c r="D5253">
        <v>0</v>
      </c>
      <c r="E5253">
        <v>0</v>
      </c>
    </row>
    <row r="5254" spans="1:5" x14ac:dyDescent="0.35">
      <c r="A5254">
        <v>0</v>
      </c>
      <c r="B5254">
        <v>0</v>
      </c>
      <c r="C5254">
        <v>0</v>
      </c>
      <c r="D5254">
        <v>0</v>
      </c>
      <c r="E5254">
        <v>0</v>
      </c>
    </row>
    <row r="5255" spans="1:5" x14ac:dyDescent="0.35">
      <c r="A5255">
        <v>0</v>
      </c>
      <c r="B5255">
        <v>0</v>
      </c>
      <c r="C5255">
        <v>0</v>
      </c>
      <c r="D5255">
        <v>0</v>
      </c>
      <c r="E5255">
        <v>0</v>
      </c>
    </row>
    <row r="5256" spans="1:5" x14ac:dyDescent="0.35">
      <c r="A5256">
        <v>0</v>
      </c>
      <c r="B5256">
        <v>0</v>
      </c>
      <c r="C5256">
        <v>0</v>
      </c>
      <c r="D5256">
        <v>0</v>
      </c>
      <c r="E5256">
        <v>0</v>
      </c>
    </row>
    <row r="5257" spans="1:5" x14ac:dyDescent="0.35">
      <c r="A5257">
        <v>0</v>
      </c>
      <c r="B5257">
        <v>0</v>
      </c>
      <c r="C5257">
        <v>0</v>
      </c>
      <c r="D5257">
        <v>0</v>
      </c>
      <c r="E5257">
        <v>0</v>
      </c>
    </row>
    <row r="5258" spans="1:5" x14ac:dyDescent="0.35">
      <c r="A5258">
        <v>0</v>
      </c>
      <c r="B5258">
        <v>0</v>
      </c>
      <c r="C5258">
        <v>0</v>
      </c>
      <c r="D5258">
        <v>0</v>
      </c>
      <c r="E5258">
        <v>0</v>
      </c>
    </row>
    <row r="5259" spans="1:5" x14ac:dyDescent="0.35">
      <c r="A5259">
        <v>0</v>
      </c>
      <c r="B5259">
        <v>0</v>
      </c>
      <c r="C5259">
        <v>0</v>
      </c>
      <c r="D5259">
        <v>0</v>
      </c>
      <c r="E5259">
        <v>0</v>
      </c>
    </row>
    <row r="5260" spans="1:5" x14ac:dyDescent="0.35">
      <c r="A5260">
        <v>0</v>
      </c>
      <c r="B5260">
        <v>0</v>
      </c>
      <c r="C5260">
        <v>0</v>
      </c>
      <c r="D5260">
        <v>0</v>
      </c>
      <c r="E5260">
        <v>0</v>
      </c>
    </row>
    <row r="5261" spans="1:5" x14ac:dyDescent="0.35">
      <c r="A5261">
        <v>0</v>
      </c>
      <c r="B5261">
        <v>0</v>
      </c>
      <c r="C5261">
        <v>0</v>
      </c>
      <c r="D5261">
        <v>0</v>
      </c>
      <c r="E5261">
        <v>0</v>
      </c>
    </row>
    <row r="5262" spans="1:5" x14ac:dyDescent="0.35">
      <c r="A5262">
        <v>0</v>
      </c>
      <c r="B5262">
        <v>0</v>
      </c>
      <c r="C5262">
        <v>0</v>
      </c>
      <c r="D5262">
        <v>0</v>
      </c>
      <c r="E5262">
        <v>0</v>
      </c>
    </row>
    <row r="5263" spans="1:5" x14ac:dyDescent="0.35">
      <c r="A5263">
        <v>0</v>
      </c>
      <c r="B5263">
        <v>0</v>
      </c>
      <c r="C5263">
        <v>0</v>
      </c>
      <c r="D5263">
        <v>0</v>
      </c>
      <c r="E5263">
        <v>0</v>
      </c>
    </row>
    <row r="5264" spans="1:5" x14ac:dyDescent="0.35">
      <c r="A5264">
        <v>0</v>
      </c>
      <c r="B5264">
        <v>0</v>
      </c>
      <c r="C5264">
        <v>0</v>
      </c>
      <c r="D5264">
        <v>0</v>
      </c>
      <c r="E5264">
        <v>0</v>
      </c>
    </row>
    <row r="5265" spans="1:5" x14ac:dyDescent="0.35">
      <c r="A5265">
        <v>0</v>
      </c>
      <c r="B5265">
        <v>0</v>
      </c>
      <c r="C5265">
        <v>0</v>
      </c>
      <c r="D5265">
        <v>0</v>
      </c>
      <c r="E5265">
        <v>0</v>
      </c>
    </row>
    <row r="5266" spans="1:5" x14ac:dyDescent="0.35">
      <c r="A5266">
        <v>0</v>
      </c>
      <c r="B5266">
        <v>0</v>
      </c>
      <c r="C5266">
        <v>0</v>
      </c>
      <c r="D5266">
        <v>0</v>
      </c>
      <c r="E5266">
        <v>0</v>
      </c>
    </row>
    <row r="5267" spans="1:5" x14ac:dyDescent="0.35">
      <c r="A5267">
        <v>0</v>
      </c>
      <c r="B5267">
        <v>0</v>
      </c>
      <c r="C5267">
        <v>0</v>
      </c>
      <c r="D5267">
        <v>0</v>
      </c>
      <c r="E5267">
        <v>0</v>
      </c>
    </row>
    <row r="5268" spans="1:5" x14ac:dyDescent="0.35">
      <c r="A5268">
        <v>0</v>
      </c>
      <c r="B5268">
        <v>0</v>
      </c>
      <c r="C5268">
        <v>0</v>
      </c>
      <c r="D5268">
        <v>0</v>
      </c>
      <c r="E5268">
        <v>0</v>
      </c>
    </row>
    <row r="5269" spans="1:5" x14ac:dyDescent="0.35">
      <c r="A5269">
        <v>0</v>
      </c>
      <c r="B5269">
        <v>0</v>
      </c>
      <c r="C5269">
        <v>0</v>
      </c>
      <c r="D5269">
        <v>0</v>
      </c>
      <c r="E5269">
        <v>0</v>
      </c>
    </row>
    <row r="5270" spans="1:5" x14ac:dyDescent="0.35">
      <c r="A5270">
        <v>0</v>
      </c>
      <c r="B5270">
        <v>0</v>
      </c>
      <c r="C5270">
        <v>0</v>
      </c>
      <c r="D5270">
        <v>0</v>
      </c>
      <c r="E5270">
        <v>0</v>
      </c>
    </row>
    <row r="5271" spans="1:5" x14ac:dyDescent="0.35">
      <c r="A5271">
        <v>0</v>
      </c>
      <c r="B5271">
        <v>0</v>
      </c>
      <c r="C5271">
        <v>0</v>
      </c>
      <c r="D5271">
        <v>0</v>
      </c>
      <c r="E5271">
        <v>0</v>
      </c>
    </row>
    <row r="5272" spans="1:5" x14ac:dyDescent="0.35">
      <c r="A5272">
        <v>0</v>
      </c>
      <c r="B5272">
        <v>0</v>
      </c>
      <c r="C5272">
        <v>0</v>
      </c>
      <c r="D5272">
        <v>0</v>
      </c>
      <c r="E5272">
        <v>0</v>
      </c>
    </row>
    <row r="5273" spans="1:5" x14ac:dyDescent="0.35">
      <c r="A5273">
        <v>0</v>
      </c>
      <c r="B5273">
        <v>0</v>
      </c>
      <c r="C5273">
        <v>0</v>
      </c>
      <c r="D5273">
        <v>0</v>
      </c>
      <c r="E5273">
        <v>0</v>
      </c>
    </row>
    <row r="5274" spans="1:5" x14ac:dyDescent="0.35">
      <c r="A5274">
        <v>0</v>
      </c>
      <c r="B5274">
        <v>0</v>
      </c>
      <c r="C5274">
        <v>0</v>
      </c>
      <c r="D5274">
        <v>0</v>
      </c>
      <c r="E5274">
        <v>0</v>
      </c>
    </row>
    <row r="5275" spans="1:5" x14ac:dyDescent="0.35">
      <c r="A5275">
        <v>0</v>
      </c>
      <c r="B5275">
        <v>0</v>
      </c>
      <c r="C5275">
        <v>0</v>
      </c>
      <c r="D5275">
        <v>0</v>
      </c>
      <c r="E5275">
        <v>0</v>
      </c>
    </row>
    <row r="5276" spans="1:5" x14ac:dyDescent="0.35">
      <c r="A5276">
        <v>0</v>
      </c>
      <c r="B5276">
        <v>0</v>
      </c>
      <c r="C5276">
        <v>0</v>
      </c>
      <c r="D5276">
        <v>0</v>
      </c>
      <c r="E5276">
        <v>0</v>
      </c>
    </row>
    <row r="5277" spans="1:5" x14ac:dyDescent="0.35">
      <c r="A5277">
        <v>0</v>
      </c>
      <c r="B5277">
        <v>0</v>
      </c>
      <c r="C5277">
        <v>0</v>
      </c>
      <c r="D5277">
        <v>0</v>
      </c>
      <c r="E5277">
        <v>0</v>
      </c>
    </row>
    <row r="5278" spans="1:5" x14ac:dyDescent="0.35">
      <c r="A5278">
        <v>0</v>
      </c>
      <c r="B5278">
        <v>0</v>
      </c>
      <c r="C5278">
        <v>0</v>
      </c>
      <c r="D5278">
        <v>0</v>
      </c>
      <c r="E5278">
        <v>0</v>
      </c>
    </row>
    <row r="5279" spans="1:5" x14ac:dyDescent="0.35">
      <c r="A5279">
        <v>0</v>
      </c>
      <c r="B5279">
        <v>0</v>
      </c>
      <c r="C5279">
        <v>0</v>
      </c>
      <c r="D5279">
        <v>0</v>
      </c>
      <c r="E5279">
        <v>0</v>
      </c>
    </row>
    <row r="5280" spans="1:5" x14ac:dyDescent="0.35">
      <c r="A5280">
        <v>0</v>
      </c>
      <c r="B5280">
        <v>0</v>
      </c>
      <c r="C5280">
        <v>0</v>
      </c>
      <c r="D5280">
        <v>0</v>
      </c>
      <c r="E5280">
        <v>0</v>
      </c>
    </row>
    <row r="5281" spans="1:5" x14ac:dyDescent="0.35">
      <c r="A5281">
        <v>0</v>
      </c>
      <c r="B5281">
        <v>0</v>
      </c>
      <c r="C5281">
        <v>0</v>
      </c>
      <c r="D5281">
        <v>0</v>
      </c>
      <c r="E5281">
        <v>0</v>
      </c>
    </row>
    <row r="5282" spans="1:5" x14ac:dyDescent="0.35">
      <c r="A5282">
        <v>0</v>
      </c>
      <c r="B5282">
        <v>0</v>
      </c>
      <c r="C5282">
        <v>0</v>
      </c>
      <c r="D5282">
        <v>0</v>
      </c>
      <c r="E5282">
        <v>0</v>
      </c>
    </row>
    <row r="5283" spans="1:5" x14ac:dyDescent="0.35">
      <c r="A5283">
        <v>0</v>
      </c>
      <c r="B5283">
        <v>0</v>
      </c>
      <c r="C5283">
        <v>0</v>
      </c>
      <c r="D5283">
        <v>0</v>
      </c>
      <c r="E5283">
        <v>0</v>
      </c>
    </row>
    <row r="5284" spans="1:5" x14ac:dyDescent="0.35">
      <c r="A5284">
        <v>0</v>
      </c>
      <c r="B5284">
        <v>0</v>
      </c>
      <c r="C5284">
        <v>0</v>
      </c>
      <c r="D5284">
        <v>0</v>
      </c>
      <c r="E5284">
        <v>0</v>
      </c>
    </row>
    <row r="5285" spans="1:5" x14ac:dyDescent="0.35">
      <c r="A5285">
        <v>0</v>
      </c>
      <c r="B5285">
        <v>0</v>
      </c>
      <c r="C5285">
        <v>0</v>
      </c>
      <c r="D5285">
        <v>0</v>
      </c>
      <c r="E5285">
        <v>0</v>
      </c>
    </row>
    <row r="5286" spans="1:5" x14ac:dyDescent="0.35">
      <c r="A5286">
        <v>0</v>
      </c>
      <c r="B5286">
        <v>0</v>
      </c>
      <c r="C5286">
        <v>0</v>
      </c>
      <c r="D5286">
        <v>0</v>
      </c>
      <c r="E5286">
        <v>0</v>
      </c>
    </row>
    <row r="5287" spans="1:5" x14ac:dyDescent="0.35">
      <c r="A5287">
        <v>0</v>
      </c>
      <c r="B5287">
        <v>0</v>
      </c>
      <c r="C5287">
        <v>0</v>
      </c>
      <c r="D5287">
        <v>0</v>
      </c>
      <c r="E5287">
        <v>0</v>
      </c>
    </row>
    <row r="5288" spans="1:5" x14ac:dyDescent="0.35">
      <c r="A5288">
        <v>0</v>
      </c>
      <c r="B5288">
        <v>0</v>
      </c>
      <c r="C5288">
        <v>0</v>
      </c>
      <c r="D5288">
        <v>0</v>
      </c>
      <c r="E5288">
        <v>0</v>
      </c>
    </row>
    <row r="5289" spans="1:5" x14ac:dyDescent="0.35">
      <c r="A5289">
        <v>0</v>
      </c>
      <c r="B5289">
        <v>0</v>
      </c>
      <c r="C5289">
        <v>0</v>
      </c>
      <c r="D5289">
        <v>0</v>
      </c>
      <c r="E5289">
        <v>0</v>
      </c>
    </row>
    <row r="5290" spans="1:5" x14ac:dyDescent="0.35">
      <c r="A5290">
        <v>0</v>
      </c>
      <c r="B5290">
        <v>0</v>
      </c>
      <c r="C5290">
        <v>0</v>
      </c>
      <c r="D5290">
        <v>0</v>
      </c>
      <c r="E5290">
        <v>0</v>
      </c>
    </row>
    <row r="5291" spans="1:5" x14ac:dyDescent="0.35">
      <c r="A5291">
        <v>0</v>
      </c>
      <c r="B5291">
        <v>0</v>
      </c>
      <c r="C5291">
        <v>0</v>
      </c>
      <c r="D5291">
        <v>0</v>
      </c>
      <c r="E5291">
        <v>0</v>
      </c>
    </row>
    <row r="5292" spans="1:5" x14ac:dyDescent="0.35">
      <c r="A5292">
        <v>0</v>
      </c>
      <c r="B5292">
        <v>0</v>
      </c>
      <c r="C5292">
        <v>0</v>
      </c>
      <c r="D5292">
        <v>0</v>
      </c>
      <c r="E5292">
        <v>0</v>
      </c>
    </row>
    <row r="5293" spans="1:5" x14ac:dyDescent="0.35">
      <c r="A5293">
        <v>0</v>
      </c>
      <c r="B5293">
        <v>0</v>
      </c>
      <c r="C5293">
        <v>0</v>
      </c>
      <c r="D5293">
        <v>0</v>
      </c>
      <c r="E5293">
        <v>0</v>
      </c>
    </row>
    <row r="5294" spans="1:5" x14ac:dyDescent="0.35">
      <c r="A5294">
        <v>0</v>
      </c>
      <c r="B5294">
        <v>0</v>
      </c>
      <c r="C5294">
        <v>0</v>
      </c>
      <c r="D5294">
        <v>0</v>
      </c>
      <c r="E5294">
        <v>0</v>
      </c>
    </row>
    <row r="5295" spans="1:5" x14ac:dyDescent="0.35">
      <c r="A5295">
        <v>0</v>
      </c>
      <c r="B5295">
        <v>0</v>
      </c>
      <c r="C5295">
        <v>0</v>
      </c>
      <c r="D5295">
        <v>0</v>
      </c>
      <c r="E5295">
        <v>0</v>
      </c>
    </row>
    <row r="5296" spans="1:5" x14ac:dyDescent="0.35">
      <c r="A5296">
        <v>0</v>
      </c>
      <c r="B5296">
        <v>0</v>
      </c>
      <c r="C5296">
        <v>0</v>
      </c>
      <c r="D5296">
        <v>0</v>
      </c>
      <c r="E5296">
        <v>0</v>
      </c>
    </row>
    <row r="5297" spans="1:5" x14ac:dyDescent="0.35">
      <c r="A5297">
        <v>0</v>
      </c>
      <c r="B5297">
        <v>0</v>
      </c>
      <c r="C5297">
        <v>0</v>
      </c>
      <c r="D5297">
        <v>0</v>
      </c>
      <c r="E5297">
        <v>0</v>
      </c>
    </row>
    <row r="5298" spans="1:5" x14ac:dyDescent="0.35">
      <c r="A5298">
        <v>0</v>
      </c>
      <c r="B5298">
        <v>0</v>
      </c>
      <c r="C5298">
        <v>0</v>
      </c>
      <c r="D5298">
        <v>0</v>
      </c>
      <c r="E5298">
        <v>0</v>
      </c>
    </row>
    <row r="5299" spans="1:5" x14ac:dyDescent="0.35">
      <c r="A5299">
        <v>0</v>
      </c>
      <c r="B5299">
        <v>0</v>
      </c>
      <c r="C5299">
        <v>0</v>
      </c>
      <c r="D5299">
        <v>0</v>
      </c>
      <c r="E5299">
        <v>0</v>
      </c>
    </row>
    <row r="5300" spans="1:5" x14ac:dyDescent="0.35">
      <c r="A5300">
        <v>0</v>
      </c>
      <c r="B5300">
        <v>0</v>
      </c>
      <c r="C5300">
        <v>0</v>
      </c>
      <c r="D5300">
        <v>0</v>
      </c>
      <c r="E5300">
        <v>0</v>
      </c>
    </row>
    <row r="5301" spans="1:5" x14ac:dyDescent="0.35">
      <c r="A5301">
        <v>0</v>
      </c>
      <c r="B5301">
        <v>0</v>
      </c>
      <c r="C5301">
        <v>0</v>
      </c>
      <c r="D5301">
        <v>0</v>
      </c>
      <c r="E5301">
        <v>0</v>
      </c>
    </row>
    <row r="5302" spans="1:5" x14ac:dyDescent="0.35">
      <c r="A5302">
        <v>0</v>
      </c>
      <c r="B5302">
        <v>0</v>
      </c>
      <c r="C5302">
        <v>0</v>
      </c>
      <c r="D5302">
        <v>0</v>
      </c>
      <c r="E5302">
        <v>0</v>
      </c>
    </row>
    <row r="5303" spans="1:5" x14ac:dyDescent="0.35">
      <c r="A5303">
        <v>0</v>
      </c>
      <c r="B5303">
        <v>0</v>
      </c>
      <c r="C5303">
        <v>0</v>
      </c>
      <c r="D5303">
        <v>0</v>
      </c>
      <c r="E5303">
        <v>0</v>
      </c>
    </row>
    <row r="5304" spans="1:5" x14ac:dyDescent="0.35">
      <c r="A5304">
        <v>0</v>
      </c>
      <c r="B5304">
        <v>0</v>
      </c>
      <c r="C5304">
        <v>0</v>
      </c>
      <c r="D5304">
        <v>0</v>
      </c>
      <c r="E5304">
        <v>0</v>
      </c>
    </row>
    <row r="5305" spans="1:5" x14ac:dyDescent="0.35">
      <c r="A5305">
        <v>0</v>
      </c>
      <c r="B5305">
        <v>0</v>
      </c>
      <c r="C5305">
        <v>0</v>
      </c>
      <c r="D5305">
        <v>0</v>
      </c>
      <c r="E5305">
        <v>0</v>
      </c>
    </row>
    <row r="5306" spans="1:5" x14ac:dyDescent="0.35">
      <c r="A5306">
        <v>0</v>
      </c>
      <c r="B5306">
        <v>0</v>
      </c>
      <c r="C5306">
        <v>0</v>
      </c>
      <c r="D5306">
        <v>0</v>
      </c>
      <c r="E5306">
        <v>0</v>
      </c>
    </row>
    <row r="5307" spans="1:5" x14ac:dyDescent="0.35">
      <c r="A5307">
        <v>0</v>
      </c>
      <c r="B5307">
        <v>0</v>
      </c>
      <c r="C5307">
        <v>0</v>
      </c>
      <c r="D5307">
        <v>0</v>
      </c>
      <c r="E5307">
        <v>0</v>
      </c>
    </row>
    <row r="5308" spans="1:5" x14ac:dyDescent="0.35">
      <c r="A5308">
        <v>0</v>
      </c>
      <c r="B5308">
        <v>0</v>
      </c>
      <c r="C5308">
        <v>0</v>
      </c>
      <c r="D5308">
        <v>0</v>
      </c>
      <c r="E5308">
        <v>0</v>
      </c>
    </row>
    <row r="5309" spans="1:5" x14ac:dyDescent="0.35">
      <c r="A5309">
        <v>0</v>
      </c>
      <c r="B5309">
        <v>0</v>
      </c>
      <c r="C5309">
        <v>0</v>
      </c>
      <c r="D5309">
        <v>0</v>
      </c>
      <c r="E5309">
        <v>0</v>
      </c>
    </row>
    <row r="5310" spans="1:5" x14ac:dyDescent="0.35">
      <c r="A5310">
        <v>0</v>
      </c>
      <c r="B5310">
        <v>0</v>
      </c>
      <c r="C5310">
        <v>0</v>
      </c>
      <c r="D5310">
        <v>0</v>
      </c>
      <c r="E5310">
        <v>0</v>
      </c>
    </row>
    <row r="5311" spans="1:5" x14ac:dyDescent="0.35">
      <c r="A5311">
        <v>0</v>
      </c>
      <c r="B5311">
        <v>0</v>
      </c>
      <c r="C5311">
        <v>0</v>
      </c>
      <c r="D5311">
        <v>0</v>
      </c>
      <c r="E5311">
        <v>0</v>
      </c>
    </row>
    <row r="5312" spans="1:5" x14ac:dyDescent="0.35">
      <c r="A5312">
        <v>0</v>
      </c>
      <c r="B5312">
        <v>0</v>
      </c>
      <c r="C5312">
        <v>0</v>
      </c>
      <c r="D5312">
        <v>0</v>
      </c>
      <c r="E5312">
        <v>0</v>
      </c>
    </row>
    <row r="5313" spans="1:5" x14ac:dyDescent="0.35">
      <c r="A5313">
        <v>0</v>
      </c>
      <c r="B5313">
        <v>0</v>
      </c>
      <c r="C5313">
        <v>0</v>
      </c>
      <c r="D5313">
        <v>0</v>
      </c>
      <c r="E5313">
        <v>0</v>
      </c>
    </row>
    <row r="5314" spans="1:5" x14ac:dyDescent="0.35">
      <c r="A5314">
        <v>0</v>
      </c>
      <c r="B5314">
        <v>0</v>
      </c>
      <c r="C5314">
        <v>0</v>
      </c>
      <c r="D5314">
        <v>0</v>
      </c>
      <c r="E5314">
        <v>0</v>
      </c>
    </row>
    <row r="5315" spans="1:5" x14ac:dyDescent="0.35">
      <c r="A5315">
        <v>0</v>
      </c>
      <c r="B5315">
        <v>0</v>
      </c>
      <c r="C5315">
        <v>0</v>
      </c>
      <c r="D5315">
        <v>0</v>
      </c>
      <c r="E5315">
        <v>0</v>
      </c>
    </row>
    <row r="5316" spans="1:5" x14ac:dyDescent="0.35">
      <c r="A5316">
        <v>0</v>
      </c>
      <c r="B5316">
        <v>0</v>
      </c>
      <c r="C5316">
        <v>0</v>
      </c>
      <c r="D5316">
        <v>0</v>
      </c>
      <c r="E5316">
        <v>0</v>
      </c>
    </row>
    <row r="5317" spans="1:5" x14ac:dyDescent="0.35">
      <c r="A5317">
        <v>0</v>
      </c>
      <c r="B5317">
        <v>0</v>
      </c>
      <c r="C5317">
        <v>0</v>
      </c>
      <c r="D5317">
        <v>0</v>
      </c>
      <c r="E5317">
        <v>0</v>
      </c>
    </row>
    <row r="5318" spans="1:5" x14ac:dyDescent="0.35">
      <c r="A5318">
        <v>0</v>
      </c>
      <c r="B5318">
        <v>0</v>
      </c>
      <c r="C5318">
        <v>0</v>
      </c>
      <c r="D5318">
        <v>0</v>
      </c>
      <c r="E5318">
        <v>0</v>
      </c>
    </row>
    <row r="5319" spans="1:5" x14ac:dyDescent="0.35">
      <c r="A5319">
        <v>0</v>
      </c>
      <c r="B5319">
        <v>0</v>
      </c>
      <c r="C5319">
        <v>0</v>
      </c>
      <c r="D5319">
        <v>0</v>
      </c>
      <c r="E5319">
        <v>0</v>
      </c>
    </row>
    <row r="5320" spans="1:5" x14ac:dyDescent="0.35">
      <c r="A5320">
        <v>0</v>
      </c>
      <c r="B5320">
        <v>0</v>
      </c>
      <c r="C5320">
        <v>0</v>
      </c>
      <c r="D5320">
        <v>0</v>
      </c>
      <c r="E5320">
        <v>0</v>
      </c>
    </row>
    <row r="5321" spans="1:5" x14ac:dyDescent="0.35">
      <c r="A5321">
        <v>0</v>
      </c>
      <c r="B5321">
        <v>0</v>
      </c>
      <c r="C5321">
        <v>0</v>
      </c>
      <c r="D5321">
        <v>0</v>
      </c>
      <c r="E5321">
        <v>0</v>
      </c>
    </row>
    <row r="5322" spans="1:5" x14ac:dyDescent="0.35">
      <c r="A5322">
        <v>0</v>
      </c>
      <c r="B5322">
        <v>0</v>
      </c>
      <c r="C5322">
        <v>0</v>
      </c>
      <c r="D5322">
        <v>0</v>
      </c>
      <c r="E5322">
        <v>0</v>
      </c>
    </row>
    <row r="5323" spans="1:5" x14ac:dyDescent="0.35">
      <c r="A5323">
        <v>0</v>
      </c>
      <c r="B5323">
        <v>0</v>
      </c>
      <c r="C5323">
        <v>0</v>
      </c>
      <c r="D5323">
        <v>0</v>
      </c>
      <c r="E5323">
        <v>0</v>
      </c>
    </row>
    <row r="5324" spans="1:5" x14ac:dyDescent="0.35">
      <c r="A5324">
        <v>0</v>
      </c>
      <c r="B5324">
        <v>0</v>
      </c>
      <c r="C5324">
        <v>0</v>
      </c>
      <c r="D5324">
        <v>0</v>
      </c>
      <c r="E5324">
        <v>0</v>
      </c>
    </row>
    <row r="5325" spans="1:5" x14ac:dyDescent="0.35">
      <c r="A5325">
        <v>0</v>
      </c>
      <c r="B5325">
        <v>0</v>
      </c>
      <c r="C5325">
        <v>0</v>
      </c>
      <c r="D5325">
        <v>0</v>
      </c>
      <c r="E5325">
        <v>0</v>
      </c>
    </row>
    <row r="5326" spans="1:5" x14ac:dyDescent="0.35">
      <c r="A5326">
        <v>0</v>
      </c>
      <c r="B5326">
        <v>0</v>
      </c>
      <c r="C5326">
        <v>0</v>
      </c>
      <c r="D5326">
        <v>0</v>
      </c>
      <c r="E5326">
        <v>0</v>
      </c>
    </row>
    <row r="5327" spans="1:5" x14ac:dyDescent="0.35">
      <c r="A5327">
        <v>0</v>
      </c>
      <c r="B5327">
        <v>0</v>
      </c>
      <c r="C5327">
        <v>0</v>
      </c>
      <c r="D5327">
        <v>0</v>
      </c>
      <c r="E5327">
        <v>0</v>
      </c>
    </row>
    <row r="5328" spans="1:5" x14ac:dyDescent="0.35">
      <c r="A5328">
        <v>0</v>
      </c>
      <c r="B5328">
        <v>0</v>
      </c>
      <c r="C5328">
        <v>0</v>
      </c>
      <c r="D5328">
        <v>0</v>
      </c>
      <c r="E5328">
        <v>0</v>
      </c>
    </row>
    <row r="5329" spans="1:5" x14ac:dyDescent="0.35">
      <c r="A5329">
        <v>0</v>
      </c>
      <c r="B5329">
        <v>0</v>
      </c>
      <c r="C5329">
        <v>0</v>
      </c>
      <c r="D5329">
        <v>0</v>
      </c>
      <c r="E5329">
        <v>0</v>
      </c>
    </row>
    <row r="5330" spans="1:5" x14ac:dyDescent="0.35">
      <c r="A5330">
        <v>0</v>
      </c>
      <c r="B5330">
        <v>0</v>
      </c>
      <c r="C5330">
        <v>0</v>
      </c>
      <c r="D5330">
        <v>0</v>
      </c>
      <c r="E5330">
        <v>0</v>
      </c>
    </row>
    <row r="5331" spans="1:5" x14ac:dyDescent="0.35">
      <c r="A5331">
        <v>0</v>
      </c>
      <c r="B5331">
        <v>0</v>
      </c>
      <c r="C5331">
        <v>0</v>
      </c>
      <c r="D5331">
        <v>0</v>
      </c>
      <c r="E5331">
        <v>0</v>
      </c>
    </row>
    <row r="5332" spans="1:5" x14ac:dyDescent="0.35">
      <c r="A5332">
        <v>0</v>
      </c>
      <c r="B5332">
        <v>0</v>
      </c>
      <c r="C5332">
        <v>0</v>
      </c>
      <c r="D5332">
        <v>0</v>
      </c>
      <c r="E5332">
        <v>0</v>
      </c>
    </row>
    <row r="5333" spans="1:5" x14ac:dyDescent="0.35">
      <c r="A5333">
        <v>0</v>
      </c>
      <c r="B5333">
        <v>0</v>
      </c>
      <c r="C5333">
        <v>0</v>
      </c>
      <c r="D5333">
        <v>0</v>
      </c>
      <c r="E5333">
        <v>0</v>
      </c>
    </row>
    <row r="5334" spans="1:5" x14ac:dyDescent="0.35">
      <c r="A5334">
        <v>0</v>
      </c>
      <c r="B5334">
        <v>0</v>
      </c>
      <c r="C5334">
        <v>0</v>
      </c>
      <c r="D5334">
        <v>0</v>
      </c>
      <c r="E5334">
        <v>0</v>
      </c>
    </row>
    <row r="5335" spans="1:5" x14ac:dyDescent="0.35">
      <c r="A5335">
        <v>0</v>
      </c>
      <c r="B5335">
        <v>0</v>
      </c>
      <c r="C5335">
        <v>0</v>
      </c>
      <c r="D5335">
        <v>0</v>
      </c>
      <c r="E5335">
        <v>0</v>
      </c>
    </row>
    <row r="5336" spans="1:5" x14ac:dyDescent="0.35">
      <c r="A5336">
        <v>0</v>
      </c>
      <c r="B5336">
        <v>0</v>
      </c>
      <c r="C5336">
        <v>0</v>
      </c>
      <c r="D5336">
        <v>0</v>
      </c>
      <c r="E5336">
        <v>0</v>
      </c>
    </row>
    <row r="5337" spans="1:5" x14ac:dyDescent="0.35">
      <c r="A5337">
        <v>0</v>
      </c>
      <c r="B5337">
        <v>0</v>
      </c>
      <c r="C5337">
        <v>0</v>
      </c>
      <c r="D5337">
        <v>0</v>
      </c>
      <c r="E5337">
        <v>0</v>
      </c>
    </row>
    <row r="5338" spans="1:5" x14ac:dyDescent="0.35">
      <c r="A5338">
        <v>0</v>
      </c>
      <c r="B5338">
        <v>0</v>
      </c>
      <c r="C5338">
        <v>0</v>
      </c>
      <c r="D5338">
        <v>0</v>
      </c>
      <c r="E5338">
        <v>0</v>
      </c>
    </row>
    <row r="5339" spans="1:5" x14ac:dyDescent="0.35">
      <c r="A5339">
        <v>0</v>
      </c>
      <c r="B5339">
        <v>0</v>
      </c>
      <c r="C5339">
        <v>0</v>
      </c>
      <c r="D5339">
        <v>0</v>
      </c>
      <c r="E5339">
        <v>0</v>
      </c>
    </row>
    <row r="5340" spans="1:5" x14ac:dyDescent="0.35">
      <c r="A5340">
        <v>0</v>
      </c>
      <c r="B5340">
        <v>0</v>
      </c>
      <c r="C5340">
        <v>0</v>
      </c>
      <c r="D5340">
        <v>0</v>
      </c>
      <c r="E5340">
        <v>0</v>
      </c>
    </row>
    <row r="5341" spans="1:5" x14ac:dyDescent="0.35">
      <c r="A5341">
        <v>0</v>
      </c>
      <c r="B5341">
        <v>0</v>
      </c>
      <c r="C5341">
        <v>0</v>
      </c>
      <c r="D5341">
        <v>0</v>
      </c>
      <c r="E5341">
        <v>0</v>
      </c>
    </row>
    <row r="5342" spans="1:5" x14ac:dyDescent="0.35">
      <c r="A5342">
        <v>0</v>
      </c>
      <c r="B5342">
        <v>0</v>
      </c>
      <c r="C5342">
        <v>0</v>
      </c>
      <c r="D5342">
        <v>0</v>
      </c>
      <c r="E5342">
        <v>0</v>
      </c>
    </row>
    <row r="5343" spans="1:5" x14ac:dyDescent="0.35">
      <c r="A5343">
        <v>0</v>
      </c>
      <c r="B5343">
        <v>0</v>
      </c>
      <c r="C5343">
        <v>0</v>
      </c>
      <c r="D5343">
        <v>0</v>
      </c>
      <c r="E5343">
        <v>0</v>
      </c>
    </row>
    <row r="5344" spans="1:5" x14ac:dyDescent="0.35">
      <c r="A5344">
        <v>0</v>
      </c>
      <c r="B5344">
        <v>0</v>
      </c>
      <c r="C5344">
        <v>0</v>
      </c>
      <c r="D5344">
        <v>0</v>
      </c>
      <c r="E5344">
        <v>0</v>
      </c>
    </row>
    <row r="5345" spans="1:5" x14ac:dyDescent="0.35">
      <c r="A5345">
        <v>0</v>
      </c>
      <c r="B5345">
        <v>0</v>
      </c>
      <c r="C5345">
        <v>0</v>
      </c>
      <c r="D5345">
        <v>0</v>
      </c>
      <c r="E5345">
        <v>0</v>
      </c>
    </row>
    <row r="5346" spans="1:5" x14ac:dyDescent="0.35">
      <c r="A5346">
        <v>0</v>
      </c>
      <c r="B5346">
        <v>0</v>
      </c>
      <c r="C5346">
        <v>0</v>
      </c>
      <c r="D5346">
        <v>0</v>
      </c>
      <c r="E5346">
        <v>0</v>
      </c>
    </row>
    <row r="5347" spans="1:5" x14ac:dyDescent="0.35">
      <c r="A5347">
        <v>0</v>
      </c>
      <c r="B5347">
        <v>0</v>
      </c>
      <c r="C5347">
        <v>0</v>
      </c>
      <c r="D5347">
        <v>0</v>
      </c>
      <c r="E5347">
        <v>0</v>
      </c>
    </row>
    <row r="5348" spans="1:5" x14ac:dyDescent="0.35">
      <c r="A5348">
        <v>0</v>
      </c>
      <c r="B5348">
        <v>0</v>
      </c>
      <c r="C5348">
        <v>0</v>
      </c>
      <c r="D5348">
        <v>0</v>
      </c>
      <c r="E5348">
        <v>0</v>
      </c>
    </row>
    <row r="5349" spans="1:5" x14ac:dyDescent="0.35">
      <c r="A5349">
        <v>0</v>
      </c>
      <c r="B5349">
        <v>0</v>
      </c>
      <c r="C5349">
        <v>0</v>
      </c>
      <c r="D5349">
        <v>0</v>
      </c>
      <c r="E5349">
        <v>0</v>
      </c>
    </row>
    <row r="5350" spans="1:5" x14ac:dyDescent="0.35">
      <c r="A5350">
        <v>0</v>
      </c>
      <c r="B5350">
        <v>0</v>
      </c>
      <c r="C5350">
        <v>0</v>
      </c>
      <c r="D5350">
        <v>0</v>
      </c>
      <c r="E5350">
        <v>0</v>
      </c>
    </row>
    <row r="5351" spans="1:5" x14ac:dyDescent="0.35">
      <c r="A5351">
        <v>0</v>
      </c>
      <c r="B5351">
        <v>0</v>
      </c>
      <c r="C5351">
        <v>0</v>
      </c>
      <c r="D5351">
        <v>0</v>
      </c>
      <c r="E5351">
        <v>0</v>
      </c>
    </row>
    <row r="5352" spans="1:5" x14ac:dyDescent="0.35">
      <c r="A5352">
        <v>0</v>
      </c>
      <c r="B5352">
        <v>0</v>
      </c>
      <c r="C5352">
        <v>0</v>
      </c>
      <c r="D5352">
        <v>0</v>
      </c>
      <c r="E5352">
        <v>0</v>
      </c>
    </row>
    <row r="5353" spans="1:5" x14ac:dyDescent="0.35">
      <c r="A5353">
        <v>0</v>
      </c>
      <c r="B5353">
        <v>0</v>
      </c>
      <c r="C5353">
        <v>0</v>
      </c>
      <c r="D5353">
        <v>0</v>
      </c>
      <c r="E5353">
        <v>0</v>
      </c>
    </row>
    <row r="5354" spans="1:5" x14ac:dyDescent="0.35">
      <c r="A5354">
        <v>0</v>
      </c>
      <c r="B5354">
        <v>0</v>
      </c>
      <c r="C5354">
        <v>0</v>
      </c>
      <c r="D5354">
        <v>0</v>
      </c>
      <c r="E5354">
        <v>0</v>
      </c>
    </row>
    <row r="5355" spans="1:5" x14ac:dyDescent="0.35">
      <c r="A5355">
        <v>0</v>
      </c>
      <c r="B5355">
        <v>0</v>
      </c>
      <c r="C5355">
        <v>0</v>
      </c>
      <c r="D5355">
        <v>0</v>
      </c>
      <c r="E5355">
        <v>0</v>
      </c>
    </row>
    <row r="5356" spans="1:5" x14ac:dyDescent="0.35">
      <c r="A5356">
        <v>0</v>
      </c>
      <c r="B5356">
        <v>0</v>
      </c>
      <c r="C5356">
        <v>0</v>
      </c>
      <c r="D5356">
        <v>0</v>
      </c>
      <c r="E5356">
        <v>0</v>
      </c>
    </row>
    <row r="5357" spans="1:5" x14ac:dyDescent="0.35">
      <c r="A5357">
        <v>0</v>
      </c>
      <c r="B5357">
        <v>0</v>
      </c>
      <c r="C5357">
        <v>0</v>
      </c>
      <c r="D5357">
        <v>0</v>
      </c>
      <c r="E5357">
        <v>0</v>
      </c>
    </row>
    <row r="5358" spans="1:5" x14ac:dyDescent="0.35">
      <c r="A5358">
        <v>0</v>
      </c>
      <c r="B5358">
        <v>0</v>
      </c>
      <c r="C5358">
        <v>0</v>
      </c>
      <c r="D5358">
        <v>0</v>
      </c>
      <c r="E5358">
        <v>0</v>
      </c>
    </row>
    <row r="5359" spans="1:5" x14ac:dyDescent="0.35">
      <c r="A5359">
        <v>0</v>
      </c>
      <c r="B5359">
        <v>0</v>
      </c>
      <c r="C5359">
        <v>0</v>
      </c>
      <c r="D5359">
        <v>0</v>
      </c>
      <c r="E5359">
        <v>0</v>
      </c>
    </row>
    <row r="5360" spans="1:5" x14ac:dyDescent="0.35">
      <c r="A5360">
        <v>0</v>
      </c>
      <c r="B5360">
        <v>0</v>
      </c>
      <c r="C5360">
        <v>0</v>
      </c>
      <c r="D5360">
        <v>0</v>
      </c>
      <c r="E5360">
        <v>0</v>
      </c>
    </row>
    <row r="5361" spans="1:5" x14ac:dyDescent="0.35">
      <c r="A5361">
        <v>0</v>
      </c>
      <c r="B5361">
        <v>0</v>
      </c>
      <c r="C5361">
        <v>0</v>
      </c>
      <c r="D5361">
        <v>0</v>
      </c>
      <c r="E5361">
        <v>0</v>
      </c>
    </row>
    <row r="5362" spans="1:5" x14ac:dyDescent="0.35">
      <c r="A5362">
        <v>0</v>
      </c>
      <c r="B5362">
        <v>0</v>
      </c>
      <c r="C5362">
        <v>0</v>
      </c>
      <c r="D5362">
        <v>0</v>
      </c>
      <c r="E5362">
        <v>0</v>
      </c>
    </row>
    <row r="5363" spans="1:5" x14ac:dyDescent="0.35">
      <c r="A5363">
        <v>0</v>
      </c>
      <c r="B5363">
        <v>0</v>
      </c>
      <c r="C5363">
        <v>0</v>
      </c>
      <c r="D5363">
        <v>0</v>
      </c>
      <c r="E5363">
        <v>0</v>
      </c>
    </row>
    <row r="5364" spans="1:5" x14ac:dyDescent="0.35">
      <c r="A5364">
        <v>0</v>
      </c>
      <c r="B5364">
        <v>0</v>
      </c>
      <c r="C5364">
        <v>0</v>
      </c>
      <c r="D5364">
        <v>0</v>
      </c>
      <c r="E5364">
        <v>0</v>
      </c>
    </row>
    <row r="5365" spans="1:5" x14ac:dyDescent="0.35">
      <c r="A5365">
        <v>0</v>
      </c>
      <c r="B5365">
        <v>0</v>
      </c>
      <c r="C5365">
        <v>0</v>
      </c>
      <c r="D5365">
        <v>0</v>
      </c>
      <c r="E5365">
        <v>0</v>
      </c>
    </row>
    <row r="5366" spans="1:5" x14ac:dyDescent="0.35">
      <c r="A5366">
        <v>0</v>
      </c>
      <c r="B5366">
        <v>0</v>
      </c>
      <c r="C5366">
        <v>0</v>
      </c>
      <c r="D5366">
        <v>0</v>
      </c>
      <c r="E5366">
        <v>0</v>
      </c>
    </row>
    <row r="5367" spans="1:5" x14ac:dyDescent="0.35">
      <c r="A5367">
        <v>0</v>
      </c>
      <c r="B5367">
        <v>0</v>
      </c>
      <c r="C5367">
        <v>0</v>
      </c>
      <c r="D5367">
        <v>0</v>
      </c>
      <c r="E5367">
        <v>0</v>
      </c>
    </row>
    <row r="5368" spans="1:5" x14ac:dyDescent="0.35">
      <c r="A5368">
        <v>0</v>
      </c>
      <c r="B5368">
        <v>0</v>
      </c>
      <c r="C5368">
        <v>0</v>
      </c>
      <c r="D5368">
        <v>0</v>
      </c>
      <c r="E5368">
        <v>0</v>
      </c>
    </row>
    <row r="5369" spans="1:5" x14ac:dyDescent="0.35">
      <c r="A5369">
        <v>0</v>
      </c>
      <c r="B5369">
        <v>0</v>
      </c>
      <c r="C5369">
        <v>0</v>
      </c>
      <c r="D5369">
        <v>0</v>
      </c>
      <c r="E5369">
        <v>0</v>
      </c>
    </row>
    <row r="5370" spans="1:5" x14ac:dyDescent="0.35">
      <c r="A5370">
        <v>0</v>
      </c>
      <c r="B5370">
        <v>0</v>
      </c>
      <c r="C5370">
        <v>0</v>
      </c>
      <c r="D5370">
        <v>0</v>
      </c>
      <c r="E5370">
        <v>0</v>
      </c>
    </row>
    <row r="5371" spans="1:5" x14ac:dyDescent="0.35">
      <c r="A5371">
        <v>0</v>
      </c>
      <c r="B5371">
        <v>0</v>
      </c>
      <c r="C5371">
        <v>0</v>
      </c>
      <c r="D5371">
        <v>0</v>
      </c>
      <c r="E5371">
        <v>0</v>
      </c>
    </row>
    <row r="5372" spans="1:5" x14ac:dyDescent="0.35">
      <c r="A5372">
        <v>0</v>
      </c>
      <c r="B5372">
        <v>0</v>
      </c>
      <c r="C5372">
        <v>0</v>
      </c>
      <c r="D5372">
        <v>0</v>
      </c>
      <c r="E5372">
        <v>0</v>
      </c>
    </row>
    <row r="5373" spans="1:5" x14ac:dyDescent="0.35">
      <c r="A5373">
        <v>0</v>
      </c>
      <c r="B5373">
        <v>0</v>
      </c>
      <c r="C5373">
        <v>0</v>
      </c>
      <c r="D5373">
        <v>0</v>
      </c>
      <c r="E5373">
        <v>0</v>
      </c>
    </row>
    <row r="5374" spans="1:5" x14ac:dyDescent="0.35">
      <c r="A5374">
        <v>0</v>
      </c>
      <c r="B5374">
        <v>0</v>
      </c>
      <c r="C5374">
        <v>0</v>
      </c>
      <c r="D5374">
        <v>0</v>
      </c>
      <c r="E5374">
        <v>0</v>
      </c>
    </row>
    <row r="5375" spans="1:5" x14ac:dyDescent="0.35">
      <c r="A5375">
        <v>0</v>
      </c>
      <c r="B5375">
        <v>0</v>
      </c>
      <c r="C5375">
        <v>0</v>
      </c>
      <c r="D5375">
        <v>0</v>
      </c>
      <c r="E5375">
        <v>0</v>
      </c>
    </row>
    <row r="5376" spans="1:5" x14ac:dyDescent="0.35">
      <c r="A5376">
        <v>0</v>
      </c>
      <c r="B5376">
        <v>0</v>
      </c>
      <c r="C5376">
        <v>0</v>
      </c>
      <c r="D5376">
        <v>0</v>
      </c>
      <c r="E5376">
        <v>0</v>
      </c>
    </row>
    <row r="5377" spans="1:5" x14ac:dyDescent="0.35">
      <c r="A5377">
        <v>0</v>
      </c>
      <c r="B5377">
        <v>0</v>
      </c>
      <c r="C5377">
        <v>0</v>
      </c>
      <c r="D5377">
        <v>0</v>
      </c>
      <c r="E5377">
        <v>0</v>
      </c>
    </row>
    <row r="5378" spans="1:5" x14ac:dyDescent="0.35">
      <c r="A5378">
        <v>0</v>
      </c>
      <c r="B5378">
        <v>0</v>
      </c>
      <c r="C5378">
        <v>0</v>
      </c>
      <c r="D5378">
        <v>0</v>
      </c>
      <c r="E5378">
        <v>0</v>
      </c>
    </row>
    <row r="5379" spans="1:5" x14ac:dyDescent="0.35">
      <c r="A5379">
        <v>0</v>
      </c>
      <c r="B5379">
        <v>0</v>
      </c>
      <c r="C5379">
        <v>0</v>
      </c>
      <c r="D5379">
        <v>0</v>
      </c>
      <c r="E5379">
        <v>0</v>
      </c>
    </row>
    <row r="5380" spans="1:5" x14ac:dyDescent="0.35">
      <c r="A5380">
        <v>0</v>
      </c>
      <c r="B5380">
        <v>0</v>
      </c>
      <c r="C5380">
        <v>0</v>
      </c>
      <c r="D5380">
        <v>0</v>
      </c>
      <c r="E5380">
        <v>0</v>
      </c>
    </row>
    <row r="5381" spans="1:5" x14ac:dyDescent="0.35">
      <c r="A5381">
        <v>0</v>
      </c>
      <c r="B5381">
        <v>0</v>
      </c>
      <c r="C5381">
        <v>0</v>
      </c>
      <c r="D5381">
        <v>0</v>
      </c>
      <c r="E5381">
        <v>0</v>
      </c>
    </row>
    <row r="5382" spans="1:5" x14ac:dyDescent="0.35">
      <c r="A5382">
        <v>0</v>
      </c>
      <c r="B5382">
        <v>0</v>
      </c>
      <c r="C5382">
        <v>0</v>
      </c>
      <c r="D5382">
        <v>0</v>
      </c>
      <c r="E5382">
        <v>0</v>
      </c>
    </row>
    <row r="5383" spans="1:5" x14ac:dyDescent="0.35">
      <c r="A5383">
        <v>0</v>
      </c>
      <c r="B5383">
        <v>0</v>
      </c>
      <c r="C5383">
        <v>0</v>
      </c>
      <c r="D5383">
        <v>0</v>
      </c>
      <c r="E5383">
        <v>0</v>
      </c>
    </row>
    <row r="5384" spans="1:5" x14ac:dyDescent="0.35">
      <c r="A5384">
        <v>0</v>
      </c>
      <c r="B5384">
        <v>0</v>
      </c>
      <c r="C5384">
        <v>0</v>
      </c>
      <c r="D5384">
        <v>0</v>
      </c>
      <c r="E5384">
        <v>0</v>
      </c>
    </row>
    <row r="5385" spans="1:5" x14ac:dyDescent="0.35">
      <c r="A5385">
        <v>0</v>
      </c>
      <c r="B5385">
        <v>0</v>
      </c>
      <c r="C5385">
        <v>0</v>
      </c>
      <c r="D5385">
        <v>0</v>
      </c>
      <c r="E5385">
        <v>0</v>
      </c>
    </row>
    <row r="5386" spans="1:5" x14ac:dyDescent="0.35">
      <c r="A5386">
        <v>0</v>
      </c>
      <c r="B5386">
        <v>0</v>
      </c>
      <c r="C5386">
        <v>0</v>
      </c>
      <c r="D5386">
        <v>0</v>
      </c>
      <c r="E5386">
        <v>0</v>
      </c>
    </row>
    <row r="5387" spans="1:5" x14ac:dyDescent="0.35">
      <c r="A5387">
        <v>0</v>
      </c>
      <c r="B5387">
        <v>0</v>
      </c>
      <c r="C5387">
        <v>0</v>
      </c>
      <c r="D5387">
        <v>0</v>
      </c>
      <c r="E5387">
        <v>0</v>
      </c>
    </row>
    <row r="5388" spans="1:5" x14ac:dyDescent="0.35">
      <c r="A5388">
        <v>0</v>
      </c>
      <c r="B5388">
        <v>0</v>
      </c>
      <c r="C5388">
        <v>0</v>
      </c>
      <c r="D5388">
        <v>0</v>
      </c>
      <c r="E5388">
        <v>0</v>
      </c>
    </row>
    <row r="5389" spans="1:5" x14ac:dyDescent="0.35">
      <c r="A5389">
        <v>0</v>
      </c>
      <c r="B5389">
        <v>0</v>
      </c>
      <c r="C5389">
        <v>0</v>
      </c>
      <c r="D5389">
        <v>0</v>
      </c>
      <c r="E5389">
        <v>0</v>
      </c>
    </row>
    <row r="5390" spans="1:5" x14ac:dyDescent="0.35">
      <c r="A5390">
        <v>0</v>
      </c>
      <c r="B5390">
        <v>0</v>
      </c>
      <c r="C5390">
        <v>0</v>
      </c>
      <c r="D5390">
        <v>0</v>
      </c>
      <c r="E5390">
        <v>0</v>
      </c>
    </row>
    <row r="5391" spans="1:5" x14ac:dyDescent="0.35">
      <c r="A5391">
        <v>0</v>
      </c>
      <c r="B5391">
        <v>0</v>
      </c>
      <c r="C5391">
        <v>0</v>
      </c>
      <c r="D5391">
        <v>0</v>
      </c>
      <c r="E5391">
        <v>0</v>
      </c>
    </row>
    <row r="5392" spans="1:5" x14ac:dyDescent="0.35">
      <c r="A5392">
        <v>0</v>
      </c>
      <c r="B5392">
        <v>0</v>
      </c>
      <c r="C5392">
        <v>0</v>
      </c>
      <c r="D5392">
        <v>0</v>
      </c>
      <c r="E5392">
        <v>0</v>
      </c>
    </row>
    <row r="5393" spans="1:5" x14ac:dyDescent="0.35">
      <c r="A5393">
        <v>0</v>
      </c>
      <c r="B5393">
        <v>0</v>
      </c>
      <c r="C5393">
        <v>0</v>
      </c>
      <c r="D5393">
        <v>0</v>
      </c>
      <c r="E5393">
        <v>0</v>
      </c>
    </row>
    <row r="5394" spans="1:5" x14ac:dyDescent="0.35">
      <c r="A5394">
        <v>0</v>
      </c>
      <c r="B5394">
        <v>0</v>
      </c>
      <c r="C5394">
        <v>0</v>
      </c>
      <c r="D5394">
        <v>0</v>
      </c>
      <c r="E5394">
        <v>0</v>
      </c>
    </row>
    <row r="5395" spans="1:5" x14ac:dyDescent="0.35">
      <c r="A5395">
        <v>0</v>
      </c>
      <c r="B5395">
        <v>0</v>
      </c>
      <c r="C5395">
        <v>0</v>
      </c>
      <c r="D5395">
        <v>0</v>
      </c>
      <c r="E5395">
        <v>0</v>
      </c>
    </row>
    <row r="5396" spans="1:5" x14ac:dyDescent="0.35">
      <c r="A5396">
        <v>0</v>
      </c>
      <c r="B5396">
        <v>0</v>
      </c>
      <c r="C5396">
        <v>0</v>
      </c>
      <c r="D5396">
        <v>0</v>
      </c>
      <c r="E5396">
        <v>0</v>
      </c>
    </row>
    <row r="5397" spans="1:5" x14ac:dyDescent="0.35">
      <c r="A5397">
        <v>0</v>
      </c>
      <c r="B5397">
        <v>0</v>
      </c>
      <c r="C5397">
        <v>0</v>
      </c>
      <c r="D5397">
        <v>0</v>
      </c>
      <c r="E5397">
        <v>0</v>
      </c>
    </row>
    <row r="5398" spans="1:5" x14ac:dyDescent="0.35">
      <c r="A5398">
        <v>0</v>
      </c>
      <c r="B5398">
        <v>0</v>
      </c>
      <c r="C5398">
        <v>0</v>
      </c>
      <c r="D5398">
        <v>0</v>
      </c>
      <c r="E5398">
        <v>0</v>
      </c>
    </row>
    <row r="5399" spans="1:5" x14ac:dyDescent="0.35">
      <c r="A5399">
        <v>0</v>
      </c>
      <c r="B5399">
        <v>0</v>
      </c>
      <c r="C5399">
        <v>0</v>
      </c>
      <c r="D5399">
        <v>0</v>
      </c>
      <c r="E5399">
        <v>0</v>
      </c>
    </row>
    <row r="5400" spans="1:5" x14ac:dyDescent="0.35">
      <c r="A5400">
        <v>0</v>
      </c>
      <c r="B5400">
        <v>0</v>
      </c>
      <c r="C5400">
        <v>0</v>
      </c>
      <c r="D5400">
        <v>0</v>
      </c>
      <c r="E5400">
        <v>0</v>
      </c>
    </row>
    <row r="5401" spans="1:5" x14ac:dyDescent="0.35">
      <c r="A5401">
        <v>0</v>
      </c>
      <c r="B5401">
        <v>0</v>
      </c>
      <c r="C5401">
        <v>0</v>
      </c>
      <c r="D5401">
        <v>0</v>
      </c>
      <c r="E5401">
        <v>0</v>
      </c>
    </row>
    <row r="5402" spans="1:5" x14ac:dyDescent="0.35">
      <c r="A5402">
        <v>0</v>
      </c>
      <c r="B5402">
        <v>0</v>
      </c>
      <c r="C5402">
        <v>0</v>
      </c>
      <c r="D5402">
        <v>0</v>
      </c>
      <c r="E5402">
        <v>0</v>
      </c>
    </row>
    <row r="5403" spans="1:5" x14ac:dyDescent="0.35">
      <c r="A5403">
        <v>0</v>
      </c>
      <c r="B5403">
        <v>0</v>
      </c>
      <c r="C5403">
        <v>0</v>
      </c>
      <c r="D5403">
        <v>0</v>
      </c>
      <c r="E5403">
        <v>0</v>
      </c>
    </row>
    <row r="5404" spans="1:5" x14ac:dyDescent="0.35">
      <c r="A5404">
        <v>0</v>
      </c>
      <c r="B5404">
        <v>0</v>
      </c>
      <c r="C5404">
        <v>0</v>
      </c>
      <c r="D5404">
        <v>0</v>
      </c>
      <c r="E5404">
        <v>0</v>
      </c>
    </row>
    <row r="5405" spans="1:5" x14ac:dyDescent="0.35">
      <c r="A5405">
        <v>0</v>
      </c>
      <c r="B5405">
        <v>0</v>
      </c>
      <c r="C5405">
        <v>0</v>
      </c>
      <c r="D5405">
        <v>0</v>
      </c>
      <c r="E5405">
        <v>0</v>
      </c>
    </row>
    <row r="5406" spans="1:5" x14ac:dyDescent="0.35">
      <c r="A5406">
        <v>0</v>
      </c>
      <c r="B5406">
        <v>0</v>
      </c>
      <c r="C5406">
        <v>0</v>
      </c>
      <c r="D5406">
        <v>0</v>
      </c>
      <c r="E5406">
        <v>0</v>
      </c>
    </row>
    <row r="5407" spans="1:5" x14ac:dyDescent="0.35">
      <c r="A5407">
        <v>0</v>
      </c>
      <c r="B5407">
        <v>0</v>
      </c>
      <c r="C5407">
        <v>0</v>
      </c>
      <c r="D5407">
        <v>0</v>
      </c>
      <c r="E5407">
        <v>0</v>
      </c>
    </row>
    <row r="5408" spans="1:5" x14ac:dyDescent="0.35">
      <c r="A5408">
        <v>0</v>
      </c>
      <c r="B5408">
        <v>0</v>
      </c>
      <c r="C5408">
        <v>0</v>
      </c>
      <c r="D5408">
        <v>0</v>
      </c>
      <c r="E5408">
        <v>0</v>
      </c>
    </row>
    <row r="5409" spans="1:5" x14ac:dyDescent="0.35">
      <c r="A5409">
        <v>0</v>
      </c>
      <c r="B5409">
        <v>0</v>
      </c>
      <c r="C5409">
        <v>0</v>
      </c>
      <c r="D5409">
        <v>0</v>
      </c>
      <c r="E5409">
        <v>0</v>
      </c>
    </row>
    <row r="5410" spans="1:5" x14ac:dyDescent="0.35">
      <c r="A5410">
        <v>0</v>
      </c>
      <c r="B5410">
        <v>0</v>
      </c>
      <c r="C5410">
        <v>0</v>
      </c>
      <c r="D5410">
        <v>0</v>
      </c>
      <c r="E5410">
        <v>0</v>
      </c>
    </row>
    <row r="5411" spans="1:5" x14ac:dyDescent="0.35">
      <c r="A5411">
        <v>0</v>
      </c>
      <c r="B5411">
        <v>0</v>
      </c>
      <c r="C5411">
        <v>0</v>
      </c>
      <c r="D5411">
        <v>0</v>
      </c>
      <c r="E5411">
        <v>0</v>
      </c>
    </row>
    <row r="5412" spans="1:5" x14ac:dyDescent="0.35">
      <c r="A5412">
        <v>0</v>
      </c>
      <c r="B5412">
        <v>0</v>
      </c>
      <c r="C5412">
        <v>0</v>
      </c>
      <c r="D5412">
        <v>0</v>
      </c>
      <c r="E5412">
        <v>0</v>
      </c>
    </row>
    <row r="5413" spans="1:5" x14ac:dyDescent="0.35">
      <c r="A5413">
        <v>0</v>
      </c>
      <c r="B5413">
        <v>0</v>
      </c>
      <c r="C5413">
        <v>0</v>
      </c>
      <c r="D5413">
        <v>0</v>
      </c>
      <c r="E5413">
        <v>0</v>
      </c>
    </row>
    <row r="5414" spans="1:5" x14ac:dyDescent="0.35">
      <c r="A5414">
        <v>0</v>
      </c>
      <c r="B5414">
        <v>0</v>
      </c>
      <c r="C5414">
        <v>0</v>
      </c>
      <c r="D5414">
        <v>0</v>
      </c>
      <c r="E5414">
        <v>0</v>
      </c>
    </row>
    <row r="5415" spans="1:5" x14ac:dyDescent="0.35">
      <c r="A5415">
        <v>0</v>
      </c>
      <c r="B5415">
        <v>0</v>
      </c>
      <c r="C5415">
        <v>0</v>
      </c>
      <c r="D5415">
        <v>0</v>
      </c>
      <c r="E5415">
        <v>0</v>
      </c>
    </row>
    <row r="5416" spans="1:5" x14ac:dyDescent="0.35">
      <c r="A5416">
        <v>0</v>
      </c>
      <c r="B5416">
        <v>0</v>
      </c>
      <c r="C5416">
        <v>0</v>
      </c>
      <c r="D5416">
        <v>0</v>
      </c>
      <c r="E5416">
        <v>0</v>
      </c>
    </row>
    <row r="5417" spans="1:5" x14ac:dyDescent="0.35">
      <c r="A5417">
        <v>0</v>
      </c>
      <c r="B5417">
        <v>0</v>
      </c>
      <c r="C5417">
        <v>0</v>
      </c>
      <c r="D5417">
        <v>0</v>
      </c>
      <c r="E5417">
        <v>0</v>
      </c>
    </row>
    <row r="5418" spans="1:5" x14ac:dyDescent="0.35">
      <c r="A5418">
        <v>0</v>
      </c>
      <c r="B5418">
        <v>0</v>
      </c>
      <c r="C5418">
        <v>0</v>
      </c>
      <c r="D5418">
        <v>0</v>
      </c>
      <c r="E5418">
        <v>0</v>
      </c>
    </row>
    <row r="5419" spans="1:5" x14ac:dyDescent="0.35">
      <c r="A5419">
        <v>0</v>
      </c>
      <c r="B5419">
        <v>0</v>
      </c>
      <c r="C5419">
        <v>0</v>
      </c>
      <c r="D5419">
        <v>0</v>
      </c>
      <c r="E5419">
        <v>0</v>
      </c>
    </row>
    <row r="5420" spans="1:5" x14ac:dyDescent="0.35">
      <c r="A5420">
        <v>0</v>
      </c>
      <c r="B5420">
        <v>0</v>
      </c>
      <c r="C5420">
        <v>0</v>
      </c>
      <c r="D5420">
        <v>0</v>
      </c>
      <c r="E5420">
        <v>0</v>
      </c>
    </row>
    <row r="5421" spans="1:5" x14ac:dyDescent="0.35">
      <c r="A5421">
        <v>0</v>
      </c>
      <c r="B5421">
        <v>0</v>
      </c>
      <c r="C5421">
        <v>0</v>
      </c>
      <c r="D5421">
        <v>0</v>
      </c>
      <c r="E5421">
        <v>0</v>
      </c>
    </row>
    <row r="5422" spans="1:5" x14ac:dyDescent="0.35">
      <c r="A5422">
        <v>0</v>
      </c>
      <c r="B5422">
        <v>0</v>
      </c>
      <c r="C5422">
        <v>0</v>
      </c>
      <c r="D5422">
        <v>0</v>
      </c>
      <c r="E5422">
        <v>0</v>
      </c>
    </row>
    <row r="5423" spans="1:5" x14ac:dyDescent="0.35">
      <c r="A5423">
        <v>0</v>
      </c>
      <c r="B5423">
        <v>0</v>
      </c>
      <c r="C5423">
        <v>0</v>
      </c>
      <c r="D5423">
        <v>0</v>
      </c>
      <c r="E5423">
        <v>0</v>
      </c>
    </row>
    <row r="5424" spans="1:5" x14ac:dyDescent="0.35">
      <c r="A5424">
        <v>0</v>
      </c>
      <c r="B5424">
        <v>0</v>
      </c>
      <c r="C5424">
        <v>0</v>
      </c>
      <c r="D5424">
        <v>0</v>
      </c>
      <c r="E5424">
        <v>0</v>
      </c>
    </row>
    <row r="5425" spans="1:5" x14ac:dyDescent="0.35">
      <c r="A5425">
        <v>0</v>
      </c>
      <c r="B5425">
        <v>0</v>
      </c>
      <c r="C5425">
        <v>0</v>
      </c>
      <c r="D5425">
        <v>0</v>
      </c>
      <c r="E5425">
        <v>0</v>
      </c>
    </row>
    <row r="5426" spans="1:5" x14ac:dyDescent="0.35">
      <c r="A5426">
        <v>0</v>
      </c>
      <c r="B5426">
        <v>0</v>
      </c>
      <c r="C5426">
        <v>0</v>
      </c>
      <c r="D5426">
        <v>0</v>
      </c>
      <c r="E5426">
        <v>0</v>
      </c>
    </row>
    <row r="5427" spans="1:5" x14ac:dyDescent="0.35">
      <c r="A5427">
        <v>0</v>
      </c>
      <c r="B5427">
        <v>0</v>
      </c>
      <c r="C5427">
        <v>0</v>
      </c>
      <c r="D5427">
        <v>0</v>
      </c>
      <c r="E5427">
        <v>0</v>
      </c>
    </row>
    <row r="5428" spans="1:5" x14ac:dyDescent="0.35">
      <c r="A5428">
        <v>0</v>
      </c>
      <c r="B5428">
        <v>0</v>
      </c>
      <c r="C5428">
        <v>0</v>
      </c>
      <c r="D5428">
        <v>0</v>
      </c>
      <c r="E5428">
        <v>0</v>
      </c>
    </row>
    <row r="5429" spans="1:5" x14ac:dyDescent="0.35">
      <c r="A5429">
        <v>0</v>
      </c>
      <c r="B5429">
        <v>0</v>
      </c>
      <c r="C5429">
        <v>0</v>
      </c>
      <c r="D5429">
        <v>0</v>
      </c>
      <c r="E5429">
        <v>0</v>
      </c>
    </row>
    <row r="5430" spans="1:5" x14ac:dyDescent="0.35">
      <c r="A5430">
        <v>0</v>
      </c>
      <c r="B5430">
        <v>0</v>
      </c>
      <c r="C5430">
        <v>0</v>
      </c>
      <c r="D5430">
        <v>0</v>
      </c>
      <c r="E5430">
        <v>0</v>
      </c>
    </row>
    <row r="5431" spans="1:5" x14ac:dyDescent="0.35">
      <c r="A5431">
        <v>0</v>
      </c>
      <c r="B5431">
        <v>0</v>
      </c>
      <c r="C5431">
        <v>0</v>
      </c>
      <c r="D5431">
        <v>0</v>
      </c>
      <c r="E5431">
        <v>0</v>
      </c>
    </row>
    <row r="5432" spans="1:5" x14ac:dyDescent="0.35">
      <c r="A5432">
        <v>0</v>
      </c>
      <c r="B5432">
        <v>0</v>
      </c>
      <c r="C5432">
        <v>0</v>
      </c>
      <c r="D5432">
        <v>0</v>
      </c>
      <c r="E5432">
        <v>0</v>
      </c>
    </row>
    <row r="5433" spans="1:5" x14ac:dyDescent="0.35">
      <c r="A5433">
        <v>0</v>
      </c>
      <c r="B5433">
        <v>0</v>
      </c>
      <c r="C5433">
        <v>0</v>
      </c>
      <c r="D5433">
        <v>0</v>
      </c>
      <c r="E5433">
        <v>0</v>
      </c>
    </row>
    <row r="5434" spans="1:5" x14ac:dyDescent="0.35">
      <c r="A5434">
        <v>0</v>
      </c>
      <c r="B5434">
        <v>0</v>
      </c>
      <c r="C5434">
        <v>0</v>
      </c>
      <c r="D5434">
        <v>0</v>
      </c>
      <c r="E5434">
        <v>0</v>
      </c>
    </row>
    <row r="5435" spans="1:5" x14ac:dyDescent="0.35">
      <c r="A5435">
        <v>0</v>
      </c>
      <c r="B5435">
        <v>0</v>
      </c>
      <c r="C5435">
        <v>0</v>
      </c>
      <c r="D5435">
        <v>0</v>
      </c>
      <c r="E5435">
        <v>0</v>
      </c>
    </row>
    <row r="5436" spans="1:5" x14ac:dyDescent="0.35">
      <c r="A5436">
        <v>0</v>
      </c>
      <c r="B5436">
        <v>0</v>
      </c>
      <c r="C5436">
        <v>0</v>
      </c>
      <c r="D5436">
        <v>0</v>
      </c>
      <c r="E5436">
        <v>0</v>
      </c>
    </row>
    <row r="5437" spans="1:5" x14ac:dyDescent="0.35">
      <c r="A5437">
        <v>0</v>
      </c>
      <c r="B5437">
        <v>0</v>
      </c>
      <c r="C5437">
        <v>0</v>
      </c>
      <c r="D5437">
        <v>0</v>
      </c>
      <c r="E5437">
        <v>0</v>
      </c>
    </row>
    <row r="5438" spans="1:5" x14ac:dyDescent="0.35">
      <c r="A5438">
        <v>0</v>
      </c>
      <c r="B5438">
        <v>0</v>
      </c>
      <c r="C5438">
        <v>0</v>
      </c>
      <c r="D5438">
        <v>0</v>
      </c>
      <c r="E5438">
        <v>0</v>
      </c>
    </row>
    <row r="5439" spans="1:5" x14ac:dyDescent="0.35">
      <c r="A5439">
        <v>0</v>
      </c>
      <c r="B5439">
        <v>0</v>
      </c>
      <c r="C5439">
        <v>0</v>
      </c>
      <c r="D5439">
        <v>0</v>
      </c>
      <c r="E5439">
        <v>0</v>
      </c>
    </row>
    <row r="5440" spans="1:5" x14ac:dyDescent="0.35">
      <c r="A5440">
        <v>0</v>
      </c>
      <c r="B5440">
        <v>0</v>
      </c>
      <c r="C5440">
        <v>0</v>
      </c>
      <c r="D5440">
        <v>0</v>
      </c>
      <c r="E5440">
        <v>0</v>
      </c>
    </row>
    <row r="5441" spans="1:5" x14ac:dyDescent="0.35">
      <c r="A5441">
        <v>0</v>
      </c>
      <c r="B5441">
        <v>0</v>
      </c>
      <c r="C5441">
        <v>0</v>
      </c>
      <c r="D5441">
        <v>0</v>
      </c>
      <c r="E5441">
        <v>0</v>
      </c>
    </row>
    <row r="5442" spans="1:5" x14ac:dyDescent="0.35">
      <c r="A5442">
        <v>0</v>
      </c>
      <c r="B5442">
        <v>0</v>
      </c>
      <c r="C5442">
        <v>0</v>
      </c>
      <c r="D5442">
        <v>0</v>
      </c>
      <c r="E5442">
        <v>0</v>
      </c>
    </row>
    <row r="5443" spans="1:5" x14ac:dyDescent="0.35">
      <c r="A5443">
        <v>0</v>
      </c>
      <c r="B5443">
        <v>0</v>
      </c>
      <c r="C5443">
        <v>0</v>
      </c>
      <c r="D5443">
        <v>0</v>
      </c>
      <c r="E5443">
        <v>0</v>
      </c>
    </row>
    <row r="5444" spans="1:5" x14ac:dyDescent="0.35">
      <c r="A5444">
        <v>0</v>
      </c>
      <c r="B5444">
        <v>0</v>
      </c>
      <c r="C5444">
        <v>0</v>
      </c>
      <c r="D5444">
        <v>0</v>
      </c>
      <c r="E5444">
        <v>0</v>
      </c>
    </row>
    <row r="5445" spans="1:5" x14ac:dyDescent="0.35">
      <c r="A5445">
        <v>0</v>
      </c>
      <c r="B5445">
        <v>0</v>
      </c>
      <c r="C5445">
        <v>0</v>
      </c>
      <c r="D5445">
        <v>0</v>
      </c>
      <c r="E5445">
        <v>0</v>
      </c>
    </row>
    <row r="5446" spans="1:5" x14ac:dyDescent="0.35">
      <c r="A5446">
        <v>0</v>
      </c>
      <c r="B5446">
        <v>0</v>
      </c>
      <c r="C5446">
        <v>0</v>
      </c>
      <c r="D5446">
        <v>0</v>
      </c>
      <c r="E5446">
        <v>0</v>
      </c>
    </row>
    <row r="5447" spans="1:5" x14ac:dyDescent="0.35">
      <c r="A5447">
        <v>0</v>
      </c>
      <c r="B5447">
        <v>0</v>
      </c>
      <c r="C5447">
        <v>0</v>
      </c>
      <c r="D5447">
        <v>0</v>
      </c>
      <c r="E5447">
        <v>0</v>
      </c>
    </row>
    <row r="5448" spans="1:5" x14ac:dyDescent="0.35">
      <c r="A5448">
        <v>0</v>
      </c>
      <c r="B5448">
        <v>0</v>
      </c>
      <c r="C5448">
        <v>0</v>
      </c>
      <c r="D5448">
        <v>0</v>
      </c>
      <c r="E5448">
        <v>0</v>
      </c>
    </row>
    <row r="5449" spans="1:5" x14ac:dyDescent="0.35">
      <c r="A5449">
        <v>0</v>
      </c>
      <c r="B5449">
        <v>0</v>
      </c>
      <c r="C5449">
        <v>0</v>
      </c>
      <c r="D5449">
        <v>0</v>
      </c>
      <c r="E5449">
        <v>0</v>
      </c>
    </row>
    <row r="5450" spans="1:5" x14ac:dyDescent="0.35">
      <c r="A5450">
        <v>0</v>
      </c>
      <c r="B5450">
        <v>0</v>
      </c>
      <c r="C5450">
        <v>0</v>
      </c>
      <c r="D5450">
        <v>0</v>
      </c>
      <c r="E5450">
        <v>0</v>
      </c>
    </row>
    <row r="5451" spans="1:5" x14ac:dyDescent="0.35">
      <c r="A5451">
        <v>0</v>
      </c>
      <c r="B5451">
        <v>0</v>
      </c>
      <c r="C5451">
        <v>0</v>
      </c>
      <c r="D5451">
        <v>0</v>
      </c>
      <c r="E5451">
        <v>0</v>
      </c>
    </row>
    <row r="5452" spans="1:5" x14ac:dyDescent="0.35">
      <c r="A5452">
        <v>0</v>
      </c>
      <c r="B5452">
        <v>0</v>
      </c>
      <c r="C5452">
        <v>0</v>
      </c>
      <c r="D5452">
        <v>0</v>
      </c>
      <c r="E5452">
        <v>0</v>
      </c>
    </row>
    <row r="5453" spans="1:5" x14ac:dyDescent="0.35">
      <c r="A5453">
        <v>0</v>
      </c>
      <c r="B5453">
        <v>0</v>
      </c>
      <c r="C5453">
        <v>0</v>
      </c>
      <c r="D5453">
        <v>0</v>
      </c>
      <c r="E5453">
        <v>0</v>
      </c>
    </row>
    <row r="5454" spans="1:5" x14ac:dyDescent="0.35">
      <c r="A5454">
        <v>0</v>
      </c>
      <c r="B5454">
        <v>0</v>
      </c>
      <c r="C5454">
        <v>0</v>
      </c>
      <c r="D5454">
        <v>0</v>
      </c>
      <c r="E5454">
        <v>0</v>
      </c>
    </row>
    <row r="5455" spans="1:5" x14ac:dyDescent="0.35">
      <c r="A5455">
        <v>0</v>
      </c>
      <c r="B5455">
        <v>0</v>
      </c>
      <c r="C5455">
        <v>0</v>
      </c>
      <c r="D5455">
        <v>0</v>
      </c>
      <c r="E5455">
        <v>0</v>
      </c>
    </row>
    <row r="5456" spans="1:5" x14ac:dyDescent="0.35">
      <c r="A5456">
        <v>0</v>
      </c>
      <c r="B5456">
        <v>0</v>
      </c>
      <c r="C5456">
        <v>0</v>
      </c>
      <c r="D5456">
        <v>0</v>
      </c>
      <c r="E5456">
        <v>0</v>
      </c>
    </row>
    <row r="5457" spans="1:5" x14ac:dyDescent="0.35">
      <c r="A5457">
        <v>0</v>
      </c>
      <c r="B5457">
        <v>0</v>
      </c>
      <c r="C5457">
        <v>0</v>
      </c>
      <c r="D5457">
        <v>0</v>
      </c>
      <c r="E5457">
        <v>0</v>
      </c>
    </row>
    <row r="5458" spans="1:5" x14ac:dyDescent="0.35">
      <c r="A5458">
        <v>0</v>
      </c>
      <c r="B5458">
        <v>0</v>
      </c>
      <c r="C5458">
        <v>0</v>
      </c>
      <c r="D5458">
        <v>0</v>
      </c>
      <c r="E5458">
        <v>0</v>
      </c>
    </row>
    <row r="5459" spans="1:5" x14ac:dyDescent="0.35">
      <c r="A5459">
        <v>0</v>
      </c>
      <c r="B5459">
        <v>0</v>
      </c>
      <c r="C5459">
        <v>0</v>
      </c>
      <c r="D5459">
        <v>0</v>
      </c>
      <c r="E5459">
        <v>0</v>
      </c>
    </row>
    <row r="5460" spans="1:5" x14ac:dyDescent="0.35">
      <c r="A5460">
        <v>0</v>
      </c>
      <c r="B5460">
        <v>0</v>
      </c>
      <c r="C5460">
        <v>0</v>
      </c>
      <c r="D5460">
        <v>0</v>
      </c>
      <c r="E5460">
        <v>0</v>
      </c>
    </row>
    <row r="5461" spans="1:5" x14ac:dyDescent="0.35">
      <c r="A5461">
        <v>0</v>
      </c>
      <c r="B5461">
        <v>0</v>
      </c>
      <c r="C5461">
        <v>0</v>
      </c>
      <c r="D5461">
        <v>0</v>
      </c>
      <c r="E5461">
        <v>0</v>
      </c>
    </row>
    <row r="5462" spans="1:5" x14ac:dyDescent="0.35">
      <c r="A5462">
        <v>0</v>
      </c>
      <c r="B5462">
        <v>0</v>
      </c>
      <c r="C5462">
        <v>0</v>
      </c>
      <c r="D5462">
        <v>0</v>
      </c>
      <c r="E5462">
        <v>0</v>
      </c>
    </row>
    <row r="5463" spans="1:5" x14ac:dyDescent="0.35">
      <c r="A5463">
        <v>0</v>
      </c>
      <c r="B5463">
        <v>0</v>
      </c>
      <c r="C5463">
        <v>0</v>
      </c>
      <c r="D5463">
        <v>0</v>
      </c>
      <c r="E5463">
        <v>0</v>
      </c>
    </row>
    <row r="5464" spans="1:5" x14ac:dyDescent="0.35">
      <c r="A5464">
        <v>0</v>
      </c>
      <c r="B5464">
        <v>0</v>
      </c>
      <c r="C5464">
        <v>0</v>
      </c>
      <c r="D5464">
        <v>0</v>
      </c>
      <c r="E5464">
        <v>0</v>
      </c>
    </row>
    <row r="5465" spans="1:5" x14ac:dyDescent="0.35">
      <c r="A5465">
        <v>0</v>
      </c>
      <c r="B5465">
        <v>0</v>
      </c>
      <c r="C5465">
        <v>0</v>
      </c>
      <c r="D5465">
        <v>0</v>
      </c>
      <c r="E5465">
        <v>0</v>
      </c>
    </row>
    <row r="5466" spans="1:5" x14ac:dyDescent="0.35">
      <c r="A5466">
        <v>0</v>
      </c>
      <c r="B5466">
        <v>0</v>
      </c>
      <c r="C5466">
        <v>0</v>
      </c>
      <c r="D5466">
        <v>0</v>
      </c>
      <c r="E5466">
        <v>0</v>
      </c>
    </row>
    <row r="5467" spans="1:5" x14ac:dyDescent="0.35">
      <c r="A5467">
        <v>0</v>
      </c>
      <c r="B5467">
        <v>0</v>
      </c>
      <c r="C5467">
        <v>0</v>
      </c>
      <c r="D5467">
        <v>0</v>
      </c>
      <c r="E5467">
        <v>0</v>
      </c>
    </row>
    <row r="5468" spans="1:5" x14ac:dyDescent="0.35">
      <c r="A5468">
        <v>0</v>
      </c>
      <c r="B5468">
        <v>0</v>
      </c>
      <c r="C5468">
        <v>0</v>
      </c>
      <c r="D5468">
        <v>0</v>
      </c>
      <c r="E5468">
        <v>0</v>
      </c>
    </row>
    <row r="5469" spans="1:5" x14ac:dyDescent="0.35">
      <c r="A5469">
        <v>0</v>
      </c>
      <c r="B5469">
        <v>0</v>
      </c>
      <c r="C5469">
        <v>0</v>
      </c>
      <c r="D5469">
        <v>0</v>
      </c>
      <c r="E5469">
        <v>0</v>
      </c>
    </row>
    <row r="5470" spans="1:5" x14ac:dyDescent="0.35">
      <c r="A5470">
        <v>0</v>
      </c>
      <c r="B5470">
        <v>0</v>
      </c>
      <c r="C5470">
        <v>0</v>
      </c>
      <c r="D5470">
        <v>0</v>
      </c>
      <c r="E5470">
        <v>0</v>
      </c>
    </row>
    <row r="5471" spans="1:5" x14ac:dyDescent="0.35">
      <c r="A5471">
        <v>0</v>
      </c>
      <c r="B5471">
        <v>0</v>
      </c>
      <c r="C5471">
        <v>0</v>
      </c>
      <c r="D5471">
        <v>0</v>
      </c>
      <c r="E5471">
        <v>0</v>
      </c>
    </row>
    <row r="5472" spans="1:5" x14ac:dyDescent="0.35">
      <c r="A5472">
        <v>0</v>
      </c>
      <c r="B5472">
        <v>0</v>
      </c>
      <c r="C5472">
        <v>0</v>
      </c>
      <c r="D5472">
        <v>0</v>
      </c>
      <c r="E5472">
        <v>0</v>
      </c>
    </row>
    <row r="5473" spans="1:5" x14ac:dyDescent="0.35">
      <c r="A5473">
        <v>0</v>
      </c>
      <c r="B5473">
        <v>0</v>
      </c>
      <c r="C5473">
        <v>0</v>
      </c>
      <c r="D5473">
        <v>0</v>
      </c>
      <c r="E5473">
        <v>0</v>
      </c>
    </row>
    <row r="5474" spans="1:5" x14ac:dyDescent="0.35">
      <c r="A5474">
        <v>0</v>
      </c>
      <c r="B5474">
        <v>0</v>
      </c>
      <c r="C5474">
        <v>0</v>
      </c>
      <c r="D5474">
        <v>0</v>
      </c>
      <c r="E5474">
        <v>0</v>
      </c>
    </row>
    <row r="5475" spans="1:5" x14ac:dyDescent="0.35">
      <c r="A5475">
        <v>0</v>
      </c>
      <c r="B5475">
        <v>0</v>
      </c>
      <c r="C5475">
        <v>0</v>
      </c>
      <c r="D5475">
        <v>0</v>
      </c>
      <c r="E5475">
        <v>0</v>
      </c>
    </row>
    <row r="5476" spans="1:5" x14ac:dyDescent="0.35">
      <c r="A5476">
        <v>0</v>
      </c>
      <c r="B5476">
        <v>0</v>
      </c>
      <c r="C5476">
        <v>0</v>
      </c>
      <c r="D5476">
        <v>0</v>
      </c>
      <c r="E5476">
        <v>0</v>
      </c>
    </row>
    <row r="5477" spans="1:5" x14ac:dyDescent="0.35">
      <c r="A5477">
        <v>0</v>
      </c>
      <c r="B5477">
        <v>0</v>
      </c>
      <c r="C5477">
        <v>0</v>
      </c>
      <c r="D5477">
        <v>0</v>
      </c>
      <c r="E5477">
        <v>0</v>
      </c>
    </row>
    <row r="5478" spans="1:5" x14ac:dyDescent="0.35">
      <c r="A5478">
        <v>0</v>
      </c>
      <c r="B5478">
        <v>0</v>
      </c>
      <c r="C5478">
        <v>0</v>
      </c>
      <c r="D5478">
        <v>0</v>
      </c>
      <c r="E5478">
        <v>0</v>
      </c>
    </row>
    <row r="5479" spans="1:5" x14ac:dyDescent="0.35">
      <c r="A5479">
        <v>0</v>
      </c>
      <c r="B5479">
        <v>0</v>
      </c>
      <c r="C5479">
        <v>0</v>
      </c>
      <c r="D5479">
        <v>0</v>
      </c>
      <c r="E5479">
        <v>0</v>
      </c>
    </row>
    <row r="5480" spans="1:5" x14ac:dyDescent="0.35">
      <c r="A5480">
        <v>0</v>
      </c>
      <c r="B5480">
        <v>0</v>
      </c>
      <c r="C5480">
        <v>0</v>
      </c>
      <c r="D5480">
        <v>0</v>
      </c>
      <c r="E5480">
        <v>0</v>
      </c>
    </row>
    <row r="5481" spans="1:5" x14ac:dyDescent="0.35">
      <c r="A5481">
        <v>0</v>
      </c>
      <c r="B5481">
        <v>0</v>
      </c>
      <c r="C5481">
        <v>0</v>
      </c>
      <c r="D5481">
        <v>0</v>
      </c>
      <c r="E5481">
        <v>0</v>
      </c>
    </row>
    <row r="5482" spans="1:5" x14ac:dyDescent="0.35">
      <c r="A5482">
        <v>0</v>
      </c>
      <c r="B5482">
        <v>0</v>
      </c>
      <c r="C5482">
        <v>0</v>
      </c>
      <c r="D5482">
        <v>0</v>
      </c>
      <c r="E5482">
        <v>0</v>
      </c>
    </row>
    <row r="5483" spans="1:5" x14ac:dyDescent="0.35">
      <c r="A5483">
        <v>0</v>
      </c>
      <c r="B5483">
        <v>0</v>
      </c>
      <c r="C5483">
        <v>0</v>
      </c>
      <c r="D5483">
        <v>0</v>
      </c>
      <c r="E5483">
        <v>0</v>
      </c>
    </row>
    <row r="5484" spans="1:5" x14ac:dyDescent="0.35">
      <c r="A5484">
        <v>0</v>
      </c>
      <c r="B5484">
        <v>0</v>
      </c>
      <c r="C5484">
        <v>0</v>
      </c>
      <c r="D5484">
        <v>0</v>
      </c>
      <c r="E5484">
        <v>0</v>
      </c>
    </row>
    <row r="5485" spans="1:5" x14ac:dyDescent="0.35">
      <c r="A5485">
        <v>0</v>
      </c>
      <c r="B5485">
        <v>0</v>
      </c>
      <c r="C5485">
        <v>0</v>
      </c>
      <c r="D5485">
        <v>0</v>
      </c>
      <c r="E5485">
        <v>0</v>
      </c>
    </row>
    <row r="5486" spans="1:5" x14ac:dyDescent="0.35">
      <c r="A5486">
        <v>0</v>
      </c>
      <c r="B5486">
        <v>0</v>
      </c>
      <c r="C5486">
        <v>0</v>
      </c>
      <c r="D5486">
        <v>0</v>
      </c>
      <c r="E5486">
        <v>0</v>
      </c>
    </row>
    <row r="5487" spans="1:5" x14ac:dyDescent="0.35">
      <c r="A5487">
        <v>0</v>
      </c>
      <c r="B5487">
        <v>0</v>
      </c>
      <c r="C5487">
        <v>0</v>
      </c>
      <c r="D5487">
        <v>0</v>
      </c>
      <c r="E5487">
        <v>0</v>
      </c>
    </row>
    <row r="5488" spans="1:5" x14ac:dyDescent="0.35">
      <c r="A5488">
        <v>0</v>
      </c>
      <c r="B5488">
        <v>0</v>
      </c>
      <c r="C5488">
        <v>0</v>
      </c>
      <c r="D5488">
        <v>0</v>
      </c>
      <c r="E5488">
        <v>0</v>
      </c>
    </row>
    <row r="5489" spans="1:5" x14ac:dyDescent="0.35">
      <c r="A5489">
        <v>0</v>
      </c>
      <c r="B5489">
        <v>0</v>
      </c>
      <c r="C5489">
        <v>0</v>
      </c>
      <c r="D5489">
        <v>0</v>
      </c>
      <c r="E5489">
        <v>0</v>
      </c>
    </row>
    <row r="5490" spans="1:5" x14ac:dyDescent="0.35">
      <c r="A5490">
        <v>0</v>
      </c>
      <c r="B5490">
        <v>0</v>
      </c>
      <c r="C5490">
        <v>0</v>
      </c>
      <c r="D5490">
        <v>0</v>
      </c>
      <c r="E5490">
        <v>0</v>
      </c>
    </row>
    <row r="5491" spans="1:5" x14ac:dyDescent="0.35">
      <c r="A5491">
        <v>0</v>
      </c>
      <c r="B5491">
        <v>0</v>
      </c>
      <c r="C5491">
        <v>0</v>
      </c>
      <c r="D5491">
        <v>0</v>
      </c>
      <c r="E5491">
        <v>0</v>
      </c>
    </row>
    <row r="5492" spans="1:5" x14ac:dyDescent="0.35">
      <c r="A5492">
        <v>0</v>
      </c>
      <c r="B5492">
        <v>0</v>
      </c>
      <c r="C5492">
        <v>0</v>
      </c>
      <c r="D5492">
        <v>0</v>
      </c>
      <c r="E5492">
        <v>0</v>
      </c>
    </row>
    <row r="5493" spans="1:5" x14ac:dyDescent="0.35">
      <c r="A5493">
        <v>0</v>
      </c>
      <c r="B5493">
        <v>0</v>
      </c>
      <c r="C5493">
        <v>0</v>
      </c>
      <c r="D5493">
        <v>0</v>
      </c>
      <c r="E5493">
        <v>0</v>
      </c>
    </row>
    <row r="5494" spans="1:5" x14ac:dyDescent="0.35">
      <c r="A5494">
        <v>0</v>
      </c>
      <c r="B5494">
        <v>0</v>
      </c>
      <c r="C5494">
        <v>0</v>
      </c>
      <c r="D5494">
        <v>0</v>
      </c>
      <c r="E5494">
        <v>0</v>
      </c>
    </row>
    <row r="5495" spans="1:5" x14ac:dyDescent="0.35">
      <c r="A5495">
        <v>0</v>
      </c>
      <c r="B5495">
        <v>0</v>
      </c>
      <c r="C5495">
        <v>0</v>
      </c>
      <c r="D5495">
        <v>0</v>
      </c>
      <c r="E5495">
        <v>0</v>
      </c>
    </row>
    <row r="5496" spans="1:5" x14ac:dyDescent="0.35">
      <c r="A5496">
        <v>0</v>
      </c>
      <c r="B5496">
        <v>0</v>
      </c>
      <c r="C5496">
        <v>0</v>
      </c>
      <c r="D5496">
        <v>0</v>
      </c>
      <c r="E5496">
        <v>0</v>
      </c>
    </row>
    <row r="5497" spans="1:5" x14ac:dyDescent="0.35">
      <c r="A5497">
        <v>0</v>
      </c>
      <c r="B5497">
        <v>0</v>
      </c>
      <c r="C5497">
        <v>0</v>
      </c>
      <c r="D5497">
        <v>0</v>
      </c>
      <c r="E5497">
        <v>0</v>
      </c>
    </row>
    <row r="5498" spans="1:5" x14ac:dyDescent="0.35">
      <c r="A5498">
        <v>0</v>
      </c>
      <c r="B5498">
        <v>0</v>
      </c>
      <c r="C5498">
        <v>0</v>
      </c>
      <c r="D5498">
        <v>0</v>
      </c>
      <c r="E5498">
        <v>0</v>
      </c>
    </row>
    <row r="5499" spans="1:5" x14ac:dyDescent="0.35">
      <c r="A5499">
        <v>0</v>
      </c>
      <c r="B5499">
        <v>0</v>
      </c>
      <c r="C5499">
        <v>0</v>
      </c>
      <c r="D5499">
        <v>0</v>
      </c>
      <c r="E5499">
        <v>0</v>
      </c>
    </row>
    <row r="5500" spans="1:5" x14ac:dyDescent="0.35">
      <c r="A5500">
        <v>0</v>
      </c>
      <c r="B5500">
        <v>0</v>
      </c>
      <c r="C5500">
        <v>0</v>
      </c>
      <c r="D5500">
        <v>0</v>
      </c>
      <c r="E5500">
        <v>0</v>
      </c>
    </row>
    <row r="5501" spans="1:5" x14ac:dyDescent="0.35">
      <c r="A5501">
        <v>0</v>
      </c>
      <c r="B5501">
        <v>0</v>
      </c>
      <c r="C5501">
        <v>0</v>
      </c>
      <c r="D5501">
        <v>0</v>
      </c>
      <c r="E5501">
        <v>0</v>
      </c>
    </row>
    <row r="5502" spans="1:5" x14ac:dyDescent="0.35">
      <c r="A5502">
        <v>0</v>
      </c>
      <c r="B5502">
        <v>0</v>
      </c>
      <c r="C5502">
        <v>0</v>
      </c>
      <c r="D5502">
        <v>0</v>
      </c>
      <c r="E5502">
        <v>0</v>
      </c>
    </row>
    <row r="5503" spans="1:5" x14ac:dyDescent="0.35">
      <c r="A5503">
        <v>0</v>
      </c>
      <c r="B5503">
        <v>0</v>
      </c>
      <c r="C5503">
        <v>0</v>
      </c>
      <c r="D5503">
        <v>0</v>
      </c>
      <c r="E5503">
        <v>0</v>
      </c>
    </row>
    <row r="5504" spans="1:5" x14ac:dyDescent="0.35">
      <c r="A5504">
        <v>0</v>
      </c>
      <c r="B5504">
        <v>0</v>
      </c>
      <c r="C5504">
        <v>0</v>
      </c>
      <c r="D5504">
        <v>0</v>
      </c>
      <c r="E5504">
        <v>0</v>
      </c>
    </row>
    <row r="5505" spans="1:5" x14ac:dyDescent="0.35">
      <c r="A5505">
        <v>0</v>
      </c>
      <c r="B5505">
        <v>0</v>
      </c>
      <c r="C5505">
        <v>0</v>
      </c>
      <c r="D5505">
        <v>0</v>
      </c>
      <c r="E5505">
        <v>0</v>
      </c>
    </row>
    <row r="5506" spans="1:5" x14ac:dyDescent="0.35">
      <c r="A5506">
        <v>0</v>
      </c>
      <c r="B5506">
        <v>0</v>
      </c>
      <c r="C5506">
        <v>0</v>
      </c>
      <c r="D5506">
        <v>0</v>
      </c>
      <c r="E5506">
        <v>0</v>
      </c>
    </row>
    <row r="5507" spans="1:5" x14ac:dyDescent="0.35">
      <c r="A5507">
        <v>0</v>
      </c>
      <c r="B5507">
        <v>0</v>
      </c>
      <c r="C5507">
        <v>0</v>
      </c>
      <c r="D5507">
        <v>0</v>
      </c>
      <c r="E5507">
        <v>0</v>
      </c>
    </row>
    <row r="5508" spans="1:5" x14ac:dyDescent="0.35">
      <c r="A5508">
        <v>0</v>
      </c>
      <c r="B5508">
        <v>0</v>
      </c>
      <c r="C5508">
        <v>0</v>
      </c>
      <c r="D5508">
        <v>0</v>
      </c>
      <c r="E5508">
        <v>0</v>
      </c>
    </row>
    <row r="5509" spans="1:5" x14ac:dyDescent="0.35">
      <c r="A5509">
        <v>0</v>
      </c>
      <c r="B5509">
        <v>0</v>
      </c>
      <c r="C5509">
        <v>0</v>
      </c>
      <c r="D5509">
        <v>0</v>
      </c>
      <c r="E5509">
        <v>0</v>
      </c>
    </row>
    <row r="5510" spans="1:5" x14ac:dyDescent="0.35">
      <c r="A5510">
        <v>0</v>
      </c>
      <c r="B5510">
        <v>0</v>
      </c>
      <c r="C5510">
        <v>0</v>
      </c>
      <c r="D5510">
        <v>0</v>
      </c>
      <c r="E5510">
        <v>0</v>
      </c>
    </row>
    <row r="5511" spans="1:5" x14ac:dyDescent="0.35">
      <c r="A5511">
        <v>0</v>
      </c>
      <c r="B5511">
        <v>0</v>
      </c>
      <c r="C5511">
        <v>0</v>
      </c>
      <c r="D5511">
        <v>0</v>
      </c>
      <c r="E5511">
        <v>0</v>
      </c>
    </row>
    <row r="5512" spans="1:5" x14ac:dyDescent="0.35">
      <c r="A5512">
        <v>0</v>
      </c>
      <c r="B5512">
        <v>0</v>
      </c>
      <c r="C5512">
        <v>0</v>
      </c>
      <c r="D5512">
        <v>0</v>
      </c>
      <c r="E5512">
        <v>0</v>
      </c>
    </row>
    <row r="5513" spans="1:5" x14ac:dyDescent="0.35">
      <c r="A5513">
        <v>0</v>
      </c>
      <c r="B5513">
        <v>0</v>
      </c>
      <c r="C5513">
        <v>0</v>
      </c>
      <c r="D5513">
        <v>0</v>
      </c>
      <c r="E5513">
        <v>0</v>
      </c>
    </row>
    <row r="5514" spans="1:5" x14ac:dyDescent="0.35">
      <c r="A5514">
        <v>0</v>
      </c>
      <c r="B5514">
        <v>0</v>
      </c>
      <c r="C5514">
        <v>0</v>
      </c>
      <c r="D5514">
        <v>0</v>
      </c>
      <c r="E5514">
        <v>0</v>
      </c>
    </row>
    <row r="5515" spans="1:5" x14ac:dyDescent="0.35">
      <c r="A5515">
        <v>0</v>
      </c>
      <c r="B5515">
        <v>0</v>
      </c>
      <c r="C5515">
        <v>0</v>
      </c>
      <c r="D5515">
        <v>0</v>
      </c>
      <c r="E5515">
        <v>0</v>
      </c>
    </row>
    <row r="5516" spans="1:5" x14ac:dyDescent="0.35">
      <c r="A5516">
        <v>0</v>
      </c>
      <c r="B5516">
        <v>0</v>
      </c>
      <c r="C5516">
        <v>0</v>
      </c>
      <c r="D5516">
        <v>0</v>
      </c>
      <c r="E5516">
        <v>0</v>
      </c>
    </row>
    <row r="5517" spans="1:5" x14ac:dyDescent="0.35">
      <c r="A5517">
        <v>0</v>
      </c>
      <c r="B5517">
        <v>0</v>
      </c>
      <c r="C5517">
        <v>0</v>
      </c>
      <c r="D5517">
        <v>0</v>
      </c>
      <c r="E5517">
        <v>0</v>
      </c>
    </row>
    <row r="5518" spans="1:5" x14ac:dyDescent="0.35">
      <c r="A5518">
        <v>0</v>
      </c>
      <c r="B5518">
        <v>0</v>
      </c>
      <c r="C5518">
        <v>0</v>
      </c>
      <c r="D5518">
        <v>0</v>
      </c>
      <c r="E5518">
        <v>0</v>
      </c>
    </row>
    <row r="5519" spans="1:5" x14ac:dyDescent="0.35">
      <c r="A5519">
        <v>0</v>
      </c>
      <c r="B5519">
        <v>0</v>
      </c>
      <c r="C5519">
        <v>0</v>
      </c>
      <c r="D5519">
        <v>0</v>
      </c>
      <c r="E5519">
        <v>0</v>
      </c>
    </row>
    <row r="5520" spans="1:5" x14ac:dyDescent="0.35">
      <c r="A5520">
        <v>0</v>
      </c>
      <c r="B5520">
        <v>0</v>
      </c>
      <c r="C5520">
        <v>0</v>
      </c>
      <c r="D5520">
        <v>0</v>
      </c>
      <c r="E5520">
        <v>0</v>
      </c>
    </row>
    <row r="5521" spans="1:5" x14ac:dyDescent="0.35">
      <c r="A5521">
        <v>0</v>
      </c>
      <c r="B5521">
        <v>0</v>
      </c>
      <c r="C5521">
        <v>0</v>
      </c>
      <c r="D5521">
        <v>0</v>
      </c>
      <c r="E5521">
        <v>0</v>
      </c>
    </row>
    <row r="5522" spans="1:5" x14ac:dyDescent="0.35">
      <c r="A5522">
        <v>0</v>
      </c>
      <c r="B5522">
        <v>0</v>
      </c>
      <c r="C5522">
        <v>0</v>
      </c>
      <c r="D5522">
        <v>0</v>
      </c>
      <c r="E5522">
        <v>0</v>
      </c>
    </row>
    <row r="5523" spans="1:5" x14ac:dyDescent="0.35">
      <c r="A5523">
        <v>0</v>
      </c>
      <c r="B5523">
        <v>0</v>
      </c>
      <c r="C5523">
        <v>0</v>
      </c>
      <c r="D5523">
        <v>0</v>
      </c>
      <c r="E5523">
        <v>0</v>
      </c>
    </row>
    <row r="5524" spans="1:5" x14ac:dyDescent="0.35">
      <c r="A5524">
        <v>0</v>
      </c>
      <c r="B5524">
        <v>0</v>
      </c>
      <c r="C5524">
        <v>0</v>
      </c>
      <c r="D5524">
        <v>0</v>
      </c>
      <c r="E5524">
        <v>0</v>
      </c>
    </row>
    <row r="5525" spans="1:5" x14ac:dyDescent="0.35">
      <c r="A5525">
        <v>0</v>
      </c>
      <c r="B5525">
        <v>0</v>
      </c>
      <c r="C5525">
        <v>0</v>
      </c>
      <c r="D5525">
        <v>0</v>
      </c>
      <c r="E5525">
        <v>0</v>
      </c>
    </row>
    <row r="5526" spans="1:5" x14ac:dyDescent="0.35">
      <c r="A5526">
        <v>0</v>
      </c>
      <c r="B5526">
        <v>0</v>
      </c>
      <c r="C5526">
        <v>0</v>
      </c>
      <c r="D5526">
        <v>0</v>
      </c>
      <c r="E5526">
        <v>0</v>
      </c>
    </row>
    <row r="5527" spans="1:5" x14ac:dyDescent="0.35">
      <c r="A5527">
        <v>0</v>
      </c>
      <c r="B5527">
        <v>0</v>
      </c>
      <c r="C5527">
        <v>0</v>
      </c>
      <c r="D5527">
        <v>0</v>
      </c>
      <c r="E5527">
        <v>0</v>
      </c>
    </row>
    <row r="5528" spans="1:5" x14ac:dyDescent="0.35">
      <c r="A5528">
        <v>0</v>
      </c>
      <c r="B5528">
        <v>0</v>
      </c>
      <c r="C5528">
        <v>0</v>
      </c>
      <c r="D5528">
        <v>0</v>
      </c>
      <c r="E5528">
        <v>0</v>
      </c>
    </row>
    <row r="5529" spans="1:5" x14ac:dyDescent="0.35">
      <c r="A5529">
        <v>0</v>
      </c>
      <c r="B5529">
        <v>0</v>
      </c>
      <c r="C5529">
        <v>0</v>
      </c>
      <c r="D5529">
        <v>0</v>
      </c>
      <c r="E5529">
        <v>0</v>
      </c>
    </row>
    <row r="5530" spans="1:5" x14ac:dyDescent="0.35">
      <c r="A5530">
        <v>0</v>
      </c>
      <c r="B5530">
        <v>0</v>
      </c>
      <c r="C5530">
        <v>0</v>
      </c>
      <c r="D5530">
        <v>0</v>
      </c>
      <c r="E5530">
        <v>0</v>
      </c>
    </row>
    <row r="5531" spans="1:5" x14ac:dyDescent="0.35">
      <c r="A5531">
        <v>0</v>
      </c>
      <c r="B5531">
        <v>0</v>
      </c>
      <c r="C5531">
        <v>0</v>
      </c>
      <c r="D5531">
        <v>0</v>
      </c>
      <c r="E5531">
        <v>0</v>
      </c>
    </row>
    <row r="5532" spans="1:5" x14ac:dyDescent="0.35">
      <c r="A5532">
        <v>0</v>
      </c>
      <c r="B5532">
        <v>0</v>
      </c>
      <c r="C5532">
        <v>0</v>
      </c>
      <c r="D5532">
        <v>0</v>
      </c>
      <c r="E5532">
        <v>0</v>
      </c>
    </row>
    <row r="5533" spans="1:5" x14ac:dyDescent="0.35">
      <c r="A5533">
        <v>0</v>
      </c>
      <c r="B5533">
        <v>0</v>
      </c>
      <c r="C5533">
        <v>0</v>
      </c>
      <c r="D5533">
        <v>0</v>
      </c>
      <c r="E5533">
        <v>0</v>
      </c>
    </row>
    <row r="5534" spans="1:5" x14ac:dyDescent="0.35">
      <c r="A5534">
        <v>0</v>
      </c>
      <c r="B5534">
        <v>0</v>
      </c>
      <c r="C5534">
        <v>0</v>
      </c>
      <c r="D5534">
        <v>0</v>
      </c>
      <c r="E5534">
        <v>0</v>
      </c>
    </row>
    <row r="5535" spans="1:5" x14ac:dyDescent="0.35">
      <c r="A5535">
        <v>0</v>
      </c>
      <c r="B5535">
        <v>0</v>
      </c>
      <c r="C5535">
        <v>0</v>
      </c>
      <c r="D5535">
        <v>0</v>
      </c>
      <c r="E5535">
        <v>0</v>
      </c>
    </row>
    <row r="5536" spans="1:5" x14ac:dyDescent="0.35">
      <c r="A5536">
        <v>0</v>
      </c>
      <c r="B5536">
        <v>0</v>
      </c>
      <c r="C5536">
        <v>0</v>
      </c>
      <c r="D5536">
        <v>0</v>
      </c>
      <c r="E5536">
        <v>0</v>
      </c>
    </row>
    <row r="5537" spans="1:5" x14ac:dyDescent="0.35">
      <c r="A5537">
        <v>0</v>
      </c>
      <c r="B5537">
        <v>0</v>
      </c>
      <c r="C5537">
        <v>0</v>
      </c>
      <c r="D5537">
        <v>0</v>
      </c>
      <c r="E5537">
        <v>0</v>
      </c>
    </row>
    <row r="5538" spans="1:5" x14ac:dyDescent="0.35">
      <c r="A5538">
        <v>0</v>
      </c>
      <c r="B5538">
        <v>0</v>
      </c>
      <c r="C5538">
        <v>0</v>
      </c>
      <c r="D5538">
        <v>0</v>
      </c>
      <c r="E5538">
        <v>0</v>
      </c>
    </row>
    <row r="5539" spans="1:5" x14ac:dyDescent="0.35">
      <c r="A5539">
        <v>0</v>
      </c>
      <c r="B5539">
        <v>0</v>
      </c>
      <c r="C5539">
        <v>0</v>
      </c>
      <c r="D5539">
        <v>0</v>
      </c>
      <c r="E5539">
        <v>0</v>
      </c>
    </row>
    <row r="5540" spans="1:5" x14ac:dyDescent="0.35">
      <c r="A5540">
        <v>0</v>
      </c>
      <c r="B5540">
        <v>0</v>
      </c>
      <c r="C5540">
        <v>0</v>
      </c>
      <c r="D5540">
        <v>0</v>
      </c>
      <c r="E5540">
        <v>0</v>
      </c>
    </row>
    <row r="5541" spans="1:5" x14ac:dyDescent="0.35">
      <c r="A5541">
        <v>0</v>
      </c>
      <c r="B5541">
        <v>0</v>
      </c>
      <c r="C5541">
        <v>0</v>
      </c>
      <c r="D5541">
        <v>0</v>
      </c>
      <c r="E5541">
        <v>0</v>
      </c>
    </row>
    <row r="5542" spans="1:5" x14ac:dyDescent="0.35">
      <c r="A5542">
        <v>0</v>
      </c>
      <c r="B5542">
        <v>0</v>
      </c>
      <c r="C5542">
        <v>0</v>
      </c>
      <c r="D5542">
        <v>0</v>
      </c>
      <c r="E5542">
        <v>0</v>
      </c>
    </row>
    <row r="5543" spans="1:5" x14ac:dyDescent="0.35">
      <c r="A5543">
        <v>0</v>
      </c>
      <c r="B5543">
        <v>0</v>
      </c>
      <c r="C5543">
        <v>0</v>
      </c>
      <c r="D5543">
        <v>0</v>
      </c>
      <c r="E5543">
        <v>0</v>
      </c>
    </row>
    <row r="5544" spans="1:5" x14ac:dyDescent="0.35">
      <c r="A5544">
        <v>0</v>
      </c>
      <c r="B5544">
        <v>0</v>
      </c>
      <c r="C5544">
        <v>0</v>
      </c>
      <c r="D5544">
        <v>0</v>
      </c>
      <c r="E5544">
        <v>0</v>
      </c>
    </row>
    <row r="5545" spans="1:5" x14ac:dyDescent="0.35">
      <c r="A5545">
        <v>0</v>
      </c>
      <c r="B5545">
        <v>0</v>
      </c>
      <c r="C5545">
        <v>0</v>
      </c>
      <c r="D5545">
        <v>0</v>
      </c>
      <c r="E5545">
        <v>0</v>
      </c>
    </row>
    <row r="5546" spans="1:5" x14ac:dyDescent="0.35">
      <c r="A5546">
        <v>0</v>
      </c>
      <c r="B5546">
        <v>0</v>
      </c>
      <c r="C5546">
        <v>0</v>
      </c>
      <c r="D5546">
        <v>0</v>
      </c>
      <c r="E5546">
        <v>0</v>
      </c>
    </row>
    <row r="5547" spans="1:5" x14ac:dyDescent="0.35">
      <c r="A5547">
        <v>0</v>
      </c>
      <c r="B5547">
        <v>0</v>
      </c>
      <c r="C5547">
        <v>0</v>
      </c>
      <c r="D5547">
        <v>0</v>
      </c>
      <c r="E5547">
        <v>0</v>
      </c>
    </row>
    <row r="5548" spans="1:5" x14ac:dyDescent="0.35">
      <c r="A5548">
        <v>0</v>
      </c>
      <c r="B5548">
        <v>0</v>
      </c>
      <c r="C5548">
        <v>0</v>
      </c>
      <c r="D5548">
        <v>0</v>
      </c>
      <c r="E5548">
        <v>0</v>
      </c>
    </row>
    <row r="5549" spans="1:5" x14ac:dyDescent="0.35">
      <c r="A5549">
        <v>0</v>
      </c>
      <c r="B5549">
        <v>0</v>
      </c>
      <c r="C5549">
        <v>0</v>
      </c>
      <c r="D5549">
        <v>0</v>
      </c>
      <c r="E5549">
        <v>0</v>
      </c>
    </row>
    <row r="5550" spans="1:5" x14ac:dyDescent="0.35">
      <c r="A5550">
        <v>0</v>
      </c>
      <c r="B5550">
        <v>0</v>
      </c>
      <c r="C5550">
        <v>0</v>
      </c>
      <c r="D5550">
        <v>0</v>
      </c>
      <c r="E5550">
        <v>0</v>
      </c>
    </row>
    <row r="5551" spans="1:5" x14ac:dyDescent="0.35">
      <c r="A5551">
        <v>0</v>
      </c>
      <c r="B5551">
        <v>0</v>
      </c>
      <c r="C5551">
        <v>0</v>
      </c>
      <c r="D5551">
        <v>0</v>
      </c>
      <c r="E5551">
        <v>0</v>
      </c>
    </row>
    <row r="5552" spans="1:5" x14ac:dyDescent="0.35">
      <c r="A5552">
        <v>0</v>
      </c>
      <c r="B5552">
        <v>0</v>
      </c>
      <c r="C5552">
        <v>0</v>
      </c>
      <c r="D5552">
        <v>0</v>
      </c>
      <c r="E5552">
        <v>0</v>
      </c>
    </row>
    <row r="5553" spans="1:5" x14ac:dyDescent="0.35">
      <c r="A5553">
        <v>0</v>
      </c>
      <c r="B5553">
        <v>0</v>
      </c>
      <c r="C5553">
        <v>0</v>
      </c>
      <c r="D5553">
        <v>0</v>
      </c>
      <c r="E5553">
        <v>0</v>
      </c>
    </row>
    <row r="5554" spans="1:5" x14ac:dyDescent="0.35">
      <c r="A5554">
        <v>0</v>
      </c>
      <c r="B5554">
        <v>0</v>
      </c>
      <c r="C5554">
        <v>0</v>
      </c>
      <c r="D5554">
        <v>0</v>
      </c>
      <c r="E5554">
        <v>0</v>
      </c>
    </row>
    <row r="5555" spans="1:5" x14ac:dyDescent="0.35">
      <c r="A5555">
        <v>0</v>
      </c>
      <c r="B5555">
        <v>0</v>
      </c>
      <c r="C5555">
        <v>0</v>
      </c>
      <c r="D5555">
        <v>0</v>
      </c>
      <c r="E5555">
        <v>0</v>
      </c>
    </row>
    <row r="5556" spans="1:5" x14ac:dyDescent="0.35">
      <c r="A5556">
        <v>0</v>
      </c>
      <c r="B5556">
        <v>0</v>
      </c>
      <c r="C5556">
        <v>0</v>
      </c>
      <c r="D5556">
        <v>0</v>
      </c>
      <c r="E5556">
        <v>0</v>
      </c>
    </row>
    <row r="5557" spans="1:5" x14ac:dyDescent="0.35">
      <c r="A5557">
        <v>0</v>
      </c>
      <c r="B5557">
        <v>0</v>
      </c>
      <c r="C5557">
        <v>0</v>
      </c>
      <c r="D5557">
        <v>0</v>
      </c>
      <c r="E5557">
        <v>0</v>
      </c>
    </row>
    <row r="5558" spans="1:5" x14ac:dyDescent="0.35">
      <c r="A5558">
        <v>0</v>
      </c>
      <c r="B5558">
        <v>0</v>
      </c>
      <c r="C5558">
        <v>0</v>
      </c>
      <c r="D5558">
        <v>0</v>
      </c>
      <c r="E5558">
        <v>0</v>
      </c>
    </row>
    <row r="5559" spans="1:5" x14ac:dyDescent="0.35">
      <c r="A5559">
        <v>0</v>
      </c>
      <c r="B5559">
        <v>0</v>
      </c>
      <c r="C5559">
        <v>0</v>
      </c>
      <c r="D5559">
        <v>0</v>
      </c>
      <c r="E5559">
        <v>0</v>
      </c>
    </row>
    <row r="5560" spans="1:5" x14ac:dyDescent="0.35">
      <c r="A5560">
        <v>0</v>
      </c>
      <c r="B5560">
        <v>0</v>
      </c>
      <c r="C5560">
        <v>0</v>
      </c>
      <c r="D5560">
        <v>0</v>
      </c>
      <c r="E5560">
        <v>0</v>
      </c>
    </row>
    <row r="5561" spans="1:5" x14ac:dyDescent="0.35">
      <c r="A5561">
        <v>0</v>
      </c>
      <c r="B5561">
        <v>0</v>
      </c>
      <c r="C5561">
        <v>0</v>
      </c>
      <c r="D5561">
        <v>0</v>
      </c>
      <c r="E5561">
        <v>0</v>
      </c>
    </row>
    <row r="5562" spans="1:5" x14ac:dyDescent="0.35">
      <c r="A5562">
        <v>0</v>
      </c>
      <c r="B5562">
        <v>0</v>
      </c>
      <c r="C5562">
        <v>0</v>
      </c>
      <c r="D5562">
        <v>0</v>
      </c>
      <c r="E5562">
        <v>0</v>
      </c>
    </row>
    <row r="5563" spans="1:5" x14ac:dyDescent="0.35">
      <c r="A5563">
        <v>0</v>
      </c>
      <c r="B5563">
        <v>0</v>
      </c>
      <c r="C5563">
        <v>0</v>
      </c>
      <c r="D5563">
        <v>0</v>
      </c>
      <c r="E5563">
        <v>0</v>
      </c>
    </row>
    <row r="5564" spans="1:5" x14ac:dyDescent="0.35">
      <c r="A5564">
        <v>0</v>
      </c>
      <c r="B5564">
        <v>0</v>
      </c>
      <c r="C5564">
        <v>0</v>
      </c>
      <c r="D5564">
        <v>0</v>
      </c>
      <c r="E5564">
        <v>0</v>
      </c>
    </row>
    <row r="5565" spans="1:5" x14ac:dyDescent="0.35">
      <c r="A5565">
        <v>0</v>
      </c>
      <c r="B5565">
        <v>0</v>
      </c>
      <c r="C5565">
        <v>0</v>
      </c>
      <c r="D5565">
        <v>0</v>
      </c>
      <c r="E5565">
        <v>0</v>
      </c>
    </row>
    <row r="5566" spans="1:5" x14ac:dyDescent="0.35">
      <c r="A5566">
        <v>0</v>
      </c>
      <c r="B5566">
        <v>0</v>
      </c>
      <c r="C5566">
        <v>0</v>
      </c>
      <c r="D5566">
        <v>0</v>
      </c>
      <c r="E5566">
        <v>0</v>
      </c>
    </row>
    <row r="5567" spans="1:5" x14ac:dyDescent="0.35">
      <c r="A5567">
        <v>0</v>
      </c>
      <c r="B5567">
        <v>0</v>
      </c>
      <c r="C5567">
        <v>0</v>
      </c>
      <c r="D5567">
        <v>0</v>
      </c>
      <c r="E5567">
        <v>0</v>
      </c>
    </row>
    <row r="5568" spans="1:5" x14ac:dyDescent="0.35">
      <c r="A5568">
        <v>0</v>
      </c>
      <c r="B5568">
        <v>0</v>
      </c>
      <c r="C5568">
        <v>0</v>
      </c>
      <c r="D5568">
        <v>0</v>
      </c>
      <c r="E5568">
        <v>0</v>
      </c>
    </row>
    <row r="5569" spans="1:5" x14ac:dyDescent="0.35">
      <c r="A5569">
        <v>0</v>
      </c>
      <c r="B5569">
        <v>0</v>
      </c>
      <c r="C5569">
        <v>0</v>
      </c>
      <c r="D5569">
        <v>0</v>
      </c>
      <c r="E5569">
        <v>0</v>
      </c>
    </row>
    <row r="5570" spans="1:5" x14ac:dyDescent="0.35">
      <c r="A5570">
        <v>0</v>
      </c>
      <c r="B5570">
        <v>0</v>
      </c>
      <c r="C5570">
        <v>0</v>
      </c>
      <c r="D5570">
        <v>0</v>
      </c>
      <c r="E5570">
        <v>0</v>
      </c>
    </row>
    <row r="5571" spans="1:5" x14ac:dyDescent="0.35">
      <c r="A5571">
        <v>0</v>
      </c>
      <c r="B5571">
        <v>0</v>
      </c>
      <c r="C5571">
        <v>0</v>
      </c>
      <c r="D5571">
        <v>0</v>
      </c>
      <c r="E5571">
        <v>0</v>
      </c>
    </row>
    <row r="5572" spans="1:5" x14ac:dyDescent="0.35">
      <c r="A5572">
        <v>0</v>
      </c>
      <c r="B5572">
        <v>0</v>
      </c>
      <c r="C5572">
        <v>0</v>
      </c>
      <c r="D5572">
        <v>0</v>
      </c>
      <c r="E5572">
        <v>0</v>
      </c>
    </row>
    <row r="5573" spans="1:5" x14ac:dyDescent="0.35">
      <c r="A5573">
        <v>0</v>
      </c>
      <c r="B5573">
        <v>0</v>
      </c>
      <c r="C5573">
        <v>0</v>
      </c>
      <c r="D5573">
        <v>0</v>
      </c>
      <c r="E5573">
        <v>0</v>
      </c>
    </row>
    <row r="5574" spans="1:5" x14ac:dyDescent="0.35">
      <c r="A5574">
        <v>0</v>
      </c>
      <c r="B5574">
        <v>0</v>
      </c>
      <c r="C5574">
        <v>0</v>
      </c>
      <c r="D5574">
        <v>0</v>
      </c>
      <c r="E5574">
        <v>0</v>
      </c>
    </row>
    <row r="5575" spans="1:5" x14ac:dyDescent="0.35">
      <c r="A5575">
        <v>0</v>
      </c>
      <c r="B5575">
        <v>0</v>
      </c>
      <c r="C5575">
        <v>0</v>
      </c>
      <c r="D5575">
        <v>0</v>
      </c>
      <c r="E5575">
        <v>0</v>
      </c>
    </row>
    <row r="5576" spans="1:5" x14ac:dyDescent="0.35">
      <c r="A5576">
        <v>0</v>
      </c>
      <c r="B5576">
        <v>0</v>
      </c>
      <c r="C5576">
        <v>0</v>
      </c>
      <c r="D5576">
        <v>0</v>
      </c>
      <c r="E5576">
        <v>0</v>
      </c>
    </row>
    <row r="5577" spans="1:5" x14ac:dyDescent="0.35">
      <c r="A5577">
        <v>0</v>
      </c>
      <c r="B5577">
        <v>0</v>
      </c>
      <c r="C5577">
        <v>0</v>
      </c>
      <c r="D5577">
        <v>0</v>
      </c>
      <c r="E5577">
        <v>0</v>
      </c>
    </row>
    <row r="5578" spans="1:5" x14ac:dyDescent="0.35">
      <c r="A5578">
        <v>0</v>
      </c>
      <c r="B5578">
        <v>0</v>
      </c>
      <c r="C5578">
        <v>0</v>
      </c>
      <c r="D5578">
        <v>0</v>
      </c>
      <c r="E5578">
        <v>0</v>
      </c>
    </row>
    <row r="5579" spans="1:5" x14ac:dyDescent="0.35">
      <c r="A5579">
        <v>0</v>
      </c>
      <c r="B5579">
        <v>0</v>
      </c>
      <c r="C5579">
        <v>0</v>
      </c>
      <c r="D5579">
        <v>0</v>
      </c>
      <c r="E5579">
        <v>0</v>
      </c>
    </row>
    <row r="5580" spans="1:5" x14ac:dyDescent="0.35">
      <c r="A5580">
        <v>0</v>
      </c>
      <c r="B5580">
        <v>0</v>
      </c>
      <c r="C5580">
        <v>0</v>
      </c>
      <c r="D5580">
        <v>0</v>
      </c>
      <c r="E5580">
        <v>0</v>
      </c>
    </row>
    <row r="5581" spans="1:5" x14ac:dyDescent="0.35">
      <c r="A5581">
        <v>0</v>
      </c>
      <c r="B5581">
        <v>0</v>
      </c>
      <c r="C5581">
        <v>0</v>
      </c>
      <c r="D5581">
        <v>0</v>
      </c>
      <c r="E5581">
        <v>0</v>
      </c>
    </row>
    <row r="5582" spans="1:5" x14ac:dyDescent="0.35">
      <c r="A5582">
        <v>0</v>
      </c>
      <c r="B5582">
        <v>0</v>
      </c>
      <c r="C5582">
        <v>0</v>
      </c>
      <c r="D5582">
        <v>0</v>
      </c>
      <c r="E5582">
        <v>0</v>
      </c>
    </row>
    <row r="5583" spans="1:5" x14ac:dyDescent="0.35">
      <c r="A5583">
        <v>0</v>
      </c>
      <c r="B5583">
        <v>0</v>
      </c>
      <c r="C5583">
        <v>0</v>
      </c>
      <c r="D5583">
        <v>0</v>
      </c>
      <c r="E5583">
        <v>0</v>
      </c>
    </row>
    <row r="5584" spans="1:5" x14ac:dyDescent="0.35">
      <c r="A5584">
        <v>0</v>
      </c>
      <c r="B5584">
        <v>0</v>
      </c>
      <c r="C5584">
        <v>0</v>
      </c>
      <c r="D5584">
        <v>0</v>
      </c>
      <c r="E5584">
        <v>0</v>
      </c>
    </row>
    <row r="5585" spans="1:5" x14ac:dyDescent="0.35">
      <c r="A5585">
        <v>0</v>
      </c>
      <c r="B5585">
        <v>0</v>
      </c>
      <c r="C5585">
        <v>0</v>
      </c>
      <c r="D5585">
        <v>0</v>
      </c>
      <c r="E5585">
        <v>0</v>
      </c>
    </row>
    <row r="5586" spans="1:5" x14ac:dyDescent="0.35">
      <c r="A5586">
        <v>0</v>
      </c>
      <c r="B5586">
        <v>0</v>
      </c>
      <c r="C5586">
        <v>0</v>
      </c>
      <c r="D5586">
        <v>0</v>
      </c>
      <c r="E5586">
        <v>0</v>
      </c>
    </row>
    <row r="5587" spans="1:5" x14ac:dyDescent="0.35">
      <c r="A5587">
        <v>0</v>
      </c>
      <c r="B5587">
        <v>0</v>
      </c>
      <c r="C5587">
        <v>0</v>
      </c>
      <c r="D5587">
        <v>0</v>
      </c>
      <c r="E5587">
        <v>0</v>
      </c>
    </row>
    <row r="5588" spans="1:5" x14ac:dyDescent="0.35">
      <c r="A5588">
        <v>0</v>
      </c>
      <c r="B5588">
        <v>0</v>
      </c>
      <c r="C5588">
        <v>0</v>
      </c>
      <c r="D5588">
        <v>0</v>
      </c>
      <c r="E5588">
        <v>0</v>
      </c>
    </row>
    <row r="5589" spans="1:5" x14ac:dyDescent="0.35">
      <c r="A5589">
        <v>0</v>
      </c>
      <c r="B5589">
        <v>0</v>
      </c>
      <c r="C5589">
        <v>0</v>
      </c>
      <c r="D5589">
        <v>0</v>
      </c>
      <c r="E5589">
        <v>0</v>
      </c>
    </row>
    <row r="5590" spans="1:5" x14ac:dyDescent="0.35">
      <c r="A5590">
        <v>0</v>
      </c>
      <c r="B5590">
        <v>0</v>
      </c>
      <c r="C5590">
        <v>0</v>
      </c>
      <c r="D5590">
        <v>0</v>
      </c>
      <c r="E5590">
        <v>0</v>
      </c>
    </row>
    <row r="5591" spans="1:5" x14ac:dyDescent="0.35">
      <c r="A5591">
        <v>0</v>
      </c>
      <c r="B5591">
        <v>0</v>
      </c>
      <c r="C5591">
        <v>0</v>
      </c>
      <c r="D5591">
        <v>0</v>
      </c>
      <c r="E5591">
        <v>0</v>
      </c>
    </row>
    <row r="5592" spans="1:5" x14ac:dyDescent="0.35">
      <c r="A5592">
        <v>0</v>
      </c>
      <c r="B5592">
        <v>0</v>
      </c>
      <c r="C5592">
        <v>0</v>
      </c>
      <c r="D5592">
        <v>0</v>
      </c>
      <c r="E5592">
        <v>0</v>
      </c>
    </row>
    <row r="5593" spans="1:5" x14ac:dyDescent="0.35">
      <c r="A5593">
        <v>0</v>
      </c>
      <c r="B5593">
        <v>0</v>
      </c>
      <c r="C5593">
        <v>0</v>
      </c>
      <c r="D5593">
        <v>0</v>
      </c>
      <c r="E5593">
        <v>0</v>
      </c>
    </row>
    <row r="5594" spans="1:5" x14ac:dyDescent="0.35">
      <c r="A5594">
        <v>0</v>
      </c>
      <c r="B5594">
        <v>0</v>
      </c>
      <c r="C5594">
        <v>0</v>
      </c>
      <c r="D5594">
        <v>0</v>
      </c>
      <c r="E5594">
        <v>0</v>
      </c>
    </row>
    <row r="5595" spans="1:5" x14ac:dyDescent="0.35">
      <c r="A5595">
        <v>0</v>
      </c>
      <c r="B5595">
        <v>0</v>
      </c>
      <c r="C5595">
        <v>0</v>
      </c>
      <c r="D5595">
        <v>0</v>
      </c>
      <c r="E5595">
        <v>0</v>
      </c>
    </row>
    <row r="5596" spans="1:5" x14ac:dyDescent="0.35">
      <c r="A5596">
        <v>0</v>
      </c>
      <c r="B5596">
        <v>0</v>
      </c>
      <c r="C5596">
        <v>0</v>
      </c>
      <c r="D5596">
        <v>0</v>
      </c>
      <c r="E5596">
        <v>0</v>
      </c>
    </row>
    <row r="5597" spans="1:5" x14ac:dyDescent="0.35">
      <c r="A5597">
        <v>0</v>
      </c>
      <c r="B5597">
        <v>0</v>
      </c>
      <c r="C5597">
        <v>0</v>
      </c>
      <c r="D5597">
        <v>0</v>
      </c>
      <c r="E5597">
        <v>0</v>
      </c>
    </row>
    <row r="5598" spans="1:5" x14ac:dyDescent="0.35">
      <c r="A5598">
        <v>0</v>
      </c>
      <c r="B5598">
        <v>0</v>
      </c>
      <c r="C5598">
        <v>0</v>
      </c>
      <c r="D5598">
        <v>0</v>
      </c>
      <c r="E5598">
        <v>0</v>
      </c>
    </row>
    <row r="5599" spans="1:5" x14ac:dyDescent="0.35">
      <c r="A5599">
        <v>0</v>
      </c>
      <c r="B5599">
        <v>0</v>
      </c>
      <c r="C5599">
        <v>0</v>
      </c>
      <c r="D5599">
        <v>0</v>
      </c>
      <c r="E5599">
        <v>0</v>
      </c>
    </row>
    <row r="5600" spans="1:5" x14ac:dyDescent="0.35">
      <c r="A5600">
        <v>0</v>
      </c>
      <c r="B5600">
        <v>0</v>
      </c>
      <c r="C5600">
        <v>0</v>
      </c>
      <c r="D5600">
        <v>0</v>
      </c>
      <c r="E5600">
        <v>0</v>
      </c>
    </row>
    <row r="5601" spans="1:5" x14ac:dyDescent="0.35">
      <c r="A5601">
        <v>0</v>
      </c>
      <c r="B5601">
        <v>0</v>
      </c>
      <c r="C5601">
        <v>0</v>
      </c>
      <c r="D5601">
        <v>0</v>
      </c>
      <c r="E5601">
        <v>0</v>
      </c>
    </row>
    <row r="5602" spans="1:5" x14ac:dyDescent="0.35">
      <c r="A5602">
        <v>0</v>
      </c>
      <c r="B5602">
        <v>0</v>
      </c>
      <c r="C5602">
        <v>0</v>
      </c>
      <c r="D5602">
        <v>0</v>
      </c>
      <c r="E5602">
        <v>0</v>
      </c>
    </row>
    <row r="5603" spans="1:5" x14ac:dyDescent="0.35">
      <c r="A5603">
        <v>0</v>
      </c>
      <c r="B5603">
        <v>0</v>
      </c>
      <c r="C5603">
        <v>0</v>
      </c>
      <c r="D5603">
        <v>0</v>
      </c>
      <c r="E5603">
        <v>0</v>
      </c>
    </row>
    <row r="5604" spans="1:5" x14ac:dyDescent="0.35">
      <c r="A5604">
        <v>0</v>
      </c>
      <c r="B5604">
        <v>0</v>
      </c>
      <c r="C5604">
        <v>0</v>
      </c>
      <c r="D5604">
        <v>0</v>
      </c>
      <c r="E5604">
        <v>0</v>
      </c>
    </row>
    <row r="5605" spans="1:5" x14ac:dyDescent="0.35">
      <c r="A5605">
        <v>0</v>
      </c>
      <c r="B5605">
        <v>0</v>
      </c>
      <c r="C5605">
        <v>0</v>
      </c>
      <c r="D5605">
        <v>0</v>
      </c>
      <c r="E5605">
        <v>0</v>
      </c>
    </row>
    <row r="5606" spans="1:5" x14ac:dyDescent="0.35">
      <c r="A5606">
        <v>0</v>
      </c>
      <c r="B5606">
        <v>0</v>
      </c>
      <c r="C5606">
        <v>0</v>
      </c>
      <c r="D5606">
        <v>0</v>
      </c>
      <c r="E5606">
        <v>0</v>
      </c>
    </row>
    <row r="5607" spans="1:5" x14ac:dyDescent="0.35">
      <c r="A5607">
        <v>0</v>
      </c>
      <c r="B5607">
        <v>0</v>
      </c>
      <c r="C5607">
        <v>0</v>
      </c>
      <c r="D5607">
        <v>0</v>
      </c>
      <c r="E5607">
        <v>0</v>
      </c>
    </row>
    <row r="5608" spans="1:5" x14ac:dyDescent="0.35">
      <c r="A5608">
        <v>0</v>
      </c>
      <c r="B5608">
        <v>0</v>
      </c>
      <c r="C5608">
        <v>0</v>
      </c>
      <c r="D5608">
        <v>0</v>
      </c>
      <c r="E5608">
        <v>0</v>
      </c>
    </row>
    <row r="5609" spans="1:5" x14ac:dyDescent="0.35">
      <c r="A5609">
        <v>0</v>
      </c>
      <c r="B5609">
        <v>0</v>
      </c>
      <c r="C5609">
        <v>0</v>
      </c>
      <c r="D5609">
        <v>0</v>
      </c>
      <c r="E5609">
        <v>0</v>
      </c>
    </row>
    <row r="5610" spans="1:5" x14ac:dyDescent="0.35">
      <c r="A5610">
        <v>0</v>
      </c>
      <c r="B5610">
        <v>0</v>
      </c>
      <c r="C5610">
        <v>0</v>
      </c>
      <c r="D5610">
        <v>0</v>
      </c>
      <c r="E5610">
        <v>0</v>
      </c>
    </row>
    <row r="5611" spans="1:5" x14ac:dyDescent="0.35">
      <c r="A5611">
        <v>0</v>
      </c>
      <c r="B5611">
        <v>0</v>
      </c>
      <c r="C5611">
        <v>0</v>
      </c>
      <c r="D5611">
        <v>0</v>
      </c>
      <c r="E5611">
        <v>0</v>
      </c>
    </row>
    <row r="5612" spans="1:5" x14ac:dyDescent="0.35">
      <c r="A5612">
        <v>0</v>
      </c>
      <c r="B5612">
        <v>0</v>
      </c>
      <c r="C5612">
        <v>0</v>
      </c>
      <c r="D5612">
        <v>0</v>
      </c>
      <c r="E5612">
        <v>0</v>
      </c>
    </row>
    <row r="5613" spans="1:5" x14ac:dyDescent="0.35">
      <c r="A5613">
        <v>0</v>
      </c>
      <c r="B5613">
        <v>0</v>
      </c>
      <c r="C5613">
        <v>0</v>
      </c>
      <c r="D5613">
        <v>0</v>
      </c>
      <c r="E5613">
        <v>0</v>
      </c>
    </row>
    <row r="5614" spans="1:5" x14ac:dyDescent="0.35">
      <c r="A5614">
        <v>0</v>
      </c>
      <c r="B5614">
        <v>0</v>
      </c>
      <c r="C5614">
        <v>0</v>
      </c>
      <c r="D5614">
        <v>0</v>
      </c>
      <c r="E5614">
        <v>0</v>
      </c>
    </row>
    <row r="5615" spans="1:5" x14ac:dyDescent="0.35">
      <c r="A5615">
        <v>0</v>
      </c>
      <c r="B5615">
        <v>0</v>
      </c>
      <c r="C5615">
        <v>0</v>
      </c>
      <c r="D5615">
        <v>0</v>
      </c>
      <c r="E5615">
        <v>0</v>
      </c>
    </row>
    <row r="5616" spans="1:5" x14ac:dyDescent="0.35">
      <c r="A5616">
        <v>0</v>
      </c>
      <c r="B5616">
        <v>0</v>
      </c>
      <c r="C5616">
        <v>0</v>
      </c>
      <c r="D5616">
        <v>0</v>
      </c>
      <c r="E5616">
        <v>0</v>
      </c>
    </row>
    <row r="5617" spans="1:5" x14ac:dyDescent="0.35">
      <c r="A5617">
        <v>0</v>
      </c>
      <c r="B5617">
        <v>0</v>
      </c>
      <c r="C5617">
        <v>0</v>
      </c>
      <c r="D5617">
        <v>0</v>
      </c>
      <c r="E5617">
        <v>0</v>
      </c>
    </row>
    <row r="5618" spans="1:5" x14ac:dyDescent="0.35">
      <c r="A5618">
        <v>0</v>
      </c>
      <c r="B5618">
        <v>0</v>
      </c>
      <c r="C5618">
        <v>0</v>
      </c>
      <c r="D5618">
        <v>0</v>
      </c>
      <c r="E5618">
        <v>0</v>
      </c>
    </row>
    <row r="5619" spans="1:5" x14ac:dyDescent="0.35">
      <c r="A5619">
        <v>0</v>
      </c>
      <c r="B5619">
        <v>0</v>
      </c>
      <c r="C5619">
        <v>0</v>
      </c>
      <c r="D5619">
        <v>0</v>
      </c>
      <c r="E5619">
        <v>0</v>
      </c>
    </row>
    <row r="5620" spans="1:5" x14ac:dyDescent="0.35">
      <c r="A5620">
        <v>0</v>
      </c>
      <c r="B5620">
        <v>0</v>
      </c>
      <c r="C5620">
        <v>0</v>
      </c>
      <c r="D5620">
        <v>0</v>
      </c>
      <c r="E5620">
        <v>0</v>
      </c>
    </row>
    <row r="5621" spans="1:5" x14ac:dyDescent="0.35">
      <c r="A5621">
        <v>0</v>
      </c>
      <c r="B5621">
        <v>0</v>
      </c>
      <c r="C5621">
        <v>0</v>
      </c>
      <c r="D5621">
        <v>0</v>
      </c>
      <c r="E5621">
        <v>0</v>
      </c>
    </row>
    <row r="5622" spans="1:5" x14ac:dyDescent="0.35">
      <c r="A5622">
        <v>0</v>
      </c>
      <c r="B5622">
        <v>0</v>
      </c>
      <c r="C5622">
        <v>0</v>
      </c>
      <c r="D5622">
        <v>0</v>
      </c>
      <c r="E5622">
        <v>0</v>
      </c>
    </row>
    <row r="5623" spans="1:5" x14ac:dyDescent="0.35">
      <c r="A5623">
        <v>0</v>
      </c>
      <c r="B5623">
        <v>0</v>
      </c>
      <c r="C5623">
        <v>0</v>
      </c>
      <c r="D5623">
        <v>0</v>
      </c>
      <c r="E5623">
        <v>0</v>
      </c>
    </row>
    <row r="5624" spans="1:5" x14ac:dyDescent="0.35">
      <c r="A5624">
        <v>0</v>
      </c>
      <c r="B5624">
        <v>0</v>
      </c>
      <c r="C5624">
        <v>0</v>
      </c>
      <c r="D5624">
        <v>0</v>
      </c>
      <c r="E5624">
        <v>0</v>
      </c>
    </row>
    <row r="5625" spans="1:5" x14ac:dyDescent="0.35">
      <c r="A5625">
        <v>0</v>
      </c>
      <c r="B5625">
        <v>0</v>
      </c>
      <c r="C5625">
        <v>0</v>
      </c>
      <c r="D5625">
        <v>0</v>
      </c>
      <c r="E5625">
        <v>0</v>
      </c>
    </row>
    <row r="5626" spans="1:5" x14ac:dyDescent="0.35">
      <c r="A5626">
        <v>0</v>
      </c>
      <c r="B5626">
        <v>0</v>
      </c>
      <c r="C5626">
        <v>0</v>
      </c>
      <c r="D5626">
        <v>0</v>
      </c>
      <c r="E5626">
        <v>0</v>
      </c>
    </row>
    <row r="5627" spans="1:5" x14ac:dyDescent="0.35">
      <c r="A5627">
        <v>0</v>
      </c>
      <c r="B5627">
        <v>0</v>
      </c>
      <c r="C5627">
        <v>0</v>
      </c>
      <c r="D5627">
        <v>0</v>
      </c>
      <c r="E5627">
        <v>0</v>
      </c>
    </row>
    <row r="5628" spans="1:5" x14ac:dyDescent="0.35">
      <c r="A5628">
        <v>0</v>
      </c>
      <c r="B5628">
        <v>0</v>
      </c>
      <c r="C5628">
        <v>0</v>
      </c>
      <c r="D5628">
        <v>0</v>
      </c>
      <c r="E5628">
        <v>0</v>
      </c>
    </row>
    <row r="5629" spans="1:5" x14ac:dyDescent="0.35">
      <c r="A5629">
        <v>0</v>
      </c>
      <c r="B5629">
        <v>0</v>
      </c>
      <c r="C5629">
        <v>0</v>
      </c>
      <c r="D5629">
        <v>0</v>
      </c>
      <c r="E5629">
        <v>0</v>
      </c>
    </row>
    <row r="5630" spans="1:5" x14ac:dyDescent="0.35">
      <c r="A5630">
        <v>0</v>
      </c>
      <c r="B5630">
        <v>0</v>
      </c>
      <c r="C5630">
        <v>0</v>
      </c>
      <c r="D5630">
        <v>0</v>
      </c>
      <c r="E5630">
        <v>0</v>
      </c>
    </row>
    <row r="5631" spans="1:5" x14ac:dyDescent="0.35">
      <c r="A5631">
        <v>0</v>
      </c>
      <c r="B5631">
        <v>0</v>
      </c>
      <c r="C5631">
        <v>0</v>
      </c>
      <c r="D5631">
        <v>0</v>
      </c>
      <c r="E5631">
        <v>0</v>
      </c>
    </row>
    <row r="5632" spans="1:5" x14ac:dyDescent="0.35">
      <c r="A5632">
        <v>0</v>
      </c>
      <c r="B5632">
        <v>0</v>
      </c>
      <c r="C5632">
        <v>0</v>
      </c>
      <c r="D5632">
        <v>0</v>
      </c>
      <c r="E5632">
        <v>0</v>
      </c>
    </row>
    <row r="5633" spans="1:5" x14ac:dyDescent="0.35">
      <c r="A5633">
        <v>0</v>
      </c>
      <c r="B5633">
        <v>0</v>
      </c>
      <c r="C5633">
        <v>0</v>
      </c>
      <c r="D5633">
        <v>0</v>
      </c>
      <c r="E5633">
        <v>0</v>
      </c>
    </row>
    <row r="5634" spans="1:5" x14ac:dyDescent="0.35">
      <c r="A5634">
        <v>0</v>
      </c>
      <c r="B5634">
        <v>0</v>
      </c>
      <c r="C5634">
        <v>0</v>
      </c>
      <c r="D5634">
        <v>0</v>
      </c>
      <c r="E5634">
        <v>0</v>
      </c>
    </row>
    <row r="5635" spans="1:5" x14ac:dyDescent="0.35">
      <c r="A5635">
        <v>0</v>
      </c>
      <c r="B5635">
        <v>0</v>
      </c>
      <c r="C5635">
        <v>0</v>
      </c>
      <c r="D5635">
        <v>0</v>
      </c>
      <c r="E5635">
        <v>0</v>
      </c>
    </row>
    <row r="5636" spans="1:5" x14ac:dyDescent="0.35">
      <c r="A5636">
        <v>0</v>
      </c>
      <c r="B5636">
        <v>0</v>
      </c>
      <c r="C5636">
        <v>0</v>
      </c>
      <c r="D5636">
        <v>0</v>
      </c>
      <c r="E5636">
        <v>0</v>
      </c>
    </row>
    <row r="5637" spans="1:5" x14ac:dyDescent="0.35">
      <c r="A5637">
        <v>0</v>
      </c>
      <c r="B5637">
        <v>0</v>
      </c>
      <c r="C5637">
        <v>0</v>
      </c>
      <c r="D5637">
        <v>0</v>
      </c>
      <c r="E5637">
        <v>0</v>
      </c>
    </row>
    <row r="5638" spans="1:5" x14ac:dyDescent="0.35">
      <c r="A5638">
        <v>0</v>
      </c>
      <c r="B5638">
        <v>0</v>
      </c>
      <c r="C5638">
        <v>0</v>
      </c>
      <c r="D5638">
        <v>0</v>
      </c>
      <c r="E5638">
        <v>0</v>
      </c>
    </row>
    <row r="5639" spans="1:5" x14ac:dyDescent="0.35">
      <c r="A5639">
        <v>0</v>
      </c>
      <c r="B5639">
        <v>0</v>
      </c>
      <c r="C5639">
        <v>0</v>
      </c>
      <c r="D5639">
        <v>0</v>
      </c>
      <c r="E5639">
        <v>0</v>
      </c>
    </row>
    <row r="5640" spans="1:5" x14ac:dyDescent="0.35">
      <c r="A5640">
        <v>0</v>
      </c>
      <c r="B5640">
        <v>0</v>
      </c>
      <c r="C5640">
        <v>0</v>
      </c>
      <c r="D5640">
        <v>0</v>
      </c>
      <c r="E5640">
        <v>0</v>
      </c>
    </row>
    <row r="5641" spans="1:5" x14ac:dyDescent="0.35">
      <c r="A5641">
        <v>0</v>
      </c>
      <c r="B5641">
        <v>0</v>
      </c>
      <c r="C5641">
        <v>0</v>
      </c>
      <c r="D5641">
        <v>0</v>
      </c>
      <c r="E5641">
        <v>0</v>
      </c>
    </row>
    <row r="5642" spans="1:5" x14ac:dyDescent="0.35">
      <c r="A5642">
        <v>0</v>
      </c>
      <c r="B5642">
        <v>0</v>
      </c>
      <c r="C5642">
        <v>0</v>
      </c>
      <c r="D5642">
        <v>0</v>
      </c>
      <c r="E5642">
        <v>0</v>
      </c>
    </row>
    <row r="5643" spans="1:5" x14ac:dyDescent="0.35">
      <c r="A5643">
        <v>0</v>
      </c>
      <c r="B5643">
        <v>0</v>
      </c>
      <c r="C5643">
        <v>0</v>
      </c>
      <c r="D5643">
        <v>0</v>
      </c>
      <c r="E5643">
        <v>0</v>
      </c>
    </row>
    <row r="5644" spans="1:5" x14ac:dyDescent="0.35">
      <c r="A5644">
        <v>0</v>
      </c>
      <c r="B5644">
        <v>0</v>
      </c>
      <c r="C5644">
        <v>0</v>
      </c>
      <c r="D5644">
        <v>0</v>
      </c>
      <c r="E5644">
        <v>0</v>
      </c>
    </row>
    <row r="5645" spans="1:5" x14ac:dyDescent="0.35">
      <c r="A5645">
        <v>0</v>
      </c>
      <c r="B5645">
        <v>0</v>
      </c>
      <c r="C5645">
        <v>0</v>
      </c>
      <c r="D5645">
        <v>0</v>
      </c>
      <c r="E5645">
        <v>0</v>
      </c>
    </row>
    <row r="5646" spans="1:5" x14ac:dyDescent="0.35">
      <c r="A5646">
        <v>0</v>
      </c>
      <c r="B5646">
        <v>0</v>
      </c>
      <c r="C5646">
        <v>0</v>
      </c>
      <c r="D5646">
        <v>0</v>
      </c>
      <c r="E5646">
        <v>0</v>
      </c>
    </row>
    <row r="5647" spans="1:5" x14ac:dyDescent="0.35">
      <c r="A5647">
        <v>0</v>
      </c>
      <c r="B5647">
        <v>0</v>
      </c>
      <c r="C5647">
        <v>0</v>
      </c>
      <c r="D5647">
        <v>0</v>
      </c>
      <c r="E5647">
        <v>0</v>
      </c>
    </row>
    <row r="5648" spans="1:5" x14ac:dyDescent="0.35">
      <c r="A5648">
        <v>0</v>
      </c>
      <c r="B5648">
        <v>0</v>
      </c>
      <c r="C5648">
        <v>0</v>
      </c>
      <c r="D5648">
        <v>0</v>
      </c>
      <c r="E5648">
        <v>0</v>
      </c>
    </row>
    <row r="5649" spans="1:5" x14ac:dyDescent="0.35">
      <c r="A5649">
        <v>0</v>
      </c>
      <c r="B5649">
        <v>0</v>
      </c>
      <c r="C5649">
        <v>0</v>
      </c>
      <c r="D5649">
        <v>0</v>
      </c>
      <c r="E5649">
        <v>0</v>
      </c>
    </row>
    <row r="5650" spans="1:5" x14ac:dyDescent="0.35">
      <c r="A5650">
        <v>0</v>
      </c>
      <c r="B5650">
        <v>0</v>
      </c>
      <c r="C5650">
        <v>0</v>
      </c>
      <c r="D5650">
        <v>0</v>
      </c>
      <c r="E5650">
        <v>0</v>
      </c>
    </row>
    <row r="5651" spans="1:5" x14ac:dyDescent="0.35">
      <c r="A5651">
        <v>0</v>
      </c>
      <c r="B5651">
        <v>0</v>
      </c>
      <c r="C5651">
        <v>0</v>
      </c>
      <c r="D5651">
        <v>0</v>
      </c>
      <c r="E5651">
        <v>0</v>
      </c>
    </row>
    <row r="5652" spans="1:5" x14ac:dyDescent="0.35">
      <c r="A5652">
        <v>0</v>
      </c>
      <c r="B5652">
        <v>0</v>
      </c>
      <c r="C5652">
        <v>0</v>
      </c>
      <c r="D5652">
        <v>0</v>
      </c>
      <c r="E5652">
        <v>0</v>
      </c>
    </row>
    <row r="5653" spans="1:5" x14ac:dyDescent="0.35">
      <c r="A5653">
        <v>0</v>
      </c>
      <c r="B5653">
        <v>0</v>
      </c>
      <c r="C5653">
        <v>0</v>
      </c>
      <c r="D5653">
        <v>0</v>
      </c>
      <c r="E5653">
        <v>0</v>
      </c>
    </row>
    <row r="5654" spans="1:5" x14ac:dyDescent="0.35">
      <c r="A5654">
        <v>0</v>
      </c>
      <c r="B5654">
        <v>0</v>
      </c>
      <c r="C5654">
        <v>0</v>
      </c>
      <c r="D5654">
        <v>0</v>
      </c>
      <c r="E5654">
        <v>0</v>
      </c>
    </row>
    <row r="5655" spans="1:5" x14ac:dyDescent="0.35">
      <c r="A5655">
        <v>0</v>
      </c>
      <c r="B5655">
        <v>0</v>
      </c>
      <c r="C5655">
        <v>0</v>
      </c>
      <c r="D5655">
        <v>0</v>
      </c>
      <c r="E5655">
        <v>0</v>
      </c>
    </row>
    <row r="5656" spans="1:5" x14ac:dyDescent="0.35">
      <c r="A5656">
        <v>0</v>
      </c>
      <c r="B5656">
        <v>0</v>
      </c>
      <c r="C5656">
        <v>0</v>
      </c>
      <c r="D5656">
        <v>0</v>
      </c>
      <c r="E5656">
        <v>0</v>
      </c>
    </row>
    <row r="5657" spans="1:5" x14ac:dyDescent="0.35">
      <c r="A5657">
        <v>0</v>
      </c>
      <c r="B5657">
        <v>0</v>
      </c>
      <c r="C5657">
        <v>0</v>
      </c>
      <c r="D5657">
        <v>0</v>
      </c>
      <c r="E5657">
        <v>0</v>
      </c>
    </row>
    <row r="5658" spans="1:5" x14ac:dyDescent="0.35">
      <c r="A5658">
        <v>0</v>
      </c>
      <c r="B5658">
        <v>0</v>
      </c>
      <c r="C5658">
        <v>0</v>
      </c>
      <c r="D5658">
        <v>0</v>
      </c>
      <c r="E5658">
        <v>0</v>
      </c>
    </row>
    <row r="5659" spans="1:5" x14ac:dyDescent="0.35">
      <c r="A5659">
        <v>0</v>
      </c>
      <c r="B5659">
        <v>0</v>
      </c>
      <c r="C5659">
        <v>0</v>
      </c>
      <c r="D5659">
        <v>0</v>
      </c>
      <c r="E5659">
        <v>0</v>
      </c>
    </row>
    <row r="5660" spans="1:5" x14ac:dyDescent="0.35">
      <c r="A5660">
        <v>0</v>
      </c>
      <c r="B5660">
        <v>0</v>
      </c>
      <c r="C5660">
        <v>0</v>
      </c>
      <c r="D5660">
        <v>0</v>
      </c>
      <c r="E5660">
        <v>0</v>
      </c>
    </row>
    <row r="5661" spans="1:5" x14ac:dyDescent="0.35">
      <c r="A5661">
        <v>0</v>
      </c>
      <c r="B5661">
        <v>0</v>
      </c>
      <c r="C5661">
        <v>0</v>
      </c>
      <c r="D5661">
        <v>0</v>
      </c>
      <c r="E5661">
        <v>0</v>
      </c>
    </row>
    <row r="5662" spans="1:5" x14ac:dyDescent="0.35">
      <c r="A5662">
        <v>0</v>
      </c>
      <c r="B5662">
        <v>0</v>
      </c>
      <c r="C5662">
        <v>0</v>
      </c>
      <c r="D5662">
        <v>0</v>
      </c>
      <c r="E5662">
        <v>0</v>
      </c>
    </row>
    <row r="5663" spans="1:5" x14ac:dyDescent="0.35">
      <c r="A5663">
        <v>0</v>
      </c>
      <c r="B5663">
        <v>0</v>
      </c>
      <c r="C5663">
        <v>0</v>
      </c>
      <c r="D5663">
        <v>0</v>
      </c>
      <c r="E5663">
        <v>0</v>
      </c>
    </row>
    <row r="5664" spans="1:5" x14ac:dyDescent="0.35">
      <c r="A5664">
        <v>0</v>
      </c>
      <c r="B5664">
        <v>0</v>
      </c>
      <c r="C5664">
        <v>0</v>
      </c>
      <c r="D5664">
        <v>0</v>
      </c>
      <c r="E5664">
        <v>0</v>
      </c>
    </row>
    <row r="5665" spans="1:5" x14ac:dyDescent="0.35">
      <c r="A5665">
        <v>0</v>
      </c>
      <c r="B5665">
        <v>0</v>
      </c>
      <c r="C5665">
        <v>0</v>
      </c>
      <c r="D5665">
        <v>0</v>
      </c>
      <c r="E5665">
        <v>0</v>
      </c>
    </row>
    <row r="5666" spans="1:5" x14ac:dyDescent="0.35">
      <c r="A5666">
        <v>0</v>
      </c>
      <c r="B5666">
        <v>0</v>
      </c>
      <c r="C5666">
        <v>0</v>
      </c>
      <c r="D5666">
        <v>0</v>
      </c>
      <c r="E5666">
        <v>0</v>
      </c>
    </row>
    <row r="5667" spans="1:5" x14ac:dyDescent="0.35">
      <c r="A5667">
        <v>0</v>
      </c>
      <c r="B5667">
        <v>0</v>
      </c>
      <c r="C5667">
        <v>0</v>
      </c>
      <c r="D5667">
        <v>0</v>
      </c>
      <c r="E5667">
        <v>0</v>
      </c>
    </row>
    <row r="5668" spans="1:5" x14ac:dyDescent="0.35">
      <c r="A5668">
        <v>0</v>
      </c>
      <c r="B5668">
        <v>0</v>
      </c>
      <c r="C5668">
        <v>0</v>
      </c>
      <c r="D5668">
        <v>0</v>
      </c>
      <c r="E5668">
        <v>0</v>
      </c>
    </row>
    <row r="5669" spans="1:5" x14ac:dyDescent="0.35">
      <c r="A5669">
        <v>0</v>
      </c>
      <c r="B5669">
        <v>0</v>
      </c>
      <c r="C5669">
        <v>0</v>
      </c>
      <c r="D5669">
        <v>0</v>
      </c>
      <c r="E5669">
        <v>0</v>
      </c>
    </row>
    <row r="5670" spans="1:5" x14ac:dyDescent="0.35">
      <c r="A5670">
        <v>0</v>
      </c>
      <c r="B5670">
        <v>0</v>
      </c>
      <c r="C5670">
        <v>0</v>
      </c>
      <c r="D5670">
        <v>0</v>
      </c>
      <c r="E5670">
        <v>0</v>
      </c>
    </row>
    <row r="5671" spans="1:5" x14ac:dyDescent="0.35">
      <c r="A5671">
        <v>0</v>
      </c>
      <c r="B5671">
        <v>0</v>
      </c>
      <c r="C5671">
        <v>0</v>
      </c>
      <c r="D5671">
        <v>0</v>
      </c>
      <c r="E5671">
        <v>0</v>
      </c>
    </row>
    <row r="5672" spans="1:5" x14ac:dyDescent="0.35">
      <c r="A5672">
        <v>0</v>
      </c>
      <c r="B5672">
        <v>0</v>
      </c>
      <c r="C5672">
        <v>0</v>
      </c>
      <c r="D5672">
        <v>0</v>
      </c>
      <c r="E5672">
        <v>0</v>
      </c>
    </row>
    <row r="5673" spans="1:5" x14ac:dyDescent="0.35">
      <c r="A5673">
        <v>0</v>
      </c>
      <c r="B5673">
        <v>0</v>
      </c>
      <c r="C5673">
        <v>0</v>
      </c>
      <c r="D5673">
        <v>0</v>
      </c>
      <c r="E5673">
        <v>0</v>
      </c>
    </row>
    <row r="5674" spans="1:5" x14ac:dyDescent="0.35">
      <c r="A5674">
        <v>0</v>
      </c>
      <c r="B5674">
        <v>0</v>
      </c>
      <c r="C5674">
        <v>0</v>
      </c>
      <c r="D5674">
        <v>0</v>
      </c>
      <c r="E5674">
        <v>0</v>
      </c>
    </row>
    <row r="5675" spans="1:5" x14ac:dyDescent="0.35">
      <c r="A5675">
        <v>0</v>
      </c>
      <c r="B5675">
        <v>0</v>
      </c>
      <c r="C5675">
        <v>0</v>
      </c>
      <c r="D5675">
        <v>0</v>
      </c>
      <c r="E5675">
        <v>0</v>
      </c>
    </row>
    <row r="5676" spans="1:5" x14ac:dyDescent="0.35">
      <c r="A5676">
        <v>0</v>
      </c>
      <c r="B5676">
        <v>0</v>
      </c>
      <c r="C5676">
        <v>0</v>
      </c>
      <c r="D5676">
        <v>0</v>
      </c>
      <c r="E5676">
        <v>0</v>
      </c>
    </row>
    <row r="5677" spans="1:5" x14ac:dyDescent="0.35">
      <c r="A5677">
        <v>0</v>
      </c>
      <c r="B5677">
        <v>0</v>
      </c>
      <c r="C5677">
        <v>0</v>
      </c>
      <c r="D5677">
        <v>0</v>
      </c>
      <c r="E5677">
        <v>0</v>
      </c>
    </row>
    <row r="5678" spans="1:5" x14ac:dyDescent="0.35">
      <c r="A5678">
        <v>0</v>
      </c>
      <c r="B5678">
        <v>0</v>
      </c>
      <c r="C5678">
        <v>0</v>
      </c>
      <c r="D5678">
        <v>0</v>
      </c>
      <c r="E5678">
        <v>0</v>
      </c>
    </row>
    <row r="5679" spans="1:5" x14ac:dyDescent="0.35">
      <c r="A5679">
        <v>0</v>
      </c>
      <c r="B5679">
        <v>0</v>
      </c>
      <c r="C5679">
        <v>0</v>
      </c>
      <c r="D5679">
        <v>0</v>
      </c>
      <c r="E5679">
        <v>0</v>
      </c>
    </row>
    <row r="5680" spans="1:5" x14ac:dyDescent="0.35">
      <c r="A5680">
        <v>0</v>
      </c>
      <c r="B5680">
        <v>0</v>
      </c>
      <c r="C5680">
        <v>0</v>
      </c>
      <c r="D5680">
        <v>0</v>
      </c>
      <c r="E5680">
        <v>0</v>
      </c>
    </row>
    <row r="5681" spans="1:5" x14ac:dyDescent="0.35">
      <c r="A5681">
        <v>0</v>
      </c>
      <c r="B5681">
        <v>0</v>
      </c>
      <c r="C5681">
        <v>0</v>
      </c>
      <c r="D5681">
        <v>0</v>
      </c>
      <c r="E5681">
        <v>0</v>
      </c>
    </row>
    <row r="5682" spans="1:5" x14ac:dyDescent="0.35">
      <c r="A5682">
        <v>0</v>
      </c>
      <c r="B5682">
        <v>0</v>
      </c>
      <c r="C5682">
        <v>0</v>
      </c>
      <c r="D5682">
        <v>0</v>
      </c>
      <c r="E5682">
        <v>0</v>
      </c>
    </row>
    <row r="5683" spans="1:5" x14ac:dyDescent="0.35">
      <c r="A5683">
        <v>0</v>
      </c>
      <c r="B5683">
        <v>0</v>
      </c>
      <c r="C5683">
        <v>0</v>
      </c>
      <c r="D5683">
        <v>0</v>
      </c>
      <c r="E5683">
        <v>0</v>
      </c>
    </row>
    <row r="5684" spans="1:5" x14ac:dyDescent="0.35">
      <c r="A5684">
        <v>0</v>
      </c>
      <c r="B5684">
        <v>0</v>
      </c>
      <c r="C5684">
        <v>0</v>
      </c>
      <c r="D5684">
        <v>0</v>
      </c>
      <c r="E5684">
        <v>0</v>
      </c>
    </row>
    <row r="5685" spans="1:5" x14ac:dyDescent="0.35">
      <c r="A5685">
        <v>0</v>
      </c>
      <c r="B5685">
        <v>0</v>
      </c>
      <c r="C5685">
        <v>0</v>
      </c>
      <c r="D5685">
        <v>0</v>
      </c>
      <c r="E5685">
        <v>0</v>
      </c>
    </row>
    <row r="5686" spans="1:5" x14ac:dyDescent="0.35">
      <c r="A5686">
        <v>0</v>
      </c>
      <c r="B5686">
        <v>0</v>
      </c>
      <c r="C5686">
        <v>0</v>
      </c>
      <c r="D5686">
        <v>0</v>
      </c>
      <c r="E5686">
        <v>0</v>
      </c>
    </row>
    <row r="5687" spans="1:5" x14ac:dyDescent="0.35">
      <c r="A5687">
        <v>0</v>
      </c>
      <c r="B5687">
        <v>0</v>
      </c>
      <c r="C5687">
        <v>0</v>
      </c>
      <c r="D5687">
        <v>0</v>
      </c>
      <c r="E5687">
        <v>0</v>
      </c>
    </row>
    <row r="5688" spans="1:5" x14ac:dyDescent="0.35">
      <c r="A5688">
        <v>0</v>
      </c>
      <c r="B5688">
        <v>0</v>
      </c>
      <c r="C5688">
        <v>0</v>
      </c>
      <c r="D5688">
        <v>0</v>
      </c>
      <c r="E5688">
        <v>0</v>
      </c>
    </row>
    <row r="5689" spans="1:5" x14ac:dyDescent="0.35">
      <c r="A5689">
        <v>0</v>
      </c>
      <c r="B5689">
        <v>0</v>
      </c>
      <c r="C5689">
        <v>0</v>
      </c>
      <c r="D5689">
        <v>0</v>
      </c>
      <c r="E5689">
        <v>0</v>
      </c>
    </row>
    <row r="5690" spans="1:5" x14ac:dyDescent="0.35">
      <c r="A5690">
        <v>0</v>
      </c>
      <c r="B5690">
        <v>0</v>
      </c>
      <c r="C5690">
        <v>0</v>
      </c>
      <c r="D5690">
        <v>0</v>
      </c>
      <c r="E5690">
        <v>0</v>
      </c>
    </row>
    <row r="5691" spans="1:5" x14ac:dyDescent="0.35">
      <c r="A5691">
        <v>0</v>
      </c>
      <c r="B5691">
        <v>0</v>
      </c>
      <c r="C5691">
        <v>0</v>
      </c>
      <c r="D5691">
        <v>0</v>
      </c>
      <c r="E5691">
        <v>0</v>
      </c>
    </row>
    <row r="5692" spans="1:5" x14ac:dyDescent="0.35">
      <c r="A5692">
        <v>0</v>
      </c>
      <c r="B5692">
        <v>0</v>
      </c>
      <c r="C5692">
        <v>0</v>
      </c>
      <c r="D5692">
        <v>0</v>
      </c>
      <c r="E5692">
        <v>0</v>
      </c>
    </row>
    <row r="5693" spans="1:5" x14ac:dyDescent="0.35">
      <c r="A5693">
        <v>0</v>
      </c>
      <c r="B5693">
        <v>0</v>
      </c>
      <c r="C5693">
        <v>0</v>
      </c>
      <c r="D5693">
        <v>0</v>
      </c>
      <c r="E5693">
        <v>0</v>
      </c>
    </row>
    <row r="5694" spans="1:5" x14ac:dyDescent="0.35">
      <c r="A5694">
        <v>0</v>
      </c>
      <c r="B5694">
        <v>0</v>
      </c>
      <c r="C5694">
        <v>0</v>
      </c>
      <c r="D5694">
        <v>0</v>
      </c>
      <c r="E5694">
        <v>0</v>
      </c>
    </row>
    <row r="5695" spans="1:5" x14ac:dyDescent="0.35">
      <c r="A5695">
        <v>0</v>
      </c>
      <c r="B5695">
        <v>0</v>
      </c>
      <c r="C5695">
        <v>0</v>
      </c>
      <c r="D5695">
        <v>0</v>
      </c>
      <c r="E5695">
        <v>0</v>
      </c>
    </row>
    <row r="5696" spans="1:5" x14ac:dyDescent="0.35">
      <c r="A5696">
        <v>0</v>
      </c>
      <c r="B5696">
        <v>0</v>
      </c>
      <c r="C5696">
        <v>0</v>
      </c>
      <c r="D5696">
        <v>0</v>
      </c>
      <c r="E5696">
        <v>0</v>
      </c>
    </row>
    <row r="5697" spans="1:5" x14ac:dyDescent="0.35">
      <c r="A5697">
        <v>0</v>
      </c>
      <c r="B5697">
        <v>0</v>
      </c>
      <c r="C5697">
        <v>0</v>
      </c>
      <c r="D5697">
        <v>0</v>
      </c>
      <c r="E5697">
        <v>0</v>
      </c>
    </row>
    <row r="5698" spans="1:5" x14ac:dyDescent="0.35">
      <c r="A5698">
        <v>0</v>
      </c>
      <c r="B5698">
        <v>0</v>
      </c>
      <c r="C5698">
        <v>0</v>
      </c>
      <c r="D5698">
        <v>0</v>
      </c>
      <c r="E5698">
        <v>0</v>
      </c>
    </row>
    <row r="5699" spans="1:5" x14ac:dyDescent="0.35">
      <c r="A5699">
        <v>0</v>
      </c>
      <c r="B5699">
        <v>0</v>
      </c>
      <c r="C5699">
        <v>0</v>
      </c>
      <c r="D5699">
        <v>0</v>
      </c>
      <c r="E5699">
        <v>0</v>
      </c>
    </row>
    <row r="5700" spans="1:5" x14ac:dyDescent="0.35">
      <c r="A5700">
        <v>0</v>
      </c>
      <c r="B5700">
        <v>0</v>
      </c>
      <c r="C5700">
        <v>0</v>
      </c>
      <c r="D5700">
        <v>0</v>
      </c>
      <c r="E5700">
        <v>0</v>
      </c>
    </row>
    <row r="5701" spans="1:5" x14ac:dyDescent="0.35">
      <c r="A5701">
        <v>0</v>
      </c>
      <c r="B5701">
        <v>0</v>
      </c>
      <c r="C5701">
        <v>0</v>
      </c>
      <c r="D5701">
        <v>0</v>
      </c>
      <c r="E5701">
        <v>0</v>
      </c>
    </row>
    <row r="5702" spans="1:5" x14ac:dyDescent="0.35">
      <c r="A5702">
        <v>0</v>
      </c>
      <c r="B5702">
        <v>0</v>
      </c>
      <c r="C5702">
        <v>0</v>
      </c>
      <c r="D5702">
        <v>0</v>
      </c>
      <c r="E5702">
        <v>0</v>
      </c>
    </row>
    <row r="5703" spans="1:5" x14ac:dyDescent="0.35">
      <c r="A5703">
        <v>0</v>
      </c>
      <c r="B5703">
        <v>0</v>
      </c>
      <c r="C5703">
        <v>0</v>
      </c>
      <c r="D5703">
        <v>0</v>
      </c>
      <c r="E5703">
        <v>0</v>
      </c>
    </row>
    <row r="5704" spans="1:5" x14ac:dyDescent="0.35">
      <c r="A5704">
        <v>0</v>
      </c>
      <c r="B5704">
        <v>0</v>
      </c>
      <c r="C5704">
        <v>0</v>
      </c>
      <c r="D5704">
        <v>0</v>
      </c>
      <c r="E5704">
        <v>0</v>
      </c>
    </row>
    <row r="5705" spans="1:5" x14ac:dyDescent="0.35">
      <c r="A5705">
        <v>0</v>
      </c>
      <c r="B5705">
        <v>0</v>
      </c>
      <c r="C5705">
        <v>0</v>
      </c>
      <c r="D5705">
        <v>0</v>
      </c>
      <c r="E5705">
        <v>0</v>
      </c>
    </row>
    <row r="5706" spans="1:5" x14ac:dyDescent="0.35">
      <c r="A5706">
        <v>0</v>
      </c>
      <c r="B5706">
        <v>0</v>
      </c>
      <c r="C5706">
        <v>0</v>
      </c>
      <c r="D5706">
        <v>0</v>
      </c>
      <c r="E5706">
        <v>0</v>
      </c>
    </row>
    <row r="5707" spans="1:5" x14ac:dyDescent="0.35">
      <c r="A5707">
        <v>0</v>
      </c>
      <c r="B5707">
        <v>0</v>
      </c>
      <c r="C5707">
        <v>0</v>
      </c>
      <c r="D5707">
        <v>0</v>
      </c>
      <c r="E5707">
        <v>0</v>
      </c>
    </row>
    <row r="5708" spans="1:5" x14ac:dyDescent="0.35">
      <c r="A5708">
        <v>0</v>
      </c>
      <c r="B5708">
        <v>0</v>
      </c>
      <c r="C5708">
        <v>0</v>
      </c>
      <c r="D5708">
        <v>0</v>
      </c>
      <c r="E5708">
        <v>0</v>
      </c>
    </row>
    <row r="5709" spans="1:5" x14ac:dyDescent="0.35">
      <c r="A5709">
        <v>0</v>
      </c>
      <c r="B5709">
        <v>0</v>
      </c>
      <c r="C5709">
        <v>0</v>
      </c>
      <c r="D5709">
        <v>0</v>
      </c>
      <c r="E5709">
        <v>0</v>
      </c>
    </row>
    <row r="5710" spans="1:5" x14ac:dyDescent="0.35">
      <c r="A5710">
        <v>0</v>
      </c>
      <c r="B5710">
        <v>0</v>
      </c>
      <c r="C5710">
        <v>0</v>
      </c>
      <c r="D5710">
        <v>0</v>
      </c>
      <c r="E5710">
        <v>0</v>
      </c>
    </row>
    <row r="5711" spans="1:5" x14ac:dyDescent="0.35">
      <c r="A5711">
        <v>0</v>
      </c>
      <c r="B5711">
        <v>0</v>
      </c>
      <c r="C5711">
        <v>0</v>
      </c>
      <c r="D5711">
        <v>0</v>
      </c>
      <c r="E5711">
        <v>0</v>
      </c>
    </row>
    <row r="5712" spans="1:5" x14ac:dyDescent="0.35">
      <c r="A5712">
        <v>0</v>
      </c>
      <c r="B5712">
        <v>0</v>
      </c>
      <c r="C5712">
        <v>0</v>
      </c>
      <c r="D5712">
        <v>0</v>
      </c>
      <c r="E5712">
        <v>0</v>
      </c>
    </row>
    <row r="5713" spans="1:5" x14ac:dyDescent="0.35">
      <c r="A5713">
        <v>0</v>
      </c>
      <c r="B5713">
        <v>0</v>
      </c>
      <c r="C5713">
        <v>0</v>
      </c>
      <c r="D5713">
        <v>0</v>
      </c>
      <c r="E5713">
        <v>0</v>
      </c>
    </row>
    <row r="5714" spans="1:5" x14ac:dyDescent="0.35">
      <c r="A5714">
        <v>0</v>
      </c>
      <c r="B5714">
        <v>0</v>
      </c>
      <c r="C5714">
        <v>0</v>
      </c>
      <c r="D5714">
        <v>0</v>
      </c>
      <c r="E5714">
        <v>0</v>
      </c>
    </row>
    <row r="5715" spans="1:5" x14ac:dyDescent="0.35">
      <c r="A5715">
        <v>0</v>
      </c>
      <c r="B5715">
        <v>0</v>
      </c>
      <c r="C5715">
        <v>0</v>
      </c>
      <c r="D5715">
        <v>0</v>
      </c>
      <c r="E5715">
        <v>0</v>
      </c>
    </row>
    <row r="5716" spans="1:5" x14ac:dyDescent="0.35">
      <c r="A5716">
        <v>0</v>
      </c>
      <c r="B5716">
        <v>0</v>
      </c>
      <c r="C5716">
        <v>0</v>
      </c>
      <c r="D5716">
        <v>0</v>
      </c>
      <c r="E5716">
        <v>0</v>
      </c>
    </row>
    <row r="5717" spans="1:5" x14ac:dyDescent="0.35">
      <c r="A5717">
        <v>0</v>
      </c>
      <c r="B5717">
        <v>0</v>
      </c>
      <c r="C5717">
        <v>0</v>
      </c>
      <c r="D5717">
        <v>0</v>
      </c>
      <c r="E5717">
        <v>0</v>
      </c>
    </row>
    <row r="5718" spans="1:5" x14ac:dyDescent="0.35">
      <c r="A5718">
        <v>0</v>
      </c>
      <c r="B5718">
        <v>0</v>
      </c>
      <c r="C5718">
        <v>0</v>
      </c>
      <c r="D5718">
        <v>0</v>
      </c>
      <c r="E5718">
        <v>0</v>
      </c>
    </row>
    <row r="5719" spans="1:5" x14ac:dyDescent="0.35">
      <c r="A5719">
        <v>0</v>
      </c>
      <c r="B5719">
        <v>0</v>
      </c>
      <c r="C5719">
        <v>0</v>
      </c>
      <c r="D5719">
        <v>0</v>
      </c>
      <c r="E5719">
        <v>0</v>
      </c>
    </row>
    <row r="5720" spans="1:5" x14ac:dyDescent="0.35">
      <c r="A5720">
        <v>0</v>
      </c>
      <c r="B5720">
        <v>0</v>
      </c>
      <c r="C5720">
        <v>0</v>
      </c>
      <c r="D5720">
        <v>0</v>
      </c>
      <c r="E5720">
        <v>0</v>
      </c>
    </row>
    <row r="5721" spans="1:5" x14ac:dyDescent="0.35">
      <c r="A5721">
        <v>0</v>
      </c>
      <c r="B5721">
        <v>0</v>
      </c>
      <c r="C5721">
        <v>0</v>
      </c>
      <c r="D5721">
        <v>0</v>
      </c>
      <c r="E5721">
        <v>0</v>
      </c>
    </row>
    <row r="5722" spans="1:5" x14ac:dyDescent="0.35">
      <c r="A5722">
        <v>0</v>
      </c>
      <c r="B5722">
        <v>0</v>
      </c>
      <c r="C5722">
        <v>0</v>
      </c>
      <c r="D5722">
        <v>0</v>
      </c>
      <c r="E5722">
        <v>0</v>
      </c>
    </row>
    <row r="5723" spans="1:5" x14ac:dyDescent="0.35">
      <c r="A5723">
        <v>0</v>
      </c>
      <c r="B5723">
        <v>0</v>
      </c>
      <c r="C5723">
        <v>0</v>
      </c>
      <c r="D5723">
        <v>0</v>
      </c>
      <c r="E5723">
        <v>0</v>
      </c>
    </row>
    <row r="5724" spans="1:5" x14ac:dyDescent="0.35">
      <c r="A5724">
        <v>0</v>
      </c>
      <c r="B5724">
        <v>0</v>
      </c>
      <c r="C5724">
        <v>0</v>
      </c>
      <c r="D5724">
        <v>0</v>
      </c>
      <c r="E5724">
        <v>0</v>
      </c>
    </row>
    <row r="5725" spans="1:5" x14ac:dyDescent="0.35">
      <c r="A5725">
        <v>0</v>
      </c>
      <c r="B5725">
        <v>0</v>
      </c>
      <c r="C5725">
        <v>0</v>
      </c>
      <c r="D5725">
        <v>0</v>
      </c>
      <c r="E5725">
        <v>0</v>
      </c>
    </row>
    <row r="5726" spans="1:5" x14ac:dyDescent="0.35">
      <c r="A5726">
        <v>0</v>
      </c>
      <c r="B5726">
        <v>0</v>
      </c>
      <c r="C5726">
        <v>0</v>
      </c>
      <c r="D5726">
        <v>0</v>
      </c>
      <c r="E5726">
        <v>0</v>
      </c>
    </row>
    <row r="5727" spans="1:5" x14ac:dyDescent="0.35">
      <c r="A5727">
        <v>0</v>
      </c>
      <c r="B5727">
        <v>0</v>
      </c>
      <c r="C5727">
        <v>0</v>
      </c>
      <c r="D5727">
        <v>0</v>
      </c>
      <c r="E5727">
        <v>0</v>
      </c>
    </row>
    <row r="5728" spans="1:5" x14ac:dyDescent="0.35">
      <c r="A5728">
        <v>0</v>
      </c>
      <c r="B5728">
        <v>0</v>
      </c>
      <c r="C5728">
        <v>0</v>
      </c>
      <c r="D5728">
        <v>0</v>
      </c>
      <c r="E5728">
        <v>0</v>
      </c>
    </row>
    <row r="5729" spans="1:5" x14ac:dyDescent="0.35">
      <c r="A5729">
        <v>0</v>
      </c>
      <c r="B5729">
        <v>0</v>
      </c>
      <c r="C5729">
        <v>0</v>
      </c>
      <c r="D5729">
        <v>0</v>
      </c>
      <c r="E5729">
        <v>0</v>
      </c>
    </row>
    <row r="5730" spans="1:5" x14ac:dyDescent="0.35">
      <c r="A5730">
        <v>0</v>
      </c>
      <c r="B5730">
        <v>0</v>
      </c>
      <c r="C5730">
        <v>0</v>
      </c>
      <c r="D5730">
        <v>0</v>
      </c>
      <c r="E5730">
        <v>0</v>
      </c>
    </row>
    <row r="5731" spans="1:5" x14ac:dyDescent="0.35">
      <c r="A5731">
        <v>0</v>
      </c>
      <c r="B5731">
        <v>0</v>
      </c>
      <c r="C5731">
        <v>0</v>
      </c>
      <c r="D5731">
        <v>0</v>
      </c>
      <c r="E5731">
        <v>0</v>
      </c>
    </row>
    <row r="5732" spans="1:5" x14ac:dyDescent="0.35">
      <c r="A5732">
        <v>0</v>
      </c>
      <c r="B5732">
        <v>0</v>
      </c>
      <c r="C5732">
        <v>0</v>
      </c>
      <c r="D5732">
        <v>0</v>
      </c>
      <c r="E5732">
        <v>0</v>
      </c>
    </row>
    <row r="5733" spans="1:5" x14ac:dyDescent="0.35">
      <c r="A5733">
        <v>0</v>
      </c>
      <c r="B5733">
        <v>0</v>
      </c>
      <c r="C5733">
        <v>0</v>
      </c>
      <c r="D5733">
        <v>0</v>
      </c>
      <c r="E5733">
        <v>0</v>
      </c>
    </row>
    <row r="5734" spans="1:5" x14ac:dyDescent="0.35">
      <c r="A5734">
        <v>0</v>
      </c>
      <c r="B5734">
        <v>0</v>
      </c>
      <c r="C5734">
        <v>0</v>
      </c>
      <c r="D5734">
        <v>0</v>
      </c>
      <c r="E5734">
        <v>0</v>
      </c>
    </row>
    <row r="5735" spans="1:5" x14ac:dyDescent="0.35">
      <c r="A5735">
        <v>0</v>
      </c>
      <c r="B5735">
        <v>0</v>
      </c>
      <c r="C5735">
        <v>0</v>
      </c>
      <c r="D5735">
        <v>0</v>
      </c>
      <c r="E5735">
        <v>0</v>
      </c>
    </row>
    <row r="5736" spans="1:5" x14ac:dyDescent="0.35">
      <c r="A5736">
        <v>0</v>
      </c>
      <c r="B5736">
        <v>0</v>
      </c>
      <c r="C5736">
        <v>0</v>
      </c>
      <c r="D5736">
        <v>0</v>
      </c>
      <c r="E5736">
        <v>0</v>
      </c>
    </row>
    <row r="5737" spans="1:5" x14ac:dyDescent="0.35">
      <c r="A5737">
        <v>0</v>
      </c>
      <c r="B5737">
        <v>0</v>
      </c>
      <c r="C5737">
        <v>0</v>
      </c>
      <c r="D5737">
        <v>0</v>
      </c>
      <c r="E5737">
        <v>0</v>
      </c>
    </row>
    <row r="5738" spans="1:5" x14ac:dyDescent="0.35">
      <c r="A5738">
        <v>0</v>
      </c>
      <c r="B5738">
        <v>0</v>
      </c>
      <c r="C5738">
        <v>0</v>
      </c>
      <c r="D5738">
        <v>0</v>
      </c>
      <c r="E5738">
        <v>0</v>
      </c>
    </row>
    <row r="5739" spans="1:5" x14ac:dyDescent="0.35">
      <c r="A5739">
        <v>0</v>
      </c>
      <c r="B5739">
        <v>0</v>
      </c>
      <c r="C5739">
        <v>0</v>
      </c>
      <c r="D5739">
        <v>0</v>
      </c>
      <c r="E5739">
        <v>0</v>
      </c>
    </row>
    <row r="5740" spans="1:5" x14ac:dyDescent="0.35">
      <c r="A5740">
        <v>0</v>
      </c>
      <c r="B5740">
        <v>0</v>
      </c>
      <c r="C5740">
        <v>0</v>
      </c>
      <c r="D5740">
        <v>0</v>
      </c>
      <c r="E5740">
        <v>0</v>
      </c>
    </row>
    <row r="5741" spans="1:5" x14ac:dyDescent="0.35">
      <c r="A5741">
        <v>0</v>
      </c>
      <c r="B5741">
        <v>0</v>
      </c>
      <c r="C5741">
        <v>0</v>
      </c>
      <c r="D5741">
        <v>0</v>
      </c>
      <c r="E5741">
        <v>0</v>
      </c>
    </row>
    <row r="5742" spans="1:5" x14ac:dyDescent="0.35">
      <c r="A5742">
        <v>0</v>
      </c>
      <c r="B5742">
        <v>0</v>
      </c>
      <c r="C5742">
        <v>0</v>
      </c>
      <c r="D5742">
        <v>0</v>
      </c>
      <c r="E5742">
        <v>0</v>
      </c>
    </row>
    <row r="5743" spans="1:5" x14ac:dyDescent="0.35">
      <c r="A5743">
        <v>0</v>
      </c>
      <c r="B5743">
        <v>0</v>
      </c>
      <c r="C5743">
        <v>0</v>
      </c>
      <c r="D5743">
        <v>0</v>
      </c>
      <c r="E5743">
        <v>0</v>
      </c>
    </row>
    <row r="5744" spans="1:5" x14ac:dyDescent="0.35">
      <c r="A5744">
        <v>0</v>
      </c>
      <c r="B5744">
        <v>0</v>
      </c>
      <c r="C5744">
        <v>0</v>
      </c>
      <c r="D5744">
        <v>0</v>
      </c>
      <c r="E5744">
        <v>0</v>
      </c>
    </row>
    <row r="5745" spans="1:5" x14ac:dyDescent="0.35">
      <c r="A5745">
        <v>0</v>
      </c>
      <c r="B5745">
        <v>0</v>
      </c>
      <c r="C5745">
        <v>0</v>
      </c>
      <c r="D5745">
        <v>0</v>
      </c>
      <c r="E5745">
        <v>0</v>
      </c>
    </row>
    <row r="5746" spans="1:5" x14ac:dyDescent="0.35">
      <c r="A5746">
        <v>0</v>
      </c>
      <c r="B5746">
        <v>0</v>
      </c>
      <c r="C5746">
        <v>0</v>
      </c>
      <c r="D5746">
        <v>0</v>
      </c>
      <c r="E5746">
        <v>0</v>
      </c>
    </row>
    <row r="5747" spans="1:5" x14ac:dyDescent="0.35">
      <c r="A5747">
        <v>0</v>
      </c>
      <c r="B5747">
        <v>0</v>
      </c>
      <c r="C5747">
        <v>0</v>
      </c>
      <c r="D5747">
        <v>0</v>
      </c>
      <c r="E5747">
        <v>0</v>
      </c>
    </row>
    <row r="5748" spans="1:5" x14ac:dyDescent="0.35">
      <c r="A5748">
        <v>0</v>
      </c>
      <c r="B5748">
        <v>0</v>
      </c>
      <c r="C5748">
        <v>0</v>
      </c>
      <c r="D5748">
        <v>0</v>
      </c>
      <c r="E5748">
        <v>0</v>
      </c>
    </row>
    <row r="5749" spans="1:5" x14ac:dyDescent="0.35">
      <c r="A5749">
        <v>0</v>
      </c>
      <c r="B5749">
        <v>0</v>
      </c>
      <c r="C5749">
        <v>0</v>
      </c>
      <c r="D5749">
        <v>0</v>
      </c>
      <c r="E5749">
        <v>0</v>
      </c>
    </row>
    <row r="5750" spans="1:5" x14ac:dyDescent="0.35">
      <c r="A5750">
        <v>0</v>
      </c>
      <c r="B5750">
        <v>0</v>
      </c>
      <c r="C5750">
        <v>0</v>
      </c>
      <c r="D5750">
        <v>0</v>
      </c>
      <c r="E5750">
        <v>0</v>
      </c>
    </row>
    <row r="5751" spans="1:5" x14ac:dyDescent="0.35">
      <c r="A5751">
        <v>0</v>
      </c>
      <c r="B5751">
        <v>0</v>
      </c>
      <c r="C5751">
        <v>0</v>
      </c>
      <c r="D5751">
        <v>0</v>
      </c>
      <c r="E5751">
        <v>0</v>
      </c>
    </row>
    <row r="5752" spans="1:5" x14ac:dyDescent="0.35">
      <c r="A5752">
        <v>0</v>
      </c>
      <c r="B5752">
        <v>0</v>
      </c>
      <c r="C5752">
        <v>0</v>
      </c>
      <c r="D5752">
        <v>0</v>
      </c>
      <c r="E5752">
        <v>0</v>
      </c>
    </row>
    <row r="5753" spans="1:5" x14ac:dyDescent="0.35">
      <c r="A5753">
        <v>0</v>
      </c>
      <c r="B5753">
        <v>0</v>
      </c>
      <c r="C5753">
        <v>0</v>
      </c>
      <c r="D5753">
        <v>0</v>
      </c>
      <c r="E5753">
        <v>0</v>
      </c>
    </row>
    <row r="5754" spans="1:5" x14ac:dyDescent="0.35">
      <c r="A5754">
        <v>0</v>
      </c>
      <c r="B5754">
        <v>0</v>
      </c>
      <c r="C5754">
        <v>0</v>
      </c>
      <c r="D5754">
        <v>0</v>
      </c>
      <c r="E5754">
        <v>0</v>
      </c>
    </row>
    <row r="5755" spans="1:5" x14ac:dyDescent="0.35">
      <c r="A5755">
        <v>0</v>
      </c>
      <c r="B5755">
        <v>0</v>
      </c>
      <c r="C5755">
        <v>0</v>
      </c>
      <c r="D5755">
        <v>0</v>
      </c>
      <c r="E5755">
        <v>0</v>
      </c>
    </row>
    <row r="5756" spans="1:5" x14ac:dyDescent="0.35">
      <c r="A5756">
        <v>0</v>
      </c>
      <c r="B5756">
        <v>0</v>
      </c>
      <c r="C5756">
        <v>0</v>
      </c>
      <c r="D5756">
        <v>0</v>
      </c>
      <c r="E5756">
        <v>0</v>
      </c>
    </row>
    <row r="5757" spans="1:5" x14ac:dyDescent="0.35">
      <c r="A5757">
        <v>0</v>
      </c>
      <c r="B5757">
        <v>0</v>
      </c>
      <c r="C5757">
        <v>0</v>
      </c>
      <c r="D5757">
        <v>0</v>
      </c>
      <c r="E5757">
        <v>0</v>
      </c>
    </row>
    <row r="5758" spans="1:5" x14ac:dyDescent="0.35">
      <c r="A5758">
        <v>0</v>
      </c>
      <c r="B5758">
        <v>0</v>
      </c>
      <c r="C5758">
        <v>0</v>
      </c>
      <c r="D5758">
        <v>0</v>
      </c>
      <c r="E5758">
        <v>0</v>
      </c>
    </row>
    <row r="5759" spans="1:5" x14ac:dyDescent="0.35">
      <c r="A5759">
        <v>0</v>
      </c>
      <c r="B5759">
        <v>0</v>
      </c>
      <c r="C5759">
        <v>0</v>
      </c>
      <c r="D5759">
        <v>0</v>
      </c>
      <c r="E5759">
        <v>0</v>
      </c>
    </row>
    <row r="5760" spans="1:5" x14ac:dyDescent="0.35">
      <c r="A5760">
        <v>0</v>
      </c>
      <c r="B5760">
        <v>0</v>
      </c>
      <c r="C5760">
        <v>0</v>
      </c>
      <c r="D5760">
        <v>0</v>
      </c>
      <c r="E5760">
        <v>0</v>
      </c>
    </row>
    <row r="5761" spans="1:5" x14ac:dyDescent="0.35">
      <c r="A5761">
        <v>0</v>
      </c>
      <c r="B5761">
        <v>0</v>
      </c>
      <c r="C5761">
        <v>0</v>
      </c>
      <c r="D5761">
        <v>0</v>
      </c>
      <c r="E5761">
        <v>0</v>
      </c>
    </row>
    <row r="5762" spans="1:5" x14ac:dyDescent="0.35">
      <c r="A5762">
        <v>0</v>
      </c>
      <c r="B5762">
        <v>0</v>
      </c>
      <c r="C5762">
        <v>0</v>
      </c>
      <c r="D5762">
        <v>0</v>
      </c>
      <c r="E5762">
        <v>0</v>
      </c>
    </row>
    <row r="5763" spans="1:5" x14ac:dyDescent="0.35">
      <c r="A5763">
        <v>0</v>
      </c>
      <c r="B5763">
        <v>0</v>
      </c>
      <c r="C5763">
        <v>0</v>
      </c>
      <c r="D5763">
        <v>0</v>
      </c>
      <c r="E5763">
        <v>0</v>
      </c>
    </row>
    <row r="5764" spans="1:5" x14ac:dyDescent="0.35">
      <c r="A5764">
        <v>0</v>
      </c>
      <c r="B5764">
        <v>0</v>
      </c>
      <c r="C5764">
        <v>0</v>
      </c>
      <c r="D5764">
        <v>0</v>
      </c>
      <c r="E5764">
        <v>0</v>
      </c>
    </row>
    <row r="5765" spans="1:5" x14ac:dyDescent="0.35">
      <c r="A5765">
        <v>0</v>
      </c>
      <c r="B5765">
        <v>0</v>
      </c>
      <c r="C5765">
        <v>0</v>
      </c>
      <c r="D5765">
        <v>0</v>
      </c>
      <c r="E5765">
        <v>0</v>
      </c>
    </row>
    <row r="5766" spans="1:5" x14ac:dyDescent="0.35">
      <c r="A5766">
        <v>0</v>
      </c>
      <c r="B5766">
        <v>0</v>
      </c>
      <c r="C5766">
        <v>0</v>
      </c>
      <c r="D5766">
        <v>0</v>
      </c>
      <c r="E5766">
        <v>0</v>
      </c>
    </row>
    <row r="5767" spans="1:5" x14ac:dyDescent="0.35">
      <c r="A5767">
        <v>0</v>
      </c>
      <c r="B5767">
        <v>0</v>
      </c>
      <c r="C5767">
        <v>0</v>
      </c>
      <c r="D5767">
        <v>0</v>
      </c>
      <c r="E5767">
        <v>0</v>
      </c>
    </row>
    <row r="5768" spans="1:5" x14ac:dyDescent="0.35">
      <c r="A5768">
        <v>0</v>
      </c>
      <c r="B5768">
        <v>0</v>
      </c>
      <c r="C5768">
        <v>0</v>
      </c>
      <c r="D5768">
        <v>0</v>
      </c>
      <c r="E5768">
        <v>0</v>
      </c>
    </row>
    <row r="5769" spans="1:5" x14ac:dyDescent="0.35">
      <c r="A5769">
        <v>0</v>
      </c>
      <c r="B5769">
        <v>0</v>
      </c>
      <c r="C5769">
        <v>0</v>
      </c>
      <c r="D5769">
        <v>0</v>
      </c>
      <c r="E5769">
        <v>0</v>
      </c>
    </row>
    <row r="5770" spans="1:5" x14ac:dyDescent="0.35">
      <c r="A5770">
        <v>0</v>
      </c>
      <c r="B5770">
        <v>0</v>
      </c>
      <c r="C5770">
        <v>0</v>
      </c>
      <c r="D5770">
        <v>0</v>
      </c>
      <c r="E5770">
        <v>0</v>
      </c>
    </row>
    <row r="5771" spans="1:5" x14ac:dyDescent="0.35">
      <c r="A5771">
        <v>0</v>
      </c>
      <c r="B5771">
        <v>0</v>
      </c>
      <c r="C5771">
        <v>0</v>
      </c>
      <c r="D5771">
        <v>0</v>
      </c>
      <c r="E5771">
        <v>0</v>
      </c>
    </row>
    <row r="5772" spans="1:5" x14ac:dyDescent="0.35">
      <c r="A5772">
        <v>0</v>
      </c>
      <c r="B5772">
        <v>0</v>
      </c>
      <c r="C5772">
        <v>0</v>
      </c>
      <c r="D5772">
        <v>0</v>
      </c>
      <c r="E5772">
        <v>0</v>
      </c>
    </row>
    <row r="5773" spans="1:5" x14ac:dyDescent="0.35">
      <c r="A5773">
        <v>0</v>
      </c>
      <c r="B5773">
        <v>0</v>
      </c>
      <c r="C5773">
        <v>0</v>
      </c>
      <c r="D5773">
        <v>0</v>
      </c>
      <c r="E5773">
        <v>0</v>
      </c>
    </row>
    <row r="5774" spans="1:5" x14ac:dyDescent="0.35">
      <c r="A5774">
        <v>0</v>
      </c>
      <c r="B5774">
        <v>0</v>
      </c>
      <c r="C5774">
        <v>0</v>
      </c>
      <c r="D5774">
        <v>0</v>
      </c>
      <c r="E5774">
        <v>0</v>
      </c>
    </row>
    <row r="5775" spans="1:5" x14ac:dyDescent="0.35">
      <c r="A5775">
        <v>0</v>
      </c>
      <c r="B5775">
        <v>0</v>
      </c>
      <c r="C5775">
        <v>0</v>
      </c>
      <c r="D5775">
        <v>0</v>
      </c>
      <c r="E5775">
        <v>0</v>
      </c>
    </row>
    <row r="5776" spans="1:5" x14ac:dyDescent="0.35">
      <c r="A5776">
        <v>0</v>
      </c>
      <c r="B5776">
        <v>0</v>
      </c>
      <c r="C5776">
        <v>0</v>
      </c>
      <c r="D5776">
        <v>0</v>
      </c>
      <c r="E5776">
        <v>0</v>
      </c>
    </row>
    <row r="5777" spans="1:5" x14ac:dyDescent="0.35">
      <c r="A5777">
        <v>0</v>
      </c>
      <c r="B5777">
        <v>0</v>
      </c>
      <c r="C5777">
        <v>0</v>
      </c>
      <c r="D5777">
        <v>0</v>
      </c>
      <c r="E5777">
        <v>0</v>
      </c>
    </row>
    <row r="5778" spans="1:5" x14ac:dyDescent="0.35">
      <c r="A5778">
        <v>0</v>
      </c>
      <c r="B5778">
        <v>0</v>
      </c>
      <c r="C5778">
        <v>0</v>
      </c>
      <c r="D5778">
        <v>0</v>
      </c>
      <c r="E5778">
        <v>0</v>
      </c>
    </row>
    <row r="5779" spans="1:5" x14ac:dyDescent="0.35">
      <c r="A5779">
        <v>0</v>
      </c>
      <c r="B5779">
        <v>0</v>
      </c>
      <c r="C5779">
        <v>0</v>
      </c>
      <c r="D5779">
        <v>0</v>
      </c>
      <c r="E5779">
        <v>0</v>
      </c>
    </row>
    <row r="5780" spans="1:5" x14ac:dyDescent="0.35">
      <c r="A5780">
        <v>0</v>
      </c>
      <c r="B5780">
        <v>0</v>
      </c>
      <c r="C5780">
        <v>0</v>
      </c>
      <c r="D5780">
        <v>0</v>
      </c>
      <c r="E5780">
        <v>0</v>
      </c>
    </row>
    <row r="5781" spans="1:5" x14ac:dyDescent="0.35">
      <c r="A5781">
        <v>0</v>
      </c>
      <c r="B5781">
        <v>0</v>
      </c>
      <c r="C5781">
        <v>0</v>
      </c>
      <c r="D5781">
        <v>0</v>
      </c>
      <c r="E5781">
        <v>0</v>
      </c>
    </row>
    <row r="5782" spans="1:5" x14ac:dyDescent="0.35">
      <c r="A5782">
        <v>0</v>
      </c>
      <c r="B5782">
        <v>0</v>
      </c>
      <c r="C5782">
        <v>0</v>
      </c>
      <c r="D5782">
        <v>0</v>
      </c>
      <c r="E5782">
        <v>0</v>
      </c>
    </row>
    <row r="5783" spans="1:5" x14ac:dyDescent="0.35">
      <c r="A5783">
        <v>0</v>
      </c>
      <c r="B5783">
        <v>0</v>
      </c>
      <c r="C5783">
        <v>0</v>
      </c>
      <c r="D5783">
        <v>0</v>
      </c>
      <c r="E5783">
        <v>0</v>
      </c>
    </row>
    <row r="5784" spans="1:5" x14ac:dyDescent="0.35">
      <c r="A5784">
        <v>0</v>
      </c>
      <c r="B5784">
        <v>0</v>
      </c>
      <c r="C5784">
        <v>0</v>
      </c>
      <c r="D5784">
        <v>0</v>
      </c>
      <c r="E5784">
        <v>0</v>
      </c>
    </row>
    <row r="5785" spans="1:5" x14ac:dyDescent="0.35">
      <c r="A5785">
        <v>0</v>
      </c>
      <c r="B5785">
        <v>0</v>
      </c>
      <c r="C5785">
        <v>0</v>
      </c>
      <c r="D5785">
        <v>0</v>
      </c>
      <c r="E5785">
        <v>0</v>
      </c>
    </row>
    <row r="5786" spans="1:5" x14ac:dyDescent="0.35">
      <c r="A5786">
        <v>0</v>
      </c>
      <c r="B5786">
        <v>0</v>
      </c>
      <c r="C5786">
        <v>0</v>
      </c>
      <c r="D5786">
        <v>0</v>
      </c>
      <c r="E5786">
        <v>0</v>
      </c>
    </row>
    <row r="5787" spans="1:5" x14ac:dyDescent="0.35">
      <c r="A5787">
        <v>0</v>
      </c>
      <c r="B5787">
        <v>0</v>
      </c>
      <c r="C5787">
        <v>0</v>
      </c>
      <c r="D5787">
        <v>0</v>
      </c>
      <c r="E5787">
        <v>0</v>
      </c>
    </row>
    <row r="5788" spans="1:5" x14ac:dyDescent="0.35">
      <c r="A5788">
        <v>0</v>
      </c>
      <c r="B5788">
        <v>0</v>
      </c>
      <c r="C5788">
        <v>0</v>
      </c>
      <c r="D5788">
        <v>0</v>
      </c>
      <c r="E5788">
        <v>0</v>
      </c>
    </row>
    <row r="5789" spans="1:5" x14ac:dyDescent="0.35">
      <c r="A5789">
        <v>0</v>
      </c>
      <c r="B5789">
        <v>0</v>
      </c>
      <c r="C5789">
        <v>0</v>
      </c>
      <c r="D5789">
        <v>0</v>
      </c>
      <c r="E5789">
        <v>0</v>
      </c>
    </row>
    <row r="5790" spans="1:5" x14ac:dyDescent="0.35">
      <c r="A5790">
        <v>0</v>
      </c>
      <c r="B5790">
        <v>0</v>
      </c>
      <c r="C5790">
        <v>0</v>
      </c>
      <c r="D5790">
        <v>0</v>
      </c>
      <c r="E5790">
        <v>0</v>
      </c>
    </row>
    <row r="5791" spans="1:5" x14ac:dyDescent="0.35">
      <c r="A5791">
        <v>0</v>
      </c>
      <c r="B5791">
        <v>0</v>
      </c>
      <c r="C5791">
        <v>0</v>
      </c>
      <c r="D5791">
        <v>0</v>
      </c>
      <c r="E5791">
        <v>0</v>
      </c>
    </row>
    <row r="5792" spans="1:5" x14ac:dyDescent="0.35">
      <c r="A5792">
        <v>0</v>
      </c>
      <c r="B5792">
        <v>0</v>
      </c>
      <c r="C5792">
        <v>0</v>
      </c>
      <c r="D5792">
        <v>0</v>
      </c>
      <c r="E5792">
        <v>0</v>
      </c>
    </row>
    <row r="5793" spans="1:5" x14ac:dyDescent="0.35">
      <c r="A5793">
        <v>0</v>
      </c>
      <c r="B5793">
        <v>0</v>
      </c>
      <c r="C5793">
        <v>0</v>
      </c>
      <c r="D5793">
        <v>0</v>
      </c>
      <c r="E5793">
        <v>0</v>
      </c>
    </row>
    <row r="5794" spans="1:5" x14ac:dyDescent="0.35">
      <c r="A5794">
        <v>0</v>
      </c>
      <c r="B5794">
        <v>0</v>
      </c>
      <c r="C5794">
        <v>0</v>
      </c>
      <c r="D5794">
        <v>0</v>
      </c>
      <c r="E5794">
        <v>0</v>
      </c>
    </row>
    <row r="5795" spans="1:5" x14ac:dyDescent="0.35">
      <c r="A5795">
        <v>0</v>
      </c>
      <c r="B5795">
        <v>0</v>
      </c>
      <c r="C5795">
        <v>0</v>
      </c>
      <c r="D5795">
        <v>0</v>
      </c>
      <c r="E5795">
        <v>0</v>
      </c>
    </row>
    <row r="5796" spans="1:5" x14ac:dyDescent="0.35">
      <c r="A5796">
        <v>0</v>
      </c>
      <c r="B5796">
        <v>0</v>
      </c>
      <c r="C5796">
        <v>0</v>
      </c>
      <c r="D5796">
        <v>0</v>
      </c>
      <c r="E5796">
        <v>0</v>
      </c>
    </row>
    <row r="5797" spans="1:5" x14ac:dyDescent="0.35">
      <c r="A5797">
        <v>0</v>
      </c>
      <c r="B5797">
        <v>0</v>
      </c>
      <c r="C5797">
        <v>0</v>
      </c>
      <c r="D5797">
        <v>0</v>
      </c>
      <c r="E5797">
        <v>0</v>
      </c>
    </row>
    <row r="5798" spans="1:5" x14ac:dyDescent="0.35">
      <c r="A5798">
        <v>0</v>
      </c>
      <c r="B5798">
        <v>0</v>
      </c>
      <c r="C5798">
        <v>0</v>
      </c>
      <c r="D5798">
        <v>0</v>
      </c>
      <c r="E5798">
        <v>0</v>
      </c>
    </row>
    <row r="5799" spans="1:5" x14ac:dyDescent="0.35">
      <c r="A5799">
        <v>0</v>
      </c>
      <c r="B5799">
        <v>0</v>
      </c>
      <c r="C5799">
        <v>0</v>
      </c>
      <c r="D5799">
        <v>0</v>
      </c>
      <c r="E5799">
        <v>0</v>
      </c>
    </row>
    <row r="5800" spans="1:5" x14ac:dyDescent="0.35">
      <c r="A5800">
        <v>0</v>
      </c>
      <c r="B5800">
        <v>0</v>
      </c>
      <c r="C5800">
        <v>0</v>
      </c>
      <c r="D5800">
        <v>0</v>
      </c>
      <c r="E5800">
        <v>0</v>
      </c>
    </row>
    <row r="5801" spans="1:5" x14ac:dyDescent="0.35">
      <c r="A5801">
        <v>0</v>
      </c>
      <c r="B5801">
        <v>0</v>
      </c>
      <c r="C5801">
        <v>0</v>
      </c>
      <c r="D5801">
        <v>0</v>
      </c>
      <c r="E5801">
        <v>0</v>
      </c>
    </row>
    <row r="5802" spans="1:5" x14ac:dyDescent="0.35">
      <c r="A5802">
        <v>0</v>
      </c>
      <c r="B5802">
        <v>0</v>
      </c>
      <c r="C5802">
        <v>0</v>
      </c>
      <c r="D5802">
        <v>0</v>
      </c>
      <c r="E5802">
        <v>0</v>
      </c>
    </row>
    <row r="5803" spans="1:5" x14ac:dyDescent="0.35">
      <c r="A5803">
        <v>0</v>
      </c>
      <c r="B5803">
        <v>0</v>
      </c>
      <c r="C5803">
        <v>0</v>
      </c>
      <c r="D5803">
        <v>0</v>
      </c>
      <c r="E5803">
        <v>0</v>
      </c>
    </row>
    <row r="5804" spans="1:5" x14ac:dyDescent="0.35">
      <c r="A5804">
        <v>0</v>
      </c>
      <c r="B5804">
        <v>0</v>
      </c>
      <c r="C5804">
        <v>0</v>
      </c>
      <c r="D5804">
        <v>0</v>
      </c>
      <c r="E5804">
        <v>0</v>
      </c>
    </row>
    <row r="5805" spans="1:5" x14ac:dyDescent="0.35">
      <c r="A5805">
        <v>0</v>
      </c>
      <c r="B5805">
        <v>0</v>
      </c>
      <c r="C5805">
        <v>0</v>
      </c>
      <c r="D5805">
        <v>0</v>
      </c>
      <c r="E5805">
        <v>0</v>
      </c>
    </row>
    <row r="5806" spans="1:5" x14ac:dyDescent="0.35">
      <c r="A5806">
        <v>0</v>
      </c>
      <c r="B5806">
        <v>0</v>
      </c>
      <c r="C5806">
        <v>0</v>
      </c>
      <c r="D5806">
        <v>0</v>
      </c>
      <c r="E5806">
        <v>0</v>
      </c>
    </row>
    <row r="5807" spans="1:5" x14ac:dyDescent="0.35">
      <c r="A5807">
        <v>0</v>
      </c>
      <c r="B5807">
        <v>0</v>
      </c>
      <c r="C5807">
        <v>0</v>
      </c>
      <c r="D5807">
        <v>0</v>
      </c>
      <c r="E5807">
        <v>0</v>
      </c>
    </row>
    <row r="5808" spans="1:5" x14ac:dyDescent="0.35">
      <c r="A5808">
        <v>0</v>
      </c>
      <c r="B5808">
        <v>0</v>
      </c>
      <c r="C5808">
        <v>0</v>
      </c>
      <c r="D5808">
        <v>0</v>
      </c>
      <c r="E5808">
        <v>0</v>
      </c>
    </row>
    <row r="5809" spans="1:5" x14ac:dyDescent="0.35">
      <c r="A5809">
        <v>0</v>
      </c>
      <c r="B5809">
        <v>0</v>
      </c>
      <c r="C5809">
        <v>0</v>
      </c>
      <c r="D5809">
        <v>0</v>
      </c>
      <c r="E5809">
        <v>0</v>
      </c>
    </row>
    <row r="5810" spans="1:5" x14ac:dyDescent="0.35">
      <c r="A5810">
        <v>0</v>
      </c>
      <c r="B5810">
        <v>0</v>
      </c>
      <c r="C5810">
        <v>0</v>
      </c>
      <c r="D5810">
        <v>0</v>
      </c>
      <c r="E5810">
        <v>0</v>
      </c>
    </row>
    <row r="5811" spans="1:5" x14ac:dyDescent="0.35">
      <c r="A5811">
        <v>0</v>
      </c>
      <c r="B5811">
        <v>0</v>
      </c>
      <c r="C5811">
        <v>0</v>
      </c>
      <c r="D5811">
        <v>0</v>
      </c>
      <c r="E5811">
        <v>0</v>
      </c>
    </row>
    <row r="5812" spans="1:5" x14ac:dyDescent="0.35">
      <c r="A5812">
        <v>0</v>
      </c>
      <c r="B5812">
        <v>0</v>
      </c>
      <c r="C5812">
        <v>0</v>
      </c>
      <c r="D5812">
        <v>0</v>
      </c>
      <c r="E5812">
        <v>0</v>
      </c>
    </row>
    <row r="5813" spans="1:5" x14ac:dyDescent="0.35">
      <c r="A5813">
        <v>0</v>
      </c>
      <c r="B5813">
        <v>0</v>
      </c>
      <c r="C5813">
        <v>0</v>
      </c>
      <c r="D5813">
        <v>0</v>
      </c>
      <c r="E5813">
        <v>0</v>
      </c>
    </row>
    <row r="5814" spans="1:5" x14ac:dyDescent="0.35">
      <c r="A5814">
        <v>0</v>
      </c>
      <c r="B5814">
        <v>0</v>
      </c>
      <c r="C5814">
        <v>0</v>
      </c>
      <c r="D5814">
        <v>0</v>
      </c>
      <c r="E5814">
        <v>0</v>
      </c>
    </row>
    <row r="5815" spans="1:5" x14ac:dyDescent="0.35">
      <c r="A5815">
        <v>0</v>
      </c>
      <c r="B5815">
        <v>0</v>
      </c>
      <c r="C5815">
        <v>0</v>
      </c>
      <c r="D5815">
        <v>0</v>
      </c>
      <c r="E5815">
        <v>0</v>
      </c>
    </row>
    <row r="5816" spans="1:5" x14ac:dyDescent="0.35">
      <c r="A5816">
        <v>0</v>
      </c>
      <c r="B5816">
        <v>0</v>
      </c>
      <c r="C5816">
        <v>0</v>
      </c>
      <c r="D5816">
        <v>0</v>
      </c>
      <c r="E5816">
        <v>0</v>
      </c>
    </row>
    <row r="5817" spans="1:5" x14ac:dyDescent="0.35">
      <c r="A5817">
        <v>0</v>
      </c>
      <c r="B5817">
        <v>0</v>
      </c>
      <c r="C5817">
        <v>0</v>
      </c>
      <c r="D5817">
        <v>0</v>
      </c>
      <c r="E5817">
        <v>0</v>
      </c>
    </row>
    <row r="5818" spans="1:5" x14ac:dyDescent="0.35">
      <c r="A5818">
        <v>0</v>
      </c>
      <c r="B5818">
        <v>0</v>
      </c>
      <c r="C5818">
        <v>0</v>
      </c>
      <c r="D5818">
        <v>0</v>
      </c>
      <c r="E5818">
        <v>0</v>
      </c>
    </row>
    <row r="5819" spans="1:5" x14ac:dyDescent="0.35">
      <c r="A5819">
        <v>0</v>
      </c>
      <c r="B5819">
        <v>0</v>
      </c>
      <c r="C5819">
        <v>0</v>
      </c>
      <c r="D5819">
        <v>0</v>
      </c>
      <c r="E5819">
        <v>0</v>
      </c>
    </row>
    <row r="5820" spans="1:5" x14ac:dyDescent="0.35">
      <c r="A5820">
        <v>0</v>
      </c>
      <c r="B5820">
        <v>0</v>
      </c>
      <c r="C5820">
        <v>0</v>
      </c>
      <c r="D5820">
        <v>0</v>
      </c>
      <c r="E5820">
        <v>0</v>
      </c>
    </row>
    <row r="5821" spans="1:5" x14ac:dyDescent="0.35">
      <c r="A5821">
        <v>0</v>
      </c>
      <c r="B5821">
        <v>0</v>
      </c>
      <c r="C5821">
        <v>0</v>
      </c>
      <c r="D5821">
        <v>0</v>
      </c>
      <c r="E5821">
        <v>0</v>
      </c>
    </row>
    <row r="5822" spans="1:5" x14ac:dyDescent="0.35">
      <c r="A5822">
        <v>0</v>
      </c>
      <c r="B5822">
        <v>0</v>
      </c>
      <c r="C5822">
        <v>0</v>
      </c>
      <c r="D5822">
        <v>0</v>
      </c>
      <c r="E5822">
        <v>0</v>
      </c>
    </row>
    <row r="5823" spans="1:5" x14ac:dyDescent="0.35">
      <c r="A5823">
        <v>0</v>
      </c>
      <c r="B5823">
        <v>0</v>
      </c>
      <c r="C5823">
        <v>0</v>
      </c>
      <c r="D5823">
        <v>0</v>
      </c>
      <c r="E5823">
        <v>0</v>
      </c>
    </row>
    <row r="5824" spans="1:5" x14ac:dyDescent="0.35">
      <c r="A5824">
        <v>0</v>
      </c>
      <c r="B5824">
        <v>0</v>
      </c>
      <c r="C5824">
        <v>0</v>
      </c>
      <c r="D5824">
        <v>0</v>
      </c>
      <c r="E5824">
        <v>0</v>
      </c>
    </row>
    <row r="5825" spans="1:5" x14ac:dyDescent="0.35">
      <c r="A5825">
        <v>0</v>
      </c>
      <c r="B5825">
        <v>0</v>
      </c>
      <c r="C5825">
        <v>0</v>
      </c>
      <c r="D5825">
        <v>0</v>
      </c>
      <c r="E5825">
        <v>0</v>
      </c>
    </row>
    <row r="5826" spans="1:5" x14ac:dyDescent="0.35">
      <c r="A5826">
        <v>0</v>
      </c>
      <c r="B5826">
        <v>0</v>
      </c>
      <c r="C5826">
        <v>0</v>
      </c>
      <c r="D5826">
        <v>0</v>
      </c>
      <c r="E5826">
        <v>0</v>
      </c>
    </row>
    <row r="5827" spans="1:5" x14ac:dyDescent="0.35">
      <c r="A5827">
        <v>0</v>
      </c>
      <c r="B5827">
        <v>0</v>
      </c>
      <c r="C5827">
        <v>0</v>
      </c>
      <c r="D5827">
        <v>0</v>
      </c>
      <c r="E5827">
        <v>0</v>
      </c>
    </row>
    <row r="5828" spans="1:5" x14ac:dyDescent="0.35">
      <c r="A5828">
        <v>0</v>
      </c>
      <c r="B5828">
        <v>0</v>
      </c>
      <c r="C5828">
        <v>0</v>
      </c>
      <c r="D5828">
        <v>0</v>
      </c>
      <c r="E5828">
        <v>0</v>
      </c>
    </row>
    <row r="5829" spans="1:5" x14ac:dyDescent="0.35">
      <c r="A5829">
        <v>0</v>
      </c>
      <c r="B5829">
        <v>0</v>
      </c>
      <c r="C5829">
        <v>0</v>
      </c>
      <c r="D5829">
        <v>0</v>
      </c>
      <c r="E5829">
        <v>0</v>
      </c>
    </row>
    <row r="5830" spans="1:5" x14ac:dyDescent="0.35">
      <c r="A5830">
        <v>0</v>
      </c>
      <c r="B5830">
        <v>0</v>
      </c>
      <c r="C5830">
        <v>0</v>
      </c>
      <c r="D5830">
        <v>0</v>
      </c>
      <c r="E5830">
        <v>0</v>
      </c>
    </row>
    <row r="5831" spans="1:5" x14ac:dyDescent="0.35">
      <c r="A5831">
        <v>0</v>
      </c>
      <c r="B5831">
        <v>0</v>
      </c>
      <c r="C5831">
        <v>0</v>
      </c>
      <c r="D5831">
        <v>0</v>
      </c>
      <c r="E5831">
        <v>0</v>
      </c>
    </row>
    <row r="5832" spans="1:5" x14ac:dyDescent="0.35">
      <c r="A5832">
        <v>0</v>
      </c>
      <c r="B5832">
        <v>0</v>
      </c>
      <c r="C5832">
        <v>0</v>
      </c>
      <c r="D5832">
        <v>0</v>
      </c>
      <c r="E5832">
        <v>0</v>
      </c>
    </row>
    <row r="5833" spans="1:5" x14ac:dyDescent="0.35">
      <c r="A5833">
        <v>0</v>
      </c>
      <c r="B5833">
        <v>0</v>
      </c>
      <c r="C5833">
        <v>0</v>
      </c>
      <c r="D5833">
        <v>0</v>
      </c>
      <c r="E5833">
        <v>0</v>
      </c>
    </row>
    <row r="5834" spans="1:5" x14ac:dyDescent="0.35">
      <c r="A5834">
        <v>0</v>
      </c>
      <c r="B5834">
        <v>0</v>
      </c>
      <c r="C5834">
        <v>0</v>
      </c>
      <c r="D5834">
        <v>0</v>
      </c>
      <c r="E5834">
        <v>0</v>
      </c>
    </row>
    <row r="5835" spans="1:5" x14ac:dyDescent="0.35">
      <c r="A5835">
        <v>0</v>
      </c>
      <c r="B5835">
        <v>0</v>
      </c>
      <c r="C5835">
        <v>0</v>
      </c>
      <c r="D5835">
        <v>0</v>
      </c>
      <c r="E5835">
        <v>0</v>
      </c>
    </row>
    <row r="5836" spans="1:5" x14ac:dyDescent="0.35">
      <c r="A5836">
        <v>0</v>
      </c>
      <c r="B5836">
        <v>0</v>
      </c>
      <c r="C5836">
        <v>0</v>
      </c>
      <c r="D5836">
        <v>0</v>
      </c>
      <c r="E5836">
        <v>0</v>
      </c>
    </row>
    <row r="5837" spans="1:5" x14ac:dyDescent="0.35">
      <c r="A5837">
        <v>0</v>
      </c>
      <c r="B5837">
        <v>0</v>
      </c>
      <c r="C5837">
        <v>0</v>
      </c>
      <c r="D5837">
        <v>0</v>
      </c>
      <c r="E5837">
        <v>0</v>
      </c>
    </row>
    <row r="5838" spans="1:5" x14ac:dyDescent="0.35">
      <c r="A5838">
        <v>0</v>
      </c>
      <c r="B5838">
        <v>0</v>
      </c>
      <c r="C5838">
        <v>0</v>
      </c>
      <c r="D5838">
        <v>0</v>
      </c>
      <c r="E5838">
        <v>0</v>
      </c>
    </row>
    <row r="5839" spans="1:5" x14ac:dyDescent="0.35">
      <c r="A5839">
        <v>0</v>
      </c>
      <c r="B5839">
        <v>0</v>
      </c>
      <c r="C5839">
        <v>0</v>
      </c>
      <c r="D5839">
        <v>0</v>
      </c>
      <c r="E5839">
        <v>0</v>
      </c>
    </row>
    <row r="5840" spans="1:5" x14ac:dyDescent="0.35">
      <c r="A5840">
        <v>0</v>
      </c>
      <c r="B5840">
        <v>0</v>
      </c>
      <c r="C5840">
        <v>0</v>
      </c>
      <c r="D5840">
        <v>0</v>
      </c>
      <c r="E5840">
        <v>0</v>
      </c>
    </row>
    <row r="5841" spans="1:5" x14ac:dyDescent="0.35">
      <c r="A5841">
        <v>0</v>
      </c>
      <c r="B5841">
        <v>0</v>
      </c>
      <c r="C5841">
        <v>0</v>
      </c>
      <c r="D5841">
        <v>0</v>
      </c>
      <c r="E5841">
        <v>0</v>
      </c>
    </row>
    <row r="5842" spans="1:5" x14ac:dyDescent="0.35">
      <c r="A5842">
        <v>0</v>
      </c>
      <c r="B5842">
        <v>0</v>
      </c>
      <c r="C5842">
        <v>0</v>
      </c>
      <c r="D5842">
        <v>0</v>
      </c>
      <c r="E5842">
        <v>0</v>
      </c>
    </row>
    <row r="5843" spans="1:5" x14ac:dyDescent="0.35">
      <c r="A5843">
        <v>0</v>
      </c>
      <c r="B5843">
        <v>0</v>
      </c>
      <c r="C5843">
        <v>0</v>
      </c>
      <c r="D5843">
        <v>0</v>
      </c>
      <c r="E5843">
        <v>0</v>
      </c>
    </row>
    <row r="5844" spans="1:5" x14ac:dyDescent="0.35">
      <c r="A5844">
        <v>0</v>
      </c>
      <c r="B5844">
        <v>0</v>
      </c>
      <c r="C5844">
        <v>0</v>
      </c>
      <c r="D5844">
        <v>0</v>
      </c>
      <c r="E5844">
        <v>0</v>
      </c>
    </row>
    <row r="5845" spans="1:5" x14ac:dyDescent="0.35">
      <c r="A5845">
        <v>0</v>
      </c>
      <c r="B5845">
        <v>0</v>
      </c>
      <c r="C5845">
        <v>0</v>
      </c>
      <c r="D5845">
        <v>0</v>
      </c>
      <c r="E5845">
        <v>0</v>
      </c>
    </row>
    <row r="5846" spans="1:5" x14ac:dyDescent="0.35">
      <c r="A5846">
        <v>0</v>
      </c>
      <c r="B5846">
        <v>0</v>
      </c>
      <c r="C5846">
        <v>0</v>
      </c>
      <c r="D5846">
        <v>0</v>
      </c>
      <c r="E5846">
        <v>0</v>
      </c>
    </row>
    <row r="5847" spans="1:5" x14ac:dyDescent="0.35">
      <c r="A5847">
        <v>0</v>
      </c>
      <c r="B5847">
        <v>0</v>
      </c>
      <c r="C5847">
        <v>0</v>
      </c>
      <c r="D5847">
        <v>0</v>
      </c>
      <c r="E5847">
        <v>0</v>
      </c>
    </row>
    <row r="5848" spans="1:5" x14ac:dyDescent="0.35">
      <c r="A5848">
        <v>0</v>
      </c>
      <c r="B5848">
        <v>0</v>
      </c>
      <c r="C5848">
        <v>0</v>
      </c>
      <c r="D5848">
        <v>0</v>
      </c>
      <c r="E5848">
        <v>0</v>
      </c>
    </row>
    <row r="5849" spans="1:5" x14ac:dyDescent="0.35">
      <c r="A5849">
        <v>0</v>
      </c>
      <c r="B5849">
        <v>0</v>
      </c>
      <c r="C5849">
        <v>0</v>
      </c>
      <c r="D5849">
        <v>0</v>
      </c>
      <c r="E5849">
        <v>0</v>
      </c>
    </row>
    <row r="5850" spans="1:5" x14ac:dyDescent="0.35">
      <c r="A5850">
        <v>0</v>
      </c>
      <c r="B5850">
        <v>0</v>
      </c>
      <c r="C5850">
        <v>0</v>
      </c>
      <c r="D5850">
        <v>0</v>
      </c>
      <c r="E5850">
        <v>0</v>
      </c>
    </row>
    <row r="5851" spans="1:5" x14ac:dyDescent="0.35">
      <c r="A5851">
        <v>0</v>
      </c>
      <c r="B5851">
        <v>0</v>
      </c>
      <c r="C5851">
        <v>0</v>
      </c>
      <c r="D5851">
        <v>0</v>
      </c>
      <c r="E5851">
        <v>0</v>
      </c>
    </row>
    <row r="5852" spans="1:5" x14ac:dyDescent="0.35">
      <c r="A5852">
        <v>0</v>
      </c>
      <c r="B5852">
        <v>0</v>
      </c>
      <c r="C5852">
        <v>0</v>
      </c>
      <c r="D5852">
        <v>0</v>
      </c>
      <c r="E5852">
        <v>0</v>
      </c>
    </row>
    <row r="5853" spans="1:5" x14ac:dyDescent="0.35">
      <c r="A5853">
        <v>0</v>
      </c>
      <c r="B5853">
        <v>0</v>
      </c>
      <c r="C5853">
        <v>0</v>
      </c>
      <c r="D5853">
        <v>0</v>
      </c>
      <c r="E5853">
        <v>0</v>
      </c>
    </row>
    <row r="5854" spans="1:5" x14ac:dyDescent="0.35">
      <c r="A5854">
        <v>0</v>
      </c>
      <c r="B5854">
        <v>0</v>
      </c>
      <c r="C5854">
        <v>0</v>
      </c>
      <c r="D5854">
        <v>0</v>
      </c>
      <c r="E5854">
        <v>0</v>
      </c>
    </row>
    <row r="5855" spans="1:5" x14ac:dyDescent="0.35">
      <c r="A5855">
        <v>0</v>
      </c>
      <c r="B5855">
        <v>0</v>
      </c>
      <c r="C5855">
        <v>0</v>
      </c>
      <c r="D5855">
        <v>0</v>
      </c>
      <c r="E5855">
        <v>0</v>
      </c>
    </row>
    <row r="5856" spans="1:5" x14ac:dyDescent="0.35">
      <c r="A5856">
        <v>0</v>
      </c>
      <c r="B5856">
        <v>0</v>
      </c>
      <c r="C5856">
        <v>0</v>
      </c>
      <c r="D5856">
        <v>0</v>
      </c>
      <c r="E5856">
        <v>0</v>
      </c>
    </row>
    <row r="5857" spans="1:5" x14ac:dyDescent="0.35">
      <c r="A5857">
        <v>0</v>
      </c>
      <c r="B5857">
        <v>0</v>
      </c>
      <c r="C5857">
        <v>0</v>
      </c>
      <c r="D5857">
        <v>0</v>
      </c>
      <c r="E5857">
        <v>0</v>
      </c>
    </row>
    <row r="5858" spans="1:5" x14ac:dyDescent="0.35">
      <c r="A5858">
        <v>0</v>
      </c>
      <c r="B5858">
        <v>0</v>
      </c>
      <c r="C5858">
        <v>0</v>
      </c>
      <c r="D5858">
        <v>0</v>
      </c>
      <c r="E5858">
        <v>0</v>
      </c>
    </row>
    <row r="5859" spans="1:5" x14ac:dyDescent="0.35">
      <c r="A5859">
        <v>0</v>
      </c>
      <c r="B5859">
        <v>0</v>
      </c>
      <c r="C5859">
        <v>0</v>
      </c>
      <c r="D5859">
        <v>0</v>
      </c>
      <c r="E5859">
        <v>0</v>
      </c>
    </row>
    <row r="5860" spans="1:5" x14ac:dyDescent="0.35">
      <c r="A5860">
        <v>0</v>
      </c>
      <c r="B5860">
        <v>0</v>
      </c>
      <c r="C5860">
        <v>0</v>
      </c>
      <c r="D5860">
        <v>0</v>
      </c>
      <c r="E5860">
        <v>0</v>
      </c>
    </row>
    <row r="5861" spans="1:5" x14ac:dyDescent="0.35">
      <c r="A5861">
        <v>0</v>
      </c>
      <c r="B5861">
        <v>0</v>
      </c>
      <c r="C5861">
        <v>0</v>
      </c>
      <c r="D5861">
        <v>0</v>
      </c>
      <c r="E5861">
        <v>0</v>
      </c>
    </row>
    <row r="5862" spans="1:5" x14ac:dyDescent="0.35">
      <c r="A5862">
        <v>0</v>
      </c>
      <c r="B5862">
        <v>0</v>
      </c>
      <c r="C5862">
        <v>0</v>
      </c>
      <c r="D5862">
        <v>0</v>
      </c>
      <c r="E5862">
        <v>0</v>
      </c>
    </row>
    <row r="5863" spans="1:5" x14ac:dyDescent="0.35">
      <c r="A5863">
        <v>0</v>
      </c>
      <c r="B5863">
        <v>0</v>
      </c>
      <c r="C5863">
        <v>0</v>
      </c>
      <c r="D5863">
        <v>0</v>
      </c>
      <c r="E5863">
        <v>0</v>
      </c>
    </row>
    <row r="5864" spans="1:5" x14ac:dyDescent="0.35">
      <c r="A5864">
        <v>0</v>
      </c>
      <c r="B5864">
        <v>0</v>
      </c>
      <c r="C5864">
        <v>0</v>
      </c>
      <c r="D5864">
        <v>0</v>
      </c>
      <c r="E5864">
        <v>0</v>
      </c>
    </row>
    <row r="5865" spans="1:5" x14ac:dyDescent="0.35">
      <c r="A5865">
        <v>0</v>
      </c>
      <c r="B5865">
        <v>0</v>
      </c>
      <c r="C5865">
        <v>0</v>
      </c>
      <c r="D5865">
        <v>0</v>
      </c>
      <c r="E5865">
        <v>0</v>
      </c>
    </row>
    <row r="5866" spans="1:5" x14ac:dyDescent="0.35">
      <c r="A5866">
        <v>0</v>
      </c>
      <c r="B5866">
        <v>0</v>
      </c>
      <c r="C5866">
        <v>0</v>
      </c>
      <c r="D5866">
        <v>0</v>
      </c>
      <c r="E5866">
        <v>0</v>
      </c>
    </row>
    <row r="5867" spans="1:5" x14ac:dyDescent="0.35">
      <c r="A5867">
        <v>0</v>
      </c>
      <c r="B5867">
        <v>0</v>
      </c>
      <c r="C5867">
        <v>0</v>
      </c>
      <c r="D5867">
        <v>0</v>
      </c>
      <c r="E5867">
        <v>0</v>
      </c>
    </row>
    <row r="5868" spans="1:5" x14ac:dyDescent="0.35">
      <c r="A5868">
        <v>0</v>
      </c>
      <c r="B5868">
        <v>0</v>
      </c>
      <c r="C5868">
        <v>0</v>
      </c>
      <c r="D5868">
        <v>0</v>
      </c>
      <c r="E5868">
        <v>0</v>
      </c>
    </row>
    <row r="5869" spans="1:5" x14ac:dyDescent="0.35">
      <c r="A5869">
        <v>0</v>
      </c>
      <c r="B5869">
        <v>0</v>
      </c>
      <c r="C5869">
        <v>0</v>
      </c>
      <c r="D5869">
        <v>0</v>
      </c>
      <c r="E5869">
        <v>0</v>
      </c>
    </row>
    <row r="5870" spans="1:5" x14ac:dyDescent="0.35">
      <c r="A5870">
        <v>0</v>
      </c>
      <c r="B5870">
        <v>0</v>
      </c>
      <c r="C5870">
        <v>0</v>
      </c>
      <c r="D5870">
        <v>0</v>
      </c>
      <c r="E5870">
        <v>0</v>
      </c>
    </row>
    <row r="5871" spans="1:5" x14ac:dyDescent="0.35">
      <c r="A5871">
        <v>0</v>
      </c>
      <c r="B5871">
        <v>0</v>
      </c>
      <c r="C5871">
        <v>0</v>
      </c>
      <c r="D5871">
        <v>0</v>
      </c>
      <c r="E5871">
        <v>0</v>
      </c>
    </row>
    <row r="5872" spans="1:5" x14ac:dyDescent="0.35">
      <c r="A5872">
        <v>0</v>
      </c>
      <c r="B5872">
        <v>0</v>
      </c>
      <c r="C5872">
        <v>0</v>
      </c>
      <c r="D5872">
        <v>0</v>
      </c>
      <c r="E5872">
        <v>0</v>
      </c>
    </row>
    <row r="5873" spans="1:5" x14ac:dyDescent="0.35">
      <c r="A5873">
        <v>0</v>
      </c>
      <c r="B5873">
        <v>0</v>
      </c>
      <c r="C5873">
        <v>0</v>
      </c>
      <c r="D5873">
        <v>0</v>
      </c>
      <c r="E5873">
        <v>0</v>
      </c>
    </row>
    <row r="5874" spans="1:5" x14ac:dyDescent="0.35">
      <c r="A5874">
        <v>0</v>
      </c>
      <c r="B5874">
        <v>0</v>
      </c>
      <c r="C5874">
        <v>0</v>
      </c>
      <c r="D5874">
        <v>0</v>
      </c>
      <c r="E5874">
        <v>0</v>
      </c>
    </row>
    <row r="5875" spans="1:5" x14ac:dyDescent="0.35">
      <c r="A5875">
        <v>0</v>
      </c>
      <c r="B5875">
        <v>0</v>
      </c>
      <c r="C5875">
        <v>0</v>
      </c>
      <c r="D5875">
        <v>0</v>
      </c>
      <c r="E5875">
        <v>0</v>
      </c>
    </row>
    <row r="5876" spans="1:5" x14ac:dyDescent="0.35">
      <c r="A5876">
        <v>0</v>
      </c>
      <c r="B5876">
        <v>0</v>
      </c>
      <c r="C5876">
        <v>0</v>
      </c>
      <c r="D5876">
        <v>0</v>
      </c>
      <c r="E5876">
        <v>0</v>
      </c>
    </row>
    <row r="5877" spans="1:5" x14ac:dyDescent="0.35">
      <c r="A5877">
        <v>0</v>
      </c>
      <c r="B5877">
        <v>0</v>
      </c>
      <c r="C5877">
        <v>0</v>
      </c>
      <c r="D5877">
        <v>0</v>
      </c>
      <c r="E5877">
        <v>0</v>
      </c>
    </row>
    <row r="5878" spans="1:5" x14ac:dyDescent="0.35">
      <c r="A5878">
        <v>0</v>
      </c>
      <c r="B5878">
        <v>0</v>
      </c>
      <c r="C5878">
        <v>0</v>
      </c>
      <c r="D5878">
        <v>0</v>
      </c>
      <c r="E5878">
        <v>0</v>
      </c>
    </row>
    <row r="5879" spans="1:5" x14ac:dyDescent="0.35">
      <c r="A5879">
        <v>0</v>
      </c>
      <c r="B5879">
        <v>0</v>
      </c>
      <c r="C5879">
        <v>0</v>
      </c>
      <c r="D5879">
        <v>0</v>
      </c>
      <c r="E5879">
        <v>0</v>
      </c>
    </row>
    <row r="5880" spans="1:5" x14ac:dyDescent="0.35">
      <c r="A5880">
        <v>0</v>
      </c>
      <c r="B5880">
        <v>0</v>
      </c>
      <c r="C5880">
        <v>0</v>
      </c>
      <c r="D5880">
        <v>0</v>
      </c>
      <c r="E5880">
        <v>0</v>
      </c>
    </row>
    <row r="5881" spans="1:5" x14ac:dyDescent="0.35">
      <c r="A5881">
        <v>0</v>
      </c>
      <c r="B5881">
        <v>0</v>
      </c>
      <c r="C5881">
        <v>0</v>
      </c>
      <c r="D5881">
        <v>0</v>
      </c>
      <c r="E5881">
        <v>0</v>
      </c>
    </row>
    <row r="5882" spans="1:5" x14ac:dyDescent="0.35">
      <c r="A5882">
        <v>0</v>
      </c>
      <c r="B5882">
        <v>0</v>
      </c>
      <c r="C5882">
        <v>0</v>
      </c>
      <c r="D5882">
        <v>0</v>
      </c>
      <c r="E5882">
        <v>0</v>
      </c>
    </row>
    <row r="5883" spans="1:5" x14ac:dyDescent="0.35">
      <c r="A5883">
        <v>0</v>
      </c>
      <c r="B5883">
        <v>0</v>
      </c>
      <c r="C5883">
        <v>0</v>
      </c>
      <c r="D5883">
        <v>0</v>
      </c>
      <c r="E5883">
        <v>0</v>
      </c>
    </row>
    <row r="5884" spans="1:5" x14ac:dyDescent="0.35">
      <c r="A5884">
        <v>0</v>
      </c>
      <c r="B5884">
        <v>0</v>
      </c>
      <c r="C5884">
        <v>0</v>
      </c>
      <c r="D5884">
        <v>0</v>
      </c>
      <c r="E5884">
        <v>0</v>
      </c>
    </row>
    <row r="5885" spans="1:5" x14ac:dyDescent="0.35">
      <c r="A5885">
        <v>0</v>
      </c>
      <c r="B5885">
        <v>0</v>
      </c>
      <c r="C5885">
        <v>0</v>
      </c>
      <c r="D5885">
        <v>0</v>
      </c>
      <c r="E5885">
        <v>0</v>
      </c>
    </row>
    <row r="5886" spans="1:5" x14ac:dyDescent="0.35">
      <c r="A5886">
        <v>0</v>
      </c>
      <c r="B5886">
        <v>0</v>
      </c>
      <c r="C5886">
        <v>0</v>
      </c>
      <c r="D5886">
        <v>0</v>
      </c>
      <c r="E5886">
        <v>0</v>
      </c>
    </row>
    <row r="5887" spans="1:5" x14ac:dyDescent="0.35">
      <c r="A5887">
        <v>0</v>
      </c>
      <c r="B5887">
        <v>0</v>
      </c>
      <c r="C5887">
        <v>0</v>
      </c>
      <c r="D5887">
        <v>0</v>
      </c>
      <c r="E5887">
        <v>0</v>
      </c>
    </row>
    <row r="5888" spans="1:5" x14ac:dyDescent="0.35">
      <c r="A5888">
        <v>0</v>
      </c>
      <c r="B5888">
        <v>0</v>
      </c>
      <c r="C5888">
        <v>0</v>
      </c>
      <c r="D5888">
        <v>0</v>
      </c>
      <c r="E5888">
        <v>0</v>
      </c>
    </row>
    <row r="5889" spans="1:5" x14ac:dyDescent="0.35">
      <c r="A5889">
        <v>0</v>
      </c>
      <c r="B5889">
        <v>0</v>
      </c>
      <c r="C5889">
        <v>0</v>
      </c>
      <c r="D5889">
        <v>0</v>
      </c>
      <c r="E5889">
        <v>0</v>
      </c>
    </row>
    <row r="5890" spans="1:5" x14ac:dyDescent="0.35">
      <c r="A5890">
        <v>0</v>
      </c>
      <c r="B5890">
        <v>0</v>
      </c>
      <c r="C5890">
        <v>0</v>
      </c>
      <c r="D5890">
        <v>0</v>
      </c>
      <c r="E5890">
        <v>0</v>
      </c>
    </row>
    <row r="5891" spans="1:5" x14ac:dyDescent="0.35">
      <c r="A5891">
        <v>0</v>
      </c>
      <c r="B5891">
        <v>0</v>
      </c>
      <c r="C5891">
        <v>0</v>
      </c>
      <c r="D5891">
        <v>0</v>
      </c>
      <c r="E5891">
        <v>0</v>
      </c>
    </row>
    <row r="5892" spans="1:5" x14ac:dyDescent="0.35">
      <c r="A5892">
        <v>0</v>
      </c>
      <c r="B5892">
        <v>0</v>
      </c>
      <c r="C5892">
        <v>0</v>
      </c>
      <c r="D5892">
        <v>0</v>
      </c>
      <c r="E5892">
        <v>0</v>
      </c>
    </row>
    <row r="5893" spans="1:5" x14ac:dyDescent="0.35">
      <c r="A5893">
        <v>0</v>
      </c>
      <c r="B5893">
        <v>0</v>
      </c>
      <c r="C5893">
        <v>0</v>
      </c>
      <c r="D5893">
        <v>0</v>
      </c>
      <c r="E5893">
        <v>0</v>
      </c>
    </row>
    <row r="5894" spans="1:5" x14ac:dyDescent="0.35">
      <c r="A5894">
        <v>0</v>
      </c>
      <c r="B5894">
        <v>0</v>
      </c>
      <c r="C5894">
        <v>0</v>
      </c>
      <c r="D5894">
        <v>0</v>
      </c>
      <c r="E5894">
        <v>0</v>
      </c>
    </row>
    <row r="5895" spans="1:5" x14ac:dyDescent="0.35">
      <c r="A5895">
        <v>0</v>
      </c>
      <c r="B5895">
        <v>0</v>
      </c>
      <c r="C5895">
        <v>0</v>
      </c>
      <c r="D5895">
        <v>0</v>
      </c>
      <c r="E5895">
        <v>0</v>
      </c>
    </row>
    <row r="5896" spans="1:5" x14ac:dyDescent="0.35">
      <c r="A5896">
        <v>0</v>
      </c>
      <c r="B5896">
        <v>0</v>
      </c>
      <c r="C5896">
        <v>0</v>
      </c>
      <c r="D5896">
        <v>0</v>
      </c>
      <c r="E5896">
        <v>0</v>
      </c>
    </row>
    <row r="5897" spans="1:5" x14ac:dyDescent="0.35">
      <c r="A5897">
        <v>0</v>
      </c>
      <c r="B5897">
        <v>0</v>
      </c>
      <c r="C5897">
        <v>0</v>
      </c>
      <c r="D5897">
        <v>0</v>
      </c>
      <c r="E5897">
        <v>0</v>
      </c>
    </row>
    <row r="5898" spans="1:5" x14ac:dyDescent="0.35">
      <c r="A5898">
        <v>0</v>
      </c>
      <c r="B5898">
        <v>0</v>
      </c>
      <c r="C5898">
        <v>0</v>
      </c>
      <c r="D5898">
        <v>0</v>
      </c>
      <c r="E5898">
        <v>0</v>
      </c>
    </row>
    <row r="5899" spans="1:5" x14ac:dyDescent="0.35">
      <c r="A5899">
        <v>0</v>
      </c>
      <c r="B5899">
        <v>0</v>
      </c>
      <c r="C5899">
        <v>0</v>
      </c>
      <c r="D5899">
        <v>0</v>
      </c>
      <c r="E5899">
        <v>0</v>
      </c>
    </row>
    <row r="5900" spans="1:5" x14ac:dyDescent="0.35">
      <c r="A5900">
        <v>0</v>
      </c>
      <c r="B5900">
        <v>0</v>
      </c>
      <c r="C5900">
        <v>0</v>
      </c>
      <c r="D5900">
        <v>0</v>
      </c>
      <c r="E5900">
        <v>0</v>
      </c>
    </row>
    <row r="5901" spans="1:5" x14ac:dyDescent="0.35">
      <c r="A5901">
        <v>0</v>
      </c>
      <c r="B5901">
        <v>0</v>
      </c>
      <c r="C5901">
        <v>0</v>
      </c>
      <c r="D5901">
        <v>0</v>
      </c>
      <c r="E5901">
        <v>0</v>
      </c>
    </row>
    <row r="5902" spans="1:5" x14ac:dyDescent="0.35">
      <c r="A5902">
        <v>0</v>
      </c>
      <c r="B5902">
        <v>0</v>
      </c>
      <c r="C5902">
        <v>0</v>
      </c>
      <c r="D5902">
        <v>0</v>
      </c>
      <c r="E5902">
        <v>0</v>
      </c>
    </row>
    <row r="5903" spans="1:5" x14ac:dyDescent="0.35">
      <c r="A5903">
        <v>0</v>
      </c>
      <c r="B5903">
        <v>0</v>
      </c>
      <c r="C5903">
        <v>0</v>
      </c>
      <c r="D5903">
        <v>0</v>
      </c>
      <c r="E5903">
        <v>0</v>
      </c>
    </row>
    <row r="5904" spans="1:5" x14ac:dyDescent="0.35">
      <c r="A5904">
        <v>0</v>
      </c>
      <c r="B5904">
        <v>0</v>
      </c>
      <c r="C5904">
        <v>0</v>
      </c>
      <c r="D5904">
        <v>0</v>
      </c>
      <c r="E5904">
        <v>0</v>
      </c>
    </row>
    <row r="5905" spans="1:5" x14ac:dyDescent="0.35">
      <c r="A5905">
        <v>0</v>
      </c>
      <c r="B5905">
        <v>0</v>
      </c>
      <c r="C5905">
        <v>0</v>
      </c>
      <c r="D5905">
        <v>0</v>
      </c>
      <c r="E5905">
        <v>0</v>
      </c>
    </row>
    <row r="5906" spans="1:5" x14ac:dyDescent="0.35">
      <c r="A5906">
        <v>0</v>
      </c>
      <c r="B5906">
        <v>0</v>
      </c>
      <c r="C5906">
        <v>0</v>
      </c>
      <c r="D5906">
        <v>0</v>
      </c>
      <c r="E5906">
        <v>0</v>
      </c>
    </row>
    <row r="5907" spans="1:5" x14ac:dyDescent="0.35">
      <c r="A5907">
        <v>0</v>
      </c>
      <c r="B5907">
        <v>0</v>
      </c>
      <c r="C5907">
        <v>0</v>
      </c>
      <c r="D5907">
        <v>0</v>
      </c>
      <c r="E5907">
        <v>0</v>
      </c>
    </row>
    <row r="5908" spans="1:5" x14ac:dyDescent="0.35">
      <c r="A5908">
        <v>0</v>
      </c>
      <c r="B5908">
        <v>0</v>
      </c>
      <c r="C5908">
        <v>0</v>
      </c>
      <c r="D5908">
        <v>0</v>
      </c>
      <c r="E5908">
        <v>0</v>
      </c>
    </row>
    <row r="5909" spans="1:5" x14ac:dyDescent="0.35">
      <c r="A5909">
        <v>0</v>
      </c>
      <c r="B5909">
        <v>0</v>
      </c>
      <c r="C5909">
        <v>0</v>
      </c>
      <c r="D5909">
        <v>0</v>
      </c>
      <c r="E5909">
        <v>0</v>
      </c>
    </row>
    <row r="5910" spans="1:5" x14ac:dyDescent="0.35">
      <c r="A5910">
        <v>0</v>
      </c>
      <c r="B5910">
        <v>0</v>
      </c>
      <c r="C5910">
        <v>0</v>
      </c>
      <c r="D5910">
        <v>0</v>
      </c>
      <c r="E5910">
        <v>0</v>
      </c>
    </row>
    <row r="5911" spans="1:5" x14ac:dyDescent="0.35">
      <c r="A5911">
        <v>0</v>
      </c>
      <c r="B5911">
        <v>0</v>
      </c>
      <c r="C5911">
        <v>0</v>
      </c>
      <c r="D5911">
        <v>0</v>
      </c>
      <c r="E5911">
        <v>0</v>
      </c>
    </row>
    <row r="5912" spans="1:5" x14ac:dyDescent="0.35">
      <c r="A5912">
        <v>0</v>
      </c>
      <c r="B5912">
        <v>0</v>
      </c>
      <c r="C5912">
        <v>0</v>
      </c>
      <c r="D5912">
        <v>0</v>
      </c>
      <c r="E5912">
        <v>0</v>
      </c>
    </row>
    <row r="5913" spans="1:5" x14ac:dyDescent="0.35">
      <c r="A5913">
        <v>0</v>
      </c>
      <c r="B5913">
        <v>0</v>
      </c>
      <c r="C5913">
        <v>0</v>
      </c>
      <c r="D5913">
        <v>0</v>
      </c>
      <c r="E5913">
        <v>0</v>
      </c>
    </row>
    <row r="5914" spans="1:5" x14ac:dyDescent="0.35">
      <c r="A5914">
        <v>0</v>
      </c>
      <c r="B5914">
        <v>0</v>
      </c>
      <c r="C5914">
        <v>0</v>
      </c>
      <c r="D5914">
        <v>0</v>
      </c>
      <c r="E5914">
        <v>0</v>
      </c>
    </row>
    <row r="5915" spans="1:5" x14ac:dyDescent="0.35">
      <c r="A5915">
        <v>0</v>
      </c>
      <c r="B5915">
        <v>0</v>
      </c>
      <c r="C5915">
        <v>0</v>
      </c>
      <c r="D5915">
        <v>0</v>
      </c>
      <c r="E5915">
        <v>0</v>
      </c>
    </row>
    <row r="5916" spans="1:5" x14ac:dyDescent="0.35">
      <c r="A5916">
        <v>0</v>
      </c>
      <c r="B5916">
        <v>0</v>
      </c>
      <c r="C5916">
        <v>0</v>
      </c>
      <c r="D5916">
        <v>0</v>
      </c>
      <c r="E5916">
        <v>0</v>
      </c>
    </row>
    <row r="5917" spans="1:5" x14ac:dyDescent="0.35">
      <c r="A5917">
        <v>0</v>
      </c>
      <c r="B5917">
        <v>0</v>
      </c>
      <c r="C5917">
        <v>0</v>
      </c>
      <c r="D5917">
        <v>0</v>
      </c>
      <c r="E5917">
        <v>0</v>
      </c>
    </row>
    <row r="5918" spans="1:5" x14ac:dyDescent="0.35">
      <c r="A5918">
        <v>0</v>
      </c>
      <c r="B5918">
        <v>0</v>
      </c>
      <c r="C5918">
        <v>0</v>
      </c>
      <c r="D5918">
        <v>0</v>
      </c>
      <c r="E5918">
        <v>0</v>
      </c>
    </row>
    <row r="5919" spans="1:5" x14ac:dyDescent="0.35">
      <c r="A5919">
        <v>0</v>
      </c>
      <c r="B5919">
        <v>0</v>
      </c>
      <c r="C5919">
        <v>0</v>
      </c>
      <c r="D5919">
        <v>0</v>
      </c>
      <c r="E5919">
        <v>0</v>
      </c>
    </row>
    <row r="5920" spans="1:5" x14ac:dyDescent="0.35">
      <c r="A5920">
        <v>0</v>
      </c>
      <c r="B5920">
        <v>0</v>
      </c>
      <c r="C5920">
        <v>0</v>
      </c>
      <c r="D5920">
        <v>0</v>
      </c>
      <c r="E5920">
        <v>0</v>
      </c>
    </row>
    <row r="5921" spans="1:5" x14ac:dyDescent="0.35">
      <c r="A5921">
        <v>0</v>
      </c>
      <c r="B5921">
        <v>0</v>
      </c>
      <c r="C5921">
        <v>0</v>
      </c>
      <c r="D5921">
        <v>0</v>
      </c>
      <c r="E5921">
        <v>0</v>
      </c>
    </row>
    <row r="5922" spans="1:5" x14ac:dyDescent="0.35">
      <c r="A5922">
        <v>0</v>
      </c>
      <c r="B5922">
        <v>0</v>
      </c>
      <c r="C5922">
        <v>0</v>
      </c>
      <c r="D5922">
        <v>0</v>
      </c>
      <c r="E5922">
        <v>0</v>
      </c>
    </row>
    <row r="5923" spans="1:5" x14ac:dyDescent="0.35">
      <c r="A5923">
        <v>0</v>
      </c>
      <c r="B5923">
        <v>0</v>
      </c>
      <c r="C5923">
        <v>0</v>
      </c>
      <c r="D5923">
        <v>0</v>
      </c>
      <c r="E5923">
        <v>0</v>
      </c>
    </row>
    <row r="5924" spans="1:5" x14ac:dyDescent="0.35">
      <c r="A5924">
        <v>0</v>
      </c>
      <c r="B5924">
        <v>0</v>
      </c>
      <c r="C5924">
        <v>0</v>
      </c>
      <c r="D5924">
        <v>0</v>
      </c>
      <c r="E5924">
        <v>0</v>
      </c>
    </row>
    <row r="5925" spans="1:5" x14ac:dyDescent="0.35">
      <c r="A5925">
        <v>0</v>
      </c>
      <c r="B5925">
        <v>0</v>
      </c>
      <c r="C5925">
        <v>0</v>
      </c>
      <c r="D5925">
        <v>0</v>
      </c>
      <c r="E5925">
        <v>0</v>
      </c>
    </row>
    <row r="5926" spans="1:5" x14ac:dyDescent="0.35">
      <c r="A5926">
        <v>0</v>
      </c>
      <c r="B5926">
        <v>0</v>
      </c>
      <c r="C5926">
        <v>0</v>
      </c>
      <c r="D5926">
        <v>0</v>
      </c>
      <c r="E5926">
        <v>0</v>
      </c>
    </row>
    <row r="5927" spans="1:5" x14ac:dyDescent="0.35">
      <c r="A5927">
        <v>0</v>
      </c>
      <c r="B5927">
        <v>0</v>
      </c>
      <c r="C5927">
        <v>0</v>
      </c>
      <c r="D5927">
        <v>0</v>
      </c>
      <c r="E5927">
        <v>0</v>
      </c>
    </row>
    <row r="5928" spans="1:5" x14ac:dyDescent="0.35">
      <c r="A5928">
        <v>0</v>
      </c>
      <c r="B5928">
        <v>0</v>
      </c>
      <c r="C5928">
        <v>0</v>
      </c>
      <c r="D5928">
        <v>0</v>
      </c>
      <c r="E5928">
        <v>0</v>
      </c>
    </row>
    <row r="5929" spans="1:5" x14ac:dyDescent="0.35">
      <c r="A5929">
        <v>0</v>
      </c>
      <c r="B5929">
        <v>0</v>
      </c>
      <c r="C5929">
        <v>0</v>
      </c>
      <c r="D5929">
        <v>0</v>
      </c>
      <c r="E5929">
        <v>0</v>
      </c>
    </row>
    <row r="5930" spans="1:5" x14ac:dyDescent="0.35">
      <c r="A5930">
        <v>0</v>
      </c>
      <c r="B5930">
        <v>0</v>
      </c>
      <c r="C5930">
        <v>0</v>
      </c>
      <c r="D5930">
        <v>0</v>
      </c>
      <c r="E5930">
        <v>0</v>
      </c>
    </row>
    <row r="5931" spans="1:5" x14ac:dyDescent="0.35">
      <c r="A5931">
        <v>0</v>
      </c>
      <c r="B5931">
        <v>0</v>
      </c>
      <c r="C5931">
        <v>0</v>
      </c>
      <c r="D5931">
        <v>0</v>
      </c>
      <c r="E5931">
        <v>0</v>
      </c>
    </row>
    <row r="5932" spans="1:5" x14ac:dyDescent="0.35">
      <c r="A5932">
        <v>0</v>
      </c>
      <c r="B5932">
        <v>0</v>
      </c>
      <c r="C5932">
        <v>0</v>
      </c>
      <c r="D5932">
        <v>0</v>
      </c>
      <c r="E5932">
        <v>0</v>
      </c>
    </row>
    <row r="5933" spans="1:5" x14ac:dyDescent="0.35">
      <c r="A5933">
        <v>0</v>
      </c>
      <c r="B5933">
        <v>0</v>
      </c>
      <c r="C5933">
        <v>0</v>
      </c>
      <c r="D5933">
        <v>0</v>
      </c>
      <c r="E5933">
        <v>0</v>
      </c>
    </row>
    <row r="5934" spans="1:5" x14ac:dyDescent="0.35">
      <c r="A5934">
        <v>0</v>
      </c>
      <c r="B5934">
        <v>0</v>
      </c>
      <c r="C5934">
        <v>0</v>
      </c>
      <c r="D5934">
        <v>0</v>
      </c>
      <c r="E5934">
        <v>0</v>
      </c>
    </row>
    <row r="5935" spans="1:5" x14ac:dyDescent="0.35">
      <c r="A5935">
        <v>0</v>
      </c>
      <c r="B5935">
        <v>0</v>
      </c>
      <c r="C5935">
        <v>0</v>
      </c>
      <c r="D5935">
        <v>0</v>
      </c>
      <c r="E5935">
        <v>0</v>
      </c>
    </row>
    <row r="5936" spans="1:5" x14ac:dyDescent="0.35">
      <c r="A5936">
        <v>0</v>
      </c>
      <c r="B5936">
        <v>0</v>
      </c>
      <c r="C5936">
        <v>0</v>
      </c>
      <c r="D5936">
        <v>0</v>
      </c>
      <c r="E5936">
        <v>0</v>
      </c>
    </row>
    <row r="5937" spans="1:5" x14ac:dyDescent="0.35">
      <c r="A5937">
        <v>0</v>
      </c>
      <c r="B5937">
        <v>0</v>
      </c>
      <c r="C5937">
        <v>0</v>
      </c>
      <c r="D5937">
        <v>0</v>
      </c>
      <c r="E5937">
        <v>0</v>
      </c>
    </row>
    <row r="5938" spans="1:5" x14ac:dyDescent="0.35">
      <c r="A5938">
        <v>0</v>
      </c>
      <c r="B5938">
        <v>0</v>
      </c>
      <c r="C5938">
        <v>0</v>
      </c>
      <c r="D5938">
        <v>0</v>
      </c>
      <c r="E5938">
        <v>0</v>
      </c>
    </row>
    <row r="5939" spans="1:5" x14ac:dyDescent="0.35">
      <c r="A5939">
        <v>0</v>
      </c>
      <c r="B5939">
        <v>0</v>
      </c>
      <c r="C5939">
        <v>0</v>
      </c>
      <c r="D5939">
        <v>0</v>
      </c>
      <c r="E5939">
        <v>0</v>
      </c>
    </row>
    <row r="5940" spans="1:5" x14ac:dyDescent="0.35">
      <c r="A5940">
        <v>0</v>
      </c>
      <c r="B5940">
        <v>0</v>
      </c>
      <c r="C5940">
        <v>0</v>
      </c>
      <c r="D5940">
        <v>0</v>
      </c>
      <c r="E5940">
        <v>0</v>
      </c>
    </row>
    <row r="5941" spans="1:5" x14ac:dyDescent="0.35">
      <c r="A5941">
        <v>0</v>
      </c>
      <c r="B5941">
        <v>0</v>
      </c>
      <c r="C5941">
        <v>0</v>
      </c>
      <c r="D5941">
        <v>0</v>
      </c>
      <c r="E5941">
        <v>0</v>
      </c>
    </row>
    <row r="5942" spans="1:5" x14ac:dyDescent="0.35">
      <c r="A5942">
        <v>0</v>
      </c>
      <c r="B5942">
        <v>0</v>
      </c>
      <c r="C5942">
        <v>0</v>
      </c>
      <c r="D5942">
        <v>0</v>
      </c>
      <c r="E5942">
        <v>0</v>
      </c>
    </row>
    <row r="5943" spans="1:5" x14ac:dyDescent="0.35">
      <c r="A5943">
        <v>0</v>
      </c>
      <c r="B5943">
        <v>0</v>
      </c>
      <c r="C5943">
        <v>0</v>
      </c>
      <c r="D5943">
        <v>0</v>
      </c>
      <c r="E5943">
        <v>0</v>
      </c>
    </row>
    <row r="5944" spans="1:5" x14ac:dyDescent="0.35">
      <c r="A5944">
        <v>0</v>
      </c>
      <c r="B5944">
        <v>0</v>
      </c>
      <c r="C5944">
        <v>0</v>
      </c>
      <c r="D5944">
        <v>0</v>
      </c>
      <c r="E5944">
        <v>0</v>
      </c>
    </row>
    <row r="5945" spans="1:5" x14ac:dyDescent="0.35">
      <c r="A5945">
        <v>0</v>
      </c>
      <c r="B5945">
        <v>0</v>
      </c>
      <c r="C5945">
        <v>0</v>
      </c>
      <c r="D5945">
        <v>0</v>
      </c>
      <c r="E5945">
        <v>0</v>
      </c>
    </row>
    <row r="5946" spans="1:5" x14ac:dyDescent="0.35">
      <c r="A5946">
        <v>0</v>
      </c>
      <c r="B5946">
        <v>0</v>
      </c>
      <c r="C5946">
        <v>0</v>
      </c>
      <c r="D5946">
        <v>0</v>
      </c>
      <c r="E5946">
        <v>0</v>
      </c>
    </row>
    <row r="5947" spans="1:5" x14ac:dyDescent="0.35">
      <c r="A5947">
        <v>0</v>
      </c>
      <c r="B5947">
        <v>0</v>
      </c>
      <c r="C5947">
        <v>0</v>
      </c>
      <c r="D5947">
        <v>0</v>
      </c>
      <c r="E5947">
        <v>0</v>
      </c>
    </row>
    <row r="5948" spans="1:5" x14ac:dyDescent="0.35">
      <c r="A5948">
        <v>0</v>
      </c>
      <c r="B5948">
        <v>0</v>
      </c>
      <c r="C5948">
        <v>0</v>
      </c>
      <c r="D5948">
        <v>0</v>
      </c>
      <c r="E5948">
        <v>0</v>
      </c>
    </row>
    <row r="5949" spans="1:5" x14ac:dyDescent="0.35">
      <c r="A5949">
        <v>0</v>
      </c>
      <c r="B5949">
        <v>0</v>
      </c>
      <c r="C5949">
        <v>0</v>
      </c>
      <c r="D5949">
        <v>0</v>
      </c>
      <c r="E5949">
        <v>0</v>
      </c>
    </row>
    <row r="5950" spans="1:5" x14ac:dyDescent="0.35">
      <c r="A5950">
        <v>0</v>
      </c>
      <c r="B5950">
        <v>0</v>
      </c>
      <c r="C5950">
        <v>0</v>
      </c>
      <c r="D5950">
        <v>0</v>
      </c>
      <c r="E5950">
        <v>0</v>
      </c>
    </row>
    <row r="5951" spans="1:5" x14ac:dyDescent="0.35">
      <c r="A5951">
        <v>0</v>
      </c>
      <c r="B5951">
        <v>0</v>
      </c>
      <c r="C5951">
        <v>0</v>
      </c>
      <c r="D5951">
        <v>0</v>
      </c>
      <c r="E5951">
        <v>0</v>
      </c>
    </row>
    <row r="5952" spans="1:5" x14ac:dyDescent="0.35">
      <c r="A5952">
        <v>0</v>
      </c>
      <c r="B5952">
        <v>0</v>
      </c>
      <c r="C5952">
        <v>0</v>
      </c>
      <c r="D5952">
        <v>0</v>
      </c>
      <c r="E5952">
        <v>0</v>
      </c>
    </row>
    <row r="5953" spans="1:5" x14ac:dyDescent="0.35">
      <c r="A5953">
        <v>0</v>
      </c>
      <c r="B5953">
        <v>0</v>
      </c>
      <c r="C5953">
        <v>0</v>
      </c>
      <c r="D5953">
        <v>0</v>
      </c>
      <c r="E5953">
        <v>0</v>
      </c>
    </row>
    <row r="5954" spans="1:5" x14ac:dyDescent="0.35">
      <c r="A5954">
        <v>0</v>
      </c>
      <c r="B5954">
        <v>0</v>
      </c>
      <c r="C5954">
        <v>0</v>
      </c>
      <c r="D5954">
        <v>0</v>
      </c>
      <c r="E5954">
        <v>0</v>
      </c>
    </row>
    <row r="5955" spans="1:5" x14ac:dyDescent="0.35">
      <c r="A5955">
        <v>0</v>
      </c>
      <c r="B5955">
        <v>0</v>
      </c>
      <c r="C5955">
        <v>0</v>
      </c>
      <c r="D5955">
        <v>0</v>
      </c>
      <c r="E5955">
        <v>0</v>
      </c>
    </row>
    <row r="5956" spans="1:5" x14ac:dyDescent="0.35">
      <c r="A5956">
        <v>0</v>
      </c>
      <c r="B5956">
        <v>0</v>
      </c>
      <c r="C5956">
        <v>0</v>
      </c>
      <c r="D5956">
        <v>0</v>
      </c>
      <c r="E5956">
        <v>0</v>
      </c>
    </row>
    <row r="5957" spans="1:5" x14ac:dyDescent="0.35">
      <c r="A5957">
        <v>0</v>
      </c>
      <c r="B5957">
        <v>0</v>
      </c>
      <c r="C5957">
        <v>0</v>
      </c>
      <c r="D5957">
        <v>0</v>
      </c>
      <c r="E5957">
        <v>0</v>
      </c>
    </row>
    <row r="5958" spans="1:5" x14ac:dyDescent="0.35">
      <c r="A5958">
        <v>0</v>
      </c>
      <c r="B5958">
        <v>0</v>
      </c>
      <c r="C5958">
        <v>0</v>
      </c>
      <c r="D5958">
        <v>0</v>
      </c>
      <c r="E5958">
        <v>0</v>
      </c>
    </row>
    <row r="5959" spans="1:5" x14ac:dyDescent="0.35">
      <c r="A5959">
        <v>0</v>
      </c>
      <c r="B5959">
        <v>0</v>
      </c>
      <c r="C5959">
        <v>0</v>
      </c>
      <c r="D5959">
        <v>0</v>
      </c>
      <c r="E5959">
        <v>0</v>
      </c>
    </row>
    <row r="5960" spans="1:5" x14ac:dyDescent="0.35">
      <c r="A5960">
        <v>0</v>
      </c>
      <c r="B5960">
        <v>0</v>
      </c>
      <c r="C5960">
        <v>0</v>
      </c>
      <c r="D5960">
        <v>0</v>
      </c>
      <c r="E5960">
        <v>0</v>
      </c>
    </row>
    <row r="5961" spans="1:5" x14ac:dyDescent="0.35">
      <c r="A5961">
        <v>0</v>
      </c>
      <c r="B5961">
        <v>0</v>
      </c>
      <c r="C5961">
        <v>0</v>
      </c>
      <c r="D5961">
        <v>0</v>
      </c>
      <c r="E5961">
        <v>0</v>
      </c>
    </row>
    <row r="5962" spans="1:5" x14ac:dyDescent="0.35">
      <c r="A5962">
        <v>0</v>
      </c>
      <c r="B5962">
        <v>0</v>
      </c>
      <c r="C5962">
        <v>0</v>
      </c>
      <c r="D5962">
        <v>0</v>
      </c>
      <c r="E5962">
        <v>0</v>
      </c>
    </row>
    <row r="5963" spans="1:5" x14ac:dyDescent="0.35">
      <c r="A5963">
        <v>0</v>
      </c>
      <c r="B5963">
        <v>0</v>
      </c>
      <c r="C5963">
        <v>0</v>
      </c>
      <c r="D5963">
        <v>0</v>
      </c>
      <c r="E5963">
        <v>0</v>
      </c>
    </row>
    <row r="5964" spans="1:5" x14ac:dyDescent="0.35">
      <c r="A5964">
        <v>0</v>
      </c>
      <c r="B5964">
        <v>0</v>
      </c>
      <c r="C5964">
        <v>0</v>
      </c>
      <c r="D5964">
        <v>0</v>
      </c>
      <c r="E5964">
        <v>0</v>
      </c>
    </row>
    <row r="5965" spans="1:5" x14ac:dyDescent="0.35">
      <c r="A5965">
        <v>0</v>
      </c>
      <c r="B5965">
        <v>0</v>
      </c>
      <c r="C5965">
        <v>0</v>
      </c>
      <c r="D5965">
        <v>0</v>
      </c>
      <c r="E5965">
        <v>0</v>
      </c>
    </row>
    <row r="5966" spans="1:5" x14ac:dyDescent="0.35">
      <c r="A5966">
        <v>0</v>
      </c>
      <c r="B5966">
        <v>0</v>
      </c>
      <c r="C5966">
        <v>0</v>
      </c>
      <c r="D5966">
        <v>0</v>
      </c>
      <c r="E5966">
        <v>0</v>
      </c>
    </row>
    <row r="5967" spans="1:5" x14ac:dyDescent="0.35">
      <c r="A5967">
        <v>0</v>
      </c>
      <c r="B5967">
        <v>0</v>
      </c>
      <c r="C5967">
        <v>0</v>
      </c>
      <c r="D5967">
        <v>0</v>
      </c>
      <c r="E5967">
        <v>0</v>
      </c>
    </row>
    <row r="5968" spans="1:5" x14ac:dyDescent="0.35">
      <c r="A5968">
        <v>0</v>
      </c>
      <c r="B5968">
        <v>0</v>
      </c>
      <c r="C5968">
        <v>0</v>
      </c>
      <c r="D5968">
        <v>0</v>
      </c>
      <c r="E5968">
        <v>0</v>
      </c>
    </row>
    <row r="5969" spans="1:5" x14ac:dyDescent="0.35">
      <c r="A5969">
        <v>0</v>
      </c>
      <c r="B5969">
        <v>0</v>
      </c>
      <c r="C5969">
        <v>0</v>
      </c>
      <c r="D5969">
        <v>0</v>
      </c>
      <c r="E5969">
        <v>0</v>
      </c>
    </row>
    <row r="5970" spans="1:5" x14ac:dyDescent="0.35">
      <c r="A5970">
        <v>0</v>
      </c>
      <c r="B5970">
        <v>0</v>
      </c>
      <c r="C5970">
        <v>0</v>
      </c>
      <c r="D5970">
        <v>0</v>
      </c>
      <c r="E5970">
        <v>0</v>
      </c>
    </row>
    <row r="5971" spans="1:5" x14ac:dyDescent="0.35">
      <c r="A5971">
        <v>0</v>
      </c>
      <c r="B5971">
        <v>0</v>
      </c>
      <c r="C5971">
        <v>0</v>
      </c>
      <c r="D5971">
        <v>0</v>
      </c>
      <c r="E5971">
        <v>0</v>
      </c>
    </row>
    <row r="5972" spans="1:5" x14ac:dyDescent="0.35">
      <c r="A5972">
        <v>0</v>
      </c>
      <c r="B5972">
        <v>0</v>
      </c>
      <c r="C5972">
        <v>0</v>
      </c>
      <c r="D5972">
        <v>0</v>
      </c>
      <c r="E5972">
        <v>0</v>
      </c>
    </row>
    <row r="5973" spans="1:5" x14ac:dyDescent="0.35">
      <c r="A5973">
        <v>0</v>
      </c>
      <c r="B5973">
        <v>0</v>
      </c>
      <c r="C5973">
        <v>0</v>
      </c>
      <c r="D5973">
        <v>0</v>
      </c>
      <c r="E5973">
        <v>0</v>
      </c>
    </row>
    <row r="5974" spans="1:5" x14ac:dyDescent="0.35">
      <c r="A5974">
        <v>0</v>
      </c>
      <c r="B5974">
        <v>0</v>
      </c>
      <c r="C5974">
        <v>0</v>
      </c>
      <c r="D5974">
        <v>0</v>
      </c>
      <c r="E5974">
        <v>0</v>
      </c>
    </row>
    <row r="5975" spans="1:5" x14ac:dyDescent="0.35">
      <c r="A5975">
        <v>0</v>
      </c>
      <c r="B5975">
        <v>0</v>
      </c>
      <c r="C5975">
        <v>0</v>
      </c>
      <c r="D5975">
        <v>0</v>
      </c>
      <c r="E5975">
        <v>0</v>
      </c>
    </row>
    <row r="5976" spans="1:5" x14ac:dyDescent="0.35">
      <c r="A5976">
        <v>0</v>
      </c>
      <c r="B5976">
        <v>0</v>
      </c>
      <c r="C5976">
        <v>0</v>
      </c>
      <c r="D5976">
        <v>0</v>
      </c>
      <c r="E5976">
        <v>0</v>
      </c>
    </row>
    <row r="5977" spans="1:5" x14ac:dyDescent="0.35">
      <c r="A5977">
        <v>0</v>
      </c>
      <c r="B5977">
        <v>0</v>
      </c>
      <c r="C5977">
        <v>0</v>
      </c>
      <c r="D5977">
        <v>0</v>
      </c>
      <c r="E5977">
        <v>0</v>
      </c>
    </row>
    <row r="5978" spans="1:5" x14ac:dyDescent="0.35">
      <c r="A5978">
        <v>0</v>
      </c>
      <c r="B5978">
        <v>0</v>
      </c>
      <c r="C5978">
        <v>0</v>
      </c>
      <c r="D5978">
        <v>0</v>
      </c>
      <c r="E5978">
        <v>0</v>
      </c>
    </row>
    <row r="5979" spans="1:5" x14ac:dyDescent="0.35">
      <c r="A5979">
        <v>0</v>
      </c>
      <c r="B5979">
        <v>0</v>
      </c>
      <c r="C5979">
        <v>0</v>
      </c>
      <c r="D5979">
        <v>0</v>
      </c>
      <c r="E5979">
        <v>0</v>
      </c>
    </row>
    <row r="5980" spans="1:5" x14ac:dyDescent="0.35">
      <c r="A5980">
        <v>0</v>
      </c>
      <c r="B5980">
        <v>0</v>
      </c>
      <c r="C5980">
        <v>0</v>
      </c>
      <c r="D5980">
        <v>0</v>
      </c>
      <c r="E5980">
        <v>0</v>
      </c>
    </row>
    <row r="5981" spans="1:5" x14ac:dyDescent="0.35">
      <c r="A5981">
        <v>0</v>
      </c>
      <c r="B5981">
        <v>0</v>
      </c>
      <c r="C5981">
        <v>0</v>
      </c>
      <c r="D5981">
        <v>0</v>
      </c>
      <c r="E5981">
        <v>0</v>
      </c>
    </row>
    <row r="5982" spans="1:5" x14ac:dyDescent="0.35">
      <c r="A5982">
        <v>0</v>
      </c>
      <c r="B5982">
        <v>0</v>
      </c>
      <c r="C5982">
        <v>0</v>
      </c>
      <c r="D5982">
        <v>0</v>
      </c>
      <c r="E5982">
        <v>0</v>
      </c>
    </row>
    <row r="5983" spans="1:5" x14ac:dyDescent="0.35">
      <c r="A5983">
        <v>0</v>
      </c>
      <c r="B5983">
        <v>0</v>
      </c>
      <c r="C5983">
        <v>0</v>
      </c>
      <c r="D5983">
        <v>0</v>
      </c>
      <c r="E5983">
        <v>0</v>
      </c>
    </row>
    <row r="5984" spans="1:5" x14ac:dyDescent="0.35">
      <c r="A5984">
        <v>0</v>
      </c>
      <c r="B5984">
        <v>0</v>
      </c>
      <c r="C5984">
        <v>0</v>
      </c>
      <c r="D5984">
        <v>0</v>
      </c>
      <c r="E5984">
        <v>0</v>
      </c>
    </row>
    <row r="5985" spans="1:5" x14ac:dyDescent="0.35">
      <c r="A5985">
        <v>0</v>
      </c>
      <c r="B5985">
        <v>0</v>
      </c>
      <c r="C5985">
        <v>0</v>
      </c>
      <c r="D5985">
        <v>0</v>
      </c>
      <c r="E5985">
        <v>0</v>
      </c>
    </row>
    <row r="5986" spans="1:5" x14ac:dyDescent="0.35">
      <c r="A5986">
        <v>0</v>
      </c>
      <c r="B5986">
        <v>0</v>
      </c>
      <c r="C5986">
        <v>0</v>
      </c>
      <c r="D5986">
        <v>0</v>
      </c>
      <c r="E5986">
        <v>0</v>
      </c>
    </row>
    <row r="5987" spans="1:5" x14ac:dyDescent="0.35">
      <c r="A5987">
        <v>0</v>
      </c>
      <c r="B5987">
        <v>0</v>
      </c>
      <c r="C5987">
        <v>0</v>
      </c>
      <c r="D5987">
        <v>0</v>
      </c>
      <c r="E5987">
        <v>0</v>
      </c>
    </row>
    <row r="5988" spans="1:5" x14ac:dyDescent="0.35">
      <c r="A5988">
        <v>0</v>
      </c>
      <c r="B5988">
        <v>0</v>
      </c>
      <c r="C5988">
        <v>0</v>
      </c>
      <c r="D5988">
        <v>0</v>
      </c>
      <c r="E5988">
        <v>0</v>
      </c>
    </row>
    <row r="5989" spans="1:5" x14ac:dyDescent="0.35">
      <c r="A5989">
        <v>0</v>
      </c>
      <c r="B5989">
        <v>0</v>
      </c>
      <c r="C5989">
        <v>0</v>
      </c>
      <c r="D5989">
        <v>0</v>
      </c>
      <c r="E5989">
        <v>0</v>
      </c>
    </row>
    <row r="5990" spans="1:5" x14ac:dyDescent="0.35">
      <c r="A5990">
        <v>0</v>
      </c>
      <c r="B5990">
        <v>0</v>
      </c>
      <c r="C5990">
        <v>0</v>
      </c>
      <c r="D5990">
        <v>0</v>
      </c>
      <c r="E5990">
        <v>0</v>
      </c>
    </row>
    <row r="5991" spans="1:5" x14ac:dyDescent="0.35">
      <c r="A5991">
        <v>0</v>
      </c>
      <c r="B5991">
        <v>0</v>
      </c>
      <c r="C5991">
        <v>0</v>
      </c>
      <c r="D5991">
        <v>0</v>
      </c>
      <c r="E5991">
        <v>0</v>
      </c>
    </row>
    <row r="5992" spans="1:5" x14ac:dyDescent="0.35">
      <c r="A5992">
        <v>0</v>
      </c>
      <c r="B5992">
        <v>0</v>
      </c>
      <c r="C5992">
        <v>0</v>
      </c>
      <c r="D5992">
        <v>0</v>
      </c>
      <c r="E5992">
        <v>0</v>
      </c>
    </row>
    <row r="5993" spans="1:5" x14ac:dyDescent="0.35">
      <c r="A5993">
        <v>0</v>
      </c>
      <c r="B5993">
        <v>0</v>
      </c>
      <c r="C5993">
        <v>0</v>
      </c>
      <c r="D5993">
        <v>0</v>
      </c>
      <c r="E5993">
        <v>0</v>
      </c>
    </row>
    <row r="5994" spans="1:5" x14ac:dyDescent="0.35">
      <c r="A5994">
        <v>0</v>
      </c>
      <c r="B5994">
        <v>0</v>
      </c>
      <c r="C5994">
        <v>0</v>
      </c>
      <c r="D5994">
        <v>0</v>
      </c>
      <c r="E5994">
        <v>0</v>
      </c>
    </row>
    <row r="5995" spans="1:5" x14ac:dyDescent="0.35">
      <c r="A5995">
        <v>0</v>
      </c>
      <c r="B5995">
        <v>0</v>
      </c>
      <c r="C5995">
        <v>0</v>
      </c>
      <c r="D5995">
        <v>0</v>
      </c>
      <c r="E5995">
        <v>0</v>
      </c>
    </row>
    <row r="5996" spans="1:5" x14ac:dyDescent="0.35">
      <c r="A5996">
        <v>0</v>
      </c>
      <c r="B5996">
        <v>0</v>
      </c>
      <c r="C5996">
        <v>0</v>
      </c>
      <c r="D5996">
        <v>0</v>
      </c>
      <c r="E5996">
        <v>0</v>
      </c>
    </row>
    <row r="5997" spans="1:5" x14ac:dyDescent="0.35">
      <c r="A5997">
        <v>0</v>
      </c>
      <c r="B5997">
        <v>0</v>
      </c>
      <c r="C5997">
        <v>0</v>
      </c>
      <c r="D5997">
        <v>0</v>
      </c>
      <c r="E5997">
        <v>0</v>
      </c>
    </row>
    <row r="5998" spans="1:5" x14ac:dyDescent="0.35">
      <c r="A5998">
        <v>0</v>
      </c>
      <c r="B5998">
        <v>0</v>
      </c>
      <c r="C5998">
        <v>0</v>
      </c>
      <c r="D5998">
        <v>0</v>
      </c>
      <c r="E5998">
        <v>0</v>
      </c>
    </row>
    <row r="5999" spans="1:5" x14ac:dyDescent="0.35">
      <c r="A5999">
        <v>0</v>
      </c>
      <c r="B5999">
        <v>0</v>
      </c>
      <c r="C5999">
        <v>0</v>
      </c>
      <c r="D5999">
        <v>0</v>
      </c>
      <c r="E5999">
        <v>0</v>
      </c>
    </row>
    <row r="6000" spans="1:5" x14ac:dyDescent="0.35">
      <c r="A6000">
        <v>0</v>
      </c>
      <c r="B6000">
        <v>0</v>
      </c>
      <c r="C6000">
        <v>0</v>
      </c>
      <c r="D6000">
        <v>0</v>
      </c>
      <c r="E6000">
        <v>0</v>
      </c>
    </row>
    <row r="6001" spans="1:5" x14ac:dyDescent="0.35">
      <c r="A6001">
        <v>0</v>
      </c>
      <c r="B6001">
        <v>0</v>
      </c>
      <c r="C6001">
        <v>0</v>
      </c>
      <c r="D6001">
        <v>0</v>
      </c>
      <c r="E6001">
        <v>0</v>
      </c>
    </row>
    <row r="6002" spans="1:5" x14ac:dyDescent="0.35">
      <c r="A6002">
        <v>0</v>
      </c>
      <c r="B6002">
        <v>0</v>
      </c>
      <c r="C6002">
        <v>0</v>
      </c>
      <c r="D6002">
        <v>0</v>
      </c>
      <c r="E6002">
        <v>0</v>
      </c>
    </row>
    <row r="6003" spans="1:5" x14ac:dyDescent="0.35">
      <c r="A6003">
        <v>0</v>
      </c>
      <c r="B6003">
        <v>0</v>
      </c>
      <c r="C6003">
        <v>0</v>
      </c>
      <c r="D6003">
        <v>0</v>
      </c>
      <c r="E6003">
        <v>0</v>
      </c>
    </row>
    <row r="6004" spans="1:5" x14ac:dyDescent="0.35">
      <c r="A6004">
        <v>0</v>
      </c>
      <c r="B6004">
        <v>0</v>
      </c>
      <c r="C6004">
        <v>0</v>
      </c>
      <c r="D6004">
        <v>0</v>
      </c>
      <c r="E6004">
        <v>0</v>
      </c>
    </row>
    <row r="6005" spans="1:5" x14ac:dyDescent="0.35">
      <c r="A6005">
        <v>0</v>
      </c>
      <c r="B6005">
        <v>0</v>
      </c>
      <c r="C6005">
        <v>0</v>
      </c>
      <c r="D6005">
        <v>0</v>
      </c>
      <c r="E6005">
        <v>0</v>
      </c>
    </row>
    <row r="6006" spans="1:5" x14ac:dyDescent="0.35">
      <c r="A6006">
        <v>0</v>
      </c>
      <c r="B6006">
        <v>0</v>
      </c>
      <c r="C6006">
        <v>0</v>
      </c>
      <c r="D6006">
        <v>0</v>
      </c>
      <c r="E6006">
        <v>0</v>
      </c>
    </row>
    <row r="6007" spans="1:5" x14ac:dyDescent="0.35">
      <c r="A6007">
        <v>0</v>
      </c>
      <c r="B6007">
        <v>0</v>
      </c>
      <c r="C6007">
        <v>0</v>
      </c>
      <c r="D6007">
        <v>0</v>
      </c>
      <c r="E6007">
        <v>0</v>
      </c>
    </row>
    <row r="6008" spans="1:5" x14ac:dyDescent="0.35">
      <c r="A6008">
        <v>0</v>
      </c>
      <c r="B6008">
        <v>0</v>
      </c>
      <c r="C6008">
        <v>0</v>
      </c>
      <c r="D6008">
        <v>0</v>
      </c>
      <c r="E6008">
        <v>0</v>
      </c>
    </row>
    <row r="6009" spans="1:5" x14ac:dyDescent="0.35">
      <c r="A6009">
        <v>0</v>
      </c>
      <c r="B6009">
        <v>0</v>
      </c>
      <c r="C6009">
        <v>0</v>
      </c>
      <c r="D6009">
        <v>0</v>
      </c>
      <c r="E6009">
        <v>0</v>
      </c>
    </row>
    <row r="6010" spans="1:5" x14ac:dyDescent="0.35">
      <c r="A6010">
        <v>0</v>
      </c>
      <c r="B6010">
        <v>0</v>
      </c>
      <c r="C6010">
        <v>0</v>
      </c>
      <c r="D6010">
        <v>0</v>
      </c>
      <c r="E6010">
        <v>0</v>
      </c>
    </row>
    <row r="6011" spans="1:5" x14ac:dyDescent="0.35">
      <c r="A6011">
        <v>0</v>
      </c>
      <c r="B6011">
        <v>0</v>
      </c>
      <c r="C6011">
        <v>0</v>
      </c>
      <c r="D6011">
        <v>0</v>
      </c>
      <c r="E6011">
        <v>0</v>
      </c>
    </row>
    <row r="6012" spans="1:5" x14ac:dyDescent="0.35">
      <c r="A6012">
        <v>0</v>
      </c>
      <c r="B6012">
        <v>0</v>
      </c>
      <c r="C6012">
        <v>0</v>
      </c>
      <c r="D6012">
        <v>0</v>
      </c>
      <c r="E6012">
        <v>0</v>
      </c>
    </row>
    <row r="6013" spans="1:5" x14ac:dyDescent="0.35">
      <c r="A6013">
        <v>0</v>
      </c>
      <c r="B6013">
        <v>0</v>
      </c>
      <c r="C6013">
        <v>0</v>
      </c>
      <c r="D6013">
        <v>0</v>
      </c>
      <c r="E6013">
        <v>0</v>
      </c>
    </row>
    <row r="6014" spans="1:5" x14ac:dyDescent="0.35">
      <c r="A6014">
        <v>0</v>
      </c>
      <c r="B6014">
        <v>0</v>
      </c>
      <c r="C6014">
        <v>0</v>
      </c>
      <c r="D6014">
        <v>0</v>
      </c>
      <c r="E6014">
        <v>0</v>
      </c>
    </row>
    <row r="6015" spans="1:5" x14ac:dyDescent="0.35">
      <c r="A6015">
        <v>0</v>
      </c>
      <c r="B6015">
        <v>0</v>
      </c>
      <c r="C6015">
        <v>0</v>
      </c>
      <c r="D6015">
        <v>0</v>
      </c>
      <c r="E6015">
        <v>0</v>
      </c>
    </row>
    <row r="6016" spans="1:5" x14ac:dyDescent="0.35">
      <c r="A6016">
        <v>0</v>
      </c>
      <c r="B6016">
        <v>0</v>
      </c>
      <c r="C6016">
        <v>0</v>
      </c>
      <c r="D6016">
        <v>0</v>
      </c>
      <c r="E6016">
        <v>0</v>
      </c>
    </row>
    <row r="6017" spans="1:5" x14ac:dyDescent="0.35">
      <c r="A6017">
        <v>0</v>
      </c>
      <c r="B6017">
        <v>0</v>
      </c>
      <c r="C6017">
        <v>0</v>
      </c>
      <c r="D6017">
        <v>0</v>
      </c>
      <c r="E6017">
        <v>0</v>
      </c>
    </row>
    <row r="6018" spans="1:5" x14ac:dyDescent="0.35">
      <c r="A6018">
        <v>0</v>
      </c>
      <c r="B6018">
        <v>0</v>
      </c>
      <c r="C6018">
        <v>0</v>
      </c>
      <c r="D6018">
        <v>0</v>
      </c>
      <c r="E6018">
        <v>0</v>
      </c>
    </row>
    <row r="6019" spans="1:5" x14ac:dyDescent="0.35">
      <c r="A6019">
        <v>0</v>
      </c>
      <c r="B6019">
        <v>0</v>
      </c>
      <c r="C6019">
        <v>0</v>
      </c>
      <c r="D6019">
        <v>0</v>
      </c>
      <c r="E6019">
        <v>0</v>
      </c>
    </row>
    <row r="6020" spans="1:5" x14ac:dyDescent="0.35">
      <c r="A6020">
        <v>0</v>
      </c>
      <c r="B6020">
        <v>0</v>
      </c>
      <c r="C6020">
        <v>0</v>
      </c>
      <c r="D6020">
        <v>0</v>
      </c>
      <c r="E6020">
        <v>0</v>
      </c>
    </row>
    <row r="6021" spans="1:5" x14ac:dyDescent="0.35">
      <c r="A6021">
        <v>0</v>
      </c>
      <c r="B6021">
        <v>0</v>
      </c>
      <c r="C6021">
        <v>0</v>
      </c>
      <c r="D6021">
        <v>0</v>
      </c>
      <c r="E6021">
        <v>0</v>
      </c>
    </row>
    <row r="6022" spans="1:5" x14ac:dyDescent="0.35">
      <c r="A6022">
        <v>0</v>
      </c>
      <c r="B6022">
        <v>0</v>
      </c>
      <c r="C6022">
        <v>0</v>
      </c>
      <c r="D6022">
        <v>0</v>
      </c>
      <c r="E6022">
        <v>0</v>
      </c>
    </row>
    <row r="6023" spans="1:5" x14ac:dyDescent="0.35">
      <c r="A6023">
        <v>0</v>
      </c>
      <c r="B6023">
        <v>0</v>
      </c>
      <c r="C6023">
        <v>0</v>
      </c>
      <c r="D6023">
        <v>0</v>
      </c>
      <c r="E6023">
        <v>0</v>
      </c>
    </row>
    <row r="6024" spans="1:5" x14ac:dyDescent="0.35">
      <c r="A6024">
        <v>0</v>
      </c>
      <c r="B6024">
        <v>0</v>
      </c>
      <c r="C6024">
        <v>0</v>
      </c>
      <c r="D6024">
        <v>0</v>
      </c>
      <c r="E6024">
        <v>0</v>
      </c>
    </row>
    <row r="6025" spans="1:5" x14ac:dyDescent="0.35">
      <c r="A6025">
        <v>0</v>
      </c>
      <c r="B6025">
        <v>0</v>
      </c>
      <c r="C6025">
        <v>0</v>
      </c>
      <c r="D6025">
        <v>0</v>
      </c>
      <c r="E6025">
        <v>0</v>
      </c>
    </row>
    <row r="6026" spans="1:5" x14ac:dyDescent="0.35">
      <c r="A6026">
        <v>0</v>
      </c>
      <c r="B6026">
        <v>0</v>
      </c>
      <c r="C6026">
        <v>0</v>
      </c>
      <c r="D6026">
        <v>0</v>
      </c>
      <c r="E6026">
        <v>0</v>
      </c>
    </row>
    <row r="6027" spans="1:5" x14ac:dyDescent="0.35">
      <c r="A6027">
        <v>0</v>
      </c>
      <c r="B6027">
        <v>0</v>
      </c>
      <c r="C6027">
        <v>0</v>
      </c>
      <c r="D6027">
        <v>0</v>
      </c>
      <c r="E6027">
        <v>0</v>
      </c>
    </row>
    <row r="6028" spans="1:5" x14ac:dyDescent="0.35">
      <c r="A6028">
        <v>0</v>
      </c>
      <c r="B6028">
        <v>0</v>
      </c>
      <c r="C6028">
        <v>0</v>
      </c>
      <c r="D6028">
        <v>0</v>
      </c>
      <c r="E6028">
        <v>0</v>
      </c>
    </row>
    <row r="6029" spans="1:5" x14ac:dyDescent="0.35">
      <c r="A6029">
        <v>0</v>
      </c>
      <c r="B6029">
        <v>0</v>
      </c>
      <c r="C6029">
        <v>0</v>
      </c>
      <c r="D6029">
        <v>0</v>
      </c>
      <c r="E6029">
        <v>0</v>
      </c>
    </row>
    <row r="6030" spans="1:5" x14ac:dyDescent="0.35">
      <c r="A6030">
        <v>0</v>
      </c>
      <c r="B6030">
        <v>0</v>
      </c>
      <c r="C6030">
        <v>0</v>
      </c>
      <c r="D6030">
        <v>0</v>
      </c>
      <c r="E6030">
        <v>0</v>
      </c>
    </row>
    <row r="6031" spans="1:5" x14ac:dyDescent="0.35">
      <c r="A6031">
        <v>0</v>
      </c>
      <c r="B6031">
        <v>0</v>
      </c>
      <c r="C6031">
        <v>0</v>
      </c>
      <c r="D6031">
        <v>0</v>
      </c>
      <c r="E6031">
        <v>0</v>
      </c>
    </row>
    <row r="6032" spans="1:5" x14ac:dyDescent="0.35">
      <c r="A6032">
        <v>0</v>
      </c>
      <c r="B6032">
        <v>0</v>
      </c>
      <c r="C6032">
        <v>0</v>
      </c>
      <c r="D6032">
        <v>0</v>
      </c>
      <c r="E6032">
        <v>0</v>
      </c>
    </row>
    <row r="6033" spans="1:5" x14ac:dyDescent="0.35">
      <c r="A6033">
        <v>0</v>
      </c>
      <c r="B6033">
        <v>0</v>
      </c>
      <c r="C6033">
        <v>0</v>
      </c>
      <c r="D6033">
        <v>0</v>
      </c>
      <c r="E6033">
        <v>0</v>
      </c>
    </row>
    <row r="6034" spans="1:5" x14ac:dyDescent="0.35">
      <c r="A6034">
        <v>0</v>
      </c>
      <c r="B6034">
        <v>0</v>
      </c>
      <c r="C6034">
        <v>0</v>
      </c>
      <c r="D6034">
        <v>0</v>
      </c>
      <c r="E6034">
        <v>0</v>
      </c>
    </row>
    <row r="6035" spans="1:5" x14ac:dyDescent="0.35">
      <c r="A6035">
        <v>0</v>
      </c>
      <c r="B6035">
        <v>0</v>
      </c>
      <c r="C6035">
        <v>0</v>
      </c>
      <c r="D6035">
        <v>0</v>
      </c>
      <c r="E6035">
        <v>0</v>
      </c>
    </row>
    <row r="6036" spans="1:5" x14ac:dyDescent="0.35">
      <c r="A6036">
        <v>0</v>
      </c>
      <c r="B6036">
        <v>0</v>
      </c>
      <c r="C6036">
        <v>0</v>
      </c>
      <c r="D6036">
        <v>0</v>
      </c>
      <c r="E6036">
        <v>0</v>
      </c>
    </row>
    <row r="6037" spans="1:5" x14ac:dyDescent="0.35">
      <c r="A6037">
        <v>0</v>
      </c>
      <c r="B6037">
        <v>0</v>
      </c>
      <c r="C6037">
        <v>0</v>
      </c>
      <c r="D6037">
        <v>0</v>
      </c>
      <c r="E6037">
        <v>0</v>
      </c>
    </row>
    <row r="6038" spans="1:5" x14ac:dyDescent="0.35">
      <c r="A6038">
        <v>0</v>
      </c>
      <c r="B6038">
        <v>0</v>
      </c>
      <c r="C6038">
        <v>0</v>
      </c>
      <c r="D6038">
        <v>0</v>
      </c>
      <c r="E6038">
        <v>0</v>
      </c>
    </row>
    <row r="6039" spans="1:5" x14ac:dyDescent="0.35">
      <c r="A6039">
        <v>0</v>
      </c>
      <c r="B6039">
        <v>0</v>
      </c>
      <c r="C6039">
        <v>0</v>
      </c>
      <c r="D6039">
        <v>0</v>
      </c>
      <c r="E6039">
        <v>0</v>
      </c>
    </row>
    <row r="6040" spans="1:5" x14ac:dyDescent="0.35">
      <c r="A6040">
        <v>0</v>
      </c>
      <c r="B6040">
        <v>0</v>
      </c>
      <c r="C6040">
        <v>0</v>
      </c>
      <c r="D6040">
        <v>0</v>
      </c>
      <c r="E6040">
        <v>0</v>
      </c>
    </row>
    <row r="6041" spans="1:5" x14ac:dyDescent="0.35">
      <c r="A6041">
        <v>0</v>
      </c>
      <c r="B6041">
        <v>0</v>
      </c>
      <c r="C6041">
        <v>0</v>
      </c>
      <c r="D6041">
        <v>0</v>
      </c>
      <c r="E6041">
        <v>0</v>
      </c>
    </row>
    <row r="6042" spans="1:5" x14ac:dyDescent="0.35">
      <c r="A6042">
        <v>0</v>
      </c>
      <c r="B6042">
        <v>0</v>
      </c>
      <c r="C6042">
        <v>0</v>
      </c>
      <c r="D6042">
        <v>0</v>
      </c>
      <c r="E6042">
        <v>0</v>
      </c>
    </row>
    <row r="6043" spans="1:5" x14ac:dyDescent="0.35">
      <c r="A6043">
        <v>0</v>
      </c>
      <c r="B6043">
        <v>0</v>
      </c>
      <c r="C6043">
        <v>0</v>
      </c>
      <c r="D6043">
        <v>0</v>
      </c>
      <c r="E6043">
        <v>0</v>
      </c>
    </row>
    <row r="6044" spans="1:5" x14ac:dyDescent="0.35">
      <c r="A6044">
        <v>0</v>
      </c>
      <c r="B6044">
        <v>0</v>
      </c>
      <c r="C6044">
        <v>0</v>
      </c>
      <c r="D6044">
        <v>0</v>
      </c>
      <c r="E6044">
        <v>0</v>
      </c>
    </row>
    <row r="6045" spans="1:5" x14ac:dyDescent="0.35">
      <c r="A6045">
        <v>0</v>
      </c>
      <c r="B6045">
        <v>0</v>
      </c>
      <c r="C6045">
        <v>0</v>
      </c>
      <c r="D6045">
        <v>0</v>
      </c>
      <c r="E6045">
        <v>0</v>
      </c>
    </row>
    <row r="6046" spans="1:5" x14ac:dyDescent="0.35">
      <c r="A6046">
        <v>0</v>
      </c>
      <c r="B6046">
        <v>0</v>
      </c>
      <c r="C6046">
        <v>0</v>
      </c>
      <c r="D6046">
        <v>0</v>
      </c>
      <c r="E6046">
        <v>0</v>
      </c>
    </row>
    <row r="6047" spans="1:5" x14ac:dyDescent="0.35">
      <c r="A6047">
        <v>0</v>
      </c>
      <c r="B6047">
        <v>0</v>
      </c>
      <c r="C6047">
        <v>0</v>
      </c>
      <c r="D6047">
        <v>0</v>
      </c>
      <c r="E6047">
        <v>0</v>
      </c>
    </row>
    <row r="6048" spans="1:5" x14ac:dyDescent="0.35">
      <c r="A6048">
        <v>0</v>
      </c>
      <c r="B6048">
        <v>0</v>
      </c>
      <c r="C6048">
        <v>0</v>
      </c>
      <c r="D6048">
        <v>0</v>
      </c>
      <c r="E6048">
        <v>0</v>
      </c>
    </row>
    <row r="6049" spans="1:5" x14ac:dyDescent="0.35">
      <c r="A6049">
        <v>0</v>
      </c>
      <c r="B6049">
        <v>0</v>
      </c>
      <c r="C6049">
        <v>0</v>
      </c>
      <c r="D6049">
        <v>0</v>
      </c>
      <c r="E6049">
        <v>0</v>
      </c>
    </row>
    <row r="6050" spans="1:5" x14ac:dyDescent="0.35">
      <c r="A6050">
        <v>0</v>
      </c>
      <c r="B6050">
        <v>0</v>
      </c>
      <c r="C6050">
        <v>0</v>
      </c>
      <c r="D6050">
        <v>0</v>
      </c>
      <c r="E6050">
        <v>0</v>
      </c>
    </row>
    <row r="6051" spans="1:5" x14ac:dyDescent="0.35">
      <c r="A6051">
        <v>0</v>
      </c>
      <c r="B6051">
        <v>0</v>
      </c>
      <c r="C6051">
        <v>0</v>
      </c>
      <c r="D6051">
        <v>0</v>
      </c>
      <c r="E6051">
        <v>0</v>
      </c>
    </row>
    <row r="6052" spans="1:5" x14ac:dyDescent="0.35">
      <c r="A6052">
        <v>0</v>
      </c>
      <c r="B6052">
        <v>0</v>
      </c>
      <c r="C6052">
        <v>0</v>
      </c>
      <c r="D6052">
        <v>0</v>
      </c>
      <c r="E6052">
        <v>0</v>
      </c>
    </row>
    <row r="6053" spans="1:5" x14ac:dyDescent="0.35">
      <c r="A6053">
        <v>0</v>
      </c>
      <c r="B6053">
        <v>0</v>
      </c>
      <c r="C6053">
        <v>0</v>
      </c>
      <c r="D6053">
        <v>0</v>
      </c>
      <c r="E6053">
        <v>0</v>
      </c>
    </row>
    <row r="6054" spans="1:5" x14ac:dyDescent="0.35">
      <c r="A6054">
        <v>0</v>
      </c>
      <c r="B6054">
        <v>0</v>
      </c>
      <c r="C6054">
        <v>0</v>
      </c>
      <c r="D6054">
        <v>0</v>
      </c>
      <c r="E6054">
        <v>0</v>
      </c>
    </row>
    <row r="6055" spans="1:5" x14ac:dyDescent="0.35">
      <c r="A6055">
        <v>0</v>
      </c>
      <c r="B6055">
        <v>0</v>
      </c>
      <c r="C6055">
        <v>0</v>
      </c>
      <c r="D6055">
        <v>0</v>
      </c>
      <c r="E6055">
        <v>0</v>
      </c>
    </row>
    <row r="6056" spans="1:5" x14ac:dyDescent="0.35">
      <c r="A6056">
        <v>0</v>
      </c>
      <c r="B6056">
        <v>0</v>
      </c>
      <c r="C6056">
        <v>0</v>
      </c>
      <c r="D6056">
        <v>0</v>
      </c>
      <c r="E6056">
        <v>0</v>
      </c>
    </row>
    <row r="6057" spans="1:5" x14ac:dyDescent="0.35">
      <c r="A6057">
        <v>0</v>
      </c>
      <c r="B6057">
        <v>0</v>
      </c>
      <c r="C6057">
        <v>0</v>
      </c>
      <c r="D6057">
        <v>0</v>
      </c>
      <c r="E6057">
        <v>0</v>
      </c>
    </row>
    <row r="6058" spans="1:5" x14ac:dyDescent="0.35">
      <c r="A6058">
        <v>0</v>
      </c>
      <c r="B6058">
        <v>0</v>
      </c>
      <c r="C6058">
        <v>0</v>
      </c>
      <c r="D6058">
        <v>0</v>
      </c>
      <c r="E6058">
        <v>0</v>
      </c>
    </row>
    <row r="6059" spans="1:5" x14ac:dyDescent="0.35">
      <c r="A6059">
        <v>0</v>
      </c>
      <c r="B6059">
        <v>0</v>
      </c>
      <c r="C6059">
        <v>0</v>
      </c>
      <c r="D6059">
        <v>0</v>
      </c>
      <c r="E6059">
        <v>0</v>
      </c>
    </row>
    <row r="6060" spans="1:5" x14ac:dyDescent="0.35">
      <c r="A6060">
        <v>0</v>
      </c>
      <c r="B6060">
        <v>0</v>
      </c>
      <c r="C6060">
        <v>0</v>
      </c>
      <c r="D6060">
        <v>0</v>
      </c>
      <c r="E6060">
        <v>0</v>
      </c>
    </row>
    <row r="6061" spans="1:5" x14ac:dyDescent="0.35">
      <c r="A6061">
        <v>0</v>
      </c>
      <c r="B6061">
        <v>0</v>
      </c>
      <c r="C6061">
        <v>0</v>
      </c>
      <c r="D6061">
        <v>0</v>
      </c>
      <c r="E6061">
        <v>0</v>
      </c>
    </row>
    <row r="6062" spans="1:5" x14ac:dyDescent="0.35">
      <c r="A6062">
        <v>0</v>
      </c>
      <c r="B6062">
        <v>0</v>
      </c>
      <c r="C6062">
        <v>0</v>
      </c>
      <c r="D6062">
        <v>0</v>
      </c>
      <c r="E6062">
        <v>0</v>
      </c>
    </row>
    <row r="6063" spans="1:5" x14ac:dyDescent="0.35">
      <c r="A6063">
        <v>0</v>
      </c>
      <c r="B6063">
        <v>0</v>
      </c>
      <c r="C6063">
        <v>0</v>
      </c>
      <c r="D6063">
        <v>0</v>
      </c>
      <c r="E6063">
        <v>0</v>
      </c>
    </row>
    <row r="6064" spans="1:5" x14ac:dyDescent="0.35">
      <c r="A6064">
        <v>0</v>
      </c>
      <c r="B6064">
        <v>0</v>
      </c>
      <c r="C6064">
        <v>0</v>
      </c>
      <c r="D6064">
        <v>0</v>
      </c>
      <c r="E6064">
        <v>0</v>
      </c>
    </row>
    <row r="6065" spans="1:5" x14ac:dyDescent="0.35">
      <c r="A6065">
        <v>0</v>
      </c>
      <c r="B6065">
        <v>0</v>
      </c>
      <c r="C6065">
        <v>0</v>
      </c>
      <c r="D6065">
        <v>0</v>
      </c>
      <c r="E6065">
        <v>0</v>
      </c>
    </row>
    <row r="6066" spans="1:5" x14ac:dyDescent="0.35">
      <c r="A6066">
        <v>0</v>
      </c>
      <c r="B6066">
        <v>0</v>
      </c>
      <c r="C6066">
        <v>0</v>
      </c>
      <c r="D6066">
        <v>0</v>
      </c>
      <c r="E6066">
        <v>0</v>
      </c>
    </row>
    <row r="6067" spans="1:5" x14ac:dyDescent="0.35">
      <c r="A6067">
        <v>0</v>
      </c>
      <c r="B6067">
        <v>0</v>
      </c>
      <c r="C6067">
        <v>0</v>
      </c>
      <c r="D6067">
        <v>0</v>
      </c>
      <c r="E6067">
        <v>0</v>
      </c>
    </row>
    <row r="6068" spans="1:5" x14ac:dyDescent="0.35">
      <c r="A6068">
        <v>0</v>
      </c>
      <c r="B6068">
        <v>0</v>
      </c>
      <c r="C6068">
        <v>0</v>
      </c>
      <c r="D6068">
        <v>0</v>
      </c>
      <c r="E6068">
        <v>0</v>
      </c>
    </row>
    <row r="6069" spans="1:5" x14ac:dyDescent="0.35">
      <c r="A6069">
        <v>0</v>
      </c>
      <c r="B6069">
        <v>0</v>
      </c>
      <c r="C6069">
        <v>0</v>
      </c>
      <c r="D6069">
        <v>0</v>
      </c>
      <c r="E6069">
        <v>0</v>
      </c>
    </row>
    <row r="6070" spans="1:5" x14ac:dyDescent="0.35">
      <c r="A6070">
        <v>0</v>
      </c>
      <c r="B6070">
        <v>0</v>
      </c>
      <c r="C6070">
        <v>0</v>
      </c>
      <c r="D6070">
        <v>0</v>
      </c>
      <c r="E6070">
        <v>0</v>
      </c>
    </row>
    <row r="6071" spans="1:5" x14ac:dyDescent="0.35">
      <c r="A6071">
        <v>0</v>
      </c>
      <c r="B6071">
        <v>0</v>
      </c>
      <c r="C6071">
        <v>0</v>
      </c>
      <c r="D6071">
        <v>0</v>
      </c>
      <c r="E6071">
        <v>0</v>
      </c>
    </row>
    <row r="6072" spans="1:5" x14ac:dyDescent="0.35">
      <c r="A6072">
        <v>0</v>
      </c>
      <c r="B6072">
        <v>0</v>
      </c>
      <c r="C6072">
        <v>0</v>
      </c>
      <c r="D6072">
        <v>0</v>
      </c>
      <c r="E6072">
        <v>0</v>
      </c>
    </row>
    <row r="6073" spans="1:5" x14ac:dyDescent="0.35">
      <c r="A6073">
        <v>0</v>
      </c>
      <c r="B6073">
        <v>0</v>
      </c>
      <c r="C6073">
        <v>0</v>
      </c>
      <c r="D6073">
        <v>0</v>
      </c>
      <c r="E6073">
        <v>0</v>
      </c>
    </row>
    <row r="6074" spans="1:5" x14ac:dyDescent="0.35">
      <c r="A6074">
        <v>0</v>
      </c>
      <c r="B6074">
        <v>0</v>
      </c>
      <c r="C6074">
        <v>0</v>
      </c>
      <c r="D6074">
        <v>0</v>
      </c>
      <c r="E6074">
        <v>0</v>
      </c>
    </row>
    <row r="6075" spans="1:5" x14ac:dyDescent="0.35">
      <c r="A6075">
        <v>0</v>
      </c>
      <c r="B6075">
        <v>0</v>
      </c>
      <c r="C6075">
        <v>0</v>
      </c>
      <c r="D6075">
        <v>0</v>
      </c>
      <c r="E6075">
        <v>0</v>
      </c>
    </row>
    <row r="6076" spans="1:5" x14ac:dyDescent="0.35">
      <c r="A6076">
        <v>0</v>
      </c>
      <c r="B6076">
        <v>0</v>
      </c>
      <c r="C6076">
        <v>0</v>
      </c>
      <c r="D6076">
        <v>0</v>
      </c>
      <c r="E6076">
        <v>0</v>
      </c>
    </row>
    <row r="6077" spans="1:5" x14ac:dyDescent="0.35">
      <c r="A6077">
        <v>0</v>
      </c>
      <c r="B6077">
        <v>0</v>
      </c>
      <c r="C6077">
        <v>0</v>
      </c>
      <c r="D6077">
        <v>0</v>
      </c>
      <c r="E6077">
        <v>0</v>
      </c>
    </row>
    <row r="6078" spans="1:5" x14ac:dyDescent="0.35">
      <c r="A6078">
        <v>0</v>
      </c>
      <c r="B6078">
        <v>0</v>
      </c>
      <c r="C6078">
        <v>0</v>
      </c>
      <c r="D6078">
        <v>0</v>
      </c>
      <c r="E6078">
        <v>0</v>
      </c>
    </row>
    <row r="6079" spans="1:5" x14ac:dyDescent="0.35">
      <c r="A6079">
        <v>0</v>
      </c>
      <c r="B6079">
        <v>0</v>
      </c>
      <c r="C6079">
        <v>0</v>
      </c>
      <c r="D6079">
        <v>0</v>
      </c>
      <c r="E6079">
        <v>0</v>
      </c>
    </row>
    <row r="6080" spans="1:5" x14ac:dyDescent="0.35">
      <c r="A6080">
        <v>0</v>
      </c>
      <c r="B6080">
        <v>0</v>
      </c>
      <c r="C6080">
        <v>0</v>
      </c>
      <c r="D6080">
        <v>0</v>
      </c>
      <c r="E6080">
        <v>0</v>
      </c>
    </row>
    <row r="6081" spans="1:5" x14ac:dyDescent="0.35">
      <c r="A6081">
        <v>0</v>
      </c>
      <c r="B6081">
        <v>0</v>
      </c>
      <c r="C6081">
        <v>0</v>
      </c>
      <c r="D6081">
        <v>0</v>
      </c>
      <c r="E6081">
        <v>0</v>
      </c>
    </row>
    <row r="6082" spans="1:5" x14ac:dyDescent="0.35">
      <c r="A6082">
        <v>0</v>
      </c>
      <c r="B6082">
        <v>0</v>
      </c>
      <c r="C6082">
        <v>0</v>
      </c>
      <c r="D6082">
        <v>0</v>
      </c>
      <c r="E6082">
        <v>0</v>
      </c>
    </row>
    <row r="6083" spans="1:5" x14ac:dyDescent="0.35">
      <c r="A6083">
        <v>0</v>
      </c>
      <c r="B6083">
        <v>0</v>
      </c>
      <c r="C6083">
        <v>0</v>
      </c>
      <c r="D6083">
        <v>0</v>
      </c>
      <c r="E6083">
        <v>0</v>
      </c>
    </row>
    <row r="6084" spans="1:5" x14ac:dyDescent="0.35">
      <c r="A6084">
        <v>0</v>
      </c>
      <c r="B6084">
        <v>0</v>
      </c>
      <c r="C6084">
        <v>0</v>
      </c>
      <c r="D6084">
        <v>0</v>
      </c>
      <c r="E6084">
        <v>0</v>
      </c>
    </row>
    <row r="6085" spans="1:5" x14ac:dyDescent="0.35">
      <c r="A6085">
        <v>0</v>
      </c>
      <c r="B6085">
        <v>0</v>
      </c>
      <c r="C6085">
        <v>0</v>
      </c>
      <c r="D6085">
        <v>0</v>
      </c>
      <c r="E6085">
        <v>0</v>
      </c>
    </row>
    <row r="6086" spans="1:5" x14ac:dyDescent="0.35">
      <c r="A6086">
        <v>0</v>
      </c>
      <c r="B6086">
        <v>0</v>
      </c>
      <c r="C6086">
        <v>0</v>
      </c>
      <c r="D6086">
        <v>0</v>
      </c>
      <c r="E6086">
        <v>0</v>
      </c>
    </row>
    <row r="6087" spans="1:5" x14ac:dyDescent="0.35">
      <c r="A6087">
        <v>0</v>
      </c>
      <c r="B6087">
        <v>0</v>
      </c>
      <c r="C6087">
        <v>0</v>
      </c>
      <c r="D6087">
        <v>0</v>
      </c>
      <c r="E6087">
        <v>0</v>
      </c>
    </row>
    <row r="6088" spans="1:5" x14ac:dyDescent="0.35">
      <c r="A6088">
        <v>0</v>
      </c>
      <c r="B6088">
        <v>0</v>
      </c>
      <c r="C6088">
        <v>0</v>
      </c>
      <c r="D6088">
        <v>0</v>
      </c>
      <c r="E6088">
        <v>0</v>
      </c>
    </row>
    <row r="6089" spans="1:5" x14ac:dyDescent="0.35">
      <c r="A6089">
        <v>0</v>
      </c>
      <c r="B6089">
        <v>0</v>
      </c>
      <c r="C6089">
        <v>0</v>
      </c>
      <c r="D6089">
        <v>0</v>
      </c>
      <c r="E6089">
        <v>0</v>
      </c>
    </row>
    <row r="6090" spans="1:5" x14ac:dyDescent="0.35">
      <c r="A6090">
        <v>0</v>
      </c>
      <c r="B6090">
        <v>0</v>
      </c>
      <c r="C6090">
        <v>0</v>
      </c>
      <c r="D6090">
        <v>0</v>
      </c>
      <c r="E6090">
        <v>0</v>
      </c>
    </row>
    <row r="6091" spans="1:5" x14ac:dyDescent="0.35">
      <c r="A6091">
        <v>0</v>
      </c>
      <c r="B6091">
        <v>0</v>
      </c>
      <c r="C6091">
        <v>0</v>
      </c>
      <c r="D6091">
        <v>0</v>
      </c>
      <c r="E6091">
        <v>0</v>
      </c>
    </row>
    <row r="6092" spans="1:5" x14ac:dyDescent="0.35">
      <c r="A6092">
        <v>0</v>
      </c>
      <c r="B6092">
        <v>0</v>
      </c>
      <c r="C6092">
        <v>0</v>
      </c>
      <c r="D6092">
        <v>0</v>
      </c>
      <c r="E6092">
        <v>0</v>
      </c>
    </row>
    <row r="6093" spans="1:5" x14ac:dyDescent="0.35">
      <c r="A6093">
        <v>0</v>
      </c>
      <c r="B6093">
        <v>0</v>
      </c>
      <c r="C6093">
        <v>0</v>
      </c>
      <c r="D6093">
        <v>0</v>
      </c>
      <c r="E6093">
        <v>0</v>
      </c>
    </row>
    <row r="6094" spans="1:5" x14ac:dyDescent="0.35">
      <c r="A6094">
        <v>0</v>
      </c>
      <c r="B6094">
        <v>0</v>
      </c>
      <c r="C6094">
        <v>0</v>
      </c>
      <c r="D6094">
        <v>0</v>
      </c>
      <c r="E6094">
        <v>0</v>
      </c>
    </row>
    <row r="6095" spans="1:5" x14ac:dyDescent="0.35">
      <c r="A6095">
        <v>0</v>
      </c>
      <c r="B6095">
        <v>0</v>
      </c>
      <c r="C6095">
        <v>0</v>
      </c>
      <c r="D6095">
        <v>0</v>
      </c>
      <c r="E6095">
        <v>0</v>
      </c>
    </row>
    <row r="6096" spans="1:5" x14ac:dyDescent="0.35">
      <c r="A6096">
        <v>0</v>
      </c>
      <c r="B6096">
        <v>0</v>
      </c>
      <c r="C6096">
        <v>0</v>
      </c>
      <c r="D6096">
        <v>0</v>
      </c>
      <c r="E6096">
        <v>0</v>
      </c>
    </row>
    <row r="6097" spans="1:5" x14ac:dyDescent="0.35">
      <c r="A6097">
        <v>0</v>
      </c>
      <c r="B6097">
        <v>0</v>
      </c>
      <c r="C6097">
        <v>0</v>
      </c>
      <c r="D6097">
        <v>0</v>
      </c>
      <c r="E6097">
        <v>0</v>
      </c>
    </row>
    <row r="6098" spans="1:5" x14ac:dyDescent="0.35">
      <c r="A6098">
        <v>0</v>
      </c>
      <c r="B6098">
        <v>0</v>
      </c>
      <c r="C6098">
        <v>0</v>
      </c>
      <c r="D6098">
        <v>0</v>
      </c>
      <c r="E6098">
        <v>0</v>
      </c>
    </row>
    <row r="6099" spans="1:5" x14ac:dyDescent="0.35">
      <c r="A6099">
        <v>0</v>
      </c>
      <c r="B6099">
        <v>0</v>
      </c>
      <c r="C6099">
        <v>0</v>
      </c>
      <c r="D6099">
        <v>0</v>
      </c>
      <c r="E6099">
        <v>0</v>
      </c>
    </row>
    <row r="6100" spans="1:5" x14ac:dyDescent="0.35">
      <c r="A6100">
        <v>0</v>
      </c>
      <c r="B6100">
        <v>0</v>
      </c>
      <c r="C6100">
        <v>0</v>
      </c>
      <c r="D6100">
        <v>0</v>
      </c>
      <c r="E6100">
        <v>0</v>
      </c>
    </row>
    <row r="6101" spans="1:5" x14ac:dyDescent="0.35">
      <c r="A6101">
        <v>0</v>
      </c>
      <c r="B6101">
        <v>0</v>
      </c>
      <c r="C6101">
        <v>0</v>
      </c>
      <c r="D6101">
        <v>0</v>
      </c>
      <c r="E6101">
        <v>0</v>
      </c>
    </row>
    <row r="6102" spans="1:5" x14ac:dyDescent="0.35">
      <c r="A6102">
        <v>0</v>
      </c>
      <c r="B6102">
        <v>0</v>
      </c>
      <c r="C6102">
        <v>0</v>
      </c>
      <c r="D6102">
        <v>0</v>
      </c>
      <c r="E6102">
        <v>0</v>
      </c>
    </row>
    <row r="6103" spans="1:5" x14ac:dyDescent="0.35">
      <c r="A6103">
        <v>0</v>
      </c>
      <c r="B6103">
        <v>0</v>
      </c>
      <c r="C6103">
        <v>0</v>
      </c>
      <c r="D6103">
        <v>0</v>
      </c>
      <c r="E6103">
        <v>0</v>
      </c>
    </row>
    <row r="6104" spans="1:5" x14ac:dyDescent="0.35">
      <c r="A6104">
        <v>0</v>
      </c>
      <c r="B6104">
        <v>0</v>
      </c>
      <c r="C6104">
        <v>0</v>
      </c>
      <c r="D6104">
        <v>0</v>
      </c>
      <c r="E6104">
        <v>0</v>
      </c>
    </row>
    <row r="6105" spans="1:5" x14ac:dyDescent="0.35">
      <c r="A6105">
        <v>0</v>
      </c>
      <c r="B6105">
        <v>0</v>
      </c>
      <c r="C6105">
        <v>0</v>
      </c>
      <c r="D6105">
        <v>0</v>
      </c>
      <c r="E6105">
        <v>0</v>
      </c>
    </row>
    <row r="6106" spans="1:5" x14ac:dyDescent="0.35">
      <c r="A6106">
        <v>0</v>
      </c>
      <c r="B6106">
        <v>0</v>
      </c>
      <c r="C6106">
        <v>0</v>
      </c>
      <c r="D6106">
        <v>0</v>
      </c>
      <c r="E6106">
        <v>0</v>
      </c>
    </row>
    <row r="6107" spans="1:5" x14ac:dyDescent="0.35">
      <c r="A6107">
        <v>0</v>
      </c>
      <c r="B6107">
        <v>0</v>
      </c>
      <c r="C6107">
        <v>0</v>
      </c>
      <c r="D6107">
        <v>0</v>
      </c>
      <c r="E6107">
        <v>0</v>
      </c>
    </row>
    <row r="6108" spans="1:5" x14ac:dyDescent="0.35">
      <c r="A6108">
        <v>0</v>
      </c>
      <c r="B6108">
        <v>0</v>
      </c>
      <c r="C6108">
        <v>0</v>
      </c>
      <c r="D6108">
        <v>0</v>
      </c>
      <c r="E6108">
        <v>0</v>
      </c>
    </row>
    <row r="6109" spans="1:5" x14ac:dyDescent="0.35">
      <c r="A6109">
        <v>0</v>
      </c>
      <c r="B6109">
        <v>0</v>
      </c>
      <c r="C6109">
        <v>0</v>
      </c>
      <c r="D6109">
        <v>0</v>
      </c>
      <c r="E6109">
        <v>0</v>
      </c>
    </row>
    <row r="6110" spans="1:5" x14ac:dyDescent="0.35">
      <c r="A6110">
        <v>0</v>
      </c>
      <c r="B6110">
        <v>0</v>
      </c>
      <c r="C6110">
        <v>0</v>
      </c>
      <c r="D6110">
        <v>0</v>
      </c>
      <c r="E6110">
        <v>0</v>
      </c>
    </row>
    <row r="6111" spans="1:5" x14ac:dyDescent="0.35">
      <c r="A6111">
        <v>0</v>
      </c>
      <c r="B6111">
        <v>0</v>
      </c>
      <c r="C6111">
        <v>0</v>
      </c>
      <c r="D6111">
        <v>0</v>
      </c>
      <c r="E6111">
        <v>0</v>
      </c>
    </row>
    <row r="6112" spans="1:5" x14ac:dyDescent="0.35">
      <c r="A6112">
        <v>0</v>
      </c>
      <c r="B6112">
        <v>0</v>
      </c>
      <c r="C6112">
        <v>0</v>
      </c>
      <c r="D6112">
        <v>0</v>
      </c>
      <c r="E6112">
        <v>0</v>
      </c>
    </row>
    <row r="6113" spans="1:5" x14ac:dyDescent="0.35">
      <c r="A6113">
        <v>0</v>
      </c>
      <c r="B6113">
        <v>0</v>
      </c>
      <c r="C6113">
        <v>0</v>
      </c>
      <c r="D6113">
        <v>0</v>
      </c>
      <c r="E6113">
        <v>0</v>
      </c>
    </row>
    <row r="6114" spans="1:5" x14ac:dyDescent="0.35">
      <c r="A6114">
        <v>0</v>
      </c>
      <c r="B6114">
        <v>0</v>
      </c>
      <c r="C6114">
        <v>0</v>
      </c>
      <c r="D6114">
        <v>0</v>
      </c>
      <c r="E6114">
        <v>0</v>
      </c>
    </row>
    <row r="6115" spans="1:5" x14ac:dyDescent="0.35">
      <c r="A6115">
        <v>0</v>
      </c>
      <c r="B6115">
        <v>0</v>
      </c>
      <c r="C6115">
        <v>0</v>
      </c>
      <c r="D6115">
        <v>0</v>
      </c>
      <c r="E6115">
        <v>0</v>
      </c>
    </row>
    <row r="6116" spans="1:5" x14ac:dyDescent="0.35">
      <c r="A6116">
        <v>0</v>
      </c>
      <c r="B6116">
        <v>0</v>
      </c>
      <c r="C6116">
        <v>0</v>
      </c>
      <c r="D6116">
        <v>0</v>
      </c>
      <c r="E6116">
        <v>0</v>
      </c>
    </row>
    <row r="6117" spans="1:5" x14ac:dyDescent="0.35">
      <c r="A6117">
        <v>0</v>
      </c>
      <c r="B6117">
        <v>0</v>
      </c>
      <c r="C6117">
        <v>0</v>
      </c>
      <c r="D6117">
        <v>0</v>
      </c>
      <c r="E6117">
        <v>0</v>
      </c>
    </row>
    <row r="6118" spans="1:5" x14ac:dyDescent="0.35">
      <c r="A6118">
        <v>0</v>
      </c>
      <c r="B6118">
        <v>0</v>
      </c>
      <c r="C6118">
        <v>0</v>
      </c>
      <c r="D6118">
        <v>0</v>
      </c>
      <c r="E6118">
        <v>0</v>
      </c>
    </row>
    <row r="6119" spans="1:5" x14ac:dyDescent="0.35">
      <c r="A6119">
        <v>0</v>
      </c>
      <c r="B6119">
        <v>0</v>
      </c>
      <c r="C6119">
        <v>0</v>
      </c>
      <c r="D6119">
        <v>0</v>
      </c>
      <c r="E6119">
        <v>0</v>
      </c>
    </row>
    <row r="6120" spans="1:5" x14ac:dyDescent="0.35">
      <c r="A6120">
        <v>0</v>
      </c>
      <c r="B6120">
        <v>0</v>
      </c>
      <c r="C6120">
        <v>0</v>
      </c>
      <c r="D6120">
        <v>0</v>
      </c>
      <c r="E6120">
        <v>0</v>
      </c>
    </row>
    <row r="6121" spans="1:5" x14ac:dyDescent="0.35">
      <c r="A6121">
        <v>0</v>
      </c>
      <c r="B6121">
        <v>0</v>
      </c>
      <c r="C6121">
        <v>0</v>
      </c>
      <c r="D6121">
        <v>0</v>
      </c>
      <c r="E6121">
        <v>0</v>
      </c>
    </row>
    <row r="6122" spans="1:5" x14ac:dyDescent="0.35">
      <c r="A6122">
        <v>0</v>
      </c>
      <c r="B6122">
        <v>0</v>
      </c>
      <c r="C6122">
        <v>0</v>
      </c>
      <c r="D6122">
        <v>0</v>
      </c>
      <c r="E6122">
        <v>0</v>
      </c>
    </row>
    <row r="6123" spans="1:5" x14ac:dyDescent="0.35">
      <c r="A6123">
        <v>0</v>
      </c>
      <c r="B6123">
        <v>0</v>
      </c>
      <c r="C6123">
        <v>0</v>
      </c>
      <c r="D6123">
        <v>0</v>
      </c>
      <c r="E6123">
        <v>0</v>
      </c>
    </row>
    <row r="6124" spans="1:5" x14ac:dyDescent="0.35">
      <c r="A6124">
        <v>0</v>
      </c>
      <c r="B6124">
        <v>0</v>
      </c>
      <c r="C6124">
        <v>0</v>
      </c>
      <c r="D6124">
        <v>0</v>
      </c>
      <c r="E6124">
        <v>0</v>
      </c>
    </row>
    <row r="6125" spans="1:5" x14ac:dyDescent="0.35">
      <c r="A6125">
        <v>0</v>
      </c>
      <c r="B6125">
        <v>0</v>
      </c>
      <c r="C6125">
        <v>0</v>
      </c>
      <c r="D6125">
        <v>0</v>
      </c>
      <c r="E6125">
        <v>0</v>
      </c>
    </row>
    <row r="6126" spans="1:5" x14ac:dyDescent="0.35">
      <c r="A6126">
        <v>0</v>
      </c>
      <c r="B6126">
        <v>0</v>
      </c>
      <c r="C6126">
        <v>0</v>
      </c>
      <c r="D6126">
        <v>0</v>
      </c>
      <c r="E6126">
        <v>0</v>
      </c>
    </row>
    <row r="6127" spans="1:5" x14ac:dyDescent="0.35">
      <c r="A6127">
        <v>0</v>
      </c>
      <c r="B6127">
        <v>0</v>
      </c>
      <c r="C6127">
        <v>0</v>
      </c>
      <c r="D6127">
        <v>0</v>
      </c>
      <c r="E6127">
        <v>0</v>
      </c>
    </row>
    <row r="6128" spans="1:5" x14ac:dyDescent="0.35">
      <c r="A6128">
        <v>0</v>
      </c>
      <c r="B6128">
        <v>0</v>
      </c>
      <c r="C6128">
        <v>0</v>
      </c>
      <c r="D6128">
        <v>0</v>
      </c>
      <c r="E6128">
        <v>0</v>
      </c>
    </row>
    <row r="6129" spans="1:5" x14ac:dyDescent="0.35">
      <c r="A6129">
        <v>0</v>
      </c>
      <c r="B6129">
        <v>0</v>
      </c>
      <c r="C6129">
        <v>0</v>
      </c>
      <c r="D6129">
        <v>0</v>
      </c>
      <c r="E6129">
        <v>0</v>
      </c>
    </row>
    <row r="6130" spans="1:5" x14ac:dyDescent="0.35">
      <c r="A6130">
        <v>0</v>
      </c>
      <c r="B6130">
        <v>0</v>
      </c>
      <c r="C6130">
        <v>0</v>
      </c>
      <c r="D6130">
        <v>0</v>
      </c>
      <c r="E6130">
        <v>0</v>
      </c>
    </row>
    <row r="6131" spans="1:5" x14ac:dyDescent="0.35">
      <c r="A6131">
        <v>0</v>
      </c>
      <c r="B6131">
        <v>0</v>
      </c>
      <c r="C6131">
        <v>0</v>
      </c>
      <c r="D6131">
        <v>0</v>
      </c>
      <c r="E6131">
        <v>0</v>
      </c>
    </row>
    <row r="6132" spans="1:5" x14ac:dyDescent="0.35">
      <c r="A6132">
        <v>0</v>
      </c>
      <c r="B6132">
        <v>0</v>
      </c>
      <c r="C6132">
        <v>0</v>
      </c>
      <c r="D6132">
        <v>0</v>
      </c>
      <c r="E6132">
        <v>0</v>
      </c>
    </row>
    <row r="6133" spans="1:5" x14ac:dyDescent="0.35">
      <c r="A6133">
        <v>0</v>
      </c>
      <c r="B6133">
        <v>0</v>
      </c>
      <c r="C6133">
        <v>0</v>
      </c>
      <c r="D6133">
        <v>0</v>
      </c>
      <c r="E6133">
        <v>0</v>
      </c>
    </row>
    <row r="6134" spans="1:5" x14ac:dyDescent="0.35">
      <c r="A6134">
        <v>0</v>
      </c>
      <c r="B6134">
        <v>0</v>
      </c>
      <c r="C6134">
        <v>0</v>
      </c>
      <c r="D6134">
        <v>0</v>
      </c>
      <c r="E6134">
        <v>0</v>
      </c>
    </row>
    <row r="6135" spans="1:5" x14ac:dyDescent="0.35">
      <c r="A6135">
        <v>0</v>
      </c>
      <c r="B6135">
        <v>0</v>
      </c>
      <c r="C6135">
        <v>0</v>
      </c>
      <c r="D6135">
        <v>0</v>
      </c>
      <c r="E6135">
        <v>0</v>
      </c>
    </row>
    <row r="6136" spans="1:5" x14ac:dyDescent="0.35">
      <c r="A6136">
        <v>0</v>
      </c>
      <c r="B6136">
        <v>0</v>
      </c>
      <c r="C6136">
        <v>0</v>
      </c>
      <c r="D6136">
        <v>0</v>
      </c>
      <c r="E6136">
        <v>0</v>
      </c>
    </row>
    <row r="6137" spans="1:5" x14ac:dyDescent="0.35">
      <c r="A6137">
        <v>0</v>
      </c>
      <c r="B6137">
        <v>0</v>
      </c>
      <c r="C6137">
        <v>0</v>
      </c>
      <c r="D6137">
        <v>0</v>
      </c>
      <c r="E6137">
        <v>0</v>
      </c>
    </row>
    <row r="6138" spans="1:5" x14ac:dyDescent="0.35">
      <c r="A6138">
        <v>0</v>
      </c>
      <c r="B6138">
        <v>0</v>
      </c>
      <c r="C6138">
        <v>0</v>
      </c>
      <c r="D6138">
        <v>0</v>
      </c>
      <c r="E6138">
        <v>0</v>
      </c>
    </row>
    <row r="6139" spans="1:5" x14ac:dyDescent="0.35">
      <c r="A6139">
        <v>0</v>
      </c>
      <c r="B6139">
        <v>0</v>
      </c>
      <c r="C6139">
        <v>0</v>
      </c>
      <c r="D6139">
        <v>0</v>
      </c>
      <c r="E6139">
        <v>0</v>
      </c>
    </row>
    <row r="6140" spans="1:5" x14ac:dyDescent="0.35">
      <c r="A6140">
        <v>0</v>
      </c>
      <c r="B6140">
        <v>0</v>
      </c>
      <c r="C6140">
        <v>0</v>
      </c>
      <c r="D6140">
        <v>0</v>
      </c>
      <c r="E6140">
        <v>0</v>
      </c>
    </row>
    <row r="6141" spans="1:5" x14ac:dyDescent="0.35">
      <c r="A6141">
        <v>0</v>
      </c>
      <c r="B6141">
        <v>0</v>
      </c>
      <c r="C6141">
        <v>0</v>
      </c>
      <c r="D6141">
        <v>0</v>
      </c>
      <c r="E6141">
        <v>0</v>
      </c>
    </row>
    <row r="6142" spans="1:5" x14ac:dyDescent="0.35">
      <c r="A6142">
        <v>0</v>
      </c>
      <c r="B6142">
        <v>0</v>
      </c>
      <c r="C6142">
        <v>0</v>
      </c>
      <c r="D6142">
        <v>0</v>
      </c>
      <c r="E6142">
        <v>0</v>
      </c>
    </row>
    <row r="6143" spans="1:5" x14ac:dyDescent="0.35">
      <c r="A6143">
        <v>0</v>
      </c>
      <c r="B6143">
        <v>0</v>
      </c>
      <c r="C6143">
        <v>0</v>
      </c>
      <c r="D6143">
        <v>0</v>
      </c>
      <c r="E6143">
        <v>0</v>
      </c>
    </row>
    <row r="6144" spans="1:5" x14ac:dyDescent="0.35">
      <c r="A6144">
        <v>0</v>
      </c>
      <c r="B6144">
        <v>0</v>
      </c>
      <c r="C6144">
        <v>0</v>
      </c>
      <c r="D6144">
        <v>0</v>
      </c>
      <c r="E6144">
        <v>0</v>
      </c>
    </row>
    <row r="6145" spans="1:5" x14ac:dyDescent="0.35">
      <c r="A6145">
        <v>0</v>
      </c>
      <c r="B6145">
        <v>0</v>
      </c>
      <c r="C6145">
        <v>0</v>
      </c>
      <c r="D6145">
        <v>0</v>
      </c>
      <c r="E6145">
        <v>0</v>
      </c>
    </row>
    <row r="6146" spans="1:5" x14ac:dyDescent="0.35">
      <c r="A6146">
        <v>0</v>
      </c>
      <c r="B6146">
        <v>0</v>
      </c>
      <c r="C6146">
        <v>0</v>
      </c>
      <c r="D6146">
        <v>0</v>
      </c>
      <c r="E6146">
        <v>0</v>
      </c>
    </row>
    <row r="6147" spans="1:5" x14ac:dyDescent="0.35">
      <c r="A6147">
        <v>0</v>
      </c>
      <c r="B6147">
        <v>0</v>
      </c>
      <c r="C6147">
        <v>0</v>
      </c>
      <c r="D6147">
        <v>0</v>
      </c>
      <c r="E6147">
        <v>0</v>
      </c>
    </row>
    <row r="6148" spans="1:5" x14ac:dyDescent="0.35">
      <c r="A6148">
        <v>0</v>
      </c>
      <c r="B6148">
        <v>0</v>
      </c>
      <c r="C6148">
        <v>0</v>
      </c>
      <c r="D6148">
        <v>0</v>
      </c>
      <c r="E6148">
        <v>0</v>
      </c>
    </row>
    <row r="6149" spans="1:5" x14ac:dyDescent="0.35">
      <c r="A6149">
        <v>0</v>
      </c>
      <c r="B6149">
        <v>0</v>
      </c>
      <c r="C6149">
        <v>0</v>
      </c>
      <c r="D6149">
        <v>0</v>
      </c>
      <c r="E6149">
        <v>0</v>
      </c>
    </row>
    <row r="6150" spans="1:5" x14ac:dyDescent="0.35">
      <c r="A6150">
        <v>0</v>
      </c>
      <c r="B6150">
        <v>0</v>
      </c>
      <c r="C6150">
        <v>0</v>
      </c>
      <c r="D6150">
        <v>0</v>
      </c>
      <c r="E6150">
        <v>0</v>
      </c>
    </row>
    <row r="6151" spans="1:5" x14ac:dyDescent="0.35">
      <c r="A6151">
        <v>0</v>
      </c>
      <c r="B6151">
        <v>0</v>
      </c>
      <c r="C6151">
        <v>0</v>
      </c>
      <c r="D6151">
        <v>0</v>
      </c>
      <c r="E6151">
        <v>0</v>
      </c>
    </row>
    <row r="6152" spans="1:5" x14ac:dyDescent="0.35">
      <c r="A6152">
        <v>0</v>
      </c>
      <c r="B6152">
        <v>0</v>
      </c>
      <c r="C6152">
        <v>0</v>
      </c>
      <c r="D6152">
        <v>0</v>
      </c>
      <c r="E6152">
        <v>0</v>
      </c>
    </row>
    <row r="6153" spans="1:5" x14ac:dyDescent="0.35">
      <c r="A6153">
        <v>0</v>
      </c>
      <c r="B6153">
        <v>0</v>
      </c>
      <c r="C6153">
        <v>0</v>
      </c>
      <c r="D6153">
        <v>0</v>
      </c>
      <c r="E6153">
        <v>0</v>
      </c>
    </row>
    <row r="6154" spans="1:5" x14ac:dyDescent="0.35">
      <c r="A6154">
        <v>0</v>
      </c>
      <c r="B6154">
        <v>0</v>
      </c>
      <c r="C6154">
        <v>0</v>
      </c>
      <c r="D6154">
        <v>0</v>
      </c>
      <c r="E6154">
        <v>0</v>
      </c>
    </row>
    <row r="6155" spans="1:5" x14ac:dyDescent="0.35">
      <c r="A6155">
        <v>0</v>
      </c>
      <c r="B6155">
        <v>0</v>
      </c>
      <c r="C6155">
        <v>0</v>
      </c>
      <c r="D6155">
        <v>0</v>
      </c>
      <c r="E6155">
        <v>0</v>
      </c>
    </row>
    <row r="6156" spans="1:5" x14ac:dyDescent="0.35">
      <c r="A6156">
        <v>0</v>
      </c>
      <c r="B6156">
        <v>0</v>
      </c>
      <c r="C6156">
        <v>0</v>
      </c>
      <c r="D6156">
        <v>0</v>
      </c>
      <c r="E6156">
        <v>0</v>
      </c>
    </row>
    <row r="6157" spans="1:5" x14ac:dyDescent="0.35">
      <c r="A6157">
        <v>0</v>
      </c>
      <c r="B6157">
        <v>0</v>
      </c>
      <c r="C6157">
        <v>0</v>
      </c>
      <c r="D6157">
        <v>0</v>
      </c>
      <c r="E6157">
        <v>0</v>
      </c>
    </row>
    <row r="6158" spans="1:5" x14ac:dyDescent="0.35">
      <c r="A6158">
        <v>0</v>
      </c>
      <c r="B6158">
        <v>0</v>
      </c>
      <c r="C6158">
        <v>0</v>
      </c>
      <c r="D6158">
        <v>0</v>
      </c>
      <c r="E6158">
        <v>0</v>
      </c>
    </row>
    <row r="6159" spans="1:5" x14ac:dyDescent="0.35">
      <c r="A6159">
        <v>0</v>
      </c>
      <c r="B6159">
        <v>0</v>
      </c>
      <c r="C6159">
        <v>0</v>
      </c>
      <c r="D6159">
        <v>0</v>
      </c>
      <c r="E6159">
        <v>0</v>
      </c>
    </row>
    <row r="6160" spans="1:5" x14ac:dyDescent="0.35">
      <c r="A6160">
        <v>0</v>
      </c>
      <c r="B6160">
        <v>0</v>
      </c>
      <c r="C6160">
        <v>0</v>
      </c>
      <c r="D6160">
        <v>0</v>
      </c>
      <c r="E6160">
        <v>0</v>
      </c>
    </row>
    <row r="6161" spans="1:5" x14ac:dyDescent="0.35">
      <c r="A6161">
        <v>0</v>
      </c>
      <c r="B6161">
        <v>0</v>
      </c>
      <c r="C6161">
        <v>0</v>
      </c>
      <c r="D6161">
        <v>0</v>
      </c>
      <c r="E6161">
        <v>0</v>
      </c>
    </row>
    <row r="6162" spans="1:5" x14ac:dyDescent="0.35">
      <c r="A6162">
        <v>0</v>
      </c>
      <c r="B6162">
        <v>0</v>
      </c>
      <c r="C6162">
        <v>0</v>
      </c>
      <c r="D6162">
        <v>0</v>
      </c>
      <c r="E6162">
        <v>0</v>
      </c>
    </row>
    <row r="6163" spans="1:5" x14ac:dyDescent="0.35">
      <c r="A6163">
        <v>0</v>
      </c>
      <c r="B6163">
        <v>0</v>
      </c>
      <c r="C6163">
        <v>0</v>
      </c>
      <c r="D6163">
        <v>0</v>
      </c>
      <c r="E6163">
        <v>0</v>
      </c>
    </row>
    <row r="6164" spans="1:5" x14ac:dyDescent="0.35">
      <c r="A6164">
        <v>0</v>
      </c>
      <c r="B6164">
        <v>0</v>
      </c>
      <c r="C6164">
        <v>0</v>
      </c>
      <c r="D6164">
        <v>0</v>
      </c>
      <c r="E6164">
        <v>0</v>
      </c>
    </row>
    <row r="6165" spans="1:5" x14ac:dyDescent="0.35">
      <c r="A6165">
        <v>0</v>
      </c>
      <c r="B6165">
        <v>0</v>
      </c>
      <c r="C6165">
        <v>0</v>
      </c>
      <c r="D6165">
        <v>0</v>
      </c>
      <c r="E6165">
        <v>0</v>
      </c>
    </row>
    <row r="6166" spans="1:5" x14ac:dyDescent="0.35">
      <c r="A6166">
        <v>0</v>
      </c>
      <c r="B6166">
        <v>0</v>
      </c>
      <c r="C6166">
        <v>0</v>
      </c>
      <c r="D6166">
        <v>0</v>
      </c>
      <c r="E6166">
        <v>0</v>
      </c>
    </row>
    <row r="6167" spans="1:5" x14ac:dyDescent="0.35">
      <c r="A6167">
        <v>0</v>
      </c>
      <c r="B6167">
        <v>0</v>
      </c>
      <c r="C6167">
        <v>0</v>
      </c>
      <c r="D6167">
        <v>0</v>
      </c>
      <c r="E6167">
        <v>0</v>
      </c>
    </row>
    <row r="6168" spans="1:5" x14ac:dyDescent="0.35">
      <c r="A6168">
        <v>0</v>
      </c>
      <c r="B6168">
        <v>0</v>
      </c>
      <c r="C6168">
        <v>0</v>
      </c>
      <c r="D6168">
        <v>0</v>
      </c>
      <c r="E6168">
        <v>0</v>
      </c>
    </row>
    <row r="6169" spans="1:5" x14ac:dyDescent="0.35">
      <c r="A6169">
        <v>0</v>
      </c>
      <c r="B6169">
        <v>0</v>
      </c>
      <c r="C6169">
        <v>0</v>
      </c>
      <c r="D6169">
        <v>0</v>
      </c>
      <c r="E6169">
        <v>0</v>
      </c>
    </row>
    <row r="6170" spans="1:5" x14ac:dyDescent="0.35">
      <c r="A6170">
        <v>0</v>
      </c>
      <c r="B6170">
        <v>0</v>
      </c>
      <c r="C6170">
        <v>0</v>
      </c>
      <c r="D6170">
        <v>0</v>
      </c>
      <c r="E6170">
        <v>0</v>
      </c>
    </row>
    <row r="6171" spans="1:5" x14ac:dyDescent="0.35">
      <c r="A6171">
        <v>0</v>
      </c>
      <c r="B6171">
        <v>0</v>
      </c>
      <c r="C6171">
        <v>0</v>
      </c>
      <c r="D6171">
        <v>0</v>
      </c>
      <c r="E6171">
        <v>0</v>
      </c>
    </row>
    <row r="6172" spans="1:5" x14ac:dyDescent="0.35">
      <c r="A6172">
        <v>0</v>
      </c>
      <c r="B6172">
        <v>0</v>
      </c>
      <c r="C6172">
        <v>0</v>
      </c>
      <c r="D6172">
        <v>0</v>
      </c>
      <c r="E6172">
        <v>0</v>
      </c>
    </row>
    <row r="6173" spans="1:5" x14ac:dyDescent="0.35">
      <c r="A6173">
        <v>0</v>
      </c>
      <c r="B6173">
        <v>0</v>
      </c>
      <c r="C6173">
        <v>0</v>
      </c>
      <c r="D6173">
        <v>0</v>
      </c>
      <c r="E6173">
        <v>0</v>
      </c>
    </row>
    <row r="6174" spans="1:5" x14ac:dyDescent="0.35">
      <c r="A6174">
        <v>0</v>
      </c>
      <c r="B6174">
        <v>0</v>
      </c>
      <c r="C6174">
        <v>0</v>
      </c>
      <c r="D6174">
        <v>0</v>
      </c>
      <c r="E6174">
        <v>0</v>
      </c>
    </row>
    <row r="6175" spans="1:5" x14ac:dyDescent="0.35">
      <c r="A6175">
        <v>0</v>
      </c>
      <c r="B6175">
        <v>0</v>
      </c>
      <c r="C6175">
        <v>0</v>
      </c>
      <c r="D6175">
        <v>0</v>
      </c>
      <c r="E6175">
        <v>0</v>
      </c>
    </row>
    <row r="6176" spans="1:5" x14ac:dyDescent="0.35">
      <c r="A6176">
        <v>0</v>
      </c>
      <c r="B6176">
        <v>0</v>
      </c>
      <c r="C6176">
        <v>0</v>
      </c>
      <c r="D6176">
        <v>0</v>
      </c>
      <c r="E6176">
        <v>0</v>
      </c>
    </row>
    <row r="6177" spans="1:5" x14ac:dyDescent="0.35">
      <c r="A6177">
        <v>0</v>
      </c>
      <c r="B6177">
        <v>0</v>
      </c>
      <c r="C6177">
        <v>0</v>
      </c>
      <c r="D6177">
        <v>0</v>
      </c>
      <c r="E6177">
        <v>0</v>
      </c>
    </row>
    <row r="6178" spans="1:5" x14ac:dyDescent="0.35">
      <c r="A6178">
        <v>0</v>
      </c>
      <c r="B6178">
        <v>0</v>
      </c>
      <c r="C6178">
        <v>0</v>
      </c>
      <c r="D6178">
        <v>0</v>
      </c>
      <c r="E6178">
        <v>0</v>
      </c>
    </row>
    <row r="6179" spans="1:5" x14ac:dyDescent="0.35">
      <c r="A6179">
        <v>0</v>
      </c>
      <c r="B6179">
        <v>0</v>
      </c>
      <c r="C6179">
        <v>0</v>
      </c>
      <c r="D6179">
        <v>0</v>
      </c>
      <c r="E6179">
        <v>0</v>
      </c>
    </row>
    <row r="6180" spans="1:5" x14ac:dyDescent="0.35">
      <c r="A6180">
        <v>0</v>
      </c>
      <c r="B6180">
        <v>0</v>
      </c>
      <c r="C6180">
        <v>0</v>
      </c>
      <c r="D6180">
        <v>0</v>
      </c>
      <c r="E6180">
        <v>0</v>
      </c>
    </row>
    <row r="6181" spans="1:5" x14ac:dyDescent="0.35">
      <c r="A6181">
        <v>0</v>
      </c>
      <c r="B6181">
        <v>0</v>
      </c>
      <c r="C6181">
        <v>0</v>
      </c>
      <c r="D6181">
        <v>0</v>
      </c>
      <c r="E6181">
        <v>0</v>
      </c>
    </row>
    <row r="6182" spans="1:5" x14ac:dyDescent="0.35">
      <c r="A6182">
        <v>0</v>
      </c>
      <c r="B6182">
        <v>0</v>
      </c>
      <c r="C6182">
        <v>0</v>
      </c>
      <c r="D6182">
        <v>0</v>
      </c>
      <c r="E6182">
        <v>0</v>
      </c>
    </row>
    <row r="6183" spans="1:5" x14ac:dyDescent="0.35">
      <c r="A6183">
        <v>0</v>
      </c>
      <c r="B6183">
        <v>0</v>
      </c>
      <c r="C6183">
        <v>0</v>
      </c>
      <c r="D6183">
        <v>0</v>
      </c>
      <c r="E6183">
        <v>0</v>
      </c>
    </row>
    <row r="6184" spans="1:5" x14ac:dyDescent="0.35">
      <c r="A6184">
        <v>0</v>
      </c>
      <c r="B6184">
        <v>0</v>
      </c>
      <c r="C6184">
        <v>0</v>
      </c>
      <c r="D6184">
        <v>0</v>
      </c>
      <c r="E6184">
        <v>0</v>
      </c>
    </row>
    <row r="6185" spans="1:5" x14ac:dyDescent="0.35">
      <c r="A6185">
        <v>0</v>
      </c>
      <c r="B6185">
        <v>0</v>
      </c>
      <c r="C6185">
        <v>0</v>
      </c>
      <c r="D6185">
        <v>0</v>
      </c>
      <c r="E6185">
        <v>0</v>
      </c>
    </row>
    <row r="6186" spans="1:5" x14ac:dyDescent="0.35">
      <c r="A6186">
        <v>0</v>
      </c>
      <c r="B6186">
        <v>0</v>
      </c>
      <c r="C6186">
        <v>0</v>
      </c>
      <c r="D6186">
        <v>0</v>
      </c>
      <c r="E6186">
        <v>0</v>
      </c>
    </row>
    <row r="6187" spans="1:5" x14ac:dyDescent="0.35">
      <c r="A6187">
        <v>0</v>
      </c>
      <c r="B6187">
        <v>0</v>
      </c>
      <c r="C6187">
        <v>0</v>
      </c>
      <c r="D6187">
        <v>0</v>
      </c>
      <c r="E6187">
        <v>0</v>
      </c>
    </row>
    <row r="6188" spans="1:5" x14ac:dyDescent="0.35">
      <c r="A6188">
        <v>0</v>
      </c>
      <c r="B6188">
        <v>0</v>
      </c>
      <c r="C6188">
        <v>0</v>
      </c>
      <c r="D6188">
        <v>0</v>
      </c>
      <c r="E6188">
        <v>0</v>
      </c>
    </row>
    <row r="6189" spans="1:5" x14ac:dyDescent="0.35">
      <c r="A6189">
        <v>0</v>
      </c>
      <c r="B6189">
        <v>0</v>
      </c>
      <c r="C6189">
        <v>0</v>
      </c>
      <c r="D6189">
        <v>0</v>
      </c>
      <c r="E6189">
        <v>0</v>
      </c>
    </row>
    <row r="6190" spans="1:5" x14ac:dyDescent="0.35">
      <c r="A6190">
        <v>0</v>
      </c>
      <c r="B6190">
        <v>0</v>
      </c>
      <c r="C6190">
        <v>0</v>
      </c>
      <c r="D6190">
        <v>0</v>
      </c>
      <c r="E6190">
        <v>0</v>
      </c>
    </row>
    <row r="6191" spans="1:5" x14ac:dyDescent="0.35">
      <c r="A6191">
        <v>0</v>
      </c>
      <c r="B6191">
        <v>0</v>
      </c>
      <c r="C6191">
        <v>0</v>
      </c>
      <c r="D6191">
        <v>0</v>
      </c>
      <c r="E6191">
        <v>0</v>
      </c>
    </row>
    <row r="6192" spans="1:5" x14ac:dyDescent="0.35">
      <c r="A6192">
        <v>0</v>
      </c>
      <c r="B6192">
        <v>0</v>
      </c>
      <c r="C6192">
        <v>0</v>
      </c>
      <c r="D6192">
        <v>0</v>
      </c>
      <c r="E6192">
        <v>0</v>
      </c>
    </row>
    <row r="6193" spans="1:5" x14ac:dyDescent="0.35">
      <c r="A6193">
        <v>0</v>
      </c>
      <c r="B6193">
        <v>0</v>
      </c>
      <c r="C6193">
        <v>0</v>
      </c>
      <c r="D6193">
        <v>0</v>
      </c>
      <c r="E6193">
        <v>0</v>
      </c>
    </row>
    <row r="6194" spans="1:5" x14ac:dyDescent="0.35">
      <c r="A6194">
        <v>0</v>
      </c>
      <c r="B6194">
        <v>0</v>
      </c>
      <c r="C6194">
        <v>0</v>
      </c>
      <c r="D6194">
        <v>0</v>
      </c>
      <c r="E6194">
        <v>0</v>
      </c>
    </row>
    <row r="6195" spans="1:5" x14ac:dyDescent="0.35">
      <c r="A6195">
        <v>0</v>
      </c>
      <c r="B6195">
        <v>0</v>
      </c>
      <c r="C6195">
        <v>0</v>
      </c>
      <c r="D6195">
        <v>0</v>
      </c>
      <c r="E6195">
        <v>0</v>
      </c>
    </row>
    <row r="6196" spans="1:5" x14ac:dyDescent="0.35">
      <c r="A6196">
        <v>0</v>
      </c>
      <c r="B6196">
        <v>0</v>
      </c>
      <c r="C6196">
        <v>0</v>
      </c>
      <c r="D6196">
        <v>0</v>
      </c>
      <c r="E6196">
        <v>0</v>
      </c>
    </row>
    <row r="6197" spans="1:5" x14ac:dyDescent="0.35">
      <c r="A6197">
        <v>0</v>
      </c>
      <c r="B6197">
        <v>0</v>
      </c>
      <c r="C6197">
        <v>0</v>
      </c>
      <c r="D6197">
        <v>0</v>
      </c>
      <c r="E6197">
        <v>0</v>
      </c>
    </row>
    <row r="6198" spans="1:5" x14ac:dyDescent="0.35">
      <c r="A6198">
        <v>0</v>
      </c>
      <c r="B6198">
        <v>0</v>
      </c>
      <c r="C6198">
        <v>0</v>
      </c>
      <c r="D6198">
        <v>0</v>
      </c>
      <c r="E6198">
        <v>0</v>
      </c>
    </row>
    <row r="6199" spans="1:5" x14ac:dyDescent="0.35">
      <c r="A6199">
        <v>0</v>
      </c>
      <c r="B6199">
        <v>0</v>
      </c>
      <c r="C6199">
        <v>0</v>
      </c>
      <c r="D6199">
        <v>0</v>
      </c>
      <c r="E6199">
        <v>0</v>
      </c>
    </row>
    <row r="6200" spans="1:5" x14ac:dyDescent="0.35">
      <c r="A6200">
        <v>0</v>
      </c>
      <c r="B6200">
        <v>0</v>
      </c>
      <c r="C6200">
        <v>0</v>
      </c>
      <c r="D6200">
        <v>0</v>
      </c>
      <c r="E6200">
        <v>0</v>
      </c>
    </row>
    <row r="6201" spans="1:5" x14ac:dyDescent="0.35">
      <c r="A6201">
        <v>0</v>
      </c>
      <c r="B6201">
        <v>0</v>
      </c>
      <c r="C6201">
        <v>0</v>
      </c>
      <c r="D6201">
        <v>0</v>
      </c>
      <c r="E6201">
        <v>0</v>
      </c>
    </row>
    <row r="6202" spans="1:5" x14ac:dyDescent="0.35">
      <c r="A6202">
        <v>0</v>
      </c>
      <c r="B6202">
        <v>0</v>
      </c>
      <c r="C6202">
        <v>0</v>
      </c>
      <c r="D6202">
        <v>0</v>
      </c>
      <c r="E6202">
        <v>0</v>
      </c>
    </row>
    <row r="6203" spans="1:5" x14ac:dyDescent="0.35">
      <c r="A6203">
        <v>0</v>
      </c>
      <c r="B6203">
        <v>0</v>
      </c>
      <c r="C6203">
        <v>0</v>
      </c>
      <c r="D6203">
        <v>0</v>
      </c>
      <c r="E6203">
        <v>0</v>
      </c>
    </row>
    <row r="6204" spans="1:5" x14ac:dyDescent="0.35">
      <c r="A6204">
        <v>0</v>
      </c>
      <c r="B6204">
        <v>0</v>
      </c>
      <c r="C6204">
        <v>0</v>
      </c>
      <c r="D6204">
        <v>0</v>
      </c>
      <c r="E6204">
        <v>0</v>
      </c>
    </row>
    <row r="6205" spans="1:5" x14ac:dyDescent="0.35">
      <c r="A6205">
        <v>0</v>
      </c>
      <c r="B6205">
        <v>0</v>
      </c>
      <c r="C6205">
        <v>0</v>
      </c>
      <c r="D6205">
        <v>0</v>
      </c>
      <c r="E6205">
        <v>0</v>
      </c>
    </row>
    <row r="6206" spans="1:5" x14ac:dyDescent="0.35">
      <c r="A6206">
        <v>0</v>
      </c>
      <c r="B6206">
        <v>0</v>
      </c>
      <c r="C6206">
        <v>0</v>
      </c>
      <c r="D6206">
        <v>0</v>
      </c>
      <c r="E6206">
        <v>0</v>
      </c>
    </row>
    <row r="6207" spans="1:5" x14ac:dyDescent="0.35">
      <c r="A6207">
        <v>0</v>
      </c>
      <c r="B6207">
        <v>0</v>
      </c>
      <c r="C6207">
        <v>0</v>
      </c>
      <c r="D6207">
        <v>0</v>
      </c>
      <c r="E6207">
        <v>0</v>
      </c>
    </row>
    <row r="6208" spans="1:5" x14ac:dyDescent="0.35">
      <c r="A6208">
        <v>0</v>
      </c>
      <c r="B6208">
        <v>0</v>
      </c>
      <c r="C6208">
        <v>0</v>
      </c>
      <c r="D6208">
        <v>0</v>
      </c>
      <c r="E6208">
        <v>0</v>
      </c>
    </row>
    <row r="6209" spans="1:5" x14ac:dyDescent="0.35">
      <c r="A6209">
        <v>0</v>
      </c>
      <c r="B6209">
        <v>0</v>
      </c>
      <c r="C6209">
        <v>0</v>
      </c>
      <c r="D6209">
        <v>0</v>
      </c>
      <c r="E6209">
        <v>0</v>
      </c>
    </row>
    <row r="6210" spans="1:5" x14ac:dyDescent="0.35">
      <c r="A6210">
        <v>0</v>
      </c>
      <c r="B6210">
        <v>0</v>
      </c>
      <c r="C6210">
        <v>0</v>
      </c>
      <c r="D6210">
        <v>0</v>
      </c>
      <c r="E6210">
        <v>0</v>
      </c>
    </row>
    <row r="6211" spans="1:5" x14ac:dyDescent="0.35">
      <c r="A6211">
        <v>0</v>
      </c>
      <c r="B6211">
        <v>0</v>
      </c>
      <c r="C6211">
        <v>0</v>
      </c>
      <c r="D6211">
        <v>0</v>
      </c>
      <c r="E6211">
        <v>0</v>
      </c>
    </row>
    <row r="6212" spans="1:5" x14ac:dyDescent="0.35">
      <c r="A6212">
        <v>0</v>
      </c>
      <c r="B6212">
        <v>0</v>
      </c>
      <c r="C6212">
        <v>0</v>
      </c>
      <c r="D6212">
        <v>0</v>
      </c>
      <c r="E6212">
        <v>0</v>
      </c>
    </row>
    <row r="6213" spans="1:5" x14ac:dyDescent="0.35">
      <c r="A6213">
        <v>0</v>
      </c>
      <c r="B6213">
        <v>0</v>
      </c>
      <c r="C6213">
        <v>0</v>
      </c>
      <c r="D6213">
        <v>0</v>
      </c>
      <c r="E6213">
        <v>0</v>
      </c>
    </row>
    <row r="6214" spans="1:5" x14ac:dyDescent="0.35">
      <c r="A6214">
        <v>0</v>
      </c>
      <c r="B6214">
        <v>0</v>
      </c>
      <c r="C6214">
        <v>0</v>
      </c>
      <c r="D6214">
        <v>0</v>
      </c>
      <c r="E6214">
        <v>0</v>
      </c>
    </row>
    <row r="6215" spans="1:5" x14ac:dyDescent="0.35">
      <c r="A6215">
        <v>0</v>
      </c>
      <c r="B6215">
        <v>0</v>
      </c>
      <c r="C6215">
        <v>0</v>
      </c>
      <c r="D6215">
        <v>0</v>
      </c>
      <c r="E6215">
        <v>0</v>
      </c>
    </row>
    <row r="6216" spans="1:5" x14ac:dyDescent="0.35">
      <c r="A6216">
        <v>0</v>
      </c>
      <c r="B6216">
        <v>0</v>
      </c>
      <c r="C6216">
        <v>0</v>
      </c>
      <c r="D6216">
        <v>0</v>
      </c>
      <c r="E6216">
        <v>0</v>
      </c>
    </row>
    <row r="6217" spans="1:5" x14ac:dyDescent="0.35">
      <c r="A6217">
        <v>0</v>
      </c>
      <c r="B6217">
        <v>0</v>
      </c>
      <c r="C6217">
        <v>0</v>
      </c>
      <c r="D6217">
        <v>0</v>
      </c>
      <c r="E6217">
        <v>0</v>
      </c>
    </row>
    <row r="6218" spans="1:5" x14ac:dyDescent="0.35">
      <c r="A6218">
        <v>0</v>
      </c>
      <c r="B6218">
        <v>0</v>
      </c>
      <c r="C6218">
        <v>0</v>
      </c>
      <c r="D6218">
        <v>0</v>
      </c>
      <c r="E6218">
        <v>0</v>
      </c>
    </row>
    <row r="6219" spans="1:5" x14ac:dyDescent="0.35">
      <c r="A6219">
        <v>0</v>
      </c>
      <c r="B6219">
        <v>0</v>
      </c>
      <c r="C6219">
        <v>0</v>
      </c>
      <c r="D6219">
        <v>0</v>
      </c>
      <c r="E6219">
        <v>0</v>
      </c>
    </row>
    <row r="6220" spans="1:5" x14ac:dyDescent="0.35">
      <c r="A6220">
        <v>0</v>
      </c>
      <c r="B6220">
        <v>0</v>
      </c>
      <c r="C6220">
        <v>0</v>
      </c>
      <c r="D6220">
        <v>0</v>
      </c>
      <c r="E6220">
        <v>0</v>
      </c>
    </row>
    <row r="6221" spans="1:5" x14ac:dyDescent="0.35">
      <c r="A6221">
        <v>0</v>
      </c>
      <c r="B6221">
        <v>0</v>
      </c>
      <c r="C6221">
        <v>0</v>
      </c>
      <c r="D6221">
        <v>0</v>
      </c>
      <c r="E6221">
        <v>0</v>
      </c>
    </row>
    <row r="6222" spans="1:5" x14ac:dyDescent="0.35">
      <c r="A6222">
        <v>0</v>
      </c>
      <c r="B6222">
        <v>0</v>
      </c>
      <c r="C6222">
        <v>0</v>
      </c>
      <c r="D6222">
        <v>0</v>
      </c>
      <c r="E6222">
        <v>0</v>
      </c>
    </row>
    <row r="6223" spans="1:5" x14ac:dyDescent="0.35">
      <c r="A6223">
        <v>0</v>
      </c>
      <c r="B6223">
        <v>0</v>
      </c>
      <c r="C6223">
        <v>0</v>
      </c>
      <c r="D6223">
        <v>0</v>
      </c>
      <c r="E6223">
        <v>0</v>
      </c>
    </row>
    <row r="6224" spans="1:5" x14ac:dyDescent="0.35">
      <c r="A6224">
        <v>0</v>
      </c>
      <c r="B6224">
        <v>0</v>
      </c>
      <c r="C6224">
        <v>0</v>
      </c>
      <c r="D6224">
        <v>0</v>
      </c>
      <c r="E6224">
        <v>0</v>
      </c>
    </row>
    <row r="6225" spans="1:5" x14ac:dyDescent="0.35">
      <c r="A6225">
        <v>0</v>
      </c>
      <c r="B6225">
        <v>0</v>
      </c>
      <c r="C6225">
        <v>0</v>
      </c>
      <c r="D6225">
        <v>0</v>
      </c>
      <c r="E6225">
        <v>0</v>
      </c>
    </row>
    <row r="6226" spans="1:5" x14ac:dyDescent="0.35">
      <c r="A6226">
        <v>0</v>
      </c>
      <c r="B6226">
        <v>0</v>
      </c>
      <c r="C6226">
        <v>0</v>
      </c>
      <c r="D6226">
        <v>0</v>
      </c>
      <c r="E6226">
        <v>0</v>
      </c>
    </row>
    <row r="6227" spans="1:5" x14ac:dyDescent="0.35">
      <c r="A6227">
        <v>0</v>
      </c>
      <c r="B6227">
        <v>0</v>
      </c>
      <c r="C6227">
        <v>0</v>
      </c>
      <c r="D6227">
        <v>0</v>
      </c>
      <c r="E6227">
        <v>0</v>
      </c>
    </row>
    <row r="6228" spans="1:5" x14ac:dyDescent="0.35">
      <c r="A6228">
        <v>0</v>
      </c>
      <c r="B6228">
        <v>0</v>
      </c>
      <c r="C6228">
        <v>0</v>
      </c>
      <c r="D6228">
        <v>0</v>
      </c>
      <c r="E6228">
        <v>0</v>
      </c>
    </row>
    <row r="6229" spans="1:5" x14ac:dyDescent="0.35">
      <c r="A6229">
        <v>0</v>
      </c>
      <c r="B6229">
        <v>0</v>
      </c>
      <c r="C6229">
        <v>0</v>
      </c>
      <c r="D6229">
        <v>0</v>
      </c>
      <c r="E6229">
        <v>0</v>
      </c>
    </row>
    <row r="6230" spans="1:5" x14ac:dyDescent="0.35">
      <c r="A6230">
        <v>0</v>
      </c>
      <c r="B6230">
        <v>0</v>
      </c>
      <c r="C6230">
        <v>0</v>
      </c>
      <c r="D6230">
        <v>0</v>
      </c>
      <c r="E6230">
        <v>0</v>
      </c>
    </row>
    <row r="6231" spans="1:5" x14ac:dyDescent="0.35">
      <c r="A6231">
        <v>0</v>
      </c>
      <c r="B6231">
        <v>0</v>
      </c>
      <c r="C6231">
        <v>0</v>
      </c>
      <c r="D6231">
        <v>0</v>
      </c>
      <c r="E6231">
        <v>0</v>
      </c>
    </row>
    <row r="6232" spans="1:5" x14ac:dyDescent="0.35">
      <c r="A6232">
        <v>0</v>
      </c>
      <c r="B6232">
        <v>0</v>
      </c>
      <c r="C6232">
        <v>0</v>
      </c>
      <c r="D6232">
        <v>0</v>
      </c>
      <c r="E6232">
        <v>0</v>
      </c>
    </row>
    <row r="6233" spans="1:5" x14ac:dyDescent="0.35">
      <c r="A6233">
        <v>0</v>
      </c>
      <c r="B6233">
        <v>0</v>
      </c>
      <c r="C6233">
        <v>0</v>
      </c>
      <c r="D6233">
        <v>0</v>
      </c>
      <c r="E6233">
        <v>0</v>
      </c>
    </row>
    <row r="6234" spans="1:5" x14ac:dyDescent="0.35">
      <c r="A6234">
        <v>0</v>
      </c>
      <c r="B6234">
        <v>0</v>
      </c>
      <c r="C6234">
        <v>0</v>
      </c>
      <c r="D6234">
        <v>0</v>
      </c>
      <c r="E6234">
        <v>0</v>
      </c>
    </row>
    <row r="6235" spans="1:5" x14ac:dyDescent="0.35">
      <c r="A6235">
        <v>0</v>
      </c>
      <c r="B6235">
        <v>0</v>
      </c>
      <c r="C6235">
        <v>0</v>
      </c>
      <c r="D6235">
        <v>0</v>
      </c>
      <c r="E6235">
        <v>0</v>
      </c>
    </row>
    <row r="6236" spans="1:5" x14ac:dyDescent="0.35">
      <c r="A6236">
        <v>0</v>
      </c>
      <c r="B6236">
        <v>0</v>
      </c>
      <c r="C6236">
        <v>0</v>
      </c>
      <c r="D6236">
        <v>0</v>
      </c>
      <c r="E6236">
        <v>0</v>
      </c>
    </row>
    <row r="6237" spans="1:5" x14ac:dyDescent="0.35">
      <c r="A6237">
        <v>0</v>
      </c>
      <c r="B6237">
        <v>0</v>
      </c>
      <c r="C6237">
        <v>0</v>
      </c>
      <c r="D6237">
        <v>0</v>
      </c>
      <c r="E6237">
        <v>0</v>
      </c>
    </row>
    <row r="6238" spans="1:5" x14ac:dyDescent="0.35">
      <c r="A6238">
        <v>0</v>
      </c>
      <c r="B6238">
        <v>0</v>
      </c>
      <c r="C6238">
        <v>0</v>
      </c>
      <c r="D6238">
        <v>0</v>
      </c>
      <c r="E6238">
        <v>0</v>
      </c>
    </row>
    <row r="6239" spans="1:5" x14ac:dyDescent="0.35">
      <c r="A6239">
        <v>0</v>
      </c>
      <c r="B6239">
        <v>0</v>
      </c>
      <c r="C6239">
        <v>0</v>
      </c>
      <c r="D6239">
        <v>0</v>
      </c>
      <c r="E6239">
        <v>0</v>
      </c>
    </row>
    <row r="6240" spans="1:5" x14ac:dyDescent="0.35">
      <c r="A6240">
        <v>0</v>
      </c>
      <c r="B6240">
        <v>0</v>
      </c>
      <c r="C6240">
        <v>0</v>
      </c>
      <c r="D6240">
        <v>0</v>
      </c>
      <c r="E6240">
        <v>0</v>
      </c>
    </row>
    <row r="6241" spans="1:5" x14ac:dyDescent="0.35">
      <c r="A6241">
        <v>0</v>
      </c>
      <c r="B6241">
        <v>0</v>
      </c>
      <c r="C6241">
        <v>0</v>
      </c>
      <c r="D6241">
        <v>0</v>
      </c>
      <c r="E6241">
        <v>0</v>
      </c>
    </row>
    <row r="6242" spans="1:5" x14ac:dyDescent="0.35">
      <c r="A6242">
        <v>0</v>
      </c>
      <c r="B6242">
        <v>0</v>
      </c>
      <c r="C6242">
        <v>0</v>
      </c>
      <c r="D6242">
        <v>0</v>
      </c>
      <c r="E6242">
        <v>0</v>
      </c>
    </row>
    <row r="6243" spans="1:5" x14ac:dyDescent="0.35">
      <c r="A6243">
        <v>0</v>
      </c>
      <c r="B6243">
        <v>0</v>
      </c>
      <c r="C6243">
        <v>0</v>
      </c>
      <c r="D6243">
        <v>0</v>
      </c>
      <c r="E6243">
        <v>0</v>
      </c>
    </row>
    <row r="6244" spans="1:5" x14ac:dyDescent="0.35">
      <c r="A6244">
        <v>0</v>
      </c>
      <c r="B6244">
        <v>0</v>
      </c>
      <c r="C6244">
        <v>0</v>
      </c>
      <c r="D6244">
        <v>0</v>
      </c>
      <c r="E6244">
        <v>0</v>
      </c>
    </row>
    <row r="6245" spans="1:5" x14ac:dyDescent="0.35">
      <c r="A6245">
        <v>0</v>
      </c>
      <c r="B6245">
        <v>0</v>
      </c>
      <c r="C6245">
        <v>0</v>
      </c>
      <c r="D6245">
        <v>0</v>
      </c>
      <c r="E6245">
        <v>0</v>
      </c>
    </row>
    <row r="6246" spans="1:5" x14ac:dyDescent="0.35">
      <c r="A6246">
        <v>0</v>
      </c>
      <c r="B6246">
        <v>0</v>
      </c>
      <c r="C6246">
        <v>0</v>
      </c>
      <c r="D6246">
        <v>0</v>
      </c>
      <c r="E6246">
        <v>0</v>
      </c>
    </row>
    <row r="6247" spans="1:5" x14ac:dyDescent="0.35">
      <c r="A6247">
        <v>0</v>
      </c>
      <c r="B6247">
        <v>0</v>
      </c>
      <c r="C6247">
        <v>0</v>
      </c>
      <c r="D6247">
        <v>0</v>
      </c>
      <c r="E6247">
        <v>0</v>
      </c>
    </row>
    <row r="6248" spans="1:5" x14ac:dyDescent="0.35">
      <c r="A6248">
        <v>0</v>
      </c>
      <c r="B6248">
        <v>0</v>
      </c>
      <c r="C6248">
        <v>0</v>
      </c>
      <c r="D6248">
        <v>0</v>
      </c>
      <c r="E6248">
        <v>0</v>
      </c>
    </row>
    <row r="6249" spans="1:5" x14ac:dyDescent="0.35">
      <c r="A6249">
        <v>0</v>
      </c>
      <c r="B6249">
        <v>0</v>
      </c>
      <c r="C6249">
        <v>0</v>
      </c>
      <c r="D6249">
        <v>0</v>
      </c>
      <c r="E6249">
        <v>0</v>
      </c>
    </row>
    <row r="6250" spans="1:5" x14ac:dyDescent="0.35">
      <c r="A6250">
        <v>0</v>
      </c>
      <c r="B6250">
        <v>0</v>
      </c>
      <c r="C6250">
        <v>0</v>
      </c>
      <c r="D6250">
        <v>0</v>
      </c>
      <c r="E6250">
        <v>0</v>
      </c>
    </row>
    <row r="6251" spans="1:5" x14ac:dyDescent="0.35">
      <c r="A6251">
        <v>0</v>
      </c>
      <c r="B6251">
        <v>0</v>
      </c>
      <c r="C6251">
        <v>0</v>
      </c>
      <c r="D6251">
        <v>0</v>
      </c>
      <c r="E6251">
        <v>0</v>
      </c>
    </row>
    <row r="6252" spans="1:5" x14ac:dyDescent="0.35">
      <c r="A6252">
        <v>0</v>
      </c>
      <c r="B6252">
        <v>0</v>
      </c>
      <c r="C6252">
        <v>0</v>
      </c>
      <c r="D6252">
        <v>0</v>
      </c>
      <c r="E6252">
        <v>0</v>
      </c>
    </row>
    <row r="6253" spans="1:5" x14ac:dyDescent="0.35">
      <c r="A6253">
        <v>0</v>
      </c>
      <c r="B6253">
        <v>0</v>
      </c>
      <c r="C6253">
        <v>0</v>
      </c>
      <c r="D6253">
        <v>0</v>
      </c>
      <c r="E6253">
        <v>0</v>
      </c>
    </row>
    <row r="6254" spans="1:5" x14ac:dyDescent="0.35">
      <c r="A6254">
        <v>0</v>
      </c>
      <c r="B6254">
        <v>0</v>
      </c>
      <c r="C6254">
        <v>0</v>
      </c>
      <c r="D6254">
        <v>0</v>
      </c>
      <c r="E6254">
        <v>0</v>
      </c>
    </row>
    <row r="6255" spans="1:5" x14ac:dyDescent="0.35">
      <c r="A6255">
        <v>0</v>
      </c>
      <c r="B6255">
        <v>0</v>
      </c>
      <c r="C6255">
        <v>0</v>
      </c>
      <c r="D6255">
        <v>0</v>
      </c>
      <c r="E6255">
        <v>0</v>
      </c>
    </row>
    <row r="6256" spans="1:5" x14ac:dyDescent="0.35">
      <c r="A6256">
        <v>0</v>
      </c>
      <c r="B6256">
        <v>0</v>
      </c>
      <c r="C6256">
        <v>0</v>
      </c>
      <c r="D6256">
        <v>0</v>
      </c>
      <c r="E6256">
        <v>0</v>
      </c>
    </row>
    <row r="6257" spans="1:5" x14ac:dyDescent="0.35">
      <c r="A6257">
        <v>0</v>
      </c>
      <c r="B6257">
        <v>0</v>
      </c>
      <c r="C6257">
        <v>0</v>
      </c>
      <c r="D6257">
        <v>0</v>
      </c>
      <c r="E6257">
        <v>0</v>
      </c>
    </row>
    <row r="6258" spans="1:5" x14ac:dyDescent="0.35">
      <c r="A6258">
        <v>0</v>
      </c>
      <c r="B6258">
        <v>0</v>
      </c>
      <c r="C6258">
        <v>0</v>
      </c>
      <c r="D6258">
        <v>0</v>
      </c>
      <c r="E6258">
        <v>0</v>
      </c>
    </row>
    <row r="6259" spans="1:5" x14ac:dyDescent="0.35">
      <c r="A6259">
        <v>0</v>
      </c>
      <c r="B6259">
        <v>0</v>
      </c>
      <c r="C6259">
        <v>0</v>
      </c>
      <c r="D6259">
        <v>0</v>
      </c>
      <c r="E6259">
        <v>0</v>
      </c>
    </row>
    <row r="6260" spans="1:5" x14ac:dyDescent="0.35">
      <c r="A6260">
        <v>0</v>
      </c>
      <c r="B6260">
        <v>0</v>
      </c>
      <c r="C6260">
        <v>0</v>
      </c>
      <c r="D6260">
        <v>0</v>
      </c>
      <c r="E6260">
        <v>0</v>
      </c>
    </row>
    <row r="6261" spans="1:5" x14ac:dyDescent="0.35">
      <c r="A6261">
        <v>0</v>
      </c>
      <c r="B6261">
        <v>0</v>
      </c>
      <c r="C6261">
        <v>0</v>
      </c>
      <c r="D6261">
        <v>0</v>
      </c>
      <c r="E6261">
        <v>0</v>
      </c>
    </row>
    <row r="6262" spans="1:5" x14ac:dyDescent="0.35">
      <c r="A6262">
        <v>0</v>
      </c>
      <c r="B6262">
        <v>0</v>
      </c>
      <c r="C6262">
        <v>0</v>
      </c>
      <c r="D6262">
        <v>0</v>
      </c>
      <c r="E6262">
        <v>0</v>
      </c>
    </row>
    <row r="6263" spans="1:5" x14ac:dyDescent="0.35">
      <c r="A6263">
        <v>0</v>
      </c>
      <c r="B6263">
        <v>0</v>
      </c>
      <c r="C6263">
        <v>0</v>
      </c>
      <c r="D6263">
        <v>0</v>
      </c>
      <c r="E6263">
        <v>0</v>
      </c>
    </row>
    <row r="6264" spans="1:5" x14ac:dyDescent="0.35">
      <c r="A6264">
        <v>0</v>
      </c>
      <c r="B6264">
        <v>0</v>
      </c>
      <c r="C6264">
        <v>0</v>
      </c>
      <c r="D6264">
        <v>0</v>
      </c>
      <c r="E6264">
        <v>0</v>
      </c>
    </row>
    <row r="6265" spans="1:5" x14ac:dyDescent="0.35">
      <c r="A6265">
        <v>0</v>
      </c>
      <c r="B6265">
        <v>0</v>
      </c>
      <c r="C6265">
        <v>0</v>
      </c>
      <c r="D6265">
        <v>0</v>
      </c>
      <c r="E6265">
        <v>0</v>
      </c>
    </row>
    <row r="6266" spans="1:5" x14ac:dyDescent="0.35">
      <c r="A6266">
        <v>0</v>
      </c>
      <c r="B6266">
        <v>0</v>
      </c>
      <c r="C6266">
        <v>0</v>
      </c>
      <c r="D6266">
        <v>0</v>
      </c>
      <c r="E6266">
        <v>0</v>
      </c>
    </row>
    <row r="6267" spans="1:5" x14ac:dyDescent="0.35">
      <c r="A6267">
        <v>0</v>
      </c>
      <c r="B6267">
        <v>0</v>
      </c>
      <c r="C6267">
        <v>0</v>
      </c>
      <c r="D6267">
        <v>0</v>
      </c>
      <c r="E6267">
        <v>0</v>
      </c>
    </row>
    <row r="6268" spans="1:5" x14ac:dyDescent="0.35">
      <c r="A6268">
        <v>0</v>
      </c>
      <c r="B6268">
        <v>0</v>
      </c>
      <c r="C6268">
        <v>0</v>
      </c>
      <c r="D6268">
        <v>0</v>
      </c>
      <c r="E6268">
        <v>0</v>
      </c>
    </row>
    <row r="6269" spans="1:5" x14ac:dyDescent="0.35">
      <c r="A6269">
        <v>0</v>
      </c>
      <c r="B6269">
        <v>0</v>
      </c>
      <c r="C6269">
        <v>0</v>
      </c>
      <c r="D6269">
        <v>0</v>
      </c>
      <c r="E6269">
        <v>0</v>
      </c>
    </row>
    <row r="6270" spans="1:5" x14ac:dyDescent="0.35">
      <c r="A6270">
        <v>0</v>
      </c>
      <c r="B6270">
        <v>0</v>
      </c>
      <c r="C6270">
        <v>0</v>
      </c>
      <c r="D6270">
        <v>0</v>
      </c>
      <c r="E6270">
        <v>0</v>
      </c>
    </row>
    <row r="6271" spans="1:5" x14ac:dyDescent="0.35">
      <c r="A6271">
        <v>0</v>
      </c>
      <c r="B6271">
        <v>0</v>
      </c>
      <c r="C6271">
        <v>0</v>
      </c>
      <c r="D6271">
        <v>0</v>
      </c>
      <c r="E6271">
        <v>0</v>
      </c>
    </row>
    <row r="6272" spans="1:5" x14ac:dyDescent="0.35">
      <c r="A6272">
        <v>0</v>
      </c>
      <c r="B6272">
        <v>0</v>
      </c>
      <c r="C6272">
        <v>0</v>
      </c>
      <c r="D6272">
        <v>0</v>
      </c>
      <c r="E6272">
        <v>0</v>
      </c>
    </row>
    <row r="6273" spans="1:5" x14ac:dyDescent="0.35">
      <c r="A6273">
        <v>0</v>
      </c>
      <c r="B6273">
        <v>0</v>
      </c>
      <c r="C6273">
        <v>0</v>
      </c>
      <c r="D6273">
        <v>0</v>
      </c>
      <c r="E6273">
        <v>0</v>
      </c>
    </row>
    <row r="6274" spans="1:5" x14ac:dyDescent="0.35">
      <c r="A6274">
        <v>0</v>
      </c>
      <c r="B6274">
        <v>0</v>
      </c>
      <c r="C6274">
        <v>0</v>
      </c>
      <c r="D6274">
        <v>0</v>
      </c>
      <c r="E6274">
        <v>0</v>
      </c>
    </row>
    <row r="6275" spans="1:5" x14ac:dyDescent="0.35">
      <c r="A6275">
        <v>0</v>
      </c>
      <c r="B6275">
        <v>0</v>
      </c>
      <c r="C6275">
        <v>0</v>
      </c>
      <c r="D6275">
        <v>0</v>
      </c>
      <c r="E6275">
        <v>0</v>
      </c>
    </row>
    <row r="6276" spans="1:5" x14ac:dyDescent="0.35">
      <c r="A6276">
        <v>0</v>
      </c>
      <c r="B6276">
        <v>0</v>
      </c>
      <c r="C6276">
        <v>0</v>
      </c>
      <c r="D6276">
        <v>0</v>
      </c>
      <c r="E6276">
        <v>0</v>
      </c>
    </row>
    <row r="6277" spans="1:5" x14ac:dyDescent="0.35">
      <c r="A6277">
        <v>0</v>
      </c>
      <c r="B6277">
        <v>0</v>
      </c>
      <c r="C6277">
        <v>0</v>
      </c>
      <c r="D6277">
        <v>0</v>
      </c>
      <c r="E6277">
        <v>0</v>
      </c>
    </row>
    <row r="6278" spans="1:5" x14ac:dyDescent="0.35">
      <c r="A6278">
        <v>0</v>
      </c>
      <c r="B6278">
        <v>0</v>
      </c>
      <c r="C6278">
        <v>0</v>
      </c>
      <c r="D6278">
        <v>0</v>
      </c>
      <c r="E6278">
        <v>0</v>
      </c>
    </row>
    <row r="6279" spans="1:5" x14ac:dyDescent="0.35">
      <c r="A6279">
        <v>0</v>
      </c>
      <c r="B6279">
        <v>0</v>
      </c>
      <c r="C6279">
        <v>0</v>
      </c>
      <c r="D6279">
        <v>0</v>
      </c>
      <c r="E6279">
        <v>0</v>
      </c>
    </row>
    <row r="6280" spans="1:5" x14ac:dyDescent="0.35">
      <c r="A6280">
        <v>0</v>
      </c>
      <c r="B6280">
        <v>0</v>
      </c>
      <c r="C6280">
        <v>0</v>
      </c>
      <c r="D6280">
        <v>0</v>
      </c>
      <c r="E6280">
        <v>0</v>
      </c>
    </row>
    <row r="6281" spans="1:5" x14ac:dyDescent="0.35">
      <c r="A6281">
        <v>0</v>
      </c>
      <c r="B6281">
        <v>0</v>
      </c>
      <c r="C6281">
        <v>0</v>
      </c>
      <c r="D6281">
        <v>0</v>
      </c>
      <c r="E6281">
        <v>0</v>
      </c>
    </row>
    <row r="6282" spans="1:5" x14ac:dyDescent="0.35">
      <c r="A6282">
        <v>0</v>
      </c>
      <c r="B6282">
        <v>0</v>
      </c>
      <c r="C6282">
        <v>0</v>
      </c>
      <c r="D6282">
        <v>0</v>
      </c>
      <c r="E6282">
        <v>0</v>
      </c>
    </row>
    <row r="6283" spans="1:5" x14ac:dyDescent="0.35">
      <c r="A6283">
        <v>0</v>
      </c>
      <c r="B6283">
        <v>0</v>
      </c>
      <c r="C6283">
        <v>0</v>
      </c>
      <c r="D6283">
        <v>0</v>
      </c>
      <c r="E6283">
        <v>0</v>
      </c>
    </row>
    <row r="6284" spans="1:5" x14ac:dyDescent="0.35">
      <c r="A6284">
        <v>0</v>
      </c>
      <c r="B6284">
        <v>0</v>
      </c>
      <c r="C6284">
        <v>0</v>
      </c>
      <c r="D6284">
        <v>0</v>
      </c>
      <c r="E6284">
        <v>0</v>
      </c>
    </row>
    <row r="6285" spans="1:5" x14ac:dyDescent="0.35">
      <c r="A6285">
        <v>0</v>
      </c>
      <c r="B6285">
        <v>0</v>
      </c>
      <c r="C6285">
        <v>0</v>
      </c>
      <c r="D6285">
        <v>0</v>
      </c>
      <c r="E6285">
        <v>0</v>
      </c>
    </row>
    <row r="6286" spans="1:5" x14ac:dyDescent="0.35">
      <c r="A6286">
        <v>0</v>
      </c>
      <c r="B6286">
        <v>0</v>
      </c>
      <c r="C6286">
        <v>0</v>
      </c>
      <c r="D6286">
        <v>0</v>
      </c>
      <c r="E6286">
        <v>0</v>
      </c>
    </row>
    <row r="6287" spans="1:5" x14ac:dyDescent="0.35">
      <c r="A6287">
        <v>0</v>
      </c>
      <c r="B6287">
        <v>0</v>
      </c>
      <c r="C6287">
        <v>0</v>
      </c>
      <c r="D6287">
        <v>0</v>
      </c>
      <c r="E6287">
        <v>0</v>
      </c>
    </row>
    <row r="6288" spans="1:5" x14ac:dyDescent="0.35">
      <c r="A6288">
        <v>0</v>
      </c>
      <c r="B6288">
        <v>0</v>
      </c>
      <c r="C6288">
        <v>0</v>
      </c>
      <c r="D6288">
        <v>0</v>
      </c>
      <c r="E6288">
        <v>0</v>
      </c>
    </row>
    <row r="6289" spans="1:5" x14ac:dyDescent="0.35">
      <c r="A6289">
        <v>0</v>
      </c>
      <c r="B6289">
        <v>0</v>
      </c>
      <c r="C6289">
        <v>0</v>
      </c>
      <c r="D6289">
        <v>0</v>
      </c>
      <c r="E6289">
        <v>0</v>
      </c>
    </row>
    <row r="6290" spans="1:5" x14ac:dyDescent="0.35">
      <c r="A6290">
        <v>0</v>
      </c>
      <c r="B6290">
        <v>0</v>
      </c>
      <c r="C6290">
        <v>0</v>
      </c>
      <c r="D6290">
        <v>0</v>
      </c>
      <c r="E6290">
        <v>0</v>
      </c>
    </row>
    <row r="6291" spans="1:5" x14ac:dyDescent="0.35">
      <c r="A6291">
        <v>0</v>
      </c>
      <c r="B6291">
        <v>0</v>
      </c>
      <c r="C6291">
        <v>0</v>
      </c>
      <c r="D6291">
        <v>0</v>
      </c>
      <c r="E6291">
        <v>0</v>
      </c>
    </row>
    <row r="6292" spans="1:5" x14ac:dyDescent="0.35">
      <c r="A6292">
        <v>0</v>
      </c>
      <c r="B6292">
        <v>0</v>
      </c>
      <c r="C6292">
        <v>0</v>
      </c>
      <c r="D6292">
        <v>0</v>
      </c>
      <c r="E6292">
        <v>0</v>
      </c>
    </row>
    <row r="6293" spans="1:5" x14ac:dyDescent="0.35">
      <c r="A6293">
        <v>0</v>
      </c>
      <c r="B6293">
        <v>0</v>
      </c>
      <c r="C6293">
        <v>0</v>
      </c>
      <c r="D6293">
        <v>0</v>
      </c>
      <c r="E6293">
        <v>0</v>
      </c>
    </row>
    <row r="6294" spans="1:5" x14ac:dyDescent="0.35">
      <c r="A6294">
        <v>0</v>
      </c>
      <c r="B6294">
        <v>0</v>
      </c>
      <c r="C6294">
        <v>0</v>
      </c>
      <c r="D6294">
        <v>0</v>
      </c>
      <c r="E6294">
        <v>0</v>
      </c>
    </row>
    <row r="6295" spans="1:5" x14ac:dyDescent="0.35">
      <c r="A6295">
        <v>0</v>
      </c>
      <c r="B6295">
        <v>0</v>
      </c>
      <c r="C6295">
        <v>0</v>
      </c>
      <c r="D6295">
        <v>0</v>
      </c>
      <c r="E6295">
        <v>0</v>
      </c>
    </row>
    <row r="6296" spans="1:5" x14ac:dyDescent="0.35">
      <c r="A6296">
        <v>0</v>
      </c>
      <c r="B6296">
        <v>0</v>
      </c>
      <c r="C6296">
        <v>0</v>
      </c>
      <c r="D6296">
        <v>0</v>
      </c>
      <c r="E6296">
        <v>0</v>
      </c>
    </row>
    <row r="6297" spans="1:5" x14ac:dyDescent="0.35">
      <c r="A6297">
        <v>0</v>
      </c>
      <c r="B6297">
        <v>0</v>
      </c>
      <c r="C6297">
        <v>0</v>
      </c>
      <c r="D6297">
        <v>0</v>
      </c>
      <c r="E6297">
        <v>0</v>
      </c>
    </row>
    <row r="6298" spans="1:5" x14ac:dyDescent="0.35">
      <c r="A6298">
        <v>0</v>
      </c>
      <c r="B6298">
        <v>0</v>
      </c>
      <c r="C6298">
        <v>0</v>
      </c>
      <c r="D6298">
        <v>0</v>
      </c>
      <c r="E6298">
        <v>0</v>
      </c>
    </row>
    <row r="6299" spans="1:5" x14ac:dyDescent="0.35">
      <c r="A6299">
        <v>0</v>
      </c>
      <c r="B6299">
        <v>0</v>
      </c>
      <c r="C6299">
        <v>0</v>
      </c>
      <c r="D6299">
        <v>0</v>
      </c>
      <c r="E6299">
        <v>0</v>
      </c>
    </row>
    <row r="6300" spans="1:5" x14ac:dyDescent="0.35">
      <c r="A6300">
        <v>0</v>
      </c>
      <c r="B6300">
        <v>0</v>
      </c>
      <c r="C6300">
        <v>0</v>
      </c>
      <c r="D6300">
        <v>0</v>
      </c>
      <c r="E6300">
        <v>0</v>
      </c>
    </row>
    <row r="6301" spans="1:5" x14ac:dyDescent="0.35">
      <c r="A6301">
        <v>0</v>
      </c>
      <c r="B6301">
        <v>0</v>
      </c>
      <c r="C6301">
        <v>0</v>
      </c>
      <c r="D6301">
        <v>0</v>
      </c>
      <c r="E6301">
        <v>0</v>
      </c>
    </row>
    <row r="6302" spans="1:5" x14ac:dyDescent="0.35">
      <c r="A6302">
        <v>0</v>
      </c>
      <c r="B6302">
        <v>0</v>
      </c>
      <c r="C6302">
        <v>0</v>
      </c>
      <c r="D6302">
        <v>0</v>
      </c>
      <c r="E6302">
        <v>0</v>
      </c>
    </row>
    <row r="6303" spans="1:5" x14ac:dyDescent="0.35">
      <c r="A6303">
        <v>0</v>
      </c>
      <c r="B6303">
        <v>0</v>
      </c>
      <c r="C6303">
        <v>0</v>
      </c>
      <c r="D6303">
        <v>0</v>
      </c>
      <c r="E6303">
        <v>0</v>
      </c>
    </row>
    <row r="6304" spans="1:5" x14ac:dyDescent="0.35">
      <c r="A6304">
        <v>0</v>
      </c>
      <c r="B6304">
        <v>0</v>
      </c>
      <c r="C6304">
        <v>0</v>
      </c>
      <c r="D6304">
        <v>0</v>
      </c>
      <c r="E6304">
        <v>0</v>
      </c>
    </row>
    <row r="6305" spans="1:5" x14ac:dyDescent="0.35">
      <c r="A6305">
        <v>0</v>
      </c>
      <c r="B6305">
        <v>0</v>
      </c>
      <c r="C6305">
        <v>0</v>
      </c>
      <c r="D6305">
        <v>0</v>
      </c>
      <c r="E6305">
        <v>0</v>
      </c>
    </row>
    <row r="6306" spans="1:5" x14ac:dyDescent="0.35">
      <c r="A6306">
        <v>0</v>
      </c>
      <c r="B6306">
        <v>0</v>
      </c>
      <c r="C6306">
        <v>0</v>
      </c>
      <c r="D6306">
        <v>0</v>
      </c>
      <c r="E6306">
        <v>0</v>
      </c>
    </row>
    <row r="6307" spans="1:5" x14ac:dyDescent="0.35">
      <c r="A6307">
        <v>0</v>
      </c>
      <c r="B6307">
        <v>0</v>
      </c>
      <c r="C6307">
        <v>0</v>
      </c>
      <c r="D6307">
        <v>0</v>
      </c>
      <c r="E6307">
        <v>0</v>
      </c>
    </row>
    <row r="6308" spans="1:5" x14ac:dyDescent="0.35">
      <c r="A6308">
        <v>0</v>
      </c>
      <c r="B6308">
        <v>0</v>
      </c>
      <c r="C6308">
        <v>0</v>
      </c>
      <c r="D6308">
        <v>0</v>
      </c>
      <c r="E6308">
        <v>0</v>
      </c>
    </row>
    <row r="6309" spans="1:5" x14ac:dyDescent="0.35">
      <c r="A6309">
        <v>0</v>
      </c>
      <c r="B6309">
        <v>0</v>
      </c>
      <c r="C6309">
        <v>0</v>
      </c>
      <c r="D6309">
        <v>0</v>
      </c>
      <c r="E6309">
        <v>0</v>
      </c>
    </row>
    <row r="6310" spans="1:5" x14ac:dyDescent="0.35">
      <c r="A6310">
        <v>0</v>
      </c>
      <c r="B6310">
        <v>0</v>
      </c>
      <c r="C6310">
        <v>0</v>
      </c>
      <c r="D6310">
        <v>0</v>
      </c>
      <c r="E6310">
        <v>0</v>
      </c>
    </row>
    <row r="6311" spans="1:5" x14ac:dyDescent="0.35">
      <c r="A6311">
        <v>0</v>
      </c>
      <c r="B6311">
        <v>0</v>
      </c>
      <c r="C6311">
        <v>0</v>
      </c>
      <c r="D6311">
        <v>0</v>
      </c>
      <c r="E6311">
        <v>0</v>
      </c>
    </row>
    <row r="6312" spans="1:5" x14ac:dyDescent="0.35">
      <c r="A6312">
        <v>0</v>
      </c>
      <c r="B6312">
        <v>0</v>
      </c>
      <c r="C6312">
        <v>0</v>
      </c>
      <c r="D6312">
        <v>0</v>
      </c>
      <c r="E6312">
        <v>0</v>
      </c>
    </row>
    <row r="6313" spans="1:5" x14ac:dyDescent="0.35">
      <c r="A6313">
        <v>0</v>
      </c>
      <c r="B6313">
        <v>0</v>
      </c>
      <c r="C6313">
        <v>0</v>
      </c>
      <c r="D6313">
        <v>0</v>
      </c>
      <c r="E6313">
        <v>0</v>
      </c>
    </row>
    <row r="6314" spans="1:5" x14ac:dyDescent="0.35">
      <c r="A6314">
        <v>0</v>
      </c>
      <c r="B6314">
        <v>0</v>
      </c>
      <c r="C6314">
        <v>0</v>
      </c>
      <c r="D6314">
        <v>0</v>
      </c>
      <c r="E6314">
        <v>0</v>
      </c>
    </row>
    <row r="6315" spans="1:5" x14ac:dyDescent="0.35">
      <c r="A6315">
        <v>0</v>
      </c>
      <c r="B6315">
        <v>0</v>
      </c>
      <c r="C6315">
        <v>0</v>
      </c>
      <c r="D6315">
        <v>0</v>
      </c>
      <c r="E6315">
        <v>0</v>
      </c>
    </row>
    <row r="6316" spans="1:5" x14ac:dyDescent="0.35">
      <c r="A6316">
        <v>0</v>
      </c>
      <c r="B6316">
        <v>0</v>
      </c>
      <c r="C6316">
        <v>0</v>
      </c>
      <c r="D6316">
        <v>0</v>
      </c>
      <c r="E6316">
        <v>0</v>
      </c>
    </row>
    <row r="6317" spans="1:5" x14ac:dyDescent="0.35">
      <c r="A6317">
        <v>0</v>
      </c>
      <c r="B6317">
        <v>0</v>
      </c>
      <c r="C6317">
        <v>0</v>
      </c>
      <c r="D6317">
        <v>0</v>
      </c>
      <c r="E6317">
        <v>0</v>
      </c>
    </row>
    <row r="6318" spans="1:5" x14ac:dyDescent="0.35">
      <c r="A6318">
        <v>0</v>
      </c>
      <c r="B6318">
        <v>0</v>
      </c>
      <c r="C6318">
        <v>0</v>
      </c>
      <c r="D6318">
        <v>0</v>
      </c>
      <c r="E6318">
        <v>0</v>
      </c>
    </row>
    <row r="6319" spans="1:5" x14ac:dyDescent="0.35">
      <c r="A6319">
        <v>0</v>
      </c>
      <c r="B6319">
        <v>0</v>
      </c>
      <c r="C6319">
        <v>0</v>
      </c>
      <c r="D6319">
        <v>0</v>
      </c>
      <c r="E6319">
        <v>0</v>
      </c>
    </row>
    <row r="6320" spans="1:5" x14ac:dyDescent="0.35">
      <c r="A6320">
        <v>0</v>
      </c>
      <c r="B6320">
        <v>0</v>
      </c>
      <c r="C6320">
        <v>0</v>
      </c>
      <c r="D6320">
        <v>0</v>
      </c>
      <c r="E6320">
        <v>0</v>
      </c>
    </row>
    <row r="6321" spans="1:5" x14ac:dyDescent="0.35">
      <c r="A6321">
        <v>0</v>
      </c>
      <c r="B6321">
        <v>0</v>
      </c>
      <c r="C6321">
        <v>0</v>
      </c>
      <c r="D6321">
        <v>0</v>
      </c>
      <c r="E6321">
        <v>0</v>
      </c>
    </row>
    <row r="6322" spans="1:5" x14ac:dyDescent="0.35">
      <c r="A6322">
        <v>0</v>
      </c>
      <c r="B6322">
        <v>0</v>
      </c>
      <c r="C6322">
        <v>0</v>
      </c>
      <c r="D6322">
        <v>0</v>
      </c>
      <c r="E6322">
        <v>0</v>
      </c>
    </row>
    <row r="6323" spans="1:5" x14ac:dyDescent="0.35">
      <c r="A6323">
        <v>0</v>
      </c>
      <c r="B6323">
        <v>0</v>
      </c>
      <c r="C6323">
        <v>0</v>
      </c>
      <c r="D6323">
        <v>0</v>
      </c>
      <c r="E6323">
        <v>0</v>
      </c>
    </row>
    <row r="6324" spans="1:5" x14ac:dyDescent="0.35">
      <c r="A6324">
        <v>0</v>
      </c>
      <c r="B6324">
        <v>0</v>
      </c>
      <c r="C6324">
        <v>0</v>
      </c>
      <c r="D6324">
        <v>0</v>
      </c>
      <c r="E6324">
        <v>0</v>
      </c>
    </row>
    <row r="6325" spans="1:5" x14ac:dyDescent="0.35">
      <c r="A6325">
        <v>0</v>
      </c>
      <c r="B6325">
        <v>0</v>
      </c>
      <c r="C6325">
        <v>0</v>
      </c>
      <c r="D6325">
        <v>0</v>
      </c>
      <c r="E6325">
        <v>0</v>
      </c>
    </row>
    <row r="6326" spans="1:5" x14ac:dyDescent="0.35">
      <c r="A6326">
        <v>0</v>
      </c>
      <c r="B6326">
        <v>0</v>
      </c>
      <c r="C6326">
        <v>0</v>
      </c>
      <c r="D6326">
        <v>0</v>
      </c>
      <c r="E6326">
        <v>0</v>
      </c>
    </row>
    <row r="6327" spans="1:5" x14ac:dyDescent="0.35">
      <c r="A6327">
        <v>0</v>
      </c>
      <c r="B6327">
        <v>0</v>
      </c>
      <c r="C6327">
        <v>0</v>
      </c>
      <c r="D6327">
        <v>0</v>
      </c>
      <c r="E6327">
        <v>0</v>
      </c>
    </row>
    <row r="6328" spans="1:5" x14ac:dyDescent="0.35">
      <c r="A6328">
        <v>0</v>
      </c>
      <c r="B6328">
        <v>0</v>
      </c>
      <c r="C6328">
        <v>0</v>
      </c>
      <c r="D6328">
        <v>0</v>
      </c>
      <c r="E6328">
        <v>0</v>
      </c>
    </row>
    <row r="6329" spans="1:5" x14ac:dyDescent="0.35">
      <c r="A6329">
        <v>0</v>
      </c>
      <c r="B6329">
        <v>0</v>
      </c>
      <c r="C6329">
        <v>0</v>
      </c>
      <c r="D6329">
        <v>0</v>
      </c>
      <c r="E6329">
        <v>0</v>
      </c>
    </row>
    <row r="6330" spans="1:5" x14ac:dyDescent="0.35">
      <c r="A6330">
        <v>0</v>
      </c>
      <c r="B6330">
        <v>0</v>
      </c>
      <c r="C6330">
        <v>0</v>
      </c>
      <c r="D6330">
        <v>0</v>
      </c>
      <c r="E6330">
        <v>0</v>
      </c>
    </row>
    <row r="6331" spans="1:5" x14ac:dyDescent="0.35">
      <c r="A6331">
        <v>0</v>
      </c>
      <c r="B6331">
        <v>0</v>
      </c>
      <c r="C6331">
        <v>0</v>
      </c>
      <c r="D6331">
        <v>0</v>
      </c>
      <c r="E6331">
        <v>0</v>
      </c>
    </row>
    <row r="6332" spans="1:5" x14ac:dyDescent="0.35">
      <c r="A6332">
        <v>0</v>
      </c>
      <c r="B6332">
        <v>0</v>
      </c>
      <c r="C6332">
        <v>0</v>
      </c>
      <c r="D6332">
        <v>0</v>
      </c>
      <c r="E6332">
        <v>0</v>
      </c>
    </row>
    <row r="6333" spans="1:5" x14ac:dyDescent="0.35">
      <c r="A6333">
        <v>0</v>
      </c>
      <c r="B6333">
        <v>0</v>
      </c>
      <c r="C6333">
        <v>0</v>
      </c>
      <c r="D6333">
        <v>0</v>
      </c>
      <c r="E6333">
        <v>0</v>
      </c>
    </row>
    <row r="6334" spans="1:5" x14ac:dyDescent="0.35">
      <c r="A6334">
        <v>0</v>
      </c>
      <c r="B6334">
        <v>0</v>
      </c>
      <c r="C6334">
        <v>0</v>
      </c>
      <c r="D6334">
        <v>0</v>
      </c>
      <c r="E6334">
        <v>0</v>
      </c>
    </row>
    <row r="6335" spans="1:5" x14ac:dyDescent="0.35">
      <c r="A6335">
        <v>0</v>
      </c>
      <c r="B6335">
        <v>0</v>
      </c>
      <c r="C6335">
        <v>0</v>
      </c>
      <c r="D6335">
        <v>0</v>
      </c>
      <c r="E6335">
        <v>0</v>
      </c>
    </row>
    <row r="6336" spans="1:5" x14ac:dyDescent="0.35">
      <c r="A6336">
        <v>0</v>
      </c>
      <c r="B6336">
        <v>0</v>
      </c>
      <c r="C6336">
        <v>0</v>
      </c>
      <c r="D6336">
        <v>0</v>
      </c>
      <c r="E6336">
        <v>0</v>
      </c>
    </row>
    <row r="6337" spans="1:5" x14ac:dyDescent="0.35">
      <c r="A6337">
        <v>0</v>
      </c>
      <c r="B6337">
        <v>0</v>
      </c>
      <c r="C6337">
        <v>0</v>
      </c>
      <c r="D6337">
        <v>0</v>
      </c>
      <c r="E6337">
        <v>0</v>
      </c>
    </row>
    <row r="6338" spans="1:5" x14ac:dyDescent="0.35">
      <c r="A6338">
        <v>0</v>
      </c>
      <c r="B6338">
        <v>0</v>
      </c>
      <c r="C6338">
        <v>0</v>
      </c>
      <c r="D6338">
        <v>0</v>
      </c>
      <c r="E6338">
        <v>0</v>
      </c>
    </row>
    <row r="6339" spans="1:5" x14ac:dyDescent="0.35">
      <c r="A6339">
        <v>0</v>
      </c>
      <c r="B6339">
        <v>0</v>
      </c>
      <c r="C6339">
        <v>0</v>
      </c>
      <c r="D6339">
        <v>0</v>
      </c>
      <c r="E6339">
        <v>0</v>
      </c>
    </row>
    <row r="6340" spans="1:5" x14ac:dyDescent="0.35">
      <c r="A6340">
        <v>0</v>
      </c>
      <c r="B6340">
        <v>0</v>
      </c>
      <c r="C6340">
        <v>0</v>
      </c>
      <c r="D6340">
        <v>0</v>
      </c>
      <c r="E6340">
        <v>0</v>
      </c>
    </row>
    <row r="6341" spans="1:5" x14ac:dyDescent="0.35">
      <c r="A6341">
        <v>0</v>
      </c>
      <c r="B6341">
        <v>0</v>
      </c>
      <c r="C6341">
        <v>0</v>
      </c>
      <c r="D6341">
        <v>0</v>
      </c>
      <c r="E6341">
        <v>0</v>
      </c>
    </row>
    <row r="6342" spans="1:5" x14ac:dyDescent="0.35">
      <c r="A6342">
        <v>0</v>
      </c>
      <c r="B6342">
        <v>0</v>
      </c>
      <c r="C6342">
        <v>0</v>
      </c>
      <c r="D6342">
        <v>0</v>
      </c>
      <c r="E6342">
        <v>0</v>
      </c>
    </row>
    <row r="6343" spans="1:5" x14ac:dyDescent="0.35">
      <c r="A6343">
        <v>0</v>
      </c>
      <c r="B6343">
        <v>0</v>
      </c>
      <c r="C6343">
        <v>0</v>
      </c>
      <c r="D6343">
        <v>0</v>
      </c>
      <c r="E6343">
        <v>0</v>
      </c>
    </row>
    <row r="6344" spans="1:5" x14ac:dyDescent="0.35">
      <c r="A6344">
        <v>0</v>
      </c>
      <c r="B6344">
        <v>0</v>
      </c>
      <c r="C6344">
        <v>0</v>
      </c>
      <c r="D6344">
        <v>0</v>
      </c>
      <c r="E6344">
        <v>0</v>
      </c>
    </row>
    <row r="6345" spans="1:5" x14ac:dyDescent="0.35">
      <c r="A6345">
        <v>0</v>
      </c>
      <c r="B6345">
        <v>0</v>
      </c>
      <c r="C6345">
        <v>0</v>
      </c>
      <c r="D6345">
        <v>0</v>
      </c>
      <c r="E6345">
        <v>0</v>
      </c>
    </row>
    <row r="6346" spans="1:5" x14ac:dyDescent="0.35">
      <c r="A6346">
        <v>0</v>
      </c>
      <c r="B6346">
        <v>0</v>
      </c>
      <c r="C6346">
        <v>0</v>
      </c>
      <c r="D6346">
        <v>0</v>
      </c>
      <c r="E6346">
        <v>0</v>
      </c>
    </row>
    <row r="6347" spans="1:5" x14ac:dyDescent="0.35">
      <c r="A6347">
        <v>0</v>
      </c>
      <c r="B6347">
        <v>0</v>
      </c>
      <c r="C6347">
        <v>0</v>
      </c>
      <c r="D6347">
        <v>0</v>
      </c>
      <c r="E6347">
        <v>0</v>
      </c>
    </row>
    <row r="6348" spans="1:5" x14ac:dyDescent="0.35">
      <c r="A6348">
        <v>0</v>
      </c>
      <c r="B6348">
        <v>0</v>
      </c>
      <c r="C6348">
        <v>0</v>
      </c>
      <c r="D6348">
        <v>0</v>
      </c>
      <c r="E6348">
        <v>0</v>
      </c>
    </row>
    <row r="6349" spans="1:5" x14ac:dyDescent="0.35">
      <c r="A6349">
        <v>0</v>
      </c>
      <c r="B6349">
        <v>0</v>
      </c>
      <c r="C6349">
        <v>0</v>
      </c>
      <c r="D6349">
        <v>0</v>
      </c>
      <c r="E6349">
        <v>0</v>
      </c>
    </row>
    <row r="6350" spans="1:5" x14ac:dyDescent="0.35">
      <c r="A6350">
        <v>0</v>
      </c>
      <c r="B6350">
        <v>0</v>
      </c>
      <c r="C6350">
        <v>0</v>
      </c>
      <c r="D6350">
        <v>0</v>
      </c>
      <c r="E6350">
        <v>0</v>
      </c>
    </row>
    <row r="6351" spans="1:5" x14ac:dyDescent="0.35">
      <c r="A6351">
        <v>0</v>
      </c>
      <c r="B6351">
        <v>0</v>
      </c>
      <c r="C6351">
        <v>0</v>
      </c>
      <c r="D6351">
        <v>0</v>
      </c>
      <c r="E6351">
        <v>0</v>
      </c>
    </row>
    <row r="6352" spans="1:5" x14ac:dyDescent="0.35">
      <c r="A6352">
        <v>0</v>
      </c>
      <c r="B6352">
        <v>0</v>
      </c>
      <c r="C6352">
        <v>0</v>
      </c>
      <c r="D6352">
        <v>0</v>
      </c>
      <c r="E6352">
        <v>0</v>
      </c>
    </row>
    <row r="6353" spans="1:5" x14ac:dyDescent="0.35">
      <c r="A6353">
        <v>0</v>
      </c>
      <c r="B6353">
        <v>0</v>
      </c>
      <c r="C6353">
        <v>0</v>
      </c>
      <c r="D6353">
        <v>0</v>
      </c>
      <c r="E6353">
        <v>0</v>
      </c>
    </row>
    <row r="6354" spans="1:5" x14ac:dyDescent="0.35">
      <c r="A6354">
        <v>0</v>
      </c>
      <c r="B6354">
        <v>0</v>
      </c>
      <c r="C6354">
        <v>0</v>
      </c>
      <c r="D6354">
        <v>0</v>
      </c>
      <c r="E6354">
        <v>0</v>
      </c>
    </row>
    <row r="6355" spans="1:5" x14ac:dyDescent="0.35">
      <c r="A6355">
        <v>0</v>
      </c>
      <c r="B6355">
        <v>0</v>
      </c>
      <c r="C6355">
        <v>0</v>
      </c>
      <c r="D6355">
        <v>0</v>
      </c>
      <c r="E6355">
        <v>0</v>
      </c>
    </row>
    <row r="6356" spans="1:5" x14ac:dyDescent="0.35">
      <c r="A6356">
        <v>0</v>
      </c>
      <c r="B6356">
        <v>0</v>
      </c>
      <c r="C6356">
        <v>0</v>
      </c>
      <c r="D6356">
        <v>0</v>
      </c>
      <c r="E6356">
        <v>0</v>
      </c>
    </row>
    <row r="6357" spans="1:5" x14ac:dyDescent="0.35">
      <c r="A6357">
        <v>0</v>
      </c>
      <c r="B6357">
        <v>0</v>
      </c>
      <c r="C6357">
        <v>0</v>
      </c>
      <c r="D6357">
        <v>0</v>
      </c>
      <c r="E6357">
        <v>0</v>
      </c>
    </row>
    <row r="6358" spans="1:5" x14ac:dyDescent="0.35">
      <c r="A6358">
        <v>0</v>
      </c>
      <c r="B6358">
        <v>0</v>
      </c>
      <c r="C6358">
        <v>0</v>
      </c>
      <c r="D6358">
        <v>0</v>
      </c>
      <c r="E6358">
        <v>0</v>
      </c>
    </row>
    <row r="6359" spans="1:5" x14ac:dyDescent="0.35">
      <c r="A6359">
        <v>0</v>
      </c>
      <c r="B6359">
        <v>0</v>
      </c>
      <c r="C6359">
        <v>0</v>
      </c>
      <c r="D6359">
        <v>0</v>
      </c>
      <c r="E6359">
        <v>0</v>
      </c>
    </row>
    <row r="6360" spans="1:5" x14ac:dyDescent="0.35">
      <c r="A6360">
        <v>0</v>
      </c>
      <c r="B6360">
        <v>0</v>
      </c>
      <c r="C6360">
        <v>0</v>
      </c>
      <c r="D6360">
        <v>0</v>
      </c>
      <c r="E6360">
        <v>0</v>
      </c>
    </row>
    <row r="6361" spans="1:5" x14ac:dyDescent="0.35">
      <c r="A6361">
        <v>0</v>
      </c>
      <c r="B6361">
        <v>0</v>
      </c>
      <c r="C6361">
        <v>0</v>
      </c>
      <c r="D6361">
        <v>0</v>
      </c>
      <c r="E6361">
        <v>0</v>
      </c>
    </row>
    <row r="6362" spans="1:5" x14ac:dyDescent="0.35">
      <c r="A6362">
        <v>0</v>
      </c>
      <c r="B6362">
        <v>0</v>
      </c>
      <c r="C6362">
        <v>0</v>
      </c>
      <c r="D6362">
        <v>0</v>
      </c>
      <c r="E6362">
        <v>0</v>
      </c>
    </row>
    <row r="6363" spans="1:5" x14ac:dyDescent="0.35">
      <c r="A6363">
        <v>0</v>
      </c>
      <c r="B6363">
        <v>0</v>
      </c>
      <c r="C6363">
        <v>0</v>
      </c>
      <c r="D6363">
        <v>0</v>
      </c>
      <c r="E6363">
        <v>0</v>
      </c>
    </row>
    <row r="6364" spans="1:5" x14ac:dyDescent="0.35">
      <c r="A6364">
        <v>0</v>
      </c>
      <c r="B6364">
        <v>0</v>
      </c>
      <c r="C6364">
        <v>0</v>
      </c>
      <c r="D6364">
        <v>0</v>
      </c>
      <c r="E6364">
        <v>0</v>
      </c>
    </row>
    <row r="6365" spans="1:5" x14ac:dyDescent="0.35">
      <c r="A6365">
        <v>0</v>
      </c>
      <c r="B6365">
        <v>0</v>
      </c>
      <c r="C6365">
        <v>0</v>
      </c>
      <c r="D6365">
        <v>0</v>
      </c>
      <c r="E6365">
        <v>0</v>
      </c>
    </row>
    <row r="6366" spans="1:5" x14ac:dyDescent="0.35">
      <c r="A6366">
        <v>0</v>
      </c>
      <c r="B6366">
        <v>0</v>
      </c>
      <c r="C6366">
        <v>0</v>
      </c>
      <c r="D6366">
        <v>0</v>
      </c>
      <c r="E6366">
        <v>0</v>
      </c>
    </row>
    <row r="6367" spans="1:5" x14ac:dyDescent="0.35">
      <c r="A6367">
        <v>0</v>
      </c>
      <c r="B6367">
        <v>0</v>
      </c>
      <c r="C6367">
        <v>0</v>
      </c>
      <c r="D6367">
        <v>0</v>
      </c>
      <c r="E6367">
        <v>0</v>
      </c>
    </row>
    <row r="6368" spans="1:5" x14ac:dyDescent="0.35">
      <c r="A6368">
        <v>0</v>
      </c>
      <c r="B6368">
        <v>0</v>
      </c>
      <c r="C6368">
        <v>0</v>
      </c>
      <c r="D6368">
        <v>0</v>
      </c>
      <c r="E6368">
        <v>0</v>
      </c>
    </row>
    <row r="6369" spans="1:5" x14ac:dyDescent="0.35">
      <c r="A6369">
        <v>0</v>
      </c>
      <c r="B6369">
        <v>0</v>
      </c>
      <c r="C6369">
        <v>0</v>
      </c>
      <c r="D6369">
        <v>0</v>
      </c>
      <c r="E6369">
        <v>0</v>
      </c>
    </row>
    <row r="6370" spans="1:5" x14ac:dyDescent="0.35">
      <c r="A6370">
        <v>0</v>
      </c>
      <c r="B6370">
        <v>0</v>
      </c>
      <c r="C6370">
        <v>0</v>
      </c>
      <c r="D6370">
        <v>0</v>
      </c>
      <c r="E6370">
        <v>0</v>
      </c>
    </row>
    <row r="6371" spans="1:5" x14ac:dyDescent="0.35">
      <c r="A6371">
        <v>0</v>
      </c>
      <c r="B6371">
        <v>0</v>
      </c>
      <c r="C6371">
        <v>0</v>
      </c>
      <c r="D6371">
        <v>0</v>
      </c>
      <c r="E6371">
        <v>0</v>
      </c>
    </row>
    <row r="6372" spans="1:5" x14ac:dyDescent="0.35">
      <c r="A6372">
        <v>0</v>
      </c>
      <c r="B6372">
        <v>0</v>
      </c>
      <c r="C6372">
        <v>0</v>
      </c>
      <c r="D6372">
        <v>0</v>
      </c>
      <c r="E6372">
        <v>0</v>
      </c>
    </row>
    <row r="6373" spans="1:5" x14ac:dyDescent="0.35">
      <c r="A6373">
        <v>0</v>
      </c>
      <c r="B6373">
        <v>0</v>
      </c>
      <c r="C6373">
        <v>0</v>
      </c>
      <c r="D6373">
        <v>0</v>
      </c>
      <c r="E6373">
        <v>0</v>
      </c>
    </row>
    <row r="6374" spans="1:5" x14ac:dyDescent="0.35">
      <c r="A6374">
        <v>0</v>
      </c>
      <c r="B6374">
        <v>0</v>
      </c>
      <c r="C6374">
        <v>0</v>
      </c>
      <c r="D6374">
        <v>0</v>
      </c>
      <c r="E6374">
        <v>0</v>
      </c>
    </row>
    <row r="6375" spans="1:5" x14ac:dyDescent="0.35">
      <c r="A6375">
        <v>0</v>
      </c>
      <c r="B6375">
        <v>0</v>
      </c>
      <c r="C6375">
        <v>0</v>
      </c>
      <c r="D6375">
        <v>0</v>
      </c>
      <c r="E6375">
        <v>0</v>
      </c>
    </row>
    <row r="6376" spans="1:5" x14ac:dyDescent="0.35">
      <c r="A6376">
        <v>0</v>
      </c>
      <c r="B6376">
        <v>0</v>
      </c>
      <c r="C6376">
        <v>0</v>
      </c>
      <c r="D6376">
        <v>0</v>
      </c>
      <c r="E6376">
        <v>0</v>
      </c>
    </row>
    <row r="6377" spans="1:5" x14ac:dyDescent="0.35">
      <c r="A6377">
        <v>0</v>
      </c>
      <c r="B6377">
        <v>0</v>
      </c>
      <c r="C6377">
        <v>0</v>
      </c>
      <c r="D6377">
        <v>0</v>
      </c>
      <c r="E6377">
        <v>0</v>
      </c>
    </row>
    <row r="6378" spans="1:5" x14ac:dyDescent="0.35">
      <c r="A6378">
        <v>0</v>
      </c>
      <c r="B6378">
        <v>0</v>
      </c>
      <c r="C6378">
        <v>0</v>
      </c>
      <c r="D6378">
        <v>0</v>
      </c>
      <c r="E6378">
        <v>0</v>
      </c>
    </row>
    <row r="6379" spans="1:5" x14ac:dyDescent="0.35">
      <c r="A6379">
        <v>0</v>
      </c>
      <c r="B6379">
        <v>0</v>
      </c>
      <c r="C6379">
        <v>0</v>
      </c>
      <c r="D6379">
        <v>0</v>
      </c>
      <c r="E6379">
        <v>0</v>
      </c>
    </row>
    <row r="6380" spans="1:5" x14ac:dyDescent="0.35">
      <c r="A6380">
        <v>0</v>
      </c>
      <c r="B6380">
        <v>0</v>
      </c>
      <c r="C6380">
        <v>0</v>
      </c>
      <c r="D6380">
        <v>0</v>
      </c>
      <c r="E6380">
        <v>0</v>
      </c>
    </row>
    <row r="6381" spans="1:5" x14ac:dyDescent="0.35">
      <c r="A6381">
        <v>0</v>
      </c>
      <c r="B6381">
        <v>0</v>
      </c>
      <c r="C6381">
        <v>0</v>
      </c>
      <c r="D6381">
        <v>0</v>
      </c>
      <c r="E6381">
        <v>0</v>
      </c>
    </row>
    <row r="6382" spans="1:5" x14ac:dyDescent="0.35">
      <c r="A6382">
        <v>0</v>
      </c>
      <c r="B6382">
        <v>0</v>
      </c>
      <c r="C6382">
        <v>0</v>
      </c>
      <c r="D6382">
        <v>0</v>
      </c>
      <c r="E6382">
        <v>0</v>
      </c>
    </row>
    <row r="6383" spans="1:5" x14ac:dyDescent="0.35">
      <c r="A6383">
        <v>0</v>
      </c>
      <c r="B6383">
        <v>0</v>
      </c>
      <c r="C6383">
        <v>0</v>
      </c>
      <c r="D6383">
        <v>0</v>
      </c>
      <c r="E6383">
        <v>0</v>
      </c>
    </row>
    <row r="6384" spans="1:5" x14ac:dyDescent="0.35">
      <c r="A6384">
        <v>0</v>
      </c>
      <c r="B6384">
        <v>0</v>
      </c>
      <c r="C6384">
        <v>0</v>
      </c>
      <c r="D6384">
        <v>0</v>
      </c>
      <c r="E6384">
        <v>0</v>
      </c>
    </row>
    <row r="6385" spans="1:5" x14ac:dyDescent="0.35">
      <c r="A6385">
        <v>0</v>
      </c>
      <c r="B6385">
        <v>0</v>
      </c>
      <c r="C6385">
        <v>0</v>
      </c>
      <c r="D6385">
        <v>0</v>
      </c>
      <c r="E6385">
        <v>0</v>
      </c>
    </row>
    <row r="6386" spans="1:5" x14ac:dyDescent="0.35">
      <c r="A6386">
        <v>0</v>
      </c>
      <c r="B6386">
        <v>0</v>
      </c>
      <c r="C6386">
        <v>0</v>
      </c>
      <c r="D6386">
        <v>0</v>
      </c>
      <c r="E6386">
        <v>0</v>
      </c>
    </row>
    <row r="6387" spans="1:5" x14ac:dyDescent="0.35">
      <c r="A6387">
        <v>0</v>
      </c>
      <c r="B6387">
        <v>0</v>
      </c>
      <c r="C6387">
        <v>0</v>
      </c>
      <c r="D6387">
        <v>0</v>
      </c>
      <c r="E6387">
        <v>0</v>
      </c>
    </row>
    <row r="6388" spans="1:5" x14ac:dyDescent="0.35">
      <c r="A6388">
        <v>0</v>
      </c>
      <c r="B6388">
        <v>0</v>
      </c>
      <c r="C6388">
        <v>0</v>
      </c>
      <c r="D6388">
        <v>0</v>
      </c>
      <c r="E6388">
        <v>0</v>
      </c>
    </row>
    <row r="6389" spans="1:5" x14ac:dyDescent="0.35">
      <c r="A6389">
        <v>0</v>
      </c>
      <c r="B6389">
        <v>0</v>
      </c>
      <c r="C6389">
        <v>0</v>
      </c>
      <c r="D6389">
        <v>0</v>
      </c>
      <c r="E6389">
        <v>0</v>
      </c>
    </row>
    <row r="6390" spans="1:5" x14ac:dyDescent="0.35">
      <c r="A6390">
        <v>0</v>
      </c>
      <c r="B6390">
        <v>0</v>
      </c>
      <c r="C6390">
        <v>0</v>
      </c>
      <c r="D6390">
        <v>0</v>
      </c>
      <c r="E6390">
        <v>0</v>
      </c>
    </row>
    <row r="6391" spans="1:5" x14ac:dyDescent="0.35">
      <c r="A6391">
        <v>0</v>
      </c>
      <c r="B6391">
        <v>0</v>
      </c>
      <c r="C6391">
        <v>0</v>
      </c>
      <c r="D6391">
        <v>0</v>
      </c>
      <c r="E6391">
        <v>0</v>
      </c>
    </row>
    <row r="6392" spans="1:5" x14ac:dyDescent="0.35">
      <c r="A6392">
        <v>0</v>
      </c>
      <c r="B6392">
        <v>0</v>
      </c>
      <c r="C6392">
        <v>0</v>
      </c>
      <c r="D6392">
        <v>0</v>
      </c>
      <c r="E6392">
        <v>0</v>
      </c>
    </row>
    <row r="6393" spans="1:5" x14ac:dyDescent="0.35">
      <c r="A6393">
        <v>0</v>
      </c>
      <c r="B6393">
        <v>0</v>
      </c>
      <c r="C6393">
        <v>0</v>
      </c>
      <c r="D6393">
        <v>0</v>
      </c>
      <c r="E6393">
        <v>0</v>
      </c>
    </row>
    <row r="6394" spans="1:5" x14ac:dyDescent="0.35">
      <c r="A6394">
        <v>0</v>
      </c>
      <c r="B6394">
        <v>0</v>
      </c>
      <c r="C6394">
        <v>0</v>
      </c>
      <c r="D6394">
        <v>0</v>
      </c>
      <c r="E6394">
        <v>0</v>
      </c>
    </row>
    <row r="6395" spans="1:5" x14ac:dyDescent="0.35">
      <c r="A6395">
        <v>0</v>
      </c>
      <c r="B6395">
        <v>0</v>
      </c>
      <c r="C6395">
        <v>0</v>
      </c>
      <c r="D6395">
        <v>0</v>
      </c>
      <c r="E6395">
        <v>0</v>
      </c>
    </row>
    <row r="6396" spans="1:5" x14ac:dyDescent="0.35">
      <c r="A6396">
        <v>0</v>
      </c>
      <c r="B6396">
        <v>0</v>
      </c>
      <c r="C6396">
        <v>0</v>
      </c>
      <c r="D6396">
        <v>0</v>
      </c>
      <c r="E6396">
        <v>0</v>
      </c>
    </row>
    <row r="6397" spans="1:5" x14ac:dyDescent="0.35">
      <c r="A6397">
        <v>0</v>
      </c>
      <c r="B6397">
        <v>0</v>
      </c>
      <c r="C6397">
        <v>0</v>
      </c>
      <c r="D6397">
        <v>0</v>
      </c>
      <c r="E6397">
        <v>0</v>
      </c>
    </row>
    <row r="6398" spans="1:5" x14ac:dyDescent="0.35">
      <c r="A6398">
        <v>0</v>
      </c>
      <c r="B6398">
        <v>0</v>
      </c>
      <c r="C6398">
        <v>0</v>
      </c>
      <c r="D6398">
        <v>0</v>
      </c>
      <c r="E6398">
        <v>0</v>
      </c>
    </row>
    <row r="6399" spans="1:5" x14ac:dyDescent="0.35">
      <c r="A6399">
        <v>0</v>
      </c>
      <c r="B6399">
        <v>0</v>
      </c>
      <c r="C6399">
        <v>0</v>
      </c>
      <c r="D6399">
        <v>0</v>
      </c>
      <c r="E6399">
        <v>0</v>
      </c>
    </row>
    <row r="6400" spans="1:5" x14ac:dyDescent="0.35">
      <c r="A6400">
        <v>0</v>
      </c>
      <c r="B6400">
        <v>0</v>
      </c>
      <c r="C6400">
        <v>0</v>
      </c>
      <c r="D6400">
        <v>0</v>
      </c>
      <c r="E6400">
        <v>0</v>
      </c>
    </row>
    <row r="6401" spans="1:5" x14ac:dyDescent="0.35">
      <c r="A6401">
        <v>0</v>
      </c>
      <c r="B6401">
        <v>0</v>
      </c>
      <c r="C6401">
        <v>0</v>
      </c>
      <c r="D6401">
        <v>0</v>
      </c>
      <c r="E6401">
        <v>0</v>
      </c>
    </row>
    <row r="6402" spans="1:5" x14ac:dyDescent="0.35">
      <c r="A6402">
        <v>0</v>
      </c>
      <c r="B6402">
        <v>0</v>
      </c>
      <c r="C6402">
        <v>0</v>
      </c>
      <c r="D6402">
        <v>0</v>
      </c>
      <c r="E6402">
        <v>0</v>
      </c>
    </row>
    <row r="6403" spans="1:5" x14ac:dyDescent="0.35">
      <c r="A6403">
        <v>0</v>
      </c>
      <c r="B6403">
        <v>0</v>
      </c>
      <c r="C6403">
        <v>0</v>
      </c>
      <c r="D6403">
        <v>0</v>
      </c>
      <c r="E6403">
        <v>0</v>
      </c>
    </row>
    <row r="6404" spans="1:5" x14ac:dyDescent="0.35">
      <c r="A6404">
        <v>0</v>
      </c>
      <c r="B6404">
        <v>0</v>
      </c>
      <c r="C6404">
        <v>0</v>
      </c>
      <c r="D6404">
        <v>0</v>
      </c>
      <c r="E6404">
        <v>0</v>
      </c>
    </row>
    <row r="6405" spans="1:5" x14ac:dyDescent="0.35">
      <c r="A6405">
        <v>0</v>
      </c>
      <c r="B6405">
        <v>0</v>
      </c>
      <c r="C6405">
        <v>0</v>
      </c>
      <c r="D6405">
        <v>0</v>
      </c>
      <c r="E6405">
        <v>0</v>
      </c>
    </row>
    <row r="6406" spans="1:5" x14ac:dyDescent="0.35">
      <c r="A6406">
        <v>0</v>
      </c>
      <c r="B6406">
        <v>0</v>
      </c>
      <c r="C6406">
        <v>0</v>
      </c>
      <c r="D6406">
        <v>0</v>
      </c>
      <c r="E6406">
        <v>0</v>
      </c>
    </row>
    <row r="6407" spans="1:5" x14ac:dyDescent="0.35">
      <c r="A6407">
        <v>0</v>
      </c>
      <c r="B6407">
        <v>0</v>
      </c>
      <c r="C6407">
        <v>0</v>
      </c>
      <c r="D6407">
        <v>0</v>
      </c>
      <c r="E6407">
        <v>0</v>
      </c>
    </row>
    <row r="6408" spans="1:5" x14ac:dyDescent="0.35">
      <c r="A6408">
        <v>0</v>
      </c>
      <c r="B6408">
        <v>0</v>
      </c>
      <c r="C6408">
        <v>0</v>
      </c>
      <c r="D6408">
        <v>0</v>
      </c>
      <c r="E6408">
        <v>0</v>
      </c>
    </row>
    <row r="6409" spans="1:5" x14ac:dyDescent="0.35">
      <c r="A6409">
        <v>0</v>
      </c>
      <c r="B6409">
        <v>0</v>
      </c>
      <c r="C6409">
        <v>0</v>
      </c>
      <c r="D6409">
        <v>0</v>
      </c>
      <c r="E6409">
        <v>0</v>
      </c>
    </row>
    <row r="6410" spans="1:5" x14ac:dyDescent="0.35">
      <c r="A6410">
        <v>0</v>
      </c>
      <c r="B6410">
        <v>0</v>
      </c>
      <c r="C6410">
        <v>0</v>
      </c>
      <c r="D6410">
        <v>0</v>
      </c>
      <c r="E6410">
        <v>0</v>
      </c>
    </row>
    <row r="6411" spans="1:5" x14ac:dyDescent="0.35">
      <c r="A6411">
        <v>0</v>
      </c>
      <c r="B6411">
        <v>0</v>
      </c>
      <c r="C6411">
        <v>0</v>
      </c>
      <c r="D6411">
        <v>0</v>
      </c>
      <c r="E6411">
        <v>0</v>
      </c>
    </row>
    <row r="6412" spans="1:5" x14ac:dyDescent="0.35">
      <c r="A6412">
        <v>0</v>
      </c>
      <c r="B6412">
        <v>0</v>
      </c>
      <c r="C6412">
        <v>0</v>
      </c>
      <c r="D6412">
        <v>0</v>
      </c>
      <c r="E6412">
        <v>0</v>
      </c>
    </row>
    <row r="6413" spans="1:5" x14ac:dyDescent="0.35">
      <c r="A6413">
        <v>0</v>
      </c>
      <c r="B6413">
        <v>0</v>
      </c>
      <c r="C6413">
        <v>0</v>
      </c>
      <c r="D6413">
        <v>0</v>
      </c>
      <c r="E6413">
        <v>0</v>
      </c>
    </row>
    <row r="6414" spans="1:5" x14ac:dyDescent="0.35">
      <c r="A6414">
        <v>0</v>
      </c>
      <c r="B6414">
        <v>0</v>
      </c>
      <c r="C6414">
        <v>0</v>
      </c>
      <c r="D6414">
        <v>0</v>
      </c>
      <c r="E6414">
        <v>0</v>
      </c>
    </row>
    <row r="6415" spans="1:5" x14ac:dyDescent="0.35">
      <c r="A6415">
        <v>0</v>
      </c>
      <c r="B6415">
        <v>0</v>
      </c>
      <c r="C6415">
        <v>0</v>
      </c>
      <c r="D6415">
        <v>0</v>
      </c>
      <c r="E6415">
        <v>0</v>
      </c>
    </row>
    <row r="6416" spans="1:5" x14ac:dyDescent="0.35">
      <c r="A6416">
        <v>0</v>
      </c>
      <c r="B6416">
        <v>0</v>
      </c>
      <c r="C6416">
        <v>0</v>
      </c>
      <c r="D6416">
        <v>0</v>
      </c>
      <c r="E6416">
        <v>0</v>
      </c>
    </row>
    <row r="6417" spans="1:5" x14ac:dyDescent="0.35">
      <c r="A6417">
        <v>0</v>
      </c>
      <c r="B6417">
        <v>0</v>
      </c>
      <c r="C6417">
        <v>0</v>
      </c>
      <c r="D6417">
        <v>0</v>
      </c>
      <c r="E6417">
        <v>0</v>
      </c>
    </row>
    <row r="6418" spans="1:5" x14ac:dyDescent="0.35">
      <c r="A6418">
        <v>0</v>
      </c>
      <c r="B6418">
        <v>0</v>
      </c>
      <c r="C6418">
        <v>0</v>
      </c>
      <c r="D6418">
        <v>0</v>
      </c>
      <c r="E6418">
        <v>0</v>
      </c>
    </row>
    <row r="6419" spans="1:5" x14ac:dyDescent="0.35">
      <c r="A6419">
        <v>0</v>
      </c>
      <c r="B6419">
        <v>0</v>
      </c>
      <c r="C6419">
        <v>0</v>
      </c>
      <c r="D6419">
        <v>0</v>
      </c>
      <c r="E6419">
        <v>0</v>
      </c>
    </row>
    <row r="6420" spans="1:5" x14ac:dyDescent="0.35">
      <c r="A6420">
        <v>0</v>
      </c>
      <c r="B6420">
        <v>0</v>
      </c>
      <c r="C6420">
        <v>0</v>
      </c>
      <c r="D6420">
        <v>0</v>
      </c>
      <c r="E6420">
        <v>0</v>
      </c>
    </row>
    <row r="6421" spans="1:5" x14ac:dyDescent="0.35">
      <c r="A6421">
        <v>0</v>
      </c>
      <c r="B6421">
        <v>0</v>
      </c>
      <c r="C6421">
        <v>0</v>
      </c>
      <c r="D6421">
        <v>0</v>
      </c>
      <c r="E6421">
        <v>0</v>
      </c>
    </row>
    <row r="6422" spans="1:5" x14ac:dyDescent="0.35">
      <c r="A6422">
        <v>0</v>
      </c>
      <c r="B6422">
        <v>0</v>
      </c>
      <c r="C6422">
        <v>0</v>
      </c>
      <c r="D6422">
        <v>0</v>
      </c>
      <c r="E6422">
        <v>0</v>
      </c>
    </row>
    <row r="6423" spans="1:5" x14ac:dyDescent="0.35">
      <c r="A6423">
        <v>0</v>
      </c>
      <c r="B6423">
        <v>0</v>
      </c>
      <c r="C6423">
        <v>0</v>
      </c>
      <c r="D6423">
        <v>0</v>
      </c>
      <c r="E6423">
        <v>0</v>
      </c>
    </row>
    <row r="6424" spans="1:5" x14ac:dyDescent="0.35">
      <c r="A6424">
        <v>0</v>
      </c>
      <c r="B6424">
        <v>0</v>
      </c>
      <c r="C6424">
        <v>0</v>
      </c>
      <c r="D6424">
        <v>0</v>
      </c>
      <c r="E6424">
        <v>0</v>
      </c>
    </row>
    <row r="6425" spans="1:5" x14ac:dyDescent="0.35">
      <c r="A6425">
        <v>0</v>
      </c>
      <c r="B6425">
        <v>0</v>
      </c>
      <c r="C6425">
        <v>0</v>
      </c>
      <c r="D6425">
        <v>0</v>
      </c>
      <c r="E6425">
        <v>0</v>
      </c>
    </row>
    <row r="6426" spans="1:5" x14ac:dyDescent="0.35">
      <c r="A6426">
        <v>0</v>
      </c>
      <c r="B6426">
        <v>0</v>
      </c>
      <c r="C6426">
        <v>0</v>
      </c>
      <c r="D6426">
        <v>0</v>
      </c>
      <c r="E6426">
        <v>0</v>
      </c>
    </row>
    <row r="6427" spans="1:5" x14ac:dyDescent="0.35">
      <c r="A6427">
        <v>0</v>
      </c>
      <c r="B6427">
        <v>0</v>
      </c>
      <c r="C6427">
        <v>0</v>
      </c>
      <c r="D6427">
        <v>0</v>
      </c>
      <c r="E6427">
        <v>0</v>
      </c>
    </row>
    <row r="6428" spans="1:5" x14ac:dyDescent="0.35">
      <c r="A6428">
        <v>0</v>
      </c>
      <c r="B6428">
        <v>0</v>
      </c>
      <c r="C6428">
        <v>0</v>
      </c>
      <c r="D6428">
        <v>0</v>
      </c>
      <c r="E6428">
        <v>0</v>
      </c>
    </row>
    <row r="6429" spans="1:5" x14ac:dyDescent="0.35">
      <c r="A6429">
        <v>0</v>
      </c>
      <c r="B6429">
        <v>0</v>
      </c>
      <c r="C6429">
        <v>0</v>
      </c>
      <c r="D6429">
        <v>0</v>
      </c>
      <c r="E6429">
        <v>0</v>
      </c>
    </row>
    <row r="6430" spans="1:5" x14ac:dyDescent="0.35">
      <c r="A6430">
        <v>0</v>
      </c>
      <c r="B6430">
        <v>0</v>
      </c>
      <c r="C6430">
        <v>0</v>
      </c>
      <c r="D6430">
        <v>0</v>
      </c>
      <c r="E6430">
        <v>0</v>
      </c>
    </row>
    <row r="6431" spans="1:5" x14ac:dyDescent="0.35">
      <c r="A6431">
        <v>0</v>
      </c>
      <c r="B6431">
        <v>0</v>
      </c>
      <c r="C6431">
        <v>0</v>
      </c>
      <c r="D6431">
        <v>0</v>
      </c>
      <c r="E6431">
        <v>0</v>
      </c>
    </row>
    <row r="6432" spans="1:5" x14ac:dyDescent="0.35">
      <c r="A6432">
        <v>0</v>
      </c>
      <c r="B6432">
        <v>0</v>
      </c>
      <c r="C6432">
        <v>0</v>
      </c>
      <c r="D6432">
        <v>0</v>
      </c>
      <c r="E6432">
        <v>0</v>
      </c>
    </row>
    <row r="6433" spans="1:5" x14ac:dyDescent="0.35">
      <c r="A6433">
        <v>0</v>
      </c>
      <c r="B6433">
        <v>0</v>
      </c>
      <c r="C6433">
        <v>0</v>
      </c>
      <c r="D6433">
        <v>0</v>
      </c>
      <c r="E6433">
        <v>0</v>
      </c>
    </row>
    <row r="6434" spans="1:5" x14ac:dyDescent="0.35">
      <c r="A6434">
        <v>0</v>
      </c>
      <c r="B6434">
        <v>0</v>
      </c>
      <c r="C6434">
        <v>0</v>
      </c>
      <c r="D6434">
        <v>0</v>
      </c>
      <c r="E6434">
        <v>0</v>
      </c>
    </row>
    <row r="6435" spans="1:5" x14ac:dyDescent="0.35">
      <c r="A6435">
        <v>0</v>
      </c>
      <c r="B6435">
        <v>0</v>
      </c>
      <c r="C6435">
        <v>0</v>
      </c>
      <c r="D6435">
        <v>0</v>
      </c>
      <c r="E6435">
        <v>0</v>
      </c>
    </row>
    <row r="6436" spans="1:5" x14ac:dyDescent="0.35">
      <c r="A6436">
        <v>0</v>
      </c>
      <c r="B6436">
        <v>0</v>
      </c>
      <c r="C6436">
        <v>0</v>
      </c>
      <c r="D6436">
        <v>0</v>
      </c>
      <c r="E6436">
        <v>0</v>
      </c>
    </row>
    <row r="6437" spans="1:5" x14ac:dyDescent="0.35">
      <c r="A6437">
        <v>0</v>
      </c>
      <c r="B6437">
        <v>0</v>
      </c>
      <c r="C6437">
        <v>0</v>
      </c>
      <c r="D6437">
        <v>0</v>
      </c>
      <c r="E6437">
        <v>0</v>
      </c>
    </row>
    <row r="6438" spans="1:5" x14ac:dyDescent="0.35">
      <c r="A6438">
        <v>0</v>
      </c>
      <c r="B6438">
        <v>0</v>
      </c>
      <c r="C6438">
        <v>0</v>
      </c>
      <c r="D6438">
        <v>0</v>
      </c>
      <c r="E6438">
        <v>0</v>
      </c>
    </row>
    <row r="6439" spans="1:5" x14ac:dyDescent="0.35">
      <c r="A6439">
        <v>0</v>
      </c>
      <c r="B6439">
        <v>0</v>
      </c>
      <c r="C6439">
        <v>0</v>
      </c>
      <c r="D6439">
        <v>0</v>
      </c>
      <c r="E6439">
        <v>0</v>
      </c>
    </row>
    <row r="6440" spans="1:5" x14ac:dyDescent="0.35">
      <c r="A6440">
        <v>0</v>
      </c>
      <c r="B6440">
        <v>0</v>
      </c>
      <c r="C6440">
        <v>0</v>
      </c>
      <c r="D6440">
        <v>0</v>
      </c>
      <c r="E6440">
        <v>0</v>
      </c>
    </row>
    <row r="6441" spans="1:5" x14ac:dyDescent="0.35">
      <c r="A6441">
        <v>0</v>
      </c>
      <c r="B6441">
        <v>0</v>
      </c>
      <c r="C6441">
        <v>0</v>
      </c>
      <c r="D6441">
        <v>0</v>
      </c>
      <c r="E6441">
        <v>0</v>
      </c>
    </row>
    <row r="6442" spans="1:5" x14ac:dyDescent="0.35">
      <c r="A6442">
        <v>0</v>
      </c>
      <c r="B6442">
        <v>0</v>
      </c>
      <c r="C6442">
        <v>0</v>
      </c>
      <c r="D6442">
        <v>0</v>
      </c>
      <c r="E6442">
        <v>0</v>
      </c>
    </row>
    <row r="6443" spans="1:5" x14ac:dyDescent="0.35">
      <c r="A6443">
        <v>0</v>
      </c>
      <c r="B6443">
        <v>0</v>
      </c>
      <c r="C6443">
        <v>0</v>
      </c>
      <c r="D6443">
        <v>0</v>
      </c>
      <c r="E6443">
        <v>0</v>
      </c>
    </row>
    <row r="6444" spans="1:5" x14ac:dyDescent="0.35">
      <c r="A6444">
        <v>0</v>
      </c>
      <c r="B6444">
        <v>0</v>
      </c>
      <c r="C6444">
        <v>0</v>
      </c>
      <c r="D6444">
        <v>0</v>
      </c>
      <c r="E6444">
        <v>0</v>
      </c>
    </row>
    <row r="6445" spans="1:5" x14ac:dyDescent="0.35">
      <c r="A6445">
        <v>0</v>
      </c>
      <c r="B6445">
        <v>0</v>
      </c>
      <c r="C6445">
        <v>0</v>
      </c>
      <c r="D6445">
        <v>0</v>
      </c>
      <c r="E6445">
        <v>0</v>
      </c>
    </row>
    <row r="6446" spans="1:5" x14ac:dyDescent="0.35">
      <c r="A6446">
        <v>0</v>
      </c>
      <c r="B6446">
        <v>0</v>
      </c>
      <c r="C6446">
        <v>0</v>
      </c>
      <c r="D6446">
        <v>0</v>
      </c>
      <c r="E6446">
        <v>0</v>
      </c>
    </row>
    <row r="6447" spans="1:5" x14ac:dyDescent="0.35">
      <c r="A6447">
        <v>0</v>
      </c>
      <c r="B6447">
        <v>0</v>
      </c>
      <c r="C6447">
        <v>0</v>
      </c>
      <c r="D6447">
        <v>0</v>
      </c>
      <c r="E6447">
        <v>0</v>
      </c>
    </row>
    <row r="6448" spans="1:5" x14ac:dyDescent="0.35">
      <c r="A6448">
        <v>0</v>
      </c>
      <c r="B6448">
        <v>0</v>
      </c>
      <c r="C6448">
        <v>0</v>
      </c>
      <c r="D6448">
        <v>0</v>
      </c>
      <c r="E6448">
        <v>0</v>
      </c>
    </row>
    <row r="6449" spans="1:5" x14ac:dyDescent="0.35">
      <c r="A6449">
        <v>0</v>
      </c>
      <c r="B6449">
        <v>0</v>
      </c>
      <c r="C6449">
        <v>0</v>
      </c>
      <c r="D6449">
        <v>0</v>
      </c>
      <c r="E6449">
        <v>0</v>
      </c>
    </row>
    <row r="6450" spans="1:5" x14ac:dyDescent="0.35">
      <c r="A6450">
        <v>0</v>
      </c>
      <c r="B6450">
        <v>0</v>
      </c>
      <c r="C6450">
        <v>0</v>
      </c>
      <c r="D6450">
        <v>0</v>
      </c>
      <c r="E6450">
        <v>0</v>
      </c>
    </row>
    <row r="6451" spans="1:5" x14ac:dyDescent="0.35">
      <c r="A6451">
        <v>0</v>
      </c>
      <c r="B6451">
        <v>0</v>
      </c>
      <c r="C6451">
        <v>0</v>
      </c>
      <c r="D6451">
        <v>0</v>
      </c>
      <c r="E6451">
        <v>0</v>
      </c>
    </row>
    <row r="6452" spans="1:5" x14ac:dyDescent="0.35">
      <c r="A6452">
        <v>0</v>
      </c>
      <c r="B6452">
        <v>0</v>
      </c>
      <c r="C6452">
        <v>0</v>
      </c>
      <c r="D6452">
        <v>0</v>
      </c>
      <c r="E6452">
        <v>0</v>
      </c>
    </row>
    <row r="6453" spans="1:5" x14ac:dyDescent="0.35">
      <c r="A6453">
        <v>0</v>
      </c>
      <c r="B6453">
        <v>0</v>
      </c>
      <c r="C6453">
        <v>0</v>
      </c>
      <c r="D6453">
        <v>0</v>
      </c>
      <c r="E6453">
        <v>0</v>
      </c>
    </row>
    <row r="6454" spans="1:5" x14ac:dyDescent="0.35">
      <c r="A6454">
        <v>0</v>
      </c>
      <c r="B6454">
        <v>0</v>
      </c>
      <c r="C6454">
        <v>0</v>
      </c>
      <c r="D6454">
        <v>0</v>
      </c>
      <c r="E6454">
        <v>0</v>
      </c>
    </row>
    <row r="6455" spans="1:5" x14ac:dyDescent="0.35">
      <c r="A6455">
        <v>0</v>
      </c>
      <c r="B6455">
        <v>0</v>
      </c>
      <c r="C6455">
        <v>0</v>
      </c>
      <c r="D6455">
        <v>0</v>
      </c>
      <c r="E6455">
        <v>0</v>
      </c>
    </row>
    <row r="6456" spans="1:5" x14ac:dyDescent="0.35">
      <c r="A6456">
        <v>0</v>
      </c>
      <c r="B6456">
        <v>0</v>
      </c>
      <c r="C6456">
        <v>0</v>
      </c>
      <c r="D6456">
        <v>0</v>
      </c>
      <c r="E6456">
        <v>0</v>
      </c>
    </row>
    <row r="6457" spans="1:5" x14ac:dyDescent="0.35">
      <c r="A6457">
        <v>0</v>
      </c>
      <c r="B6457">
        <v>0</v>
      </c>
      <c r="C6457">
        <v>0</v>
      </c>
      <c r="D6457">
        <v>0</v>
      </c>
      <c r="E6457">
        <v>0</v>
      </c>
    </row>
    <row r="6458" spans="1:5" x14ac:dyDescent="0.35">
      <c r="A6458">
        <v>0</v>
      </c>
      <c r="B6458">
        <v>0</v>
      </c>
      <c r="C6458">
        <v>0</v>
      </c>
      <c r="D6458">
        <v>0</v>
      </c>
      <c r="E6458">
        <v>0</v>
      </c>
    </row>
    <row r="6459" spans="1:5" x14ac:dyDescent="0.35">
      <c r="A6459">
        <v>0</v>
      </c>
      <c r="B6459">
        <v>0</v>
      </c>
      <c r="C6459">
        <v>0</v>
      </c>
      <c r="D6459">
        <v>0</v>
      </c>
      <c r="E6459">
        <v>0</v>
      </c>
    </row>
    <row r="6460" spans="1:5" x14ac:dyDescent="0.35">
      <c r="A6460">
        <v>0</v>
      </c>
      <c r="B6460">
        <v>0</v>
      </c>
      <c r="C6460">
        <v>0</v>
      </c>
      <c r="D6460">
        <v>0</v>
      </c>
      <c r="E6460">
        <v>0</v>
      </c>
    </row>
    <row r="6461" spans="1:5" x14ac:dyDescent="0.35">
      <c r="A6461">
        <v>0</v>
      </c>
      <c r="B6461">
        <v>0</v>
      </c>
      <c r="C6461">
        <v>0</v>
      </c>
      <c r="D6461">
        <v>0</v>
      </c>
      <c r="E6461">
        <v>0</v>
      </c>
    </row>
    <row r="6462" spans="1:5" x14ac:dyDescent="0.35">
      <c r="A6462">
        <v>0</v>
      </c>
      <c r="B6462">
        <v>0</v>
      </c>
      <c r="C6462">
        <v>0</v>
      </c>
      <c r="D6462">
        <v>0</v>
      </c>
      <c r="E6462">
        <v>0</v>
      </c>
    </row>
    <row r="6463" spans="1:5" x14ac:dyDescent="0.35">
      <c r="A6463">
        <v>0</v>
      </c>
      <c r="B6463">
        <v>0</v>
      </c>
      <c r="C6463">
        <v>0</v>
      </c>
      <c r="D6463">
        <v>0</v>
      </c>
      <c r="E6463">
        <v>0</v>
      </c>
    </row>
    <row r="6464" spans="1:5" x14ac:dyDescent="0.35">
      <c r="A6464">
        <v>0</v>
      </c>
      <c r="B6464">
        <v>0</v>
      </c>
      <c r="C6464">
        <v>0</v>
      </c>
      <c r="D6464">
        <v>0</v>
      </c>
      <c r="E6464">
        <v>0</v>
      </c>
    </row>
    <row r="6465" spans="1:5" x14ac:dyDescent="0.35">
      <c r="A6465">
        <v>0</v>
      </c>
      <c r="B6465">
        <v>0</v>
      </c>
      <c r="C6465">
        <v>0</v>
      </c>
      <c r="D6465">
        <v>0</v>
      </c>
      <c r="E6465">
        <v>0</v>
      </c>
    </row>
    <row r="6466" spans="1:5" x14ac:dyDescent="0.35">
      <c r="A6466">
        <v>0</v>
      </c>
      <c r="B6466">
        <v>0</v>
      </c>
      <c r="C6466">
        <v>0</v>
      </c>
      <c r="D6466">
        <v>0</v>
      </c>
      <c r="E6466">
        <v>0</v>
      </c>
    </row>
    <row r="6467" spans="1:5" x14ac:dyDescent="0.35">
      <c r="A6467">
        <v>0</v>
      </c>
      <c r="B6467">
        <v>0</v>
      </c>
      <c r="C6467">
        <v>0</v>
      </c>
      <c r="D6467">
        <v>0</v>
      </c>
      <c r="E6467">
        <v>0</v>
      </c>
    </row>
    <row r="6468" spans="1:5" x14ac:dyDescent="0.35">
      <c r="A6468">
        <v>0</v>
      </c>
      <c r="B6468">
        <v>0</v>
      </c>
      <c r="C6468">
        <v>0</v>
      </c>
      <c r="D6468">
        <v>0</v>
      </c>
      <c r="E6468">
        <v>0</v>
      </c>
    </row>
    <row r="6469" spans="1:5" x14ac:dyDescent="0.35">
      <c r="A6469">
        <v>0</v>
      </c>
      <c r="B6469">
        <v>0</v>
      </c>
      <c r="C6469">
        <v>0</v>
      </c>
      <c r="D6469">
        <v>0</v>
      </c>
      <c r="E6469">
        <v>0</v>
      </c>
    </row>
    <row r="6470" spans="1:5" x14ac:dyDescent="0.35">
      <c r="A6470">
        <v>0</v>
      </c>
      <c r="B6470">
        <v>0</v>
      </c>
      <c r="C6470">
        <v>0</v>
      </c>
      <c r="D6470">
        <v>0</v>
      </c>
      <c r="E6470">
        <v>0</v>
      </c>
    </row>
    <row r="6471" spans="1:5" x14ac:dyDescent="0.35">
      <c r="A6471">
        <v>0</v>
      </c>
      <c r="B6471">
        <v>0</v>
      </c>
      <c r="C6471">
        <v>0</v>
      </c>
      <c r="D6471">
        <v>0</v>
      </c>
      <c r="E6471">
        <v>0</v>
      </c>
    </row>
    <row r="6472" spans="1:5" x14ac:dyDescent="0.35">
      <c r="A6472">
        <v>0</v>
      </c>
      <c r="B6472">
        <v>0</v>
      </c>
      <c r="C6472">
        <v>0</v>
      </c>
      <c r="D6472">
        <v>0</v>
      </c>
      <c r="E6472">
        <v>0</v>
      </c>
    </row>
    <row r="6473" spans="1:5" x14ac:dyDescent="0.35">
      <c r="A6473">
        <v>0</v>
      </c>
      <c r="B6473">
        <v>0</v>
      </c>
      <c r="C6473">
        <v>0</v>
      </c>
      <c r="D6473">
        <v>0</v>
      </c>
      <c r="E6473">
        <v>0</v>
      </c>
    </row>
    <row r="6474" spans="1:5" x14ac:dyDescent="0.35">
      <c r="A6474">
        <v>0</v>
      </c>
      <c r="B6474">
        <v>0</v>
      </c>
      <c r="C6474">
        <v>0</v>
      </c>
      <c r="D6474">
        <v>0</v>
      </c>
      <c r="E6474">
        <v>0</v>
      </c>
    </row>
    <row r="6475" spans="1:5" x14ac:dyDescent="0.35">
      <c r="A6475">
        <v>0</v>
      </c>
      <c r="B6475">
        <v>0</v>
      </c>
      <c r="C6475">
        <v>0</v>
      </c>
      <c r="D6475">
        <v>0</v>
      </c>
      <c r="E6475">
        <v>0</v>
      </c>
    </row>
    <row r="6476" spans="1:5" x14ac:dyDescent="0.35">
      <c r="A6476">
        <v>0</v>
      </c>
      <c r="B6476">
        <v>0</v>
      </c>
      <c r="C6476">
        <v>0</v>
      </c>
      <c r="D6476">
        <v>0</v>
      </c>
      <c r="E6476">
        <v>0</v>
      </c>
    </row>
    <row r="6477" spans="1:5" x14ac:dyDescent="0.35">
      <c r="A6477">
        <v>0</v>
      </c>
      <c r="B6477">
        <v>0</v>
      </c>
      <c r="C6477">
        <v>0</v>
      </c>
      <c r="D6477">
        <v>0</v>
      </c>
      <c r="E6477">
        <v>0</v>
      </c>
    </row>
    <row r="6478" spans="1:5" x14ac:dyDescent="0.35">
      <c r="A6478">
        <v>0</v>
      </c>
      <c r="B6478">
        <v>0</v>
      </c>
      <c r="C6478">
        <v>0</v>
      </c>
      <c r="D6478">
        <v>0</v>
      </c>
      <c r="E6478">
        <v>0</v>
      </c>
    </row>
    <row r="6479" spans="1:5" x14ac:dyDescent="0.35">
      <c r="A6479">
        <v>0</v>
      </c>
      <c r="B6479">
        <v>0</v>
      </c>
      <c r="C6479">
        <v>0</v>
      </c>
      <c r="D6479">
        <v>0</v>
      </c>
      <c r="E6479">
        <v>0</v>
      </c>
    </row>
    <row r="6480" spans="1:5" x14ac:dyDescent="0.35">
      <c r="A6480">
        <v>0</v>
      </c>
      <c r="B6480">
        <v>0</v>
      </c>
      <c r="C6480">
        <v>0</v>
      </c>
      <c r="D6480">
        <v>0</v>
      </c>
      <c r="E6480">
        <v>0</v>
      </c>
    </row>
    <row r="6481" spans="1:5" x14ac:dyDescent="0.35">
      <c r="A6481">
        <v>0</v>
      </c>
      <c r="B6481">
        <v>0</v>
      </c>
      <c r="C6481">
        <v>0</v>
      </c>
      <c r="D6481">
        <v>0</v>
      </c>
      <c r="E6481">
        <v>0</v>
      </c>
    </row>
    <row r="6482" spans="1:5" x14ac:dyDescent="0.35">
      <c r="A6482">
        <v>0</v>
      </c>
      <c r="B6482">
        <v>0</v>
      </c>
      <c r="C6482">
        <v>0</v>
      </c>
      <c r="D6482">
        <v>0</v>
      </c>
      <c r="E6482">
        <v>0</v>
      </c>
    </row>
    <row r="6483" spans="1:5" x14ac:dyDescent="0.35">
      <c r="A6483">
        <v>0</v>
      </c>
      <c r="B6483">
        <v>0</v>
      </c>
      <c r="C6483">
        <v>0</v>
      </c>
      <c r="D6483">
        <v>0</v>
      </c>
      <c r="E6483">
        <v>0</v>
      </c>
    </row>
    <row r="6484" spans="1:5" x14ac:dyDescent="0.35">
      <c r="A6484">
        <v>0</v>
      </c>
      <c r="B6484">
        <v>0</v>
      </c>
      <c r="C6484">
        <v>0</v>
      </c>
      <c r="D6484">
        <v>0</v>
      </c>
      <c r="E6484">
        <v>0</v>
      </c>
    </row>
    <row r="6485" spans="1:5" x14ac:dyDescent="0.35">
      <c r="A6485">
        <v>0</v>
      </c>
      <c r="B6485">
        <v>0</v>
      </c>
      <c r="C6485">
        <v>0</v>
      </c>
      <c r="D6485">
        <v>0</v>
      </c>
      <c r="E6485">
        <v>0</v>
      </c>
    </row>
    <row r="6486" spans="1:5" x14ac:dyDescent="0.35">
      <c r="A6486">
        <v>0</v>
      </c>
      <c r="B6486">
        <v>0</v>
      </c>
      <c r="C6486">
        <v>0</v>
      </c>
      <c r="D6486">
        <v>0</v>
      </c>
      <c r="E6486">
        <v>0</v>
      </c>
    </row>
    <row r="6487" spans="1:5" x14ac:dyDescent="0.35">
      <c r="A6487">
        <v>0</v>
      </c>
      <c r="B6487">
        <v>0</v>
      </c>
      <c r="C6487">
        <v>0</v>
      </c>
      <c r="D6487">
        <v>0</v>
      </c>
      <c r="E6487">
        <v>0</v>
      </c>
    </row>
    <row r="6488" spans="1:5" x14ac:dyDescent="0.35">
      <c r="A6488">
        <v>0</v>
      </c>
      <c r="B6488">
        <v>0</v>
      </c>
      <c r="C6488">
        <v>0</v>
      </c>
      <c r="D6488">
        <v>0</v>
      </c>
      <c r="E6488">
        <v>0</v>
      </c>
    </row>
    <row r="6489" spans="1:5" x14ac:dyDescent="0.35">
      <c r="A6489">
        <v>0</v>
      </c>
      <c r="B6489">
        <v>0</v>
      </c>
      <c r="C6489">
        <v>0</v>
      </c>
      <c r="D6489">
        <v>0</v>
      </c>
      <c r="E6489">
        <v>0</v>
      </c>
    </row>
    <row r="6490" spans="1:5" x14ac:dyDescent="0.35">
      <c r="A6490">
        <v>0</v>
      </c>
      <c r="B6490">
        <v>0</v>
      </c>
      <c r="C6490">
        <v>0</v>
      </c>
      <c r="D6490">
        <v>0</v>
      </c>
      <c r="E6490">
        <v>0</v>
      </c>
    </row>
    <row r="6491" spans="1:5" x14ac:dyDescent="0.35">
      <c r="A6491">
        <v>0</v>
      </c>
      <c r="B6491">
        <v>0</v>
      </c>
      <c r="C6491">
        <v>0</v>
      </c>
      <c r="D6491">
        <v>0</v>
      </c>
      <c r="E6491">
        <v>0</v>
      </c>
    </row>
    <row r="6492" spans="1:5" x14ac:dyDescent="0.35">
      <c r="A6492">
        <v>0</v>
      </c>
      <c r="B6492">
        <v>0</v>
      </c>
      <c r="C6492">
        <v>0</v>
      </c>
      <c r="D6492">
        <v>0</v>
      </c>
      <c r="E6492">
        <v>0</v>
      </c>
    </row>
    <row r="6493" spans="1:5" x14ac:dyDescent="0.35">
      <c r="A6493">
        <v>0</v>
      </c>
      <c r="B6493">
        <v>0</v>
      </c>
      <c r="C6493">
        <v>0</v>
      </c>
      <c r="D6493">
        <v>0</v>
      </c>
      <c r="E6493">
        <v>0</v>
      </c>
    </row>
    <row r="6494" spans="1:5" x14ac:dyDescent="0.35">
      <c r="A6494">
        <v>0</v>
      </c>
      <c r="B6494">
        <v>0</v>
      </c>
      <c r="C6494">
        <v>0</v>
      </c>
      <c r="D6494">
        <v>0</v>
      </c>
      <c r="E6494">
        <v>0</v>
      </c>
    </row>
    <row r="6495" spans="1:5" x14ac:dyDescent="0.35">
      <c r="A6495">
        <v>0</v>
      </c>
      <c r="B6495">
        <v>0</v>
      </c>
      <c r="C6495">
        <v>0</v>
      </c>
      <c r="D6495">
        <v>0</v>
      </c>
      <c r="E6495">
        <v>0</v>
      </c>
    </row>
    <row r="6496" spans="1:5" x14ac:dyDescent="0.35">
      <c r="A6496">
        <v>0</v>
      </c>
      <c r="B6496">
        <v>0</v>
      </c>
      <c r="C6496">
        <v>0</v>
      </c>
      <c r="D6496">
        <v>0</v>
      </c>
      <c r="E6496">
        <v>0</v>
      </c>
    </row>
    <row r="6497" spans="1:5" x14ac:dyDescent="0.35">
      <c r="A6497">
        <v>0</v>
      </c>
      <c r="B6497">
        <v>0</v>
      </c>
      <c r="C6497">
        <v>0</v>
      </c>
      <c r="D6497">
        <v>0</v>
      </c>
      <c r="E6497">
        <v>0</v>
      </c>
    </row>
    <row r="6498" spans="1:5" x14ac:dyDescent="0.35">
      <c r="A6498">
        <v>0</v>
      </c>
      <c r="B6498">
        <v>0</v>
      </c>
      <c r="C6498">
        <v>0</v>
      </c>
      <c r="D6498">
        <v>0</v>
      </c>
      <c r="E6498">
        <v>0</v>
      </c>
    </row>
    <row r="6499" spans="1:5" x14ac:dyDescent="0.35">
      <c r="A6499">
        <v>0</v>
      </c>
      <c r="B6499">
        <v>0</v>
      </c>
      <c r="C6499">
        <v>0</v>
      </c>
      <c r="D6499">
        <v>0</v>
      </c>
      <c r="E6499">
        <v>0</v>
      </c>
    </row>
    <row r="6500" spans="1:5" x14ac:dyDescent="0.35">
      <c r="A6500">
        <v>0</v>
      </c>
      <c r="B6500">
        <v>0</v>
      </c>
      <c r="C6500">
        <v>0</v>
      </c>
      <c r="D6500">
        <v>0</v>
      </c>
      <c r="E6500">
        <v>0</v>
      </c>
    </row>
    <row r="6501" spans="1:5" x14ac:dyDescent="0.35">
      <c r="A6501">
        <v>0</v>
      </c>
      <c r="B6501">
        <v>0</v>
      </c>
      <c r="C6501">
        <v>0</v>
      </c>
      <c r="D6501">
        <v>0</v>
      </c>
      <c r="E6501">
        <v>0</v>
      </c>
    </row>
    <row r="6502" spans="1:5" x14ac:dyDescent="0.35">
      <c r="A6502">
        <v>0</v>
      </c>
      <c r="B6502">
        <v>0</v>
      </c>
      <c r="C6502">
        <v>0</v>
      </c>
      <c r="D6502">
        <v>0</v>
      </c>
      <c r="E6502">
        <v>0</v>
      </c>
    </row>
    <row r="6503" spans="1:5" x14ac:dyDescent="0.35">
      <c r="A6503">
        <v>0</v>
      </c>
      <c r="B6503">
        <v>0</v>
      </c>
      <c r="C6503">
        <v>0</v>
      </c>
      <c r="D6503">
        <v>0</v>
      </c>
      <c r="E6503">
        <v>0</v>
      </c>
    </row>
    <row r="6504" spans="1:5" x14ac:dyDescent="0.35">
      <c r="A6504">
        <v>0</v>
      </c>
      <c r="B6504">
        <v>0</v>
      </c>
      <c r="C6504">
        <v>0</v>
      </c>
      <c r="D6504">
        <v>0</v>
      </c>
      <c r="E6504">
        <v>0</v>
      </c>
    </row>
    <row r="6505" spans="1:5" x14ac:dyDescent="0.35">
      <c r="A6505">
        <v>0</v>
      </c>
      <c r="B6505">
        <v>0</v>
      </c>
      <c r="C6505">
        <v>0</v>
      </c>
      <c r="D6505">
        <v>0</v>
      </c>
      <c r="E6505">
        <v>0</v>
      </c>
    </row>
    <row r="6506" spans="1:5" x14ac:dyDescent="0.35">
      <c r="A6506">
        <v>0</v>
      </c>
      <c r="B6506">
        <v>0</v>
      </c>
      <c r="C6506">
        <v>0</v>
      </c>
      <c r="D6506">
        <v>0</v>
      </c>
      <c r="E6506">
        <v>0</v>
      </c>
    </row>
    <row r="6507" spans="1:5" x14ac:dyDescent="0.35">
      <c r="A6507">
        <v>0</v>
      </c>
      <c r="B6507">
        <v>0</v>
      </c>
      <c r="C6507">
        <v>0</v>
      </c>
      <c r="D6507">
        <v>0</v>
      </c>
      <c r="E6507">
        <v>0</v>
      </c>
    </row>
    <row r="6508" spans="1:5" x14ac:dyDescent="0.35">
      <c r="A6508">
        <v>0</v>
      </c>
      <c r="B6508">
        <v>0</v>
      </c>
      <c r="C6508">
        <v>0</v>
      </c>
      <c r="D6508">
        <v>0</v>
      </c>
      <c r="E6508">
        <v>0</v>
      </c>
    </row>
    <row r="6509" spans="1:5" x14ac:dyDescent="0.35">
      <c r="A6509">
        <v>0</v>
      </c>
      <c r="B6509">
        <v>0</v>
      </c>
      <c r="C6509">
        <v>0</v>
      </c>
      <c r="D6509">
        <v>0</v>
      </c>
      <c r="E6509">
        <v>0</v>
      </c>
    </row>
    <row r="6510" spans="1:5" x14ac:dyDescent="0.35">
      <c r="A6510">
        <v>0</v>
      </c>
      <c r="B6510">
        <v>0</v>
      </c>
      <c r="C6510">
        <v>0</v>
      </c>
      <c r="D6510">
        <v>0</v>
      </c>
      <c r="E6510">
        <v>0</v>
      </c>
    </row>
    <row r="6511" spans="1:5" x14ac:dyDescent="0.35">
      <c r="A6511">
        <v>0</v>
      </c>
      <c r="B6511">
        <v>0</v>
      </c>
      <c r="C6511">
        <v>0</v>
      </c>
      <c r="D6511">
        <v>0</v>
      </c>
      <c r="E6511">
        <v>0</v>
      </c>
    </row>
    <row r="6512" spans="1:5" x14ac:dyDescent="0.35">
      <c r="A6512">
        <v>0</v>
      </c>
      <c r="B6512">
        <v>0</v>
      </c>
      <c r="C6512">
        <v>0</v>
      </c>
      <c r="D6512">
        <v>0</v>
      </c>
      <c r="E6512">
        <v>0</v>
      </c>
    </row>
    <row r="6513" spans="1:5" x14ac:dyDescent="0.35">
      <c r="A6513">
        <v>0</v>
      </c>
      <c r="B6513">
        <v>0</v>
      </c>
      <c r="C6513">
        <v>0</v>
      </c>
      <c r="D6513">
        <v>0</v>
      </c>
      <c r="E6513">
        <v>0</v>
      </c>
    </row>
    <row r="6514" spans="1:5" x14ac:dyDescent="0.35">
      <c r="A6514">
        <v>0</v>
      </c>
      <c r="B6514">
        <v>0</v>
      </c>
      <c r="C6514">
        <v>0</v>
      </c>
      <c r="D6514">
        <v>0</v>
      </c>
      <c r="E6514">
        <v>0</v>
      </c>
    </row>
    <row r="6515" spans="1:5" x14ac:dyDescent="0.35">
      <c r="A6515">
        <v>0</v>
      </c>
      <c r="B6515">
        <v>0</v>
      </c>
      <c r="C6515">
        <v>0</v>
      </c>
      <c r="D6515">
        <v>0</v>
      </c>
      <c r="E6515">
        <v>0</v>
      </c>
    </row>
    <row r="6516" spans="1:5" x14ac:dyDescent="0.35">
      <c r="A6516">
        <v>0</v>
      </c>
      <c r="B6516">
        <v>0</v>
      </c>
      <c r="C6516">
        <v>0</v>
      </c>
      <c r="D6516">
        <v>0</v>
      </c>
      <c r="E6516">
        <v>0</v>
      </c>
    </row>
    <row r="6517" spans="1:5" x14ac:dyDescent="0.35">
      <c r="A6517">
        <v>0</v>
      </c>
      <c r="B6517">
        <v>0</v>
      </c>
      <c r="C6517">
        <v>0</v>
      </c>
      <c r="D6517">
        <v>0</v>
      </c>
      <c r="E6517">
        <v>0</v>
      </c>
    </row>
    <row r="6518" spans="1:5" x14ac:dyDescent="0.35">
      <c r="A6518">
        <v>0</v>
      </c>
      <c r="B6518">
        <v>0</v>
      </c>
      <c r="C6518">
        <v>0</v>
      </c>
      <c r="D6518">
        <v>0</v>
      </c>
      <c r="E6518">
        <v>0</v>
      </c>
    </row>
    <row r="6519" spans="1:5" x14ac:dyDescent="0.35">
      <c r="A6519">
        <v>0</v>
      </c>
      <c r="B6519">
        <v>0</v>
      </c>
      <c r="C6519">
        <v>0</v>
      </c>
      <c r="D6519">
        <v>0</v>
      </c>
      <c r="E6519">
        <v>0</v>
      </c>
    </row>
    <row r="6520" spans="1:5" x14ac:dyDescent="0.35">
      <c r="A6520">
        <v>0</v>
      </c>
      <c r="B6520">
        <v>0</v>
      </c>
      <c r="C6520">
        <v>0</v>
      </c>
      <c r="D6520">
        <v>0</v>
      </c>
      <c r="E6520">
        <v>0</v>
      </c>
    </row>
    <row r="6521" spans="1:5" x14ac:dyDescent="0.35">
      <c r="A6521">
        <v>0</v>
      </c>
      <c r="B6521">
        <v>0</v>
      </c>
      <c r="C6521">
        <v>0</v>
      </c>
      <c r="D6521">
        <v>0</v>
      </c>
      <c r="E6521">
        <v>0</v>
      </c>
    </row>
    <row r="6522" spans="1:5" x14ac:dyDescent="0.35">
      <c r="A6522">
        <v>0</v>
      </c>
      <c r="B6522">
        <v>0</v>
      </c>
      <c r="C6522">
        <v>0</v>
      </c>
      <c r="D6522">
        <v>0</v>
      </c>
      <c r="E6522">
        <v>0</v>
      </c>
    </row>
    <row r="6523" spans="1:5" x14ac:dyDescent="0.35">
      <c r="A6523">
        <v>0</v>
      </c>
      <c r="B6523">
        <v>0</v>
      </c>
      <c r="C6523">
        <v>0</v>
      </c>
      <c r="D6523">
        <v>0</v>
      </c>
      <c r="E6523">
        <v>0</v>
      </c>
    </row>
    <row r="6524" spans="1:5" x14ac:dyDescent="0.35">
      <c r="A6524">
        <v>0</v>
      </c>
      <c r="B6524">
        <v>0</v>
      </c>
      <c r="C6524">
        <v>0</v>
      </c>
      <c r="D6524">
        <v>0</v>
      </c>
      <c r="E6524">
        <v>0</v>
      </c>
    </row>
    <row r="6525" spans="1:5" x14ac:dyDescent="0.35">
      <c r="A6525">
        <v>0</v>
      </c>
      <c r="B6525">
        <v>0</v>
      </c>
      <c r="C6525">
        <v>0</v>
      </c>
      <c r="D6525">
        <v>0</v>
      </c>
      <c r="E6525">
        <v>0</v>
      </c>
    </row>
    <row r="6526" spans="1:5" x14ac:dyDescent="0.35">
      <c r="A6526">
        <v>0</v>
      </c>
      <c r="B6526">
        <v>0</v>
      </c>
      <c r="C6526">
        <v>0</v>
      </c>
      <c r="D6526">
        <v>0</v>
      </c>
      <c r="E6526">
        <v>0</v>
      </c>
    </row>
    <row r="6527" spans="1:5" x14ac:dyDescent="0.35">
      <c r="A6527">
        <v>0</v>
      </c>
      <c r="B6527">
        <v>0</v>
      </c>
      <c r="C6527">
        <v>0</v>
      </c>
      <c r="D6527">
        <v>0</v>
      </c>
      <c r="E6527">
        <v>0</v>
      </c>
    </row>
    <row r="6528" spans="1:5" x14ac:dyDescent="0.35">
      <c r="A6528">
        <v>0</v>
      </c>
      <c r="B6528">
        <v>0</v>
      </c>
      <c r="C6528">
        <v>0</v>
      </c>
      <c r="D6528">
        <v>0</v>
      </c>
      <c r="E6528">
        <v>0</v>
      </c>
    </row>
    <row r="6529" spans="1:5" x14ac:dyDescent="0.35">
      <c r="A6529">
        <v>0</v>
      </c>
      <c r="B6529">
        <v>0</v>
      </c>
      <c r="C6529">
        <v>0</v>
      </c>
      <c r="D6529">
        <v>0</v>
      </c>
      <c r="E6529">
        <v>0</v>
      </c>
    </row>
    <row r="6530" spans="1:5" x14ac:dyDescent="0.35">
      <c r="A6530">
        <v>0</v>
      </c>
      <c r="B6530">
        <v>0</v>
      </c>
      <c r="C6530">
        <v>0</v>
      </c>
      <c r="D6530">
        <v>0</v>
      </c>
      <c r="E6530">
        <v>0</v>
      </c>
    </row>
    <row r="6531" spans="1:5" x14ac:dyDescent="0.35">
      <c r="A6531">
        <v>0</v>
      </c>
      <c r="B6531">
        <v>0</v>
      </c>
      <c r="C6531">
        <v>0</v>
      </c>
      <c r="D6531">
        <v>0</v>
      </c>
      <c r="E6531">
        <v>0</v>
      </c>
    </row>
    <row r="6532" spans="1:5" x14ac:dyDescent="0.35">
      <c r="A6532">
        <v>0</v>
      </c>
      <c r="B6532">
        <v>0</v>
      </c>
      <c r="C6532">
        <v>0</v>
      </c>
      <c r="D6532">
        <v>0</v>
      </c>
      <c r="E6532">
        <v>0</v>
      </c>
    </row>
    <row r="6533" spans="1:5" x14ac:dyDescent="0.35">
      <c r="A6533">
        <v>0</v>
      </c>
      <c r="B6533">
        <v>0</v>
      </c>
      <c r="C6533">
        <v>0</v>
      </c>
      <c r="D6533">
        <v>0</v>
      </c>
      <c r="E6533">
        <v>0</v>
      </c>
    </row>
    <row r="6534" spans="1:5" x14ac:dyDescent="0.35">
      <c r="A6534">
        <v>0</v>
      </c>
      <c r="B6534">
        <v>0</v>
      </c>
      <c r="C6534">
        <v>0</v>
      </c>
      <c r="D6534">
        <v>0</v>
      </c>
      <c r="E6534">
        <v>0</v>
      </c>
    </row>
    <row r="6535" spans="1:5" x14ac:dyDescent="0.35">
      <c r="A6535">
        <v>0</v>
      </c>
      <c r="B6535">
        <v>0</v>
      </c>
      <c r="C6535">
        <v>0</v>
      </c>
      <c r="D6535">
        <v>0</v>
      </c>
      <c r="E6535">
        <v>0</v>
      </c>
    </row>
    <row r="6536" spans="1:5" x14ac:dyDescent="0.35">
      <c r="A6536">
        <v>0</v>
      </c>
      <c r="B6536">
        <v>0</v>
      </c>
      <c r="C6536">
        <v>0</v>
      </c>
      <c r="D6536">
        <v>0</v>
      </c>
      <c r="E6536">
        <v>0</v>
      </c>
    </row>
    <row r="6537" spans="1:5" x14ac:dyDescent="0.35">
      <c r="A6537">
        <v>0</v>
      </c>
      <c r="B6537">
        <v>0</v>
      </c>
      <c r="C6537">
        <v>0</v>
      </c>
      <c r="D6537">
        <v>0</v>
      </c>
      <c r="E6537">
        <v>0</v>
      </c>
    </row>
    <row r="6538" spans="1:5" x14ac:dyDescent="0.35">
      <c r="A6538">
        <v>0</v>
      </c>
      <c r="B6538">
        <v>0</v>
      </c>
      <c r="C6538">
        <v>0</v>
      </c>
      <c r="D6538">
        <v>0</v>
      </c>
      <c r="E6538">
        <v>0</v>
      </c>
    </row>
    <row r="6539" spans="1:5" x14ac:dyDescent="0.35">
      <c r="A6539">
        <v>0</v>
      </c>
      <c r="B6539">
        <v>0</v>
      </c>
      <c r="C6539">
        <v>0</v>
      </c>
      <c r="D6539">
        <v>0</v>
      </c>
      <c r="E6539">
        <v>0</v>
      </c>
    </row>
    <row r="6540" spans="1:5" x14ac:dyDescent="0.35">
      <c r="A6540">
        <v>0</v>
      </c>
      <c r="B6540">
        <v>0</v>
      </c>
      <c r="C6540">
        <v>0</v>
      </c>
      <c r="D6540">
        <v>0</v>
      </c>
      <c r="E6540">
        <v>0</v>
      </c>
    </row>
    <row r="6541" spans="1:5" x14ac:dyDescent="0.35">
      <c r="A6541">
        <v>0</v>
      </c>
      <c r="B6541">
        <v>0</v>
      </c>
      <c r="C6541">
        <v>0</v>
      </c>
      <c r="D6541">
        <v>0</v>
      </c>
      <c r="E6541">
        <v>0</v>
      </c>
    </row>
    <row r="6542" spans="1:5" x14ac:dyDescent="0.35">
      <c r="A6542">
        <v>0</v>
      </c>
      <c r="B6542">
        <v>0</v>
      </c>
      <c r="C6542">
        <v>0</v>
      </c>
      <c r="D6542">
        <v>0</v>
      </c>
      <c r="E6542">
        <v>0</v>
      </c>
    </row>
    <row r="6543" spans="1:5" x14ac:dyDescent="0.35">
      <c r="A6543">
        <v>0</v>
      </c>
      <c r="B6543">
        <v>0</v>
      </c>
      <c r="C6543">
        <v>0</v>
      </c>
      <c r="D6543">
        <v>0</v>
      </c>
      <c r="E6543">
        <v>0</v>
      </c>
    </row>
    <row r="6544" spans="1:5" x14ac:dyDescent="0.35">
      <c r="A6544">
        <v>0</v>
      </c>
      <c r="B6544">
        <v>0</v>
      </c>
      <c r="C6544">
        <v>0</v>
      </c>
      <c r="D6544">
        <v>0</v>
      </c>
      <c r="E6544">
        <v>0</v>
      </c>
    </row>
    <row r="6545" spans="1:5" x14ac:dyDescent="0.35">
      <c r="A6545">
        <v>0</v>
      </c>
      <c r="B6545">
        <v>0</v>
      </c>
      <c r="C6545">
        <v>0</v>
      </c>
      <c r="D6545">
        <v>0</v>
      </c>
      <c r="E6545">
        <v>0</v>
      </c>
    </row>
    <row r="6546" spans="1:5" x14ac:dyDescent="0.35">
      <c r="A6546">
        <v>0</v>
      </c>
      <c r="B6546">
        <v>0</v>
      </c>
      <c r="C6546">
        <v>0</v>
      </c>
      <c r="D6546">
        <v>0</v>
      </c>
      <c r="E6546">
        <v>0</v>
      </c>
    </row>
    <row r="6547" spans="1:5" x14ac:dyDescent="0.35">
      <c r="A6547">
        <v>0</v>
      </c>
      <c r="B6547">
        <v>0</v>
      </c>
      <c r="C6547">
        <v>0</v>
      </c>
      <c r="D6547">
        <v>0</v>
      </c>
      <c r="E6547">
        <v>0</v>
      </c>
    </row>
    <row r="6548" spans="1:5" x14ac:dyDescent="0.35">
      <c r="A6548">
        <v>0</v>
      </c>
      <c r="B6548">
        <v>0</v>
      </c>
      <c r="C6548">
        <v>0</v>
      </c>
      <c r="D6548">
        <v>0</v>
      </c>
      <c r="E6548">
        <v>0</v>
      </c>
    </row>
    <row r="6549" spans="1:5" x14ac:dyDescent="0.35">
      <c r="A6549">
        <v>0</v>
      </c>
      <c r="B6549">
        <v>0</v>
      </c>
      <c r="C6549">
        <v>0</v>
      </c>
      <c r="D6549">
        <v>0</v>
      </c>
      <c r="E6549">
        <v>0</v>
      </c>
    </row>
    <row r="6550" spans="1:5" x14ac:dyDescent="0.35">
      <c r="A6550">
        <v>0</v>
      </c>
      <c r="B6550">
        <v>0</v>
      </c>
      <c r="C6550">
        <v>0</v>
      </c>
      <c r="D6550">
        <v>0</v>
      </c>
      <c r="E6550">
        <v>0</v>
      </c>
    </row>
    <row r="6551" spans="1:5" x14ac:dyDescent="0.35">
      <c r="A6551">
        <v>0</v>
      </c>
      <c r="B6551">
        <v>0</v>
      </c>
      <c r="C6551">
        <v>0</v>
      </c>
      <c r="D6551">
        <v>0</v>
      </c>
      <c r="E6551">
        <v>0</v>
      </c>
    </row>
    <row r="6552" spans="1:5" x14ac:dyDescent="0.35">
      <c r="A6552">
        <v>0</v>
      </c>
      <c r="B6552">
        <v>0</v>
      </c>
      <c r="C6552">
        <v>0</v>
      </c>
      <c r="D6552">
        <v>0</v>
      </c>
      <c r="E6552">
        <v>0</v>
      </c>
    </row>
    <row r="6553" spans="1:5" x14ac:dyDescent="0.35">
      <c r="A6553">
        <v>0</v>
      </c>
      <c r="B6553">
        <v>0</v>
      </c>
      <c r="C6553">
        <v>0</v>
      </c>
      <c r="D6553">
        <v>0</v>
      </c>
      <c r="E6553">
        <v>0</v>
      </c>
    </row>
    <row r="6554" spans="1:5" x14ac:dyDescent="0.35">
      <c r="A6554">
        <v>0</v>
      </c>
      <c r="B6554">
        <v>0</v>
      </c>
      <c r="C6554">
        <v>0</v>
      </c>
      <c r="D6554">
        <v>0</v>
      </c>
      <c r="E6554">
        <v>0</v>
      </c>
    </row>
    <row r="6555" spans="1:5" x14ac:dyDescent="0.35">
      <c r="A6555">
        <v>0</v>
      </c>
      <c r="B6555">
        <v>0</v>
      </c>
      <c r="C6555">
        <v>0</v>
      </c>
      <c r="D6555">
        <v>0</v>
      </c>
      <c r="E6555">
        <v>0</v>
      </c>
    </row>
    <row r="6556" spans="1:5" x14ac:dyDescent="0.35">
      <c r="A6556">
        <v>0</v>
      </c>
      <c r="B6556">
        <v>0</v>
      </c>
      <c r="C6556">
        <v>0</v>
      </c>
      <c r="D6556">
        <v>0</v>
      </c>
      <c r="E6556">
        <v>0</v>
      </c>
    </row>
    <row r="6557" spans="1:5" x14ac:dyDescent="0.35">
      <c r="A6557">
        <v>0</v>
      </c>
      <c r="B6557">
        <v>0</v>
      </c>
      <c r="C6557">
        <v>0</v>
      </c>
      <c r="D6557">
        <v>0</v>
      </c>
      <c r="E6557">
        <v>0</v>
      </c>
    </row>
    <row r="6558" spans="1:5" x14ac:dyDescent="0.35">
      <c r="A6558">
        <v>0</v>
      </c>
      <c r="B6558">
        <v>0</v>
      </c>
      <c r="C6558">
        <v>0</v>
      </c>
      <c r="D6558">
        <v>0</v>
      </c>
      <c r="E6558">
        <v>0</v>
      </c>
    </row>
    <row r="6559" spans="1:5" x14ac:dyDescent="0.35">
      <c r="A6559">
        <v>0</v>
      </c>
      <c r="B6559">
        <v>0</v>
      </c>
      <c r="C6559">
        <v>0</v>
      </c>
      <c r="D6559">
        <v>0</v>
      </c>
      <c r="E6559">
        <v>0</v>
      </c>
    </row>
    <row r="6560" spans="1:5" x14ac:dyDescent="0.35">
      <c r="A6560">
        <v>0</v>
      </c>
      <c r="B6560">
        <v>0</v>
      </c>
      <c r="C6560">
        <v>0</v>
      </c>
      <c r="D6560">
        <v>0</v>
      </c>
      <c r="E6560">
        <v>0</v>
      </c>
    </row>
    <row r="6561" spans="1:5" x14ac:dyDescent="0.35">
      <c r="A6561">
        <v>0</v>
      </c>
      <c r="B6561">
        <v>0</v>
      </c>
      <c r="C6561">
        <v>0</v>
      </c>
      <c r="D6561">
        <v>0</v>
      </c>
      <c r="E6561">
        <v>0</v>
      </c>
    </row>
    <row r="6562" spans="1:5" x14ac:dyDescent="0.35">
      <c r="A6562">
        <v>0</v>
      </c>
      <c r="B6562">
        <v>0</v>
      </c>
      <c r="C6562">
        <v>0</v>
      </c>
      <c r="D6562">
        <v>0</v>
      </c>
      <c r="E6562">
        <v>0</v>
      </c>
    </row>
    <row r="6563" spans="1:5" x14ac:dyDescent="0.35">
      <c r="A6563">
        <v>0</v>
      </c>
      <c r="B6563">
        <v>0</v>
      </c>
      <c r="C6563">
        <v>0</v>
      </c>
      <c r="D6563">
        <v>0</v>
      </c>
      <c r="E6563">
        <v>0</v>
      </c>
    </row>
    <row r="6564" spans="1:5" x14ac:dyDescent="0.35">
      <c r="A6564">
        <v>0</v>
      </c>
      <c r="B6564">
        <v>0</v>
      </c>
      <c r="C6564">
        <v>0</v>
      </c>
      <c r="D6564">
        <v>0</v>
      </c>
      <c r="E6564">
        <v>0</v>
      </c>
    </row>
    <row r="6565" spans="1:5" x14ac:dyDescent="0.35">
      <c r="A6565">
        <v>0</v>
      </c>
      <c r="B6565">
        <v>0</v>
      </c>
      <c r="C6565">
        <v>0</v>
      </c>
      <c r="D6565">
        <v>0</v>
      </c>
      <c r="E6565">
        <v>0</v>
      </c>
    </row>
    <row r="6566" spans="1:5" x14ac:dyDescent="0.35">
      <c r="A6566">
        <v>0</v>
      </c>
      <c r="B6566">
        <v>0</v>
      </c>
      <c r="C6566">
        <v>0</v>
      </c>
      <c r="D6566">
        <v>0</v>
      </c>
      <c r="E6566">
        <v>0</v>
      </c>
    </row>
    <row r="6567" spans="1:5" x14ac:dyDescent="0.35">
      <c r="A6567">
        <v>0</v>
      </c>
      <c r="B6567">
        <v>0</v>
      </c>
      <c r="C6567">
        <v>0</v>
      </c>
      <c r="D6567">
        <v>0</v>
      </c>
      <c r="E6567">
        <v>0</v>
      </c>
    </row>
    <row r="6568" spans="1:5" x14ac:dyDescent="0.35">
      <c r="A6568">
        <v>0</v>
      </c>
      <c r="B6568">
        <v>0</v>
      </c>
      <c r="C6568">
        <v>0</v>
      </c>
      <c r="D6568">
        <v>0</v>
      </c>
      <c r="E6568">
        <v>0</v>
      </c>
    </row>
    <row r="6569" spans="1:5" x14ac:dyDescent="0.35">
      <c r="A6569">
        <v>0</v>
      </c>
      <c r="B6569">
        <v>0</v>
      </c>
      <c r="C6569">
        <v>0</v>
      </c>
      <c r="D6569">
        <v>0</v>
      </c>
      <c r="E6569">
        <v>0</v>
      </c>
    </row>
    <row r="6570" spans="1:5" x14ac:dyDescent="0.35">
      <c r="A6570">
        <v>0</v>
      </c>
      <c r="B6570">
        <v>0</v>
      </c>
      <c r="C6570">
        <v>0</v>
      </c>
      <c r="D6570">
        <v>0</v>
      </c>
      <c r="E6570">
        <v>0</v>
      </c>
    </row>
    <row r="6571" spans="1:5" x14ac:dyDescent="0.35">
      <c r="A6571">
        <v>0</v>
      </c>
      <c r="B6571">
        <v>0</v>
      </c>
      <c r="C6571">
        <v>0</v>
      </c>
      <c r="D6571">
        <v>0</v>
      </c>
      <c r="E6571">
        <v>0</v>
      </c>
    </row>
    <row r="6572" spans="1:5" x14ac:dyDescent="0.35">
      <c r="A6572">
        <v>0</v>
      </c>
      <c r="B6572">
        <v>0</v>
      </c>
      <c r="C6572">
        <v>0</v>
      </c>
      <c r="D6572">
        <v>0</v>
      </c>
      <c r="E6572">
        <v>0</v>
      </c>
    </row>
    <row r="6573" spans="1:5" x14ac:dyDescent="0.35">
      <c r="A6573">
        <v>0</v>
      </c>
      <c r="B6573">
        <v>0</v>
      </c>
      <c r="C6573">
        <v>0</v>
      </c>
      <c r="D6573">
        <v>0</v>
      </c>
      <c r="E6573">
        <v>0</v>
      </c>
    </row>
    <row r="6574" spans="1:5" x14ac:dyDescent="0.35">
      <c r="A6574">
        <v>0</v>
      </c>
      <c r="B6574">
        <v>0</v>
      </c>
      <c r="C6574">
        <v>0</v>
      </c>
      <c r="D6574">
        <v>0</v>
      </c>
      <c r="E6574">
        <v>0</v>
      </c>
    </row>
    <row r="6575" spans="1:5" x14ac:dyDescent="0.35">
      <c r="A6575">
        <v>0</v>
      </c>
      <c r="B6575">
        <v>0</v>
      </c>
      <c r="C6575">
        <v>0</v>
      </c>
      <c r="D6575">
        <v>0</v>
      </c>
      <c r="E6575">
        <v>0</v>
      </c>
    </row>
    <row r="6576" spans="1:5" x14ac:dyDescent="0.35">
      <c r="A6576">
        <v>0</v>
      </c>
      <c r="B6576">
        <v>0</v>
      </c>
      <c r="C6576">
        <v>0</v>
      </c>
      <c r="D6576">
        <v>0</v>
      </c>
      <c r="E6576">
        <v>0</v>
      </c>
    </row>
    <row r="6577" spans="1:5" x14ac:dyDescent="0.35">
      <c r="A6577">
        <v>0</v>
      </c>
      <c r="B6577">
        <v>0</v>
      </c>
      <c r="C6577">
        <v>0</v>
      </c>
      <c r="D6577">
        <v>0</v>
      </c>
      <c r="E6577">
        <v>0</v>
      </c>
    </row>
    <row r="6578" spans="1:5" x14ac:dyDescent="0.35">
      <c r="A6578">
        <v>0</v>
      </c>
      <c r="B6578">
        <v>0</v>
      </c>
      <c r="C6578">
        <v>0</v>
      </c>
      <c r="D6578">
        <v>0</v>
      </c>
      <c r="E6578">
        <v>0</v>
      </c>
    </row>
    <row r="6579" spans="1:5" x14ac:dyDescent="0.35">
      <c r="A6579">
        <v>0</v>
      </c>
      <c r="B6579">
        <v>0</v>
      </c>
      <c r="C6579">
        <v>0</v>
      </c>
      <c r="D6579">
        <v>0</v>
      </c>
      <c r="E6579">
        <v>0</v>
      </c>
    </row>
    <row r="6580" spans="1:5" x14ac:dyDescent="0.35">
      <c r="A6580">
        <v>0</v>
      </c>
      <c r="B6580">
        <v>0</v>
      </c>
      <c r="C6580">
        <v>0</v>
      </c>
      <c r="D6580">
        <v>0</v>
      </c>
      <c r="E6580">
        <v>0</v>
      </c>
    </row>
    <row r="6581" spans="1:5" x14ac:dyDescent="0.35">
      <c r="A6581">
        <v>0</v>
      </c>
      <c r="B6581">
        <v>0</v>
      </c>
      <c r="C6581">
        <v>0</v>
      </c>
      <c r="D6581">
        <v>0</v>
      </c>
      <c r="E6581">
        <v>0</v>
      </c>
    </row>
    <row r="6582" spans="1:5" x14ac:dyDescent="0.35">
      <c r="A6582">
        <v>0</v>
      </c>
      <c r="B6582">
        <v>0</v>
      </c>
      <c r="C6582">
        <v>0</v>
      </c>
      <c r="D6582">
        <v>0</v>
      </c>
      <c r="E6582">
        <v>0</v>
      </c>
    </row>
    <row r="6583" spans="1:5" x14ac:dyDescent="0.35">
      <c r="A6583">
        <v>0</v>
      </c>
      <c r="B6583">
        <v>0</v>
      </c>
      <c r="C6583">
        <v>0</v>
      </c>
      <c r="D6583">
        <v>0</v>
      </c>
      <c r="E6583">
        <v>0</v>
      </c>
    </row>
    <row r="6584" spans="1:5" x14ac:dyDescent="0.35">
      <c r="A6584">
        <v>0</v>
      </c>
      <c r="B6584">
        <v>0</v>
      </c>
      <c r="C6584">
        <v>0</v>
      </c>
      <c r="D6584">
        <v>0</v>
      </c>
      <c r="E6584">
        <v>0</v>
      </c>
    </row>
    <row r="6585" spans="1:5" x14ac:dyDescent="0.35">
      <c r="A6585">
        <v>0</v>
      </c>
      <c r="B6585">
        <v>0</v>
      </c>
      <c r="C6585">
        <v>0</v>
      </c>
      <c r="D6585">
        <v>0</v>
      </c>
      <c r="E6585">
        <v>0</v>
      </c>
    </row>
    <row r="6586" spans="1:5" x14ac:dyDescent="0.35">
      <c r="A6586">
        <v>0</v>
      </c>
      <c r="B6586">
        <v>0</v>
      </c>
      <c r="C6586">
        <v>0</v>
      </c>
      <c r="D6586">
        <v>0</v>
      </c>
      <c r="E6586">
        <v>0</v>
      </c>
    </row>
    <row r="6587" spans="1:5" x14ac:dyDescent="0.35">
      <c r="A6587">
        <v>0</v>
      </c>
      <c r="B6587">
        <v>0</v>
      </c>
      <c r="C6587">
        <v>0</v>
      </c>
      <c r="D6587">
        <v>0</v>
      </c>
      <c r="E6587">
        <v>0</v>
      </c>
    </row>
    <row r="6588" spans="1:5" x14ac:dyDescent="0.35">
      <c r="A6588">
        <v>0</v>
      </c>
      <c r="B6588">
        <v>0</v>
      </c>
      <c r="C6588">
        <v>0</v>
      </c>
      <c r="D6588">
        <v>0</v>
      </c>
      <c r="E6588">
        <v>0</v>
      </c>
    </row>
    <row r="6589" spans="1:5" x14ac:dyDescent="0.35">
      <c r="A6589">
        <v>0</v>
      </c>
      <c r="B6589">
        <v>0</v>
      </c>
      <c r="C6589">
        <v>0</v>
      </c>
      <c r="D6589">
        <v>0</v>
      </c>
      <c r="E6589">
        <v>0</v>
      </c>
    </row>
    <row r="6590" spans="1:5" x14ac:dyDescent="0.35">
      <c r="A6590">
        <v>0</v>
      </c>
      <c r="B6590">
        <v>0</v>
      </c>
      <c r="C6590">
        <v>0</v>
      </c>
      <c r="D6590">
        <v>0</v>
      </c>
      <c r="E6590">
        <v>0</v>
      </c>
    </row>
    <row r="6591" spans="1:5" x14ac:dyDescent="0.35">
      <c r="A6591">
        <v>0</v>
      </c>
      <c r="B6591">
        <v>0</v>
      </c>
      <c r="C6591">
        <v>0</v>
      </c>
      <c r="D6591">
        <v>0</v>
      </c>
      <c r="E6591">
        <v>0</v>
      </c>
    </row>
    <row r="6592" spans="1:5" x14ac:dyDescent="0.35">
      <c r="A6592">
        <v>0</v>
      </c>
      <c r="B6592">
        <v>0</v>
      </c>
      <c r="C6592">
        <v>0</v>
      </c>
      <c r="D6592">
        <v>0</v>
      </c>
      <c r="E6592">
        <v>0</v>
      </c>
    </row>
    <row r="6593" spans="1:5" x14ac:dyDescent="0.35">
      <c r="A6593">
        <v>0</v>
      </c>
      <c r="B6593">
        <v>0</v>
      </c>
      <c r="C6593">
        <v>0</v>
      </c>
      <c r="D6593">
        <v>0</v>
      </c>
      <c r="E6593">
        <v>0</v>
      </c>
    </row>
    <row r="6594" spans="1:5" x14ac:dyDescent="0.35">
      <c r="A6594">
        <v>0</v>
      </c>
      <c r="B6594">
        <v>0</v>
      </c>
      <c r="C6594">
        <v>0</v>
      </c>
      <c r="D6594">
        <v>0</v>
      </c>
      <c r="E6594">
        <v>0</v>
      </c>
    </row>
    <row r="6595" spans="1:5" x14ac:dyDescent="0.35">
      <c r="A6595">
        <v>0</v>
      </c>
      <c r="B6595">
        <v>0</v>
      </c>
      <c r="C6595">
        <v>0</v>
      </c>
      <c r="D6595">
        <v>0</v>
      </c>
      <c r="E6595">
        <v>0</v>
      </c>
    </row>
    <row r="6596" spans="1:5" x14ac:dyDescent="0.35">
      <c r="A6596">
        <v>0</v>
      </c>
      <c r="B6596">
        <v>0</v>
      </c>
      <c r="C6596">
        <v>0</v>
      </c>
      <c r="D6596">
        <v>0</v>
      </c>
      <c r="E6596">
        <v>0</v>
      </c>
    </row>
    <row r="6597" spans="1:5" x14ac:dyDescent="0.35">
      <c r="A6597">
        <v>0</v>
      </c>
      <c r="B6597">
        <v>0</v>
      </c>
      <c r="C6597">
        <v>0</v>
      </c>
      <c r="D6597">
        <v>0</v>
      </c>
      <c r="E6597">
        <v>0</v>
      </c>
    </row>
    <row r="6598" spans="1:5" x14ac:dyDescent="0.35">
      <c r="A6598">
        <v>0</v>
      </c>
      <c r="B6598">
        <v>0</v>
      </c>
      <c r="C6598">
        <v>0</v>
      </c>
      <c r="D6598">
        <v>0</v>
      </c>
      <c r="E6598">
        <v>0</v>
      </c>
    </row>
    <row r="6599" spans="1:5" x14ac:dyDescent="0.35">
      <c r="A6599">
        <v>0</v>
      </c>
      <c r="B6599">
        <v>0</v>
      </c>
      <c r="C6599">
        <v>0</v>
      </c>
      <c r="D6599">
        <v>0</v>
      </c>
      <c r="E6599">
        <v>0</v>
      </c>
    </row>
    <row r="6600" spans="1:5" x14ac:dyDescent="0.35">
      <c r="A6600">
        <v>0</v>
      </c>
      <c r="B6600">
        <v>0</v>
      </c>
      <c r="C6600">
        <v>0</v>
      </c>
      <c r="D6600">
        <v>0</v>
      </c>
      <c r="E6600">
        <v>0</v>
      </c>
    </row>
    <row r="6601" spans="1:5" x14ac:dyDescent="0.35">
      <c r="A6601">
        <v>0</v>
      </c>
      <c r="B6601">
        <v>0</v>
      </c>
      <c r="C6601">
        <v>0</v>
      </c>
      <c r="D6601">
        <v>0</v>
      </c>
      <c r="E6601">
        <v>0</v>
      </c>
    </row>
    <row r="6602" spans="1:5" x14ac:dyDescent="0.35">
      <c r="A6602">
        <v>0</v>
      </c>
      <c r="B6602">
        <v>0</v>
      </c>
      <c r="C6602">
        <v>0</v>
      </c>
      <c r="D6602">
        <v>0</v>
      </c>
      <c r="E6602">
        <v>0</v>
      </c>
    </row>
    <row r="6603" spans="1:5" x14ac:dyDescent="0.35">
      <c r="A6603">
        <v>0</v>
      </c>
      <c r="B6603">
        <v>0</v>
      </c>
      <c r="C6603">
        <v>0</v>
      </c>
      <c r="D6603">
        <v>0</v>
      </c>
      <c r="E6603">
        <v>0</v>
      </c>
    </row>
    <row r="6604" spans="1:5" x14ac:dyDescent="0.35">
      <c r="A6604">
        <v>0</v>
      </c>
      <c r="B6604">
        <v>0</v>
      </c>
      <c r="C6604">
        <v>0</v>
      </c>
      <c r="D6604">
        <v>0</v>
      </c>
      <c r="E6604">
        <v>0</v>
      </c>
    </row>
    <row r="6605" spans="1:5" x14ac:dyDescent="0.35">
      <c r="A6605">
        <v>0</v>
      </c>
      <c r="B6605">
        <v>0</v>
      </c>
      <c r="C6605">
        <v>0</v>
      </c>
      <c r="D6605">
        <v>0</v>
      </c>
      <c r="E6605">
        <v>0</v>
      </c>
    </row>
    <row r="6606" spans="1:5" x14ac:dyDescent="0.35">
      <c r="A6606">
        <v>0</v>
      </c>
      <c r="B6606">
        <v>0</v>
      </c>
      <c r="C6606">
        <v>0</v>
      </c>
      <c r="D6606">
        <v>0</v>
      </c>
      <c r="E6606">
        <v>0</v>
      </c>
    </row>
    <row r="6607" spans="1:5" x14ac:dyDescent="0.35">
      <c r="A6607">
        <v>0</v>
      </c>
      <c r="B6607">
        <v>0</v>
      </c>
      <c r="C6607">
        <v>0</v>
      </c>
      <c r="D6607">
        <v>0</v>
      </c>
      <c r="E6607">
        <v>0</v>
      </c>
    </row>
    <row r="6608" spans="1:5" x14ac:dyDescent="0.35">
      <c r="A6608">
        <v>0</v>
      </c>
      <c r="B6608">
        <v>0</v>
      </c>
      <c r="C6608">
        <v>0</v>
      </c>
      <c r="D6608">
        <v>0</v>
      </c>
      <c r="E6608">
        <v>0</v>
      </c>
    </row>
    <row r="6609" spans="1:5" x14ac:dyDescent="0.35">
      <c r="A6609">
        <v>0</v>
      </c>
      <c r="B6609">
        <v>0</v>
      </c>
      <c r="C6609">
        <v>0</v>
      </c>
      <c r="D6609">
        <v>0</v>
      </c>
      <c r="E6609">
        <v>0</v>
      </c>
    </row>
    <row r="6610" spans="1:5" x14ac:dyDescent="0.35">
      <c r="A6610">
        <v>0</v>
      </c>
      <c r="B6610">
        <v>0</v>
      </c>
      <c r="C6610">
        <v>0</v>
      </c>
      <c r="D6610">
        <v>0</v>
      </c>
      <c r="E6610">
        <v>0</v>
      </c>
    </row>
    <row r="6611" spans="1:5" x14ac:dyDescent="0.35">
      <c r="A6611">
        <v>0</v>
      </c>
      <c r="B6611">
        <v>0</v>
      </c>
      <c r="C6611">
        <v>0</v>
      </c>
      <c r="D6611">
        <v>0</v>
      </c>
      <c r="E6611">
        <v>0</v>
      </c>
    </row>
    <row r="6612" spans="1:5" x14ac:dyDescent="0.35">
      <c r="A6612">
        <v>0</v>
      </c>
      <c r="B6612">
        <v>0</v>
      </c>
      <c r="C6612">
        <v>0</v>
      </c>
      <c r="D6612">
        <v>0</v>
      </c>
      <c r="E6612">
        <v>0</v>
      </c>
    </row>
    <row r="6613" spans="1:5" x14ac:dyDescent="0.35">
      <c r="A6613">
        <v>0</v>
      </c>
      <c r="B6613">
        <v>0</v>
      </c>
      <c r="C6613">
        <v>0</v>
      </c>
      <c r="D6613">
        <v>0</v>
      </c>
      <c r="E6613">
        <v>0</v>
      </c>
    </row>
    <row r="6614" spans="1:5" x14ac:dyDescent="0.35">
      <c r="A6614">
        <v>0</v>
      </c>
      <c r="B6614">
        <v>0</v>
      </c>
      <c r="C6614">
        <v>0</v>
      </c>
      <c r="D6614">
        <v>0</v>
      </c>
      <c r="E6614">
        <v>0</v>
      </c>
    </row>
    <row r="6615" spans="1:5" x14ac:dyDescent="0.35">
      <c r="A6615">
        <v>0</v>
      </c>
      <c r="B6615">
        <v>0</v>
      </c>
      <c r="C6615">
        <v>0</v>
      </c>
      <c r="D6615">
        <v>0</v>
      </c>
      <c r="E6615">
        <v>0</v>
      </c>
    </row>
    <row r="6616" spans="1:5" x14ac:dyDescent="0.35">
      <c r="A6616">
        <v>0</v>
      </c>
      <c r="B6616">
        <v>0</v>
      </c>
      <c r="C6616">
        <v>0</v>
      </c>
      <c r="D6616">
        <v>0</v>
      </c>
      <c r="E6616">
        <v>0</v>
      </c>
    </row>
    <row r="6617" spans="1:5" x14ac:dyDescent="0.35">
      <c r="A6617">
        <v>0</v>
      </c>
      <c r="B6617">
        <v>0</v>
      </c>
      <c r="C6617">
        <v>0</v>
      </c>
      <c r="D6617">
        <v>0</v>
      </c>
      <c r="E6617">
        <v>0</v>
      </c>
    </row>
    <row r="6618" spans="1:5" x14ac:dyDescent="0.35">
      <c r="A6618">
        <v>0</v>
      </c>
      <c r="B6618">
        <v>0</v>
      </c>
      <c r="C6618">
        <v>0</v>
      </c>
      <c r="D6618">
        <v>0</v>
      </c>
      <c r="E6618">
        <v>0</v>
      </c>
    </row>
    <row r="6619" spans="1:5" x14ac:dyDescent="0.35">
      <c r="A6619">
        <v>0</v>
      </c>
      <c r="B6619">
        <v>0</v>
      </c>
      <c r="C6619">
        <v>0</v>
      </c>
      <c r="D6619">
        <v>0</v>
      </c>
      <c r="E6619">
        <v>0</v>
      </c>
    </row>
    <row r="6620" spans="1:5" x14ac:dyDescent="0.35">
      <c r="A6620">
        <v>0</v>
      </c>
      <c r="B6620">
        <v>0</v>
      </c>
      <c r="C6620">
        <v>0</v>
      </c>
      <c r="D6620">
        <v>0</v>
      </c>
      <c r="E6620">
        <v>0</v>
      </c>
    </row>
    <row r="6621" spans="1:5" x14ac:dyDescent="0.35">
      <c r="A6621">
        <v>0</v>
      </c>
      <c r="B6621">
        <v>0</v>
      </c>
      <c r="C6621">
        <v>0</v>
      </c>
      <c r="D6621">
        <v>0</v>
      </c>
      <c r="E6621">
        <v>0</v>
      </c>
    </row>
    <row r="6622" spans="1:5" x14ac:dyDescent="0.35">
      <c r="A6622">
        <v>0</v>
      </c>
      <c r="B6622">
        <v>0</v>
      </c>
      <c r="C6622">
        <v>0</v>
      </c>
      <c r="D6622">
        <v>0</v>
      </c>
      <c r="E6622">
        <v>0</v>
      </c>
    </row>
    <row r="6623" spans="1:5" x14ac:dyDescent="0.35">
      <c r="A6623">
        <v>0</v>
      </c>
      <c r="B6623">
        <v>0</v>
      </c>
      <c r="C6623">
        <v>0</v>
      </c>
      <c r="D6623">
        <v>0</v>
      </c>
      <c r="E6623">
        <v>0</v>
      </c>
    </row>
    <row r="6624" spans="1:5" x14ac:dyDescent="0.35">
      <c r="A6624">
        <v>0</v>
      </c>
      <c r="B6624">
        <v>0</v>
      </c>
      <c r="C6624">
        <v>0</v>
      </c>
      <c r="D6624">
        <v>0</v>
      </c>
      <c r="E6624">
        <v>0</v>
      </c>
    </row>
    <row r="6625" spans="1:5" x14ac:dyDescent="0.35">
      <c r="A6625">
        <v>0</v>
      </c>
      <c r="B6625">
        <v>0</v>
      </c>
      <c r="C6625">
        <v>0</v>
      </c>
      <c r="D6625">
        <v>0</v>
      </c>
      <c r="E6625">
        <v>0</v>
      </c>
    </row>
    <row r="6626" spans="1:5" x14ac:dyDescent="0.35">
      <c r="A6626">
        <v>0</v>
      </c>
      <c r="B6626">
        <v>0</v>
      </c>
      <c r="C6626">
        <v>0</v>
      </c>
      <c r="D6626">
        <v>0</v>
      </c>
      <c r="E6626">
        <v>0</v>
      </c>
    </row>
    <row r="6627" spans="1:5" x14ac:dyDescent="0.35">
      <c r="A6627">
        <v>0</v>
      </c>
      <c r="B6627">
        <v>0</v>
      </c>
      <c r="C6627">
        <v>0</v>
      </c>
      <c r="D6627">
        <v>0</v>
      </c>
      <c r="E6627">
        <v>0</v>
      </c>
    </row>
    <row r="6628" spans="1:5" x14ac:dyDescent="0.35">
      <c r="A6628">
        <v>0</v>
      </c>
      <c r="B6628">
        <v>0</v>
      </c>
      <c r="C6628">
        <v>0</v>
      </c>
      <c r="D6628">
        <v>0</v>
      </c>
      <c r="E6628">
        <v>0</v>
      </c>
    </row>
    <row r="6629" spans="1:5" x14ac:dyDescent="0.35">
      <c r="A6629">
        <v>0</v>
      </c>
      <c r="B6629">
        <v>0</v>
      </c>
      <c r="C6629">
        <v>0</v>
      </c>
      <c r="D6629">
        <v>0</v>
      </c>
      <c r="E6629">
        <v>0</v>
      </c>
    </row>
    <row r="6630" spans="1:5" x14ac:dyDescent="0.35">
      <c r="A6630">
        <v>0</v>
      </c>
      <c r="B6630">
        <v>0</v>
      </c>
      <c r="C6630">
        <v>0</v>
      </c>
      <c r="D6630">
        <v>0</v>
      </c>
      <c r="E6630">
        <v>0</v>
      </c>
    </row>
    <row r="6631" spans="1:5" x14ac:dyDescent="0.35">
      <c r="A6631">
        <v>0</v>
      </c>
      <c r="B6631">
        <v>0</v>
      </c>
      <c r="C6631">
        <v>0</v>
      </c>
      <c r="D6631">
        <v>0</v>
      </c>
      <c r="E6631">
        <v>0</v>
      </c>
    </row>
    <row r="6632" spans="1:5" x14ac:dyDescent="0.35">
      <c r="A6632">
        <v>0</v>
      </c>
      <c r="B6632">
        <v>0</v>
      </c>
      <c r="C6632">
        <v>0</v>
      </c>
      <c r="D6632">
        <v>0</v>
      </c>
      <c r="E6632">
        <v>0</v>
      </c>
    </row>
    <row r="6633" spans="1:5" x14ac:dyDescent="0.35">
      <c r="A6633">
        <v>0</v>
      </c>
      <c r="B6633">
        <v>0</v>
      </c>
      <c r="C6633">
        <v>0</v>
      </c>
      <c r="D6633">
        <v>0</v>
      </c>
      <c r="E6633">
        <v>0</v>
      </c>
    </row>
    <row r="6634" spans="1:5" x14ac:dyDescent="0.35">
      <c r="A6634">
        <v>0</v>
      </c>
      <c r="B6634">
        <v>0</v>
      </c>
      <c r="C6634">
        <v>0</v>
      </c>
      <c r="D6634">
        <v>0</v>
      </c>
      <c r="E6634">
        <v>0</v>
      </c>
    </row>
    <row r="6635" spans="1:5" x14ac:dyDescent="0.35">
      <c r="A6635">
        <v>0</v>
      </c>
      <c r="B6635">
        <v>0</v>
      </c>
      <c r="C6635">
        <v>0</v>
      </c>
      <c r="D6635">
        <v>0</v>
      </c>
      <c r="E6635">
        <v>0</v>
      </c>
    </row>
    <row r="6636" spans="1:5" x14ac:dyDescent="0.35">
      <c r="A6636">
        <v>0</v>
      </c>
      <c r="B6636">
        <v>0</v>
      </c>
      <c r="C6636">
        <v>0</v>
      </c>
      <c r="D6636">
        <v>0</v>
      </c>
      <c r="E6636">
        <v>0</v>
      </c>
    </row>
    <row r="6637" spans="1:5" x14ac:dyDescent="0.35">
      <c r="A6637">
        <v>0</v>
      </c>
      <c r="B6637">
        <v>0</v>
      </c>
      <c r="C6637">
        <v>0</v>
      </c>
      <c r="D6637">
        <v>0</v>
      </c>
      <c r="E6637">
        <v>0</v>
      </c>
    </row>
    <row r="6638" spans="1:5" x14ac:dyDescent="0.35">
      <c r="A6638">
        <v>0</v>
      </c>
      <c r="B6638">
        <v>0</v>
      </c>
      <c r="C6638">
        <v>0</v>
      </c>
      <c r="D6638">
        <v>0</v>
      </c>
      <c r="E6638">
        <v>0</v>
      </c>
    </row>
    <row r="6639" spans="1:5" x14ac:dyDescent="0.35">
      <c r="A6639">
        <v>0</v>
      </c>
      <c r="B6639">
        <v>0</v>
      </c>
      <c r="C6639">
        <v>0</v>
      </c>
      <c r="D6639">
        <v>0</v>
      </c>
      <c r="E6639">
        <v>0</v>
      </c>
    </row>
    <row r="6640" spans="1:5" x14ac:dyDescent="0.35">
      <c r="A6640">
        <v>0</v>
      </c>
      <c r="B6640">
        <v>0</v>
      </c>
      <c r="C6640">
        <v>0</v>
      </c>
      <c r="D6640">
        <v>0</v>
      </c>
      <c r="E6640">
        <v>0</v>
      </c>
    </row>
    <row r="6641" spans="1:5" x14ac:dyDescent="0.35">
      <c r="A6641">
        <v>0</v>
      </c>
      <c r="B6641">
        <v>0</v>
      </c>
      <c r="C6641">
        <v>0</v>
      </c>
      <c r="D6641">
        <v>0</v>
      </c>
      <c r="E6641">
        <v>0</v>
      </c>
    </row>
    <row r="6642" spans="1:5" x14ac:dyDescent="0.35">
      <c r="A6642">
        <v>0</v>
      </c>
      <c r="B6642">
        <v>0</v>
      </c>
      <c r="C6642">
        <v>0</v>
      </c>
      <c r="D6642">
        <v>0</v>
      </c>
      <c r="E6642">
        <v>0</v>
      </c>
    </row>
    <row r="6643" spans="1:5" x14ac:dyDescent="0.35">
      <c r="A6643">
        <v>0</v>
      </c>
      <c r="B6643">
        <v>0</v>
      </c>
      <c r="C6643">
        <v>0</v>
      </c>
      <c r="D6643">
        <v>0</v>
      </c>
      <c r="E6643">
        <v>0</v>
      </c>
    </row>
    <row r="6644" spans="1:5" x14ac:dyDescent="0.35">
      <c r="A6644">
        <v>0</v>
      </c>
      <c r="B6644">
        <v>0</v>
      </c>
      <c r="C6644">
        <v>0</v>
      </c>
      <c r="D6644">
        <v>0</v>
      </c>
      <c r="E6644">
        <v>0</v>
      </c>
    </row>
    <row r="6645" spans="1:5" x14ac:dyDescent="0.35">
      <c r="A6645">
        <v>0</v>
      </c>
      <c r="B6645">
        <v>0</v>
      </c>
      <c r="C6645">
        <v>0</v>
      </c>
      <c r="D6645">
        <v>0</v>
      </c>
      <c r="E6645">
        <v>0</v>
      </c>
    </row>
    <row r="6646" spans="1:5" x14ac:dyDescent="0.35">
      <c r="A6646">
        <v>0</v>
      </c>
      <c r="B6646">
        <v>0</v>
      </c>
      <c r="C6646">
        <v>0</v>
      </c>
      <c r="D6646">
        <v>0</v>
      </c>
      <c r="E6646">
        <v>0</v>
      </c>
    </row>
    <row r="6647" spans="1:5" x14ac:dyDescent="0.35">
      <c r="A6647">
        <v>0</v>
      </c>
      <c r="B6647">
        <v>0</v>
      </c>
      <c r="C6647">
        <v>0</v>
      </c>
      <c r="D6647">
        <v>0</v>
      </c>
      <c r="E6647">
        <v>0</v>
      </c>
    </row>
    <row r="6648" spans="1:5" x14ac:dyDescent="0.35">
      <c r="A6648">
        <v>0</v>
      </c>
      <c r="B6648">
        <v>0</v>
      </c>
      <c r="C6648">
        <v>0</v>
      </c>
      <c r="D6648">
        <v>0</v>
      </c>
      <c r="E6648">
        <v>0</v>
      </c>
    </row>
    <row r="6649" spans="1:5" x14ac:dyDescent="0.35">
      <c r="A6649">
        <v>0</v>
      </c>
      <c r="B6649">
        <v>0</v>
      </c>
      <c r="C6649">
        <v>0</v>
      </c>
      <c r="D6649">
        <v>0</v>
      </c>
      <c r="E6649">
        <v>0</v>
      </c>
    </row>
    <row r="6650" spans="1:5" x14ac:dyDescent="0.35">
      <c r="A6650">
        <v>0</v>
      </c>
      <c r="B6650">
        <v>0</v>
      </c>
      <c r="C6650">
        <v>0</v>
      </c>
      <c r="D6650">
        <v>0</v>
      </c>
      <c r="E6650">
        <v>0</v>
      </c>
    </row>
    <row r="6651" spans="1:5" x14ac:dyDescent="0.35">
      <c r="A6651">
        <v>0</v>
      </c>
      <c r="B6651">
        <v>0</v>
      </c>
      <c r="C6651">
        <v>0</v>
      </c>
      <c r="D6651">
        <v>0</v>
      </c>
      <c r="E6651">
        <v>0</v>
      </c>
    </row>
    <row r="6652" spans="1:5" x14ac:dyDescent="0.35">
      <c r="A6652">
        <v>0</v>
      </c>
      <c r="B6652">
        <v>0</v>
      </c>
      <c r="C6652">
        <v>0</v>
      </c>
      <c r="D6652">
        <v>0</v>
      </c>
      <c r="E6652">
        <v>0</v>
      </c>
    </row>
    <row r="6653" spans="1:5" x14ac:dyDescent="0.35">
      <c r="A6653">
        <v>0</v>
      </c>
      <c r="B6653">
        <v>0</v>
      </c>
      <c r="C6653">
        <v>0</v>
      </c>
      <c r="D6653">
        <v>0</v>
      </c>
      <c r="E6653">
        <v>0</v>
      </c>
    </row>
    <row r="6654" spans="1:5" x14ac:dyDescent="0.35">
      <c r="A6654">
        <v>0</v>
      </c>
      <c r="B6654">
        <v>0</v>
      </c>
      <c r="C6654">
        <v>0</v>
      </c>
      <c r="D6654">
        <v>0</v>
      </c>
      <c r="E6654">
        <v>0</v>
      </c>
    </row>
    <row r="6655" spans="1:5" x14ac:dyDescent="0.35">
      <c r="A6655">
        <v>0</v>
      </c>
      <c r="B6655">
        <v>0</v>
      </c>
      <c r="C6655">
        <v>0</v>
      </c>
      <c r="D6655">
        <v>0</v>
      </c>
      <c r="E6655">
        <v>0</v>
      </c>
    </row>
    <row r="6656" spans="1:5" x14ac:dyDescent="0.35">
      <c r="A6656">
        <v>0</v>
      </c>
      <c r="B6656">
        <v>0</v>
      </c>
      <c r="C6656">
        <v>0</v>
      </c>
      <c r="D6656">
        <v>0</v>
      </c>
      <c r="E6656">
        <v>0</v>
      </c>
    </row>
    <row r="6657" spans="1:5" x14ac:dyDescent="0.35">
      <c r="A6657">
        <v>0</v>
      </c>
      <c r="B6657">
        <v>0</v>
      </c>
      <c r="C6657">
        <v>0</v>
      </c>
      <c r="D6657">
        <v>0</v>
      </c>
      <c r="E6657">
        <v>0</v>
      </c>
    </row>
    <row r="6658" spans="1:5" x14ac:dyDescent="0.35">
      <c r="A6658">
        <v>0</v>
      </c>
      <c r="B6658">
        <v>0</v>
      </c>
      <c r="C6658">
        <v>0</v>
      </c>
      <c r="D6658">
        <v>0</v>
      </c>
      <c r="E6658">
        <v>0</v>
      </c>
    </row>
    <row r="6659" spans="1:5" x14ac:dyDescent="0.35">
      <c r="A6659">
        <v>0</v>
      </c>
      <c r="B6659">
        <v>0</v>
      </c>
      <c r="C6659">
        <v>0</v>
      </c>
      <c r="D6659">
        <v>0</v>
      </c>
      <c r="E6659">
        <v>0</v>
      </c>
    </row>
    <row r="6660" spans="1:5" x14ac:dyDescent="0.35">
      <c r="A6660">
        <v>0</v>
      </c>
      <c r="B6660">
        <v>0</v>
      </c>
      <c r="C6660">
        <v>0</v>
      </c>
      <c r="D6660">
        <v>0</v>
      </c>
      <c r="E6660">
        <v>0</v>
      </c>
    </row>
    <row r="6661" spans="1:5" x14ac:dyDescent="0.35">
      <c r="A6661">
        <v>0</v>
      </c>
      <c r="B6661">
        <v>0</v>
      </c>
      <c r="C6661">
        <v>0</v>
      </c>
      <c r="D6661">
        <v>0</v>
      </c>
      <c r="E6661">
        <v>0</v>
      </c>
    </row>
    <row r="6662" spans="1:5" x14ac:dyDescent="0.35">
      <c r="A6662">
        <v>0</v>
      </c>
      <c r="B6662">
        <v>0</v>
      </c>
      <c r="C6662">
        <v>0</v>
      </c>
      <c r="D6662">
        <v>0</v>
      </c>
      <c r="E6662">
        <v>0</v>
      </c>
    </row>
    <row r="6663" spans="1:5" x14ac:dyDescent="0.35">
      <c r="A6663">
        <v>0</v>
      </c>
      <c r="B6663">
        <v>0</v>
      </c>
      <c r="C6663">
        <v>0</v>
      </c>
      <c r="D6663">
        <v>0</v>
      </c>
      <c r="E6663">
        <v>0</v>
      </c>
    </row>
    <row r="6664" spans="1:5" x14ac:dyDescent="0.35">
      <c r="A6664">
        <v>0</v>
      </c>
      <c r="B6664">
        <v>0</v>
      </c>
      <c r="C6664">
        <v>0</v>
      </c>
      <c r="D6664">
        <v>0</v>
      </c>
      <c r="E6664">
        <v>0</v>
      </c>
    </row>
    <row r="6665" spans="1:5" x14ac:dyDescent="0.35">
      <c r="A6665">
        <v>0</v>
      </c>
      <c r="B6665">
        <v>0</v>
      </c>
      <c r="C6665">
        <v>0</v>
      </c>
      <c r="D6665">
        <v>0</v>
      </c>
      <c r="E6665">
        <v>0</v>
      </c>
    </row>
    <row r="6666" spans="1:5" x14ac:dyDescent="0.35">
      <c r="A6666">
        <v>0</v>
      </c>
      <c r="B6666">
        <v>0</v>
      </c>
      <c r="C6666">
        <v>0</v>
      </c>
      <c r="D6666">
        <v>0</v>
      </c>
      <c r="E6666">
        <v>0</v>
      </c>
    </row>
    <row r="6667" spans="1:5" x14ac:dyDescent="0.35">
      <c r="A6667">
        <v>0</v>
      </c>
      <c r="B6667">
        <v>0</v>
      </c>
      <c r="C6667">
        <v>0</v>
      </c>
      <c r="D6667">
        <v>0</v>
      </c>
      <c r="E6667">
        <v>0</v>
      </c>
    </row>
    <row r="6668" spans="1:5" x14ac:dyDescent="0.35">
      <c r="A6668">
        <v>0</v>
      </c>
      <c r="B6668">
        <v>0</v>
      </c>
      <c r="C6668">
        <v>0</v>
      </c>
      <c r="D6668">
        <v>0</v>
      </c>
      <c r="E6668">
        <v>0</v>
      </c>
    </row>
    <row r="6669" spans="1:5" x14ac:dyDescent="0.35">
      <c r="A6669">
        <v>0</v>
      </c>
      <c r="B6669">
        <v>0</v>
      </c>
      <c r="C6669">
        <v>0</v>
      </c>
      <c r="D6669">
        <v>0</v>
      </c>
      <c r="E6669">
        <v>0</v>
      </c>
    </row>
    <row r="6670" spans="1:5" x14ac:dyDescent="0.35">
      <c r="A6670">
        <v>0</v>
      </c>
      <c r="B6670">
        <v>0</v>
      </c>
      <c r="C6670">
        <v>0</v>
      </c>
      <c r="D6670">
        <v>0</v>
      </c>
      <c r="E6670">
        <v>0</v>
      </c>
    </row>
    <row r="6671" spans="1:5" x14ac:dyDescent="0.35">
      <c r="A6671">
        <v>0</v>
      </c>
      <c r="B6671">
        <v>0</v>
      </c>
      <c r="C6671">
        <v>0</v>
      </c>
      <c r="D6671">
        <v>0</v>
      </c>
      <c r="E6671">
        <v>0</v>
      </c>
    </row>
    <row r="6672" spans="1:5" x14ac:dyDescent="0.35">
      <c r="A6672">
        <v>0</v>
      </c>
      <c r="B6672">
        <v>0</v>
      </c>
      <c r="C6672">
        <v>0</v>
      </c>
      <c r="D6672">
        <v>0</v>
      </c>
      <c r="E6672">
        <v>0</v>
      </c>
    </row>
    <row r="6673" spans="1:5" x14ac:dyDescent="0.35">
      <c r="A6673">
        <v>0</v>
      </c>
      <c r="B6673">
        <v>0</v>
      </c>
      <c r="C6673">
        <v>0</v>
      </c>
      <c r="D6673">
        <v>0</v>
      </c>
      <c r="E6673">
        <v>0</v>
      </c>
    </row>
    <row r="6674" spans="1:5" x14ac:dyDescent="0.35">
      <c r="A6674">
        <v>0</v>
      </c>
      <c r="B6674">
        <v>0</v>
      </c>
      <c r="C6674">
        <v>0</v>
      </c>
      <c r="D6674">
        <v>0</v>
      </c>
      <c r="E6674">
        <v>0</v>
      </c>
    </row>
    <row r="6675" spans="1:5" x14ac:dyDescent="0.35">
      <c r="A6675">
        <v>0</v>
      </c>
      <c r="B6675">
        <v>0</v>
      </c>
      <c r="C6675">
        <v>0</v>
      </c>
      <c r="D6675">
        <v>0</v>
      </c>
      <c r="E6675">
        <v>0</v>
      </c>
    </row>
    <row r="6676" spans="1:5" x14ac:dyDescent="0.35">
      <c r="A6676">
        <v>0</v>
      </c>
      <c r="B6676">
        <v>0</v>
      </c>
      <c r="C6676">
        <v>0</v>
      </c>
      <c r="D6676">
        <v>0</v>
      </c>
      <c r="E6676">
        <v>0</v>
      </c>
    </row>
    <row r="6677" spans="1:5" x14ac:dyDescent="0.35">
      <c r="A6677">
        <v>0</v>
      </c>
      <c r="B6677">
        <v>0</v>
      </c>
      <c r="C6677">
        <v>0</v>
      </c>
      <c r="D6677">
        <v>0</v>
      </c>
      <c r="E6677">
        <v>0</v>
      </c>
    </row>
    <row r="6678" spans="1:5" x14ac:dyDescent="0.35">
      <c r="A6678">
        <v>0</v>
      </c>
      <c r="B6678">
        <v>0</v>
      </c>
      <c r="C6678">
        <v>0</v>
      </c>
      <c r="D6678">
        <v>0</v>
      </c>
      <c r="E6678">
        <v>0</v>
      </c>
    </row>
    <row r="6679" spans="1:5" x14ac:dyDescent="0.35">
      <c r="A6679">
        <v>0</v>
      </c>
      <c r="B6679">
        <v>0</v>
      </c>
      <c r="C6679">
        <v>0</v>
      </c>
      <c r="D6679">
        <v>0</v>
      </c>
      <c r="E6679">
        <v>0</v>
      </c>
    </row>
    <row r="6680" spans="1:5" x14ac:dyDescent="0.35">
      <c r="A6680">
        <v>0</v>
      </c>
      <c r="B6680">
        <v>0</v>
      </c>
      <c r="C6680">
        <v>0</v>
      </c>
      <c r="D6680">
        <v>0</v>
      </c>
      <c r="E6680">
        <v>0</v>
      </c>
    </row>
    <row r="6681" spans="1:5" x14ac:dyDescent="0.35">
      <c r="A6681">
        <v>0</v>
      </c>
      <c r="B6681">
        <v>0</v>
      </c>
      <c r="C6681">
        <v>0</v>
      </c>
      <c r="D6681">
        <v>0</v>
      </c>
      <c r="E6681">
        <v>0</v>
      </c>
    </row>
    <row r="6682" spans="1:5" x14ac:dyDescent="0.35">
      <c r="A6682">
        <v>0</v>
      </c>
      <c r="B6682">
        <v>0</v>
      </c>
      <c r="C6682">
        <v>0</v>
      </c>
      <c r="D6682">
        <v>0</v>
      </c>
      <c r="E6682">
        <v>0</v>
      </c>
    </row>
    <row r="6683" spans="1:5" x14ac:dyDescent="0.35">
      <c r="A6683">
        <v>0</v>
      </c>
      <c r="B6683">
        <v>0</v>
      </c>
      <c r="C6683">
        <v>0</v>
      </c>
      <c r="D6683">
        <v>0</v>
      </c>
      <c r="E6683">
        <v>0</v>
      </c>
    </row>
    <row r="6684" spans="1:5" x14ac:dyDescent="0.35">
      <c r="A6684">
        <v>0</v>
      </c>
      <c r="B6684">
        <v>0</v>
      </c>
      <c r="C6684">
        <v>0</v>
      </c>
      <c r="D6684">
        <v>0</v>
      </c>
      <c r="E6684">
        <v>0</v>
      </c>
    </row>
    <row r="6685" spans="1:5" x14ac:dyDescent="0.35">
      <c r="A6685">
        <v>0</v>
      </c>
      <c r="B6685">
        <v>0</v>
      </c>
      <c r="C6685">
        <v>0</v>
      </c>
      <c r="D6685">
        <v>0</v>
      </c>
      <c r="E6685">
        <v>0</v>
      </c>
    </row>
    <row r="6686" spans="1:5" x14ac:dyDescent="0.35">
      <c r="A6686">
        <v>0</v>
      </c>
      <c r="B6686">
        <v>0</v>
      </c>
      <c r="C6686">
        <v>0</v>
      </c>
      <c r="D6686">
        <v>0</v>
      </c>
      <c r="E6686">
        <v>0</v>
      </c>
    </row>
    <row r="6687" spans="1:5" x14ac:dyDescent="0.35">
      <c r="A6687">
        <v>0</v>
      </c>
      <c r="B6687">
        <v>0</v>
      </c>
      <c r="C6687">
        <v>0</v>
      </c>
      <c r="D6687">
        <v>0</v>
      </c>
      <c r="E6687">
        <v>0</v>
      </c>
    </row>
    <row r="6688" spans="1:5" x14ac:dyDescent="0.35">
      <c r="A6688">
        <v>0</v>
      </c>
      <c r="B6688">
        <v>0</v>
      </c>
      <c r="C6688">
        <v>0</v>
      </c>
      <c r="D6688">
        <v>0</v>
      </c>
      <c r="E6688">
        <v>0</v>
      </c>
    </row>
    <row r="6689" spans="1:5" x14ac:dyDescent="0.35">
      <c r="A6689">
        <v>0</v>
      </c>
      <c r="B6689">
        <v>0</v>
      </c>
      <c r="C6689">
        <v>0</v>
      </c>
      <c r="D6689">
        <v>0</v>
      </c>
      <c r="E6689">
        <v>0</v>
      </c>
    </row>
    <row r="6690" spans="1:5" x14ac:dyDescent="0.35">
      <c r="A6690">
        <v>0</v>
      </c>
      <c r="B6690">
        <v>0</v>
      </c>
      <c r="C6690">
        <v>0</v>
      </c>
      <c r="D6690">
        <v>0</v>
      </c>
      <c r="E6690">
        <v>0</v>
      </c>
    </row>
    <row r="6691" spans="1:5" x14ac:dyDescent="0.35">
      <c r="A6691">
        <v>0</v>
      </c>
      <c r="B6691">
        <v>0</v>
      </c>
      <c r="C6691">
        <v>0</v>
      </c>
      <c r="D6691">
        <v>0</v>
      </c>
      <c r="E6691">
        <v>0</v>
      </c>
    </row>
    <row r="6692" spans="1:5" x14ac:dyDescent="0.35">
      <c r="A6692">
        <v>0</v>
      </c>
      <c r="B6692">
        <v>0</v>
      </c>
      <c r="C6692">
        <v>0</v>
      </c>
      <c r="D6692">
        <v>0</v>
      </c>
      <c r="E6692">
        <v>0</v>
      </c>
    </row>
    <row r="6693" spans="1:5" x14ac:dyDescent="0.35">
      <c r="A6693">
        <v>0</v>
      </c>
      <c r="B6693">
        <v>0</v>
      </c>
      <c r="C6693">
        <v>0</v>
      </c>
      <c r="D6693">
        <v>0</v>
      </c>
      <c r="E6693">
        <v>0</v>
      </c>
    </row>
    <row r="6694" spans="1:5" x14ac:dyDescent="0.35">
      <c r="A6694">
        <v>0</v>
      </c>
      <c r="B6694">
        <v>0</v>
      </c>
      <c r="C6694">
        <v>0</v>
      </c>
      <c r="D6694">
        <v>0</v>
      </c>
      <c r="E6694">
        <v>0</v>
      </c>
    </row>
    <row r="6695" spans="1:5" x14ac:dyDescent="0.35">
      <c r="A6695">
        <v>0</v>
      </c>
      <c r="B6695">
        <v>0</v>
      </c>
      <c r="C6695">
        <v>0</v>
      </c>
      <c r="D6695">
        <v>0</v>
      </c>
      <c r="E6695">
        <v>0</v>
      </c>
    </row>
    <row r="6696" spans="1:5" x14ac:dyDescent="0.35">
      <c r="A6696">
        <v>0</v>
      </c>
      <c r="B6696">
        <v>0</v>
      </c>
      <c r="C6696">
        <v>0</v>
      </c>
      <c r="D6696">
        <v>0</v>
      </c>
      <c r="E6696">
        <v>0</v>
      </c>
    </row>
    <row r="6697" spans="1:5" x14ac:dyDescent="0.35">
      <c r="A6697">
        <v>0</v>
      </c>
      <c r="B6697">
        <v>0</v>
      </c>
      <c r="C6697">
        <v>0</v>
      </c>
      <c r="D6697">
        <v>0</v>
      </c>
      <c r="E6697">
        <v>0</v>
      </c>
    </row>
    <row r="6698" spans="1:5" x14ac:dyDescent="0.35">
      <c r="A6698">
        <v>0</v>
      </c>
      <c r="B6698">
        <v>0</v>
      </c>
      <c r="C6698">
        <v>0</v>
      </c>
      <c r="D6698">
        <v>0</v>
      </c>
      <c r="E6698">
        <v>0</v>
      </c>
    </row>
    <row r="6699" spans="1:5" x14ac:dyDescent="0.35">
      <c r="A6699">
        <v>0</v>
      </c>
      <c r="B6699">
        <v>0</v>
      </c>
      <c r="C6699">
        <v>0</v>
      </c>
      <c r="D6699">
        <v>0</v>
      </c>
      <c r="E6699">
        <v>0</v>
      </c>
    </row>
    <row r="6700" spans="1:5" x14ac:dyDescent="0.35">
      <c r="A6700">
        <v>0</v>
      </c>
      <c r="B6700">
        <v>0</v>
      </c>
      <c r="C6700">
        <v>0</v>
      </c>
      <c r="D6700">
        <v>0</v>
      </c>
      <c r="E6700">
        <v>0</v>
      </c>
    </row>
    <row r="6701" spans="1:5" x14ac:dyDescent="0.35">
      <c r="A6701">
        <v>0</v>
      </c>
      <c r="B6701">
        <v>0</v>
      </c>
      <c r="C6701">
        <v>0</v>
      </c>
      <c r="D6701">
        <v>0</v>
      </c>
      <c r="E6701">
        <v>0</v>
      </c>
    </row>
    <row r="6702" spans="1:5" x14ac:dyDescent="0.35">
      <c r="A6702">
        <v>0</v>
      </c>
      <c r="B6702">
        <v>0</v>
      </c>
      <c r="C6702">
        <v>0</v>
      </c>
      <c r="D6702">
        <v>0</v>
      </c>
      <c r="E6702">
        <v>0</v>
      </c>
    </row>
    <row r="6703" spans="1:5" x14ac:dyDescent="0.35">
      <c r="A6703">
        <v>0</v>
      </c>
      <c r="B6703">
        <v>0</v>
      </c>
      <c r="C6703">
        <v>0</v>
      </c>
      <c r="D6703">
        <v>0</v>
      </c>
      <c r="E6703">
        <v>0</v>
      </c>
    </row>
    <row r="6704" spans="1:5" x14ac:dyDescent="0.35">
      <c r="A6704">
        <v>0</v>
      </c>
      <c r="B6704">
        <v>0</v>
      </c>
      <c r="C6704">
        <v>0</v>
      </c>
      <c r="D6704">
        <v>0</v>
      </c>
      <c r="E6704">
        <v>0</v>
      </c>
    </row>
    <row r="6705" spans="1:5" x14ac:dyDescent="0.35">
      <c r="A6705">
        <v>0</v>
      </c>
      <c r="B6705">
        <v>0</v>
      </c>
      <c r="C6705">
        <v>0</v>
      </c>
      <c r="D6705">
        <v>0</v>
      </c>
      <c r="E6705">
        <v>0</v>
      </c>
    </row>
    <row r="6706" spans="1:5" x14ac:dyDescent="0.35">
      <c r="A6706">
        <v>0</v>
      </c>
      <c r="B6706">
        <v>0</v>
      </c>
      <c r="C6706">
        <v>0</v>
      </c>
      <c r="D6706">
        <v>0</v>
      </c>
      <c r="E6706">
        <v>0</v>
      </c>
    </row>
    <row r="6707" spans="1:5" x14ac:dyDescent="0.35">
      <c r="A6707">
        <v>0</v>
      </c>
      <c r="B6707">
        <v>0</v>
      </c>
      <c r="C6707">
        <v>0</v>
      </c>
      <c r="D6707">
        <v>0</v>
      </c>
      <c r="E6707">
        <v>0</v>
      </c>
    </row>
    <row r="6708" spans="1:5" x14ac:dyDescent="0.35">
      <c r="A6708">
        <v>0</v>
      </c>
      <c r="B6708">
        <v>0</v>
      </c>
      <c r="C6708">
        <v>0</v>
      </c>
      <c r="D6708">
        <v>0</v>
      </c>
      <c r="E6708">
        <v>0</v>
      </c>
    </row>
    <row r="6709" spans="1:5" x14ac:dyDescent="0.35">
      <c r="A6709">
        <v>0</v>
      </c>
      <c r="B6709">
        <v>0</v>
      </c>
      <c r="C6709">
        <v>0</v>
      </c>
      <c r="D6709">
        <v>0</v>
      </c>
      <c r="E6709">
        <v>0</v>
      </c>
    </row>
    <row r="6710" spans="1:5" x14ac:dyDescent="0.35">
      <c r="A6710">
        <v>0</v>
      </c>
      <c r="B6710">
        <v>0</v>
      </c>
      <c r="C6710">
        <v>0</v>
      </c>
      <c r="D6710">
        <v>0</v>
      </c>
      <c r="E6710">
        <v>0</v>
      </c>
    </row>
    <row r="6711" spans="1:5" x14ac:dyDescent="0.35">
      <c r="A6711">
        <v>0</v>
      </c>
      <c r="B6711">
        <v>0</v>
      </c>
      <c r="C6711">
        <v>0</v>
      </c>
      <c r="D6711">
        <v>0</v>
      </c>
      <c r="E6711">
        <v>0</v>
      </c>
    </row>
    <row r="6712" spans="1:5" x14ac:dyDescent="0.35">
      <c r="A6712">
        <v>0</v>
      </c>
      <c r="B6712">
        <v>0</v>
      </c>
      <c r="C6712">
        <v>0</v>
      </c>
      <c r="D6712">
        <v>0</v>
      </c>
      <c r="E6712">
        <v>0</v>
      </c>
    </row>
    <row r="6713" spans="1:5" x14ac:dyDescent="0.35">
      <c r="A6713">
        <v>0</v>
      </c>
      <c r="B6713">
        <v>0</v>
      </c>
      <c r="C6713">
        <v>0</v>
      </c>
      <c r="D6713">
        <v>0</v>
      </c>
      <c r="E6713">
        <v>0</v>
      </c>
    </row>
    <row r="6714" spans="1:5" x14ac:dyDescent="0.35">
      <c r="A6714">
        <v>0</v>
      </c>
      <c r="B6714">
        <v>0</v>
      </c>
      <c r="C6714">
        <v>0</v>
      </c>
      <c r="D6714">
        <v>0</v>
      </c>
      <c r="E6714">
        <v>0</v>
      </c>
    </row>
    <row r="6715" spans="1:5" x14ac:dyDescent="0.35">
      <c r="A6715">
        <v>0</v>
      </c>
      <c r="B6715">
        <v>0</v>
      </c>
      <c r="C6715">
        <v>0</v>
      </c>
      <c r="D6715">
        <v>0</v>
      </c>
      <c r="E6715">
        <v>0</v>
      </c>
    </row>
    <row r="6716" spans="1:5" x14ac:dyDescent="0.35">
      <c r="A6716">
        <v>0</v>
      </c>
      <c r="B6716">
        <v>0</v>
      </c>
      <c r="C6716">
        <v>0</v>
      </c>
      <c r="D6716">
        <v>0</v>
      </c>
      <c r="E6716">
        <v>0</v>
      </c>
    </row>
    <row r="6717" spans="1:5" x14ac:dyDescent="0.35">
      <c r="A6717">
        <v>0</v>
      </c>
      <c r="B6717">
        <v>0</v>
      </c>
      <c r="C6717">
        <v>0</v>
      </c>
      <c r="D6717">
        <v>0</v>
      </c>
      <c r="E6717">
        <v>0</v>
      </c>
    </row>
    <row r="6718" spans="1:5" x14ac:dyDescent="0.35">
      <c r="A6718">
        <v>0</v>
      </c>
      <c r="B6718">
        <v>0</v>
      </c>
      <c r="C6718">
        <v>0</v>
      </c>
      <c r="D6718">
        <v>0</v>
      </c>
      <c r="E6718">
        <v>0</v>
      </c>
    </row>
    <row r="6719" spans="1:5" x14ac:dyDescent="0.35">
      <c r="A6719">
        <v>0</v>
      </c>
      <c r="B6719">
        <v>0</v>
      </c>
      <c r="C6719">
        <v>0</v>
      </c>
      <c r="D6719">
        <v>0</v>
      </c>
      <c r="E6719">
        <v>0</v>
      </c>
    </row>
    <row r="6720" spans="1:5" x14ac:dyDescent="0.35">
      <c r="A6720">
        <v>0</v>
      </c>
      <c r="B6720">
        <v>0</v>
      </c>
      <c r="C6720">
        <v>0</v>
      </c>
      <c r="D6720">
        <v>0</v>
      </c>
      <c r="E6720">
        <v>0</v>
      </c>
    </row>
    <row r="6721" spans="1:5" x14ac:dyDescent="0.35">
      <c r="A6721">
        <v>0</v>
      </c>
      <c r="B6721">
        <v>0</v>
      </c>
      <c r="C6721">
        <v>0</v>
      </c>
      <c r="D6721">
        <v>0</v>
      </c>
      <c r="E6721">
        <v>0</v>
      </c>
    </row>
    <row r="6722" spans="1:5" x14ac:dyDescent="0.35">
      <c r="A6722">
        <v>0</v>
      </c>
      <c r="B6722">
        <v>0</v>
      </c>
      <c r="C6722">
        <v>0</v>
      </c>
      <c r="D6722">
        <v>0</v>
      </c>
      <c r="E6722">
        <v>0</v>
      </c>
    </row>
    <row r="6723" spans="1:5" x14ac:dyDescent="0.35">
      <c r="A6723">
        <v>0</v>
      </c>
      <c r="B6723">
        <v>0</v>
      </c>
      <c r="C6723">
        <v>0</v>
      </c>
      <c r="D6723">
        <v>0</v>
      </c>
      <c r="E6723">
        <v>0</v>
      </c>
    </row>
    <row r="6724" spans="1:5" x14ac:dyDescent="0.35">
      <c r="A6724">
        <v>0</v>
      </c>
      <c r="B6724">
        <v>0</v>
      </c>
      <c r="C6724">
        <v>0</v>
      </c>
      <c r="D6724">
        <v>0</v>
      </c>
      <c r="E6724">
        <v>0</v>
      </c>
    </row>
    <row r="6725" spans="1:5" x14ac:dyDescent="0.35">
      <c r="A6725">
        <v>0</v>
      </c>
      <c r="B6725">
        <v>0</v>
      </c>
      <c r="C6725">
        <v>0</v>
      </c>
      <c r="D6725">
        <v>0</v>
      </c>
      <c r="E6725">
        <v>0</v>
      </c>
    </row>
    <row r="6726" spans="1:5" x14ac:dyDescent="0.35">
      <c r="A6726">
        <v>0</v>
      </c>
      <c r="B6726">
        <v>0</v>
      </c>
      <c r="C6726">
        <v>0</v>
      </c>
      <c r="D6726">
        <v>0</v>
      </c>
      <c r="E6726">
        <v>0</v>
      </c>
    </row>
    <row r="6727" spans="1:5" x14ac:dyDescent="0.35">
      <c r="A6727">
        <v>0</v>
      </c>
      <c r="B6727">
        <v>0</v>
      </c>
      <c r="C6727">
        <v>0</v>
      </c>
      <c r="D6727">
        <v>0</v>
      </c>
      <c r="E6727">
        <v>0</v>
      </c>
    </row>
    <row r="6728" spans="1:5" x14ac:dyDescent="0.35">
      <c r="A6728">
        <v>0</v>
      </c>
      <c r="B6728">
        <v>0</v>
      </c>
      <c r="C6728">
        <v>0</v>
      </c>
      <c r="D6728">
        <v>0</v>
      </c>
      <c r="E6728">
        <v>0</v>
      </c>
    </row>
    <row r="6729" spans="1:5" x14ac:dyDescent="0.35">
      <c r="A6729">
        <v>0</v>
      </c>
      <c r="B6729">
        <v>0</v>
      </c>
      <c r="C6729">
        <v>0</v>
      </c>
      <c r="D6729">
        <v>0</v>
      </c>
      <c r="E6729">
        <v>0</v>
      </c>
    </row>
    <row r="6730" spans="1:5" x14ac:dyDescent="0.35">
      <c r="A6730">
        <v>0</v>
      </c>
      <c r="B6730">
        <v>0</v>
      </c>
      <c r="C6730">
        <v>0</v>
      </c>
      <c r="D6730">
        <v>0</v>
      </c>
      <c r="E6730">
        <v>0</v>
      </c>
    </row>
    <row r="6731" spans="1:5" x14ac:dyDescent="0.35">
      <c r="A6731">
        <v>0</v>
      </c>
      <c r="B6731">
        <v>0</v>
      </c>
      <c r="C6731">
        <v>0</v>
      </c>
      <c r="D6731">
        <v>0</v>
      </c>
      <c r="E6731">
        <v>0</v>
      </c>
    </row>
    <row r="6732" spans="1:5" x14ac:dyDescent="0.35">
      <c r="A6732">
        <v>0</v>
      </c>
      <c r="B6732">
        <v>0</v>
      </c>
      <c r="C6732">
        <v>0</v>
      </c>
      <c r="D6732">
        <v>0</v>
      </c>
      <c r="E6732">
        <v>0</v>
      </c>
    </row>
    <row r="6733" spans="1:5" x14ac:dyDescent="0.35">
      <c r="A6733">
        <v>0</v>
      </c>
      <c r="B6733">
        <v>0</v>
      </c>
      <c r="C6733">
        <v>0</v>
      </c>
      <c r="D6733">
        <v>0</v>
      </c>
      <c r="E6733">
        <v>0</v>
      </c>
    </row>
    <row r="6734" spans="1:5" x14ac:dyDescent="0.35">
      <c r="A6734">
        <v>0</v>
      </c>
      <c r="B6734">
        <v>0</v>
      </c>
      <c r="C6734">
        <v>0</v>
      </c>
      <c r="D6734">
        <v>0</v>
      </c>
      <c r="E6734">
        <v>0</v>
      </c>
    </row>
    <row r="6735" spans="1:5" x14ac:dyDescent="0.35">
      <c r="A6735">
        <v>0</v>
      </c>
      <c r="B6735">
        <v>0</v>
      </c>
      <c r="C6735">
        <v>0</v>
      </c>
      <c r="D6735">
        <v>0</v>
      </c>
      <c r="E6735">
        <v>0</v>
      </c>
    </row>
    <row r="6736" spans="1:5" x14ac:dyDescent="0.35">
      <c r="A6736">
        <v>0</v>
      </c>
      <c r="B6736">
        <v>0</v>
      </c>
      <c r="C6736">
        <v>0</v>
      </c>
      <c r="D6736">
        <v>0</v>
      </c>
      <c r="E6736">
        <v>0</v>
      </c>
    </row>
    <row r="6737" spans="1:5" x14ac:dyDescent="0.35">
      <c r="A6737">
        <v>0</v>
      </c>
      <c r="B6737">
        <v>0</v>
      </c>
      <c r="C6737">
        <v>0</v>
      </c>
      <c r="D6737">
        <v>0</v>
      </c>
      <c r="E6737">
        <v>0</v>
      </c>
    </row>
    <row r="6738" spans="1:5" x14ac:dyDescent="0.35">
      <c r="A6738">
        <v>0</v>
      </c>
      <c r="B6738">
        <v>0</v>
      </c>
      <c r="C6738">
        <v>0</v>
      </c>
      <c r="D6738">
        <v>0</v>
      </c>
      <c r="E6738">
        <v>0</v>
      </c>
    </row>
    <row r="6739" spans="1:5" x14ac:dyDescent="0.35">
      <c r="A6739">
        <v>0</v>
      </c>
      <c r="B6739">
        <v>0</v>
      </c>
      <c r="C6739">
        <v>0</v>
      </c>
      <c r="D6739">
        <v>0</v>
      </c>
      <c r="E6739">
        <v>0</v>
      </c>
    </row>
    <row r="6740" spans="1:5" x14ac:dyDescent="0.35">
      <c r="A6740">
        <v>0</v>
      </c>
      <c r="B6740">
        <v>0</v>
      </c>
      <c r="C6740">
        <v>0</v>
      </c>
      <c r="D6740">
        <v>0</v>
      </c>
      <c r="E6740">
        <v>0</v>
      </c>
    </row>
    <row r="6741" spans="1:5" x14ac:dyDescent="0.35">
      <c r="A6741">
        <v>0</v>
      </c>
      <c r="B6741">
        <v>0</v>
      </c>
      <c r="C6741">
        <v>0</v>
      </c>
      <c r="D6741">
        <v>0</v>
      </c>
      <c r="E6741">
        <v>0</v>
      </c>
    </row>
    <row r="6742" spans="1:5" x14ac:dyDescent="0.35">
      <c r="A6742">
        <v>0</v>
      </c>
      <c r="B6742">
        <v>0</v>
      </c>
      <c r="C6742">
        <v>0</v>
      </c>
      <c r="D6742">
        <v>0</v>
      </c>
      <c r="E6742">
        <v>0</v>
      </c>
    </row>
    <row r="6743" spans="1:5" x14ac:dyDescent="0.35">
      <c r="A6743">
        <v>0</v>
      </c>
      <c r="B6743">
        <v>0</v>
      </c>
      <c r="C6743">
        <v>0</v>
      </c>
      <c r="D6743">
        <v>0</v>
      </c>
      <c r="E6743">
        <v>0</v>
      </c>
    </row>
    <row r="6744" spans="1:5" x14ac:dyDescent="0.35">
      <c r="A6744">
        <v>0</v>
      </c>
      <c r="B6744">
        <v>0</v>
      </c>
      <c r="C6744">
        <v>0</v>
      </c>
      <c r="D6744">
        <v>0</v>
      </c>
      <c r="E6744">
        <v>0</v>
      </c>
    </row>
    <row r="6745" spans="1:5" x14ac:dyDescent="0.35">
      <c r="A6745">
        <v>0</v>
      </c>
      <c r="B6745">
        <v>0</v>
      </c>
      <c r="C6745">
        <v>0</v>
      </c>
      <c r="D6745">
        <v>0</v>
      </c>
      <c r="E6745">
        <v>0</v>
      </c>
    </row>
    <row r="6746" spans="1:5" x14ac:dyDescent="0.35">
      <c r="A6746">
        <v>0</v>
      </c>
      <c r="B6746">
        <v>0</v>
      </c>
      <c r="C6746">
        <v>0</v>
      </c>
      <c r="D6746">
        <v>0</v>
      </c>
      <c r="E6746">
        <v>0</v>
      </c>
    </row>
    <row r="6747" spans="1:5" x14ac:dyDescent="0.35">
      <c r="A6747">
        <v>0</v>
      </c>
      <c r="B6747">
        <v>0</v>
      </c>
      <c r="C6747">
        <v>0</v>
      </c>
      <c r="D6747">
        <v>0</v>
      </c>
      <c r="E6747">
        <v>0</v>
      </c>
    </row>
    <row r="6748" spans="1:5" x14ac:dyDescent="0.35">
      <c r="A6748">
        <v>0</v>
      </c>
      <c r="B6748">
        <v>0</v>
      </c>
      <c r="C6748">
        <v>0</v>
      </c>
      <c r="D6748">
        <v>0</v>
      </c>
      <c r="E6748">
        <v>0</v>
      </c>
    </row>
    <row r="6749" spans="1:5" x14ac:dyDescent="0.35">
      <c r="A6749">
        <v>0</v>
      </c>
      <c r="B6749">
        <v>0</v>
      </c>
      <c r="C6749">
        <v>0</v>
      </c>
      <c r="D6749">
        <v>0</v>
      </c>
      <c r="E6749">
        <v>0</v>
      </c>
    </row>
    <row r="6750" spans="1:5" x14ac:dyDescent="0.35">
      <c r="A6750">
        <v>0</v>
      </c>
      <c r="B6750">
        <v>0</v>
      </c>
      <c r="C6750">
        <v>0</v>
      </c>
      <c r="D6750">
        <v>0</v>
      </c>
      <c r="E6750">
        <v>0</v>
      </c>
    </row>
    <row r="6751" spans="1:5" x14ac:dyDescent="0.35">
      <c r="A6751">
        <v>0</v>
      </c>
      <c r="B6751">
        <v>0</v>
      </c>
      <c r="C6751">
        <v>0</v>
      </c>
      <c r="D6751">
        <v>0</v>
      </c>
      <c r="E6751">
        <v>0</v>
      </c>
    </row>
    <row r="6752" spans="1:5" x14ac:dyDescent="0.35">
      <c r="A6752">
        <v>0</v>
      </c>
      <c r="B6752">
        <v>0</v>
      </c>
      <c r="C6752">
        <v>0</v>
      </c>
      <c r="D6752">
        <v>0</v>
      </c>
      <c r="E6752">
        <v>0</v>
      </c>
    </row>
    <row r="6753" spans="1:5" x14ac:dyDescent="0.35">
      <c r="A6753">
        <v>0</v>
      </c>
      <c r="B6753">
        <v>0</v>
      </c>
      <c r="C6753">
        <v>0</v>
      </c>
      <c r="D6753">
        <v>0</v>
      </c>
      <c r="E6753">
        <v>0</v>
      </c>
    </row>
    <row r="6754" spans="1:5" x14ac:dyDescent="0.35">
      <c r="A6754">
        <v>0</v>
      </c>
      <c r="B6754">
        <v>0</v>
      </c>
      <c r="C6754">
        <v>0</v>
      </c>
      <c r="D6754">
        <v>0</v>
      </c>
      <c r="E6754">
        <v>0</v>
      </c>
    </row>
    <row r="6755" spans="1:5" x14ac:dyDescent="0.35">
      <c r="A6755">
        <v>0</v>
      </c>
      <c r="B6755">
        <v>0</v>
      </c>
      <c r="C6755">
        <v>0</v>
      </c>
      <c r="D6755">
        <v>0</v>
      </c>
      <c r="E6755">
        <v>0</v>
      </c>
    </row>
    <row r="6756" spans="1:5" x14ac:dyDescent="0.35">
      <c r="A6756">
        <v>0</v>
      </c>
      <c r="B6756">
        <v>0</v>
      </c>
      <c r="C6756">
        <v>0</v>
      </c>
      <c r="D6756">
        <v>0</v>
      </c>
      <c r="E6756">
        <v>0</v>
      </c>
    </row>
    <row r="6757" spans="1:5" x14ac:dyDescent="0.35">
      <c r="A6757">
        <v>0</v>
      </c>
      <c r="B6757">
        <v>0</v>
      </c>
      <c r="C6757">
        <v>0</v>
      </c>
      <c r="D6757">
        <v>0</v>
      </c>
      <c r="E6757">
        <v>0</v>
      </c>
    </row>
    <row r="6758" spans="1:5" x14ac:dyDescent="0.35">
      <c r="A6758">
        <v>0</v>
      </c>
      <c r="B6758">
        <v>0</v>
      </c>
      <c r="C6758">
        <v>0</v>
      </c>
      <c r="D6758">
        <v>0</v>
      </c>
      <c r="E6758">
        <v>0</v>
      </c>
    </row>
    <row r="6759" spans="1:5" x14ac:dyDescent="0.35">
      <c r="A6759">
        <v>0</v>
      </c>
      <c r="B6759">
        <v>0</v>
      </c>
      <c r="C6759">
        <v>0</v>
      </c>
      <c r="D6759">
        <v>0</v>
      </c>
      <c r="E6759">
        <v>0</v>
      </c>
    </row>
    <row r="6760" spans="1:5" x14ac:dyDescent="0.35">
      <c r="A6760">
        <v>0</v>
      </c>
      <c r="B6760">
        <v>0</v>
      </c>
      <c r="C6760">
        <v>0</v>
      </c>
      <c r="D6760">
        <v>0</v>
      </c>
      <c r="E6760">
        <v>0</v>
      </c>
    </row>
    <row r="6761" spans="1:5" x14ac:dyDescent="0.35">
      <c r="A6761">
        <v>0</v>
      </c>
      <c r="B6761">
        <v>0</v>
      </c>
      <c r="C6761">
        <v>0</v>
      </c>
      <c r="D6761">
        <v>0</v>
      </c>
      <c r="E6761">
        <v>0</v>
      </c>
    </row>
    <row r="6762" spans="1:5" x14ac:dyDescent="0.35">
      <c r="A6762">
        <v>0</v>
      </c>
      <c r="B6762">
        <v>0</v>
      </c>
      <c r="C6762">
        <v>0</v>
      </c>
      <c r="D6762">
        <v>0</v>
      </c>
      <c r="E6762">
        <v>0</v>
      </c>
    </row>
    <row r="6763" spans="1:5" x14ac:dyDescent="0.35">
      <c r="A6763">
        <v>0</v>
      </c>
      <c r="B6763">
        <v>0</v>
      </c>
      <c r="C6763">
        <v>0</v>
      </c>
      <c r="D6763">
        <v>0</v>
      </c>
      <c r="E6763">
        <v>0</v>
      </c>
    </row>
    <row r="6764" spans="1:5" x14ac:dyDescent="0.35">
      <c r="A6764">
        <v>0</v>
      </c>
      <c r="B6764">
        <v>0</v>
      </c>
      <c r="C6764">
        <v>0</v>
      </c>
      <c r="D6764">
        <v>0</v>
      </c>
      <c r="E6764">
        <v>0</v>
      </c>
    </row>
    <row r="6765" spans="1:5" x14ac:dyDescent="0.35">
      <c r="A6765">
        <v>0</v>
      </c>
      <c r="B6765">
        <v>0</v>
      </c>
      <c r="C6765">
        <v>0</v>
      </c>
      <c r="D6765">
        <v>0</v>
      </c>
      <c r="E6765">
        <v>0</v>
      </c>
    </row>
    <row r="6766" spans="1:5" x14ac:dyDescent="0.35">
      <c r="A6766">
        <v>0</v>
      </c>
      <c r="B6766">
        <v>0</v>
      </c>
      <c r="C6766">
        <v>0</v>
      </c>
      <c r="D6766">
        <v>0</v>
      </c>
      <c r="E6766">
        <v>0</v>
      </c>
    </row>
    <row r="6767" spans="1:5" x14ac:dyDescent="0.35">
      <c r="A6767">
        <v>0</v>
      </c>
      <c r="B6767">
        <v>0</v>
      </c>
      <c r="C6767">
        <v>0</v>
      </c>
      <c r="D6767">
        <v>0</v>
      </c>
      <c r="E6767">
        <v>0</v>
      </c>
    </row>
    <row r="6768" spans="1:5" x14ac:dyDescent="0.35">
      <c r="A6768">
        <v>0</v>
      </c>
      <c r="B6768">
        <v>0</v>
      </c>
      <c r="C6768">
        <v>0</v>
      </c>
      <c r="D6768">
        <v>0</v>
      </c>
      <c r="E6768">
        <v>0</v>
      </c>
    </row>
    <row r="6769" spans="1:5" x14ac:dyDescent="0.35">
      <c r="A6769">
        <v>0</v>
      </c>
      <c r="B6769">
        <v>0</v>
      </c>
      <c r="C6769">
        <v>0</v>
      </c>
      <c r="D6769">
        <v>0</v>
      </c>
      <c r="E6769">
        <v>0</v>
      </c>
    </row>
    <row r="6770" spans="1:5" x14ac:dyDescent="0.35">
      <c r="A6770">
        <v>0</v>
      </c>
      <c r="B6770">
        <v>0</v>
      </c>
      <c r="C6770">
        <v>0</v>
      </c>
      <c r="D6770">
        <v>0</v>
      </c>
      <c r="E6770">
        <v>0</v>
      </c>
    </row>
    <row r="6771" spans="1:5" x14ac:dyDescent="0.35">
      <c r="A6771">
        <v>0</v>
      </c>
      <c r="B6771">
        <v>0</v>
      </c>
      <c r="C6771">
        <v>0</v>
      </c>
      <c r="D6771">
        <v>0</v>
      </c>
      <c r="E6771">
        <v>0</v>
      </c>
    </row>
    <row r="6772" spans="1:5" x14ac:dyDescent="0.35">
      <c r="A6772">
        <v>0</v>
      </c>
      <c r="B6772">
        <v>0</v>
      </c>
      <c r="C6772">
        <v>0</v>
      </c>
      <c r="D6772">
        <v>0</v>
      </c>
      <c r="E6772">
        <v>0</v>
      </c>
    </row>
    <row r="6773" spans="1:5" x14ac:dyDescent="0.35">
      <c r="A6773">
        <v>0</v>
      </c>
      <c r="B6773">
        <v>0</v>
      </c>
      <c r="C6773">
        <v>0</v>
      </c>
      <c r="D6773">
        <v>0</v>
      </c>
      <c r="E6773">
        <v>0</v>
      </c>
    </row>
    <row r="6774" spans="1:5" x14ac:dyDescent="0.35">
      <c r="A6774">
        <v>0</v>
      </c>
      <c r="B6774">
        <v>0</v>
      </c>
      <c r="C6774">
        <v>0</v>
      </c>
      <c r="D6774">
        <v>0</v>
      </c>
      <c r="E6774">
        <v>0</v>
      </c>
    </row>
    <row r="6775" spans="1:5" x14ac:dyDescent="0.35">
      <c r="A6775">
        <v>0</v>
      </c>
      <c r="B6775">
        <v>0</v>
      </c>
      <c r="C6775">
        <v>0</v>
      </c>
      <c r="D6775">
        <v>0</v>
      </c>
      <c r="E6775">
        <v>0</v>
      </c>
    </row>
    <row r="6776" spans="1:5" x14ac:dyDescent="0.35">
      <c r="A6776">
        <v>0</v>
      </c>
      <c r="B6776">
        <v>0</v>
      </c>
      <c r="C6776">
        <v>0</v>
      </c>
      <c r="D6776">
        <v>0</v>
      </c>
      <c r="E6776">
        <v>0</v>
      </c>
    </row>
    <row r="6777" spans="1:5" x14ac:dyDescent="0.35">
      <c r="A6777">
        <v>0</v>
      </c>
      <c r="B6777">
        <v>0</v>
      </c>
      <c r="C6777">
        <v>0</v>
      </c>
      <c r="D6777">
        <v>0</v>
      </c>
      <c r="E6777">
        <v>0</v>
      </c>
    </row>
    <row r="6778" spans="1:5" x14ac:dyDescent="0.35">
      <c r="A6778">
        <v>0</v>
      </c>
      <c r="B6778">
        <v>0</v>
      </c>
      <c r="C6778">
        <v>0</v>
      </c>
      <c r="D6778">
        <v>0</v>
      </c>
      <c r="E6778">
        <v>0</v>
      </c>
    </row>
    <row r="6779" spans="1:5" x14ac:dyDescent="0.35">
      <c r="A6779">
        <v>0</v>
      </c>
      <c r="B6779">
        <v>0</v>
      </c>
      <c r="C6779">
        <v>0</v>
      </c>
      <c r="D6779">
        <v>0</v>
      </c>
      <c r="E6779">
        <v>0</v>
      </c>
    </row>
    <row r="6780" spans="1:5" x14ac:dyDescent="0.35">
      <c r="A6780">
        <v>0</v>
      </c>
      <c r="B6780">
        <v>0</v>
      </c>
      <c r="C6780">
        <v>0</v>
      </c>
      <c r="D6780">
        <v>0</v>
      </c>
      <c r="E6780">
        <v>0</v>
      </c>
    </row>
    <row r="6781" spans="1:5" x14ac:dyDescent="0.35">
      <c r="A6781">
        <v>0</v>
      </c>
      <c r="B6781">
        <v>0</v>
      </c>
      <c r="C6781">
        <v>0</v>
      </c>
      <c r="D6781">
        <v>0</v>
      </c>
      <c r="E6781">
        <v>0</v>
      </c>
    </row>
    <row r="6782" spans="1:5" x14ac:dyDescent="0.35">
      <c r="A6782">
        <v>0</v>
      </c>
      <c r="B6782">
        <v>0</v>
      </c>
      <c r="C6782">
        <v>0</v>
      </c>
      <c r="D6782">
        <v>0</v>
      </c>
      <c r="E6782">
        <v>0</v>
      </c>
    </row>
    <row r="6783" spans="1:5" x14ac:dyDescent="0.35">
      <c r="A6783">
        <v>0</v>
      </c>
      <c r="B6783">
        <v>0</v>
      </c>
      <c r="C6783">
        <v>0</v>
      </c>
      <c r="D6783">
        <v>0</v>
      </c>
      <c r="E6783">
        <v>0</v>
      </c>
    </row>
    <row r="6784" spans="1:5" x14ac:dyDescent="0.35">
      <c r="A6784">
        <v>0</v>
      </c>
      <c r="B6784">
        <v>0</v>
      </c>
      <c r="C6784">
        <v>0</v>
      </c>
      <c r="D6784">
        <v>0</v>
      </c>
      <c r="E6784">
        <v>0</v>
      </c>
    </row>
    <row r="6785" spans="1:5" x14ac:dyDescent="0.35">
      <c r="A6785">
        <v>0</v>
      </c>
      <c r="B6785">
        <v>0</v>
      </c>
      <c r="C6785">
        <v>0</v>
      </c>
      <c r="D6785">
        <v>0</v>
      </c>
      <c r="E6785">
        <v>0</v>
      </c>
    </row>
    <row r="6786" spans="1:5" x14ac:dyDescent="0.35">
      <c r="A6786">
        <v>0</v>
      </c>
      <c r="B6786">
        <v>0</v>
      </c>
      <c r="C6786">
        <v>0</v>
      </c>
      <c r="D6786">
        <v>0</v>
      </c>
      <c r="E6786">
        <v>0</v>
      </c>
    </row>
    <row r="6787" spans="1:5" x14ac:dyDescent="0.35">
      <c r="A6787">
        <v>0</v>
      </c>
      <c r="B6787">
        <v>0</v>
      </c>
      <c r="C6787">
        <v>0</v>
      </c>
      <c r="D6787">
        <v>0</v>
      </c>
      <c r="E6787">
        <v>0</v>
      </c>
    </row>
    <row r="6788" spans="1:5" x14ac:dyDescent="0.35">
      <c r="A6788">
        <v>0</v>
      </c>
      <c r="B6788">
        <v>0</v>
      </c>
      <c r="C6788">
        <v>0</v>
      </c>
      <c r="D6788">
        <v>0</v>
      </c>
      <c r="E6788">
        <v>0</v>
      </c>
    </row>
    <row r="6789" spans="1:5" x14ac:dyDescent="0.35">
      <c r="A6789">
        <v>0</v>
      </c>
      <c r="B6789">
        <v>0</v>
      </c>
      <c r="C6789">
        <v>0</v>
      </c>
      <c r="D6789">
        <v>0</v>
      </c>
      <c r="E6789">
        <v>0</v>
      </c>
    </row>
    <row r="6790" spans="1:5" x14ac:dyDescent="0.35">
      <c r="A6790">
        <v>0</v>
      </c>
      <c r="B6790">
        <v>0</v>
      </c>
      <c r="C6790">
        <v>0</v>
      </c>
      <c r="D6790">
        <v>0</v>
      </c>
      <c r="E6790">
        <v>0</v>
      </c>
    </row>
    <row r="6791" spans="1:5" x14ac:dyDescent="0.35">
      <c r="A6791">
        <v>0</v>
      </c>
      <c r="B6791">
        <v>0</v>
      </c>
      <c r="C6791">
        <v>0</v>
      </c>
      <c r="D6791">
        <v>0</v>
      </c>
      <c r="E6791">
        <v>0</v>
      </c>
    </row>
    <row r="6792" spans="1:5" x14ac:dyDescent="0.35">
      <c r="A6792">
        <v>0</v>
      </c>
      <c r="B6792">
        <v>0</v>
      </c>
      <c r="C6792">
        <v>0</v>
      </c>
      <c r="D6792">
        <v>0</v>
      </c>
      <c r="E6792">
        <v>0</v>
      </c>
    </row>
    <row r="6793" spans="1:5" x14ac:dyDescent="0.35">
      <c r="A6793">
        <v>0</v>
      </c>
      <c r="B6793">
        <v>0</v>
      </c>
      <c r="C6793">
        <v>0</v>
      </c>
      <c r="D6793">
        <v>0</v>
      </c>
      <c r="E6793">
        <v>0</v>
      </c>
    </row>
    <row r="6794" spans="1:5" x14ac:dyDescent="0.35">
      <c r="A6794">
        <v>0</v>
      </c>
      <c r="B6794">
        <v>0</v>
      </c>
      <c r="C6794">
        <v>0</v>
      </c>
      <c r="D6794">
        <v>0</v>
      </c>
      <c r="E6794">
        <v>0</v>
      </c>
    </row>
    <row r="6795" spans="1:5" x14ac:dyDescent="0.35">
      <c r="A6795">
        <v>0</v>
      </c>
      <c r="B6795">
        <v>0</v>
      </c>
      <c r="C6795">
        <v>0</v>
      </c>
      <c r="D6795">
        <v>0</v>
      </c>
      <c r="E6795">
        <v>0</v>
      </c>
    </row>
    <row r="6796" spans="1:5" x14ac:dyDescent="0.35">
      <c r="A6796">
        <v>0</v>
      </c>
      <c r="B6796">
        <v>0</v>
      </c>
      <c r="C6796">
        <v>0</v>
      </c>
      <c r="D6796">
        <v>0</v>
      </c>
      <c r="E6796">
        <v>0</v>
      </c>
    </row>
    <row r="6797" spans="1:5" x14ac:dyDescent="0.35">
      <c r="A6797">
        <v>0</v>
      </c>
      <c r="B6797">
        <v>0</v>
      </c>
      <c r="C6797">
        <v>0</v>
      </c>
      <c r="D6797">
        <v>0</v>
      </c>
      <c r="E6797">
        <v>0</v>
      </c>
    </row>
    <row r="6798" spans="1:5" x14ac:dyDescent="0.35">
      <c r="A6798">
        <v>0</v>
      </c>
      <c r="B6798">
        <v>0</v>
      </c>
      <c r="C6798">
        <v>0</v>
      </c>
      <c r="D6798">
        <v>0</v>
      </c>
      <c r="E6798">
        <v>0</v>
      </c>
    </row>
    <row r="6799" spans="1:5" x14ac:dyDescent="0.35">
      <c r="A6799">
        <v>0</v>
      </c>
      <c r="B6799">
        <v>0</v>
      </c>
      <c r="C6799">
        <v>0</v>
      </c>
      <c r="D6799">
        <v>0</v>
      </c>
      <c r="E6799">
        <v>0</v>
      </c>
    </row>
    <row r="6800" spans="1:5" x14ac:dyDescent="0.35">
      <c r="A6800">
        <v>0</v>
      </c>
      <c r="B6800">
        <v>0</v>
      </c>
      <c r="C6800">
        <v>0</v>
      </c>
      <c r="D6800">
        <v>0</v>
      </c>
      <c r="E6800">
        <v>0</v>
      </c>
    </row>
    <row r="6801" spans="1:5" x14ac:dyDescent="0.35">
      <c r="A6801">
        <v>0</v>
      </c>
      <c r="B6801">
        <v>0</v>
      </c>
      <c r="C6801">
        <v>0</v>
      </c>
      <c r="D6801">
        <v>0</v>
      </c>
      <c r="E6801">
        <v>0</v>
      </c>
    </row>
    <row r="6802" spans="1:5" x14ac:dyDescent="0.35">
      <c r="A6802">
        <v>0</v>
      </c>
      <c r="B6802">
        <v>0</v>
      </c>
      <c r="C6802">
        <v>0</v>
      </c>
      <c r="D6802">
        <v>0</v>
      </c>
      <c r="E6802">
        <v>0</v>
      </c>
    </row>
    <row r="6803" spans="1:5" x14ac:dyDescent="0.35">
      <c r="A6803">
        <v>0</v>
      </c>
      <c r="B6803">
        <v>0</v>
      </c>
      <c r="C6803">
        <v>0</v>
      </c>
      <c r="D6803">
        <v>0</v>
      </c>
      <c r="E6803">
        <v>0</v>
      </c>
    </row>
    <row r="6804" spans="1:5" x14ac:dyDescent="0.35">
      <c r="A6804">
        <v>0</v>
      </c>
      <c r="B6804">
        <v>0</v>
      </c>
      <c r="C6804">
        <v>0</v>
      </c>
      <c r="D6804">
        <v>0</v>
      </c>
      <c r="E6804">
        <v>0</v>
      </c>
    </row>
    <row r="6805" spans="1:5" x14ac:dyDescent="0.35">
      <c r="A6805">
        <v>0</v>
      </c>
      <c r="B6805">
        <v>0</v>
      </c>
      <c r="C6805">
        <v>0</v>
      </c>
      <c r="D6805">
        <v>0</v>
      </c>
      <c r="E6805">
        <v>0</v>
      </c>
    </row>
    <row r="6806" spans="1:5" x14ac:dyDescent="0.35">
      <c r="A6806">
        <v>0</v>
      </c>
      <c r="B6806">
        <v>0</v>
      </c>
      <c r="C6806">
        <v>0</v>
      </c>
      <c r="D6806">
        <v>0</v>
      </c>
      <c r="E6806">
        <v>0</v>
      </c>
    </row>
    <row r="6807" spans="1:5" x14ac:dyDescent="0.35">
      <c r="A6807">
        <v>0</v>
      </c>
      <c r="B6807">
        <v>0</v>
      </c>
      <c r="C6807">
        <v>0</v>
      </c>
      <c r="D6807">
        <v>0</v>
      </c>
      <c r="E6807">
        <v>0</v>
      </c>
    </row>
    <row r="6808" spans="1:5" x14ac:dyDescent="0.35">
      <c r="A6808">
        <v>0</v>
      </c>
      <c r="B6808">
        <v>0</v>
      </c>
      <c r="C6808">
        <v>0</v>
      </c>
      <c r="D6808">
        <v>0</v>
      </c>
      <c r="E6808">
        <v>0</v>
      </c>
    </row>
    <row r="6809" spans="1:5" x14ac:dyDescent="0.35">
      <c r="A6809">
        <v>0</v>
      </c>
      <c r="B6809">
        <v>0</v>
      </c>
      <c r="C6809">
        <v>0</v>
      </c>
      <c r="D6809">
        <v>0</v>
      </c>
      <c r="E6809">
        <v>0</v>
      </c>
    </row>
    <row r="6810" spans="1:5" x14ac:dyDescent="0.35">
      <c r="A6810">
        <v>0</v>
      </c>
      <c r="B6810">
        <v>0</v>
      </c>
      <c r="C6810">
        <v>0</v>
      </c>
      <c r="D6810">
        <v>0</v>
      </c>
      <c r="E6810">
        <v>0</v>
      </c>
    </row>
    <row r="6811" spans="1:5" x14ac:dyDescent="0.35">
      <c r="A6811">
        <v>0</v>
      </c>
      <c r="B6811">
        <v>0</v>
      </c>
      <c r="C6811">
        <v>0</v>
      </c>
      <c r="D6811">
        <v>0</v>
      </c>
      <c r="E6811">
        <v>0</v>
      </c>
    </row>
    <row r="6812" spans="1:5" x14ac:dyDescent="0.35">
      <c r="A6812">
        <v>0</v>
      </c>
      <c r="B6812">
        <v>0</v>
      </c>
      <c r="C6812">
        <v>0</v>
      </c>
      <c r="D6812">
        <v>0</v>
      </c>
      <c r="E6812">
        <v>0</v>
      </c>
    </row>
    <row r="6813" spans="1:5" x14ac:dyDescent="0.35">
      <c r="A6813">
        <v>0</v>
      </c>
      <c r="B6813">
        <v>0</v>
      </c>
      <c r="C6813">
        <v>0</v>
      </c>
      <c r="D6813">
        <v>0</v>
      </c>
      <c r="E6813">
        <v>0</v>
      </c>
    </row>
    <row r="6814" spans="1:5" x14ac:dyDescent="0.35">
      <c r="A6814">
        <v>0</v>
      </c>
      <c r="B6814">
        <v>0</v>
      </c>
      <c r="C6814">
        <v>0</v>
      </c>
      <c r="D6814">
        <v>0</v>
      </c>
      <c r="E6814">
        <v>0</v>
      </c>
    </row>
    <row r="6815" spans="1:5" x14ac:dyDescent="0.35">
      <c r="A6815">
        <v>0</v>
      </c>
      <c r="B6815">
        <v>0</v>
      </c>
      <c r="C6815">
        <v>0</v>
      </c>
      <c r="D6815">
        <v>0</v>
      </c>
      <c r="E6815">
        <v>0</v>
      </c>
    </row>
    <row r="6816" spans="1:5" x14ac:dyDescent="0.35">
      <c r="A6816">
        <v>0</v>
      </c>
      <c r="B6816">
        <v>0</v>
      </c>
      <c r="C6816">
        <v>0</v>
      </c>
      <c r="D6816">
        <v>0</v>
      </c>
      <c r="E6816">
        <v>0</v>
      </c>
    </row>
    <row r="6817" spans="1:5" x14ac:dyDescent="0.35">
      <c r="A6817">
        <v>0</v>
      </c>
      <c r="B6817">
        <v>0</v>
      </c>
      <c r="C6817">
        <v>0</v>
      </c>
      <c r="D6817">
        <v>0</v>
      </c>
      <c r="E6817">
        <v>0</v>
      </c>
    </row>
    <row r="6818" spans="1:5" x14ac:dyDescent="0.35">
      <c r="A6818">
        <v>0</v>
      </c>
      <c r="B6818">
        <v>0</v>
      </c>
      <c r="C6818">
        <v>0</v>
      </c>
      <c r="D6818">
        <v>0</v>
      </c>
      <c r="E6818">
        <v>0</v>
      </c>
    </row>
    <row r="6819" spans="1:5" x14ac:dyDescent="0.35">
      <c r="A6819">
        <v>0</v>
      </c>
      <c r="B6819">
        <v>0</v>
      </c>
      <c r="C6819">
        <v>0</v>
      </c>
      <c r="D6819">
        <v>0</v>
      </c>
      <c r="E6819">
        <v>0</v>
      </c>
    </row>
    <row r="6820" spans="1:5" x14ac:dyDescent="0.35">
      <c r="A6820">
        <v>0</v>
      </c>
      <c r="B6820">
        <v>0</v>
      </c>
      <c r="C6820">
        <v>0</v>
      </c>
      <c r="D6820">
        <v>0</v>
      </c>
      <c r="E6820">
        <v>0</v>
      </c>
    </row>
    <row r="6821" spans="1:5" x14ac:dyDescent="0.35">
      <c r="A6821">
        <v>0</v>
      </c>
      <c r="B6821">
        <v>0</v>
      </c>
      <c r="C6821">
        <v>0</v>
      </c>
      <c r="D6821">
        <v>0</v>
      </c>
      <c r="E6821">
        <v>0</v>
      </c>
    </row>
    <row r="6822" spans="1:5" x14ac:dyDescent="0.35">
      <c r="A6822">
        <v>0</v>
      </c>
      <c r="B6822">
        <v>0</v>
      </c>
      <c r="C6822">
        <v>0</v>
      </c>
      <c r="D6822">
        <v>0</v>
      </c>
      <c r="E6822">
        <v>0</v>
      </c>
    </row>
    <row r="6823" spans="1:5" x14ac:dyDescent="0.35">
      <c r="A6823">
        <v>0</v>
      </c>
      <c r="B6823">
        <v>0</v>
      </c>
      <c r="C6823">
        <v>0</v>
      </c>
      <c r="D6823">
        <v>0</v>
      </c>
      <c r="E6823">
        <v>0</v>
      </c>
    </row>
    <row r="6824" spans="1:5" x14ac:dyDescent="0.35">
      <c r="A6824">
        <v>0</v>
      </c>
      <c r="B6824">
        <v>0</v>
      </c>
      <c r="C6824">
        <v>0</v>
      </c>
      <c r="D6824">
        <v>0</v>
      </c>
      <c r="E6824">
        <v>0</v>
      </c>
    </row>
    <row r="6825" spans="1:5" x14ac:dyDescent="0.35">
      <c r="A6825">
        <v>0</v>
      </c>
      <c r="B6825">
        <v>0</v>
      </c>
      <c r="C6825">
        <v>0</v>
      </c>
      <c r="D6825">
        <v>0</v>
      </c>
      <c r="E6825">
        <v>0</v>
      </c>
    </row>
    <row r="6826" spans="1:5" x14ac:dyDescent="0.35">
      <c r="A6826">
        <v>0</v>
      </c>
      <c r="B6826">
        <v>0</v>
      </c>
      <c r="C6826">
        <v>0</v>
      </c>
      <c r="D6826">
        <v>0</v>
      </c>
      <c r="E6826">
        <v>0</v>
      </c>
    </row>
    <row r="6827" spans="1:5" x14ac:dyDescent="0.35">
      <c r="A6827">
        <v>0</v>
      </c>
      <c r="B6827">
        <v>0</v>
      </c>
      <c r="C6827">
        <v>0</v>
      </c>
      <c r="D6827">
        <v>0</v>
      </c>
      <c r="E6827">
        <v>0</v>
      </c>
    </row>
    <row r="6828" spans="1:5" x14ac:dyDescent="0.35">
      <c r="A6828">
        <v>0</v>
      </c>
      <c r="B6828">
        <v>0</v>
      </c>
      <c r="C6828">
        <v>0</v>
      </c>
      <c r="D6828">
        <v>0</v>
      </c>
      <c r="E6828">
        <v>0</v>
      </c>
    </row>
    <row r="6829" spans="1:5" x14ac:dyDescent="0.35">
      <c r="A6829">
        <v>0</v>
      </c>
      <c r="B6829">
        <v>0</v>
      </c>
      <c r="C6829">
        <v>0</v>
      </c>
      <c r="D6829">
        <v>0</v>
      </c>
      <c r="E6829">
        <v>0</v>
      </c>
    </row>
    <row r="6830" spans="1:5" x14ac:dyDescent="0.35">
      <c r="A6830">
        <v>0</v>
      </c>
      <c r="B6830">
        <v>0</v>
      </c>
      <c r="C6830">
        <v>0</v>
      </c>
      <c r="D6830">
        <v>0</v>
      </c>
      <c r="E6830">
        <v>0</v>
      </c>
    </row>
    <row r="6831" spans="1:5" x14ac:dyDescent="0.35">
      <c r="A6831">
        <v>0</v>
      </c>
      <c r="B6831">
        <v>0</v>
      </c>
      <c r="C6831">
        <v>0</v>
      </c>
      <c r="D6831">
        <v>0</v>
      </c>
      <c r="E6831">
        <v>0</v>
      </c>
    </row>
    <row r="6832" spans="1:5" x14ac:dyDescent="0.35">
      <c r="A6832">
        <v>0</v>
      </c>
      <c r="B6832">
        <v>0</v>
      </c>
      <c r="C6832">
        <v>0</v>
      </c>
      <c r="D6832">
        <v>0</v>
      </c>
      <c r="E6832">
        <v>0</v>
      </c>
    </row>
    <row r="6833" spans="1:5" x14ac:dyDescent="0.35">
      <c r="A6833">
        <v>0</v>
      </c>
      <c r="B6833">
        <v>0</v>
      </c>
      <c r="C6833">
        <v>0</v>
      </c>
      <c r="D6833">
        <v>0</v>
      </c>
      <c r="E6833">
        <v>0</v>
      </c>
    </row>
    <row r="6834" spans="1:5" x14ac:dyDescent="0.35">
      <c r="A6834">
        <v>0</v>
      </c>
      <c r="B6834">
        <v>0</v>
      </c>
      <c r="C6834">
        <v>0</v>
      </c>
      <c r="D6834">
        <v>0</v>
      </c>
      <c r="E6834">
        <v>0</v>
      </c>
    </row>
    <row r="6835" spans="1:5" x14ac:dyDescent="0.35">
      <c r="A6835">
        <v>0</v>
      </c>
      <c r="B6835">
        <v>0</v>
      </c>
      <c r="C6835">
        <v>0</v>
      </c>
      <c r="D6835">
        <v>0</v>
      </c>
      <c r="E6835">
        <v>0</v>
      </c>
    </row>
    <row r="6836" spans="1:5" x14ac:dyDescent="0.35">
      <c r="A6836">
        <v>0</v>
      </c>
      <c r="B6836">
        <v>0</v>
      </c>
      <c r="C6836">
        <v>0</v>
      </c>
      <c r="D6836">
        <v>0</v>
      </c>
      <c r="E6836">
        <v>0</v>
      </c>
    </row>
    <row r="6837" spans="1:5" x14ac:dyDescent="0.35">
      <c r="A6837">
        <v>0</v>
      </c>
      <c r="B6837">
        <v>0</v>
      </c>
      <c r="C6837">
        <v>0</v>
      </c>
      <c r="D6837">
        <v>0</v>
      </c>
      <c r="E6837">
        <v>0</v>
      </c>
    </row>
    <row r="6838" spans="1:5" x14ac:dyDescent="0.35">
      <c r="A6838">
        <v>0</v>
      </c>
      <c r="B6838">
        <v>0</v>
      </c>
      <c r="C6838">
        <v>0</v>
      </c>
      <c r="D6838">
        <v>0</v>
      </c>
      <c r="E6838">
        <v>0</v>
      </c>
    </row>
    <row r="6839" spans="1:5" x14ac:dyDescent="0.35">
      <c r="A6839">
        <v>0</v>
      </c>
      <c r="B6839">
        <v>0</v>
      </c>
      <c r="C6839">
        <v>0</v>
      </c>
      <c r="D6839">
        <v>0</v>
      </c>
      <c r="E6839">
        <v>0</v>
      </c>
    </row>
    <row r="6840" spans="1:5" x14ac:dyDescent="0.35">
      <c r="A6840">
        <v>0</v>
      </c>
      <c r="B6840">
        <v>0</v>
      </c>
      <c r="C6840">
        <v>0</v>
      </c>
      <c r="D6840">
        <v>0</v>
      </c>
      <c r="E6840">
        <v>0</v>
      </c>
    </row>
    <row r="6841" spans="1:5" x14ac:dyDescent="0.35">
      <c r="A6841">
        <v>0</v>
      </c>
      <c r="B6841">
        <v>0</v>
      </c>
      <c r="C6841">
        <v>0</v>
      </c>
      <c r="D6841">
        <v>0</v>
      </c>
      <c r="E6841">
        <v>0</v>
      </c>
    </row>
    <row r="6842" spans="1:5" x14ac:dyDescent="0.35">
      <c r="A6842">
        <v>0</v>
      </c>
      <c r="B6842">
        <v>0</v>
      </c>
      <c r="C6842">
        <v>0</v>
      </c>
      <c r="D6842">
        <v>0</v>
      </c>
      <c r="E6842">
        <v>0</v>
      </c>
    </row>
    <row r="6843" spans="1:5" x14ac:dyDescent="0.35">
      <c r="A6843">
        <v>0</v>
      </c>
      <c r="B6843">
        <v>0</v>
      </c>
      <c r="C6843">
        <v>0</v>
      </c>
      <c r="D6843">
        <v>0</v>
      </c>
      <c r="E6843">
        <v>0</v>
      </c>
    </row>
    <row r="6844" spans="1:5" x14ac:dyDescent="0.35">
      <c r="A6844">
        <v>0</v>
      </c>
      <c r="B6844">
        <v>0</v>
      </c>
      <c r="C6844">
        <v>0</v>
      </c>
      <c r="D6844">
        <v>0</v>
      </c>
      <c r="E6844">
        <v>0</v>
      </c>
    </row>
    <row r="6845" spans="1:5" x14ac:dyDescent="0.35">
      <c r="A6845">
        <v>0</v>
      </c>
      <c r="B6845">
        <v>0</v>
      </c>
      <c r="C6845">
        <v>0</v>
      </c>
      <c r="D6845">
        <v>0</v>
      </c>
      <c r="E6845">
        <v>0</v>
      </c>
    </row>
    <row r="6846" spans="1:5" x14ac:dyDescent="0.35">
      <c r="A6846">
        <v>0</v>
      </c>
      <c r="B6846">
        <v>0</v>
      </c>
      <c r="C6846">
        <v>0</v>
      </c>
      <c r="D6846">
        <v>0</v>
      </c>
      <c r="E6846">
        <v>0</v>
      </c>
    </row>
    <row r="6847" spans="1:5" x14ac:dyDescent="0.35">
      <c r="A6847">
        <v>0</v>
      </c>
      <c r="B6847">
        <v>0</v>
      </c>
      <c r="C6847">
        <v>0</v>
      </c>
      <c r="D6847">
        <v>0</v>
      </c>
      <c r="E6847">
        <v>0</v>
      </c>
    </row>
    <row r="6848" spans="1:5" x14ac:dyDescent="0.35">
      <c r="A6848">
        <v>0</v>
      </c>
      <c r="B6848">
        <v>0</v>
      </c>
      <c r="C6848">
        <v>0</v>
      </c>
      <c r="D6848">
        <v>0</v>
      </c>
      <c r="E6848">
        <v>0</v>
      </c>
    </row>
    <row r="6849" spans="1:5" x14ac:dyDescent="0.35">
      <c r="A6849">
        <v>0</v>
      </c>
      <c r="B6849">
        <v>0</v>
      </c>
      <c r="C6849">
        <v>0</v>
      </c>
      <c r="D6849">
        <v>0</v>
      </c>
      <c r="E6849">
        <v>0</v>
      </c>
    </row>
    <row r="6850" spans="1:5" x14ac:dyDescent="0.35">
      <c r="A6850">
        <v>0</v>
      </c>
      <c r="B6850">
        <v>0</v>
      </c>
      <c r="C6850">
        <v>0</v>
      </c>
      <c r="D6850">
        <v>0</v>
      </c>
      <c r="E6850">
        <v>0</v>
      </c>
    </row>
    <row r="6851" spans="1:5" x14ac:dyDescent="0.35">
      <c r="A6851">
        <v>0</v>
      </c>
      <c r="B6851">
        <v>0</v>
      </c>
      <c r="C6851">
        <v>0</v>
      </c>
      <c r="D6851">
        <v>0</v>
      </c>
      <c r="E6851">
        <v>0</v>
      </c>
    </row>
    <row r="6852" spans="1:5" x14ac:dyDescent="0.35">
      <c r="A6852">
        <v>0</v>
      </c>
      <c r="B6852">
        <v>0</v>
      </c>
      <c r="C6852">
        <v>0</v>
      </c>
      <c r="D6852">
        <v>0</v>
      </c>
      <c r="E6852">
        <v>0</v>
      </c>
    </row>
    <row r="6853" spans="1:5" x14ac:dyDescent="0.35">
      <c r="A6853">
        <v>0</v>
      </c>
      <c r="B6853">
        <v>0</v>
      </c>
      <c r="C6853">
        <v>0</v>
      </c>
      <c r="D6853">
        <v>0</v>
      </c>
      <c r="E6853">
        <v>0</v>
      </c>
    </row>
    <row r="6854" spans="1:5" x14ac:dyDescent="0.35">
      <c r="A6854">
        <v>0</v>
      </c>
      <c r="B6854">
        <v>0</v>
      </c>
      <c r="C6854">
        <v>0</v>
      </c>
      <c r="D6854">
        <v>0</v>
      </c>
      <c r="E6854">
        <v>0</v>
      </c>
    </row>
    <row r="6855" spans="1:5" x14ac:dyDescent="0.35">
      <c r="A6855">
        <v>0</v>
      </c>
      <c r="B6855">
        <v>0</v>
      </c>
      <c r="C6855">
        <v>0</v>
      </c>
      <c r="D6855">
        <v>0</v>
      </c>
      <c r="E6855">
        <v>0</v>
      </c>
    </row>
    <row r="6856" spans="1:5" x14ac:dyDescent="0.35">
      <c r="A6856">
        <v>0</v>
      </c>
      <c r="B6856">
        <v>0</v>
      </c>
      <c r="C6856">
        <v>0</v>
      </c>
      <c r="D6856">
        <v>0</v>
      </c>
      <c r="E6856">
        <v>0</v>
      </c>
    </row>
    <row r="6857" spans="1:5" x14ac:dyDescent="0.35">
      <c r="A6857">
        <v>0</v>
      </c>
      <c r="B6857">
        <v>0</v>
      </c>
      <c r="C6857">
        <v>0</v>
      </c>
      <c r="D6857">
        <v>0</v>
      </c>
      <c r="E6857">
        <v>0</v>
      </c>
    </row>
    <row r="6858" spans="1:5" x14ac:dyDescent="0.35">
      <c r="A6858">
        <v>0</v>
      </c>
      <c r="B6858">
        <v>0</v>
      </c>
      <c r="C6858">
        <v>0</v>
      </c>
      <c r="D6858">
        <v>0</v>
      </c>
      <c r="E6858">
        <v>0</v>
      </c>
    </row>
    <row r="6859" spans="1:5" x14ac:dyDescent="0.35">
      <c r="A6859">
        <v>0</v>
      </c>
      <c r="B6859">
        <v>0</v>
      </c>
      <c r="C6859">
        <v>0</v>
      </c>
      <c r="D6859">
        <v>0</v>
      </c>
      <c r="E6859">
        <v>0</v>
      </c>
    </row>
    <row r="6860" spans="1:5" x14ac:dyDescent="0.35">
      <c r="A6860">
        <v>0</v>
      </c>
      <c r="B6860">
        <v>0</v>
      </c>
      <c r="C6860">
        <v>0</v>
      </c>
      <c r="D6860">
        <v>0</v>
      </c>
      <c r="E6860">
        <v>0</v>
      </c>
    </row>
    <row r="6861" spans="1:5" x14ac:dyDescent="0.35">
      <c r="A6861">
        <v>0</v>
      </c>
      <c r="B6861">
        <v>0</v>
      </c>
      <c r="C6861">
        <v>0</v>
      </c>
      <c r="D6861">
        <v>0</v>
      </c>
      <c r="E6861">
        <v>0</v>
      </c>
    </row>
    <row r="6862" spans="1:5" x14ac:dyDescent="0.35">
      <c r="A6862">
        <v>0</v>
      </c>
      <c r="B6862">
        <v>0</v>
      </c>
      <c r="C6862">
        <v>0</v>
      </c>
      <c r="D6862">
        <v>0</v>
      </c>
      <c r="E6862">
        <v>0</v>
      </c>
    </row>
    <row r="6863" spans="1:5" x14ac:dyDescent="0.35">
      <c r="A6863">
        <v>0</v>
      </c>
      <c r="B6863">
        <v>0</v>
      </c>
      <c r="C6863">
        <v>0</v>
      </c>
      <c r="D6863">
        <v>0</v>
      </c>
      <c r="E6863">
        <v>0</v>
      </c>
    </row>
    <row r="6864" spans="1:5" x14ac:dyDescent="0.35">
      <c r="A6864">
        <v>0</v>
      </c>
      <c r="B6864">
        <v>0</v>
      </c>
      <c r="C6864">
        <v>0</v>
      </c>
      <c r="D6864">
        <v>0</v>
      </c>
      <c r="E6864">
        <v>0</v>
      </c>
    </row>
    <row r="6865" spans="1:5" x14ac:dyDescent="0.35">
      <c r="A6865">
        <v>0</v>
      </c>
      <c r="B6865">
        <v>0</v>
      </c>
      <c r="C6865">
        <v>0</v>
      </c>
      <c r="D6865">
        <v>0</v>
      </c>
      <c r="E6865">
        <v>0</v>
      </c>
    </row>
    <row r="6866" spans="1:5" x14ac:dyDescent="0.35">
      <c r="A6866">
        <v>0</v>
      </c>
      <c r="B6866">
        <v>0</v>
      </c>
      <c r="C6866">
        <v>0</v>
      </c>
      <c r="D6866">
        <v>0</v>
      </c>
      <c r="E6866">
        <v>0</v>
      </c>
    </row>
    <row r="6867" spans="1:5" x14ac:dyDescent="0.35">
      <c r="A6867">
        <v>0</v>
      </c>
      <c r="B6867">
        <v>0</v>
      </c>
      <c r="C6867">
        <v>0</v>
      </c>
      <c r="D6867">
        <v>0</v>
      </c>
      <c r="E6867">
        <v>0</v>
      </c>
    </row>
    <row r="6868" spans="1:5" x14ac:dyDescent="0.35">
      <c r="A6868">
        <v>0</v>
      </c>
      <c r="B6868">
        <v>0</v>
      </c>
      <c r="C6868">
        <v>0</v>
      </c>
      <c r="D6868">
        <v>0</v>
      </c>
      <c r="E6868">
        <v>0</v>
      </c>
    </row>
    <row r="6869" spans="1:5" x14ac:dyDescent="0.35">
      <c r="A6869">
        <v>0</v>
      </c>
      <c r="B6869">
        <v>0</v>
      </c>
      <c r="C6869">
        <v>0</v>
      </c>
      <c r="D6869">
        <v>0</v>
      </c>
      <c r="E6869">
        <v>0</v>
      </c>
    </row>
    <row r="6870" spans="1:5" x14ac:dyDescent="0.35">
      <c r="A6870">
        <v>0</v>
      </c>
      <c r="B6870">
        <v>0</v>
      </c>
      <c r="C6870">
        <v>0</v>
      </c>
      <c r="D6870">
        <v>0</v>
      </c>
      <c r="E6870">
        <v>0</v>
      </c>
    </row>
    <row r="6871" spans="1:5" x14ac:dyDescent="0.35">
      <c r="A6871">
        <v>0</v>
      </c>
      <c r="B6871">
        <v>0</v>
      </c>
      <c r="C6871">
        <v>0</v>
      </c>
      <c r="D6871">
        <v>0</v>
      </c>
      <c r="E6871">
        <v>0</v>
      </c>
    </row>
    <row r="6872" spans="1:5" x14ac:dyDescent="0.35">
      <c r="A6872">
        <v>0</v>
      </c>
      <c r="B6872">
        <v>0</v>
      </c>
      <c r="C6872">
        <v>0</v>
      </c>
      <c r="D6872">
        <v>0</v>
      </c>
      <c r="E6872">
        <v>0</v>
      </c>
    </row>
    <row r="6873" spans="1:5" x14ac:dyDescent="0.35">
      <c r="A6873">
        <v>0</v>
      </c>
      <c r="B6873">
        <v>0</v>
      </c>
      <c r="C6873">
        <v>0</v>
      </c>
      <c r="D6873">
        <v>0</v>
      </c>
      <c r="E6873">
        <v>0</v>
      </c>
    </row>
    <row r="6874" spans="1:5" x14ac:dyDescent="0.35">
      <c r="A6874">
        <v>0</v>
      </c>
      <c r="B6874">
        <v>0</v>
      </c>
      <c r="C6874">
        <v>0</v>
      </c>
      <c r="D6874">
        <v>0</v>
      </c>
      <c r="E6874">
        <v>0</v>
      </c>
    </row>
    <row r="6875" spans="1:5" x14ac:dyDescent="0.35">
      <c r="A6875">
        <v>0</v>
      </c>
      <c r="B6875">
        <v>0</v>
      </c>
      <c r="C6875">
        <v>0</v>
      </c>
      <c r="D6875">
        <v>0</v>
      </c>
      <c r="E6875">
        <v>0</v>
      </c>
    </row>
    <row r="6876" spans="1:5" x14ac:dyDescent="0.35">
      <c r="A6876">
        <v>0</v>
      </c>
      <c r="B6876">
        <v>0</v>
      </c>
      <c r="C6876">
        <v>0</v>
      </c>
      <c r="D6876">
        <v>0</v>
      </c>
      <c r="E6876">
        <v>0</v>
      </c>
    </row>
    <row r="6877" spans="1:5" x14ac:dyDescent="0.35">
      <c r="A6877">
        <v>0</v>
      </c>
      <c r="B6877">
        <v>0</v>
      </c>
      <c r="C6877">
        <v>0</v>
      </c>
      <c r="D6877">
        <v>0</v>
      </c>
      <c r="E6877">
        <v>0</v>
      </c>
    </row>
    <row r="6878" spans="1:5" x14ac:dyDescent="0.35">
      <c r="A6878">
        <v>0</v>
      </c>
      <c r="B6878">
        <v>0</v>
      </c>
      <c r="C6878">
        <v>0</v>
      </c>
      <c r="D6878">
        <v>0</v>
      </c>
      <c r="E6878">
        <v>0</v>
      </c>
    </row>
    <row r="6879" spans="1:5" x14ac:dyDescent="0.35">
      <c r="A6879">
        <v>0</v>
      </c>
      <c r="B6879">
        <v>0</v>
      </c>
      <c r="C6879">
        <v>0</v>
      </c>
      <c r="D6879">
        <v>0</v>
      </c>
      <c r="E6879">
        <v>0</v>
      </c>
    </row>
    <row r="6880" spans="1:5" x14ac:dyDescent="0.35">
      <c r="A6880">
        <v>0</v>
      </c>
      <c r="B6880">
        <v>0</v>
      </c>
      <c r="C6880">
        <v>0</v>
      </c>
      <c r="D6880">
        <v>0</v>
      </c>
      <c r="E6880">
        <v>0</v>
      </c>
    </row>
    <row r="6881" spans="1:5" x14ac:dyDescent="0.35">
      <c r="A6881">
        <v>0</v>
      </c>
      <c r="B6881">
        <v>0</v>
      </c>
      <c r="C6881">
        <v>0</v>
      </c>
      <c r="D6881">
        <v>0</v>
      </c>
      <c r="E6881">
        <v>0</v>
      </c>
    </row>
    <row r="6882" spans="1:5" x14ac:dyDescent="0.35">
      <c r="A6882">
        <v>0</v>
      </c>
      <c r="B6882">
        <v>0</v>
      </c>
      <c r="C6882">
        <v>0</v>
      </c>
      <c r="D6882">
        <v>0</v>
      </c>
      <c r="E6882">
        <v>0</v>
      </c>
    </row>
    <row r="6883" spans="1:5" x14ac:dyDescent="0.35">
      <c r="A6883">
        <v>0</v>
      </c>
      <c r="B6883">
        <v>0</v>
      </c>
      <c r="C6883">
        <v>0</v>
      </c>
      <c r="D6883">
        <v>0</v>
      </c>
      <c r="E6883">
        <v>0</v>
      </c>
    </row>
    <row r="6884" spans="1:5" x14ac:dyDescent="0.35">
      <c r="A6884">
        <v>0</v>
      </c>
      <c r="B6884">
        <v>0</v>
      </c>
      <c r="C6884">
        <v>0</v>
      </c>
      <c r="D6884">
        <v>0</v>
      </c>
      <c r="E6884">
        <v>0</v>
      </c>
    </row>
    <row r="6885" spans="1:5" x14ac:dyDescent="0.35">
      <c r="A6885">
        <v>0</v>
      </c>
      <c r="B6885">
        <v>0</v>
      </c>
      <c r="C6885">
        <v>0</v>
      </c>
      <c r="D6885">
        <v>0</v>
      </c>
      <c r="E6885">
        <v>0</v>
      </c>
    </row>
    <row r="6886" spans="1:5" x14ac:dyDescent="0.35">
      <c r="A6886">
        <v>0</v>
      </c>
      <c r="B6886">
        <v>0</v>
      </c>
      <c r="C6886">
        <v>0</v>
      </c>
      <c r="D6886">
        <v>0</v>
      </c>
      <c r="E6886">
        <v>0</v>
      </c>
    </row>
    <row r="6887" spans="1:5" x14ac:dyDescent="0.35">
      <c r="A6887">
        <v>0</v>
      </c>
      <c r="B6887">
        <v>0</v>
      </c>
      <c r="C6887">
        <v>0</v>
      </c>
      <c r="D6887">
        <v>0</v>
      </c>
      <c r="E6887">
        <v>0</v>
      </c>
    </row>
    <row r="6888" spans="1:5" x14ac:dyDescent="0.35">
      <c r="A6888">
        <v>0</v>
      </c>
      <c r="B6888">
        <v>0</v>
      </c>
      <c r="C6888">
        <v>0</v>
      </c>
      <c r="D6888">
        <v>0</v>
      </c>
      <c r="E6888">
        <v>0</v>
      </c>
    </row>
    <row r="6889" spans="1:5" x14ac:dyDescent="0.35">
      <c r="A6889">
        <v>0</v>
      </c>
      <c r="B6889">
        <v>0</v>
      </c>
      <c r="C6889">
        <v>0</v>
      </c>
      <c r="D6889">
        <v>0</v>
      </c>
      <c r="E6889">
        <v>0</v>
      </c>
    </row>
    <row r="6890" spans="1:5" x14ac:dyDescent="0.35">
      <c r="A6890">
        <v>0</v>
      </c>
      <c r="B6890">
        <v>0</v>
      </c>
      <c r="C6890">
        <v>0</v>
      </c>
      <c r="D6890">
        <v>0</v>
      </c>
      <c r="E6890">
        <v>0</v>
      </c>
    </row>
    <row r="6891" spans="1:5" x14ac:dyDescent="0.35">
      <c r="A6891">
        <v>0</v>
      </c>
      <c r="B6891">
        <v>0</v>
      </c>
      <c r="C6891">
        <v>0</v>
      </c>
      <c r="D6891">
        <v>0</v>
      </c>
      <c r="E6891">
        <v>0</v>
      </c>
    </row>
    <row r="6892" spans="1:5" x14ac:dyDescent="0.35">
      <c r="A6892">
        <v>0</v>
      </c>
      <c r="B6892">
        <v>0</v>
      </c>
      <c r="C6892">
        <v>0</v>
      </c>
      <c r="D6892">
        <v>0</v>
      </c>
      <c r="E6892">
        <v>0</v>
      </c>
    </row>
    <row r="6893" spans="1:5" x14ac:dyDescent="0.35">
      <c r="A6893">
        <v>0</v>
      </c>
      <c r="B6893">
        <v>0</v>
      </c>
      <c r="C6893">
        <v>0</v>
      </c>
      <c r="D6893">
        <v>0</v>
      </c>
      <c r="E6893">
        <v>0</v>
      </c>
    </row>
    <row r="6894" spans="1:5" x14ac:dyDescent="0.35">
      <c r="A6894">
        <v>0</v>
      </c>
      <c r="B6894">
        <v>0</v>
      </c>
      <c r="C6894">
        <v>0</v>
      </c>
      <c r="D6894">
        <v>0</v>
      </c>
      <c r="E6894">
        <v>0</v>
      </c>
    </row>
    <row r="6895" spans="1:5" x14ac:dyDescent="0.35">
      <c r="A6895">
        <v>0</v>
      </c>
      <c r="B6895">
        <v>0</v>
      </c>
      <c r="C6895">
        <v>0</v>
      </c>
      <c r="D6895">
        <v>0</v>
      </c>
      <c r="E6895">
        <v>0</v>
      </c>
    </row>
    <row r="6896" spans="1:5" x14ac:dyDescent="0.35">
      <c r="A6896">
        <v>0</v>
      </c>
      <c r="B6896">
        <v>0</v>
      </c>
      <c r="C6896">
        <v>0</v>
      </c>
      <c r="D6896">
        <v>0</v>
      </c>
      <c r="E6896">
        <v>0</v>
      </c>
    </row>
    <row r="6897" spans="1:5" x14ac:dyDescent="0.35">
      <c r="A6897">
        <v>0</v>
      </c>
      <c r="B6897">
        <v>0</v>
      </c>
      <c r="C6897">
        <v>0</v>
      </c>
      <c r="D6897">
        <v>0</v>
      </c>
      <c r="E6897">
        <v>0</v>
      </c>
    </row>
    <row r="6898" spans="1:5" x14ac:dyDescent="0.35">
      <c r="A6898">
        <v>0</v>
      </c>
      <c r="B6898">
        <v>0</v>
      </c>
      <c r="C6898">
        <v>0</v>
      </c>
      <c r="D6898">
        <v>0</v>
      </c>
      <c r="E6898">
        <v>0</v>
      </c>
    </row>
    <row r="6899" spans="1:5" x14ac:dyDescent="0.35">
      <c r="A6899">
        <v>0</v>
      </c>
      <c r="B6899">
        <v>0</v>
      </c>
      <c r="C6899">
        <v>0</v>
      </c>
      <c r="D6899">
        <v>0</v>
      </c>
      <c r="E6899">
        <v>0</v>
      </c>
    </row>
    <row r="6900" spans="1:5" x14ac:dyDescent="0.35">
      <c r="A6900">
        <v>0</v>
      </c>
      <c r="B6900">
        <v>0</v>
      </c>
      <c r="C6900">
        <v>0</v>
      </c>
      <c r="D6900">
        <v>0</v>
      </c>
      <c r="E6900">
        <v>0</v>
      </c>
    </row>
    <row r="6901" spans="1:5" x14ac:dyDescent="0.35">
      <c r="A6901">
        <v>0</v>
      </c>
      <c r="B6901">
        <v>0</v>
      </c>
      <c r="C6901">
        <v>0</v>
      </c>
      <c r="D6901">
        <v>0</v>
      </c>
      <c r="E6901">
        <v>0</v>
      </c>
    </row>
    <row r="6902" spans="1:5" x14ac:dyDescent="0.35">
      <c r="A6902">
        <v>0</v>
      </c>
      <c r="B6902">
        <v>0</v>
      </c>
      <c r="C6902">
        <v>0</v>
      </c>
      <c r="D6902">
        <v>0</v>
      </c>
      <c r="E6902">
        <v>0</v>
      </c>
    </row>
    <row r="6903" spans="1:5" x14ac:dyDescent="0.35">
      <c r="A6903">
        <v>0</v>
      </c>
      <c r="B6903">
        <v>0</v>
      </c>
      <c r="C6903">
        <v>0</v>
      </c>
      <c r="D6903">
        <v>0</v>
      </c>
      <c r="E6903">
        <v>0</v>
      </c>
    </row>
    <row r="6904" spans="1:5" x14ac:dyDescent="0.35">
      <c r="A6904">
        <v>0</v>
      </c>
      <c r="B6904">
        <v>0</v>
      </c>
      <c r="C6904">
        <v>0</v>
      </c>
      <c r="D6904">
        <v>0</v>
      </c>
      <c r="E6904">
        <v>0</v>
      </c>
    </row>
    <row r="6905" spans="1:5" x14ac:dyDescent="0.35">
      <c r="A6905">
        <v>0</v>
      </c>
      <c r="B6905">
        <v>0</v>
      </c>
      <c r="C6905">
        <v>0</v>
      </c>
      <c r="D6905">
        <v>0</v>
      </c>
      <c r="E6905">
        <v>0</v>
      </c>
    </row>
    <row r="6906" spans="1:5" x14ac:dyDescent="0.35">
      <c r="A6906">
        <v>0</v>
      </c>
      <c r="B6906">
        <v>0</v>
      </c>
      <c r="C6906">
        <v>0</v>
      </c>
      <c r="D6906">
        <v>0</v>
      </c>
      <c r="E6906">
        <v>0</v>
      </c>
    </row>
    <row r="6907" spans="1:5" x14ac:dyDescent="0.35">
      <c r="A6907">
        <v>0</v>
      </c>
      <c r="B6907">
        <v>0</v>
      </c>
      <c r="C6907">
        <v>0</v>
      </c>
      <c r="D6907">
        <v>0</v>
      </c>
      <c r="E6907">
        <v>0</v>
      </c>
    </row>
    <row r="6908" spans="1:5" x14ac:dyDescent="0.35">
      <c r="A6908">
        <v>0</v>
      </c>
      <c r="B6908">
        <v>0</v>
      </c>
      <c r="C6908">
        <v>0</v>
      </c>
      <c r="D6908">
        <v>0</v>
      </c>
      <c r="E6908">
        <v>0</v>
      </c>
    </row>
    <row r="6909" spans="1:5" x14ac:dyDescent="0.35">
      <c r="A6909">
        <v>0</v>
      </c>
      <c r="B6909">
        <v>0</v>
      </c>
      <c r="C6909">
        <v>0</v>
      </c>
      <c r="D6909">
        <v>0</v>
      </c>
      <c r="E6909">
        <v>0</v>
      </c>
    </row>
    <row r="6910" spans="1:5" x14ac:dyDescent="0.35">
      <c r="A6910">
        <v>0</v>
      </c>
      <c r="B6910">
        <v>0</v>
      </c>
      <c r="C6910">
        <v>0</v>
      </c>
      <c r="D6910">
        <v>0</v>
      </c>
      <c r="E6910">
        <v>0</v>
      </c>
    </row>
    <row r="6911" spans="1:5" x14ac:dyDescent="0.35">
      <c r="A6911">
        <v>0</v>
      </c>
      <c r="B6911">
        <v>0</v>
      </c>
      <c r="C6911">
        <v>0</v>
      </c>
      <c r="D6911">
        <v>0</v>
      </c>
      <c r="E6911">
        <v>0</v>
      </c>
    </row>
    <row r="6912" spans="1:5" x14ac:dyDescent="0.35">
      <c r="A6912">
        <v>0</v>
      </c>
      <c r="B6912">
        <v>0</v>
      </c>
      <c r="C6912">
        <v>0</v>
      </c>
      <c r="D6912">
        <v>0</v>
      </c>
      <c r="E6912">
        <v>0</v>
      </c>
    </row>
    <row r="6913" spans="1:5" x14ac:dyDescent="0.35">
      <c r="A6913">
        <v>0</v>
      </c>
      <c r="B6913">
        <v>0</v>
      </c>
      <c r="C6913">
        <v>0</v>
      </c>
      <c r="D6913">
        <v>0</v>
      </c>
      <c r="E6913">
        <v>0</v>
      </c>
    </row>
    <row r="6914" spans="1:5" x14ac:dyDescent="0.35">
      <c r="A6914">
        <v>0</v>
      </c>
      <c r="B6914">
        <v>0</v>
      </c>
      <c r="C6914">
        <v>0</v>
      </c>
      <c r="D6914">
        <v>0</v>
      </c>
      <c r="E6914">
        <v>0</v>
      </c>
    </row>
    <row r="6915" spans="1:5" x14ac:dyDescent="0.35">
      <c r="A6915">
        <v>0</v>
      </c>
      <c r="B6915">
        <v>0</v>
      </c>
      <c r="C6915">
        <v>0</v>
      </c>
      <c r="D6915">
        <v>0</v>
      </c>
      <c r="E6915">
        <v>0</v>
      </c>
    </row>
    <row r="6916" spans="1:5" x14ac:dyDescent="0.35">
      <c r="A6916">
        <v>0</v>
      </c>
      <c r="B6916">
        <v>0</v>
      </c>
      <c r="C6916">
        <v>0</v>
      </c>
      <c r="D6916">
        <v>0</v>
      </c>
      <c r="E6916">
        <v>0</v>
      </c>
    </row>
    <row r="6917" spans="1:5" x14ac:dyDescent="0.35">
      <c r="A6917">
        <v>0</v>
      </c>
      <c r="B6917">
        <v>0</v>
      </c>
      <c r="C6917">
        <v>0</v>
      </c>
      <c r="D6917">
        <v>0</v>
      </c>
      <c r="E6917">
        <v>0</v>
      </c>
    </row>
    <row r="6918" spans="1:5" x14ac:dyDescent="0.35">
      <c r="A6918">
        <v>0</v>
      </c>
      <c r="B6918">
        <v>0</v>
      </c>
      <c r="C6918">
        <v>0</v>
      </c>
      <c r="D6918">
        <v>0</v>
      </c>
      <c r="E6918">
        <v>0</v>
      </c>
    </row>
    <row r="6919" spans="1:5" x14ac:dyDescent="0.35">
      <c r="A6919">
        <v>0</v>
      </c>
      <c r="B6919">
        <v>0</v>
      </c>
      <c r="C6919">
        <v>0</v>
      </c>
      <c r="D6919">
        <v>0</v>
      </c>
      <c r="E6919">
        <v>0</v>
      </c>
    </row>
    <row r="6920" spans="1:5" x14ac:dyDescent="0.35">
      <c r="A6920">
        <v>0</v>
      </c>
      <c r="B6920">
        <v>0</v>
      </c>
      <c r="C6920">
        <v>0</v>
      </c>
      <c r="D6920">
        <v>0</v>
      </c>
      <c r="E6920">
        <v>0</v>
      </c>
    </row>
    <row r="6921" spans="1:5" x14ac:dyDescent="0.35">
      <c r="A6921">
        <v>0</v>
      </c>
      <c r="B6921">
        <v>0</v>
      </c>
      <c r="C6921">
        <v>0</v>
      </c>
      <c r="D6921">
        <v>0</v>
      </c>
      <c r="E6921">
        <v>0</v>
      </c>
    </row>
    <row r="6922" spans="1:5" x14ac:dyDescent="0.35">
      <c r="A6922">
        <v>0</v>
      </c>
      <c r="B6922">
        <v>0</v>
      </c>
      <c r="C6922">
        <v>0</v>
      </c>
      <c r="D6922">
        <v>0</v>
      </c>
      <c r="E6922">
        <v>0</v>
      </c>
    </row>
    <row r="6923" spans="1:5" x14ac:dyDescent="0.35">
      <c r="A6923">
        <v>0</v>
      </c>
      <c r="B6923">
        <v>0</v>
      </c>
      <c r="C6923">
        <v>0</v>
      </c>
      <c r="D6923">
        <v>0</v>
      </c>
      <c r="E6923">
        <v>0</v>
      </c>
    </row>
    <row r="6924" spans="1:5" x14ac:dyDescent="0.35">
      <c r="A6924">
        <v>0</v>
      </c>
      <c r="B6924">
        <v>0</v>
      </c>
      <c r="C6924">
        <v>0</v>
      </c>
      <c r="D6924">
        <v>0</v>
      </c>
      <c r="E6924">
        <v>0</v>
      </c>
    </row>
    <row r="6925" spans="1:5" x14ac:dyDescent="0.35">
      <c r="A6925">
        <v>0</v>
      </c>
      <c r="B6925">
        <v>0</v>
      </c>
      <c r="C6925">
        <v>0</v>
      </c>
      <c r="D6925">
        <v>0</v>
      </c>
      <c r="E6925">
        <v>0</v>
      </c>
    </row>
    <row r="6926" spans="1:5" x14ac:dyDescent="0.35">
      <c r="A6926">
        <v>0</v>
      </c>
      <c r="B6926">
        <v>0</v>
      </c>
      <c r="C6926">
        <v>0</v>
      </c>
      <c r="D6926">
        <v>0</v>
      </c>
      <c r="E6926">
        <v>0</v>
      </c>
    </row>
    <row r="6927" spans="1:5" x14ac:dyDescent="0.35">
      <c r="A6927">
        <v>0</v>
      </c>
      <c r="B6927">
        <v>0</v>
      </c>
      <c r="C6927">
        <v>0</v>
      </c>
      <c r="D6927">
        <v>0</v>
      </c>
      <c r="E6927">
        <v>0</v>
      </c>
    </row>
    <row r="6928" spans="1:5" x14ac:dyDescent="0.35">
      <c r="A6928">
        <v>0</v>
      </c>
      <c r="B6928">
        <v>0</v>
      </c>
      <c r="C6928">
        <v>0</v>
      </c>
      <c r="D6928">
        <v>0</v>
      </c>
      <c r="E6928">
        <v>0</v>
      </c>
    </row>
    <row r="6929" spans="1:5" x14ac:dyDescent="0.35">
      <c r="A6929">
        <v>0</v>
      </c>
      <c r="B6929">
        <v>0</v>
      </c>
      <c r="C6929">
        <v>0</v>
      </c>
      <c r="D6929">
        <v>0</v>
      </c>
      <c r="E6929">
        <v>0</v>
      </c>
    </row>
    <row r="6930" spans="1:5" x14ac:dyDescent="0.35">
      <c r="A6930">
        <v>0</v>
      </c>
      <c r="B6930">
        <v>0</v>
      </c>
      <c r="C6930">
        <v>0</v>
      </c>
      <c r="D6930">
        <v>0</v>
      </c>
      <c r="E6930">
        <v>0</v>
      </c>
    </row>
    <row r="6931" spans="1:5" x14ac:dyDescent="0.35">
      <c r="A6931">
        <v>0</v>
      </c>
      <c r="B6931">
        <v>0</v>
      </c>
      <c r="C6931">
        <v>0</v>
      </c>
      <c r="D6931">
        <v>0</v>
      </c>
      <c r="E6931">
        <v>0</v>
      </c>
    </row>
    <row r="6932" spans="1:5" x14ac:dyDescent="0.35">
      <c r="A6932">
        <v>0</v>
      </c>
      <c r="B6932">
        <v>0</v>
      </c>
      <c r="C6932">
        <v>0</v>
      </c>
      <c r="D6932">
        <v>0</v>
      </c>
      <c r="E6932">
        <v>0</v>
      </c>
    </row>
    <row r="6933" spans="1:5" x14ac:dyDescent="0.35">
      <c r="A6933">
        <v>0</v>
      </c>
      <c r="B6933">
        <v>0</v>
      </c>
      <c r="C6933">
        <v>0</v>
      </c>
      <c r="D6933">
        <v>0</v>
      </c>
      <c r="E6933">
        <v>0</v>
      </c>
    </row>
    <row r="6934" spans="1:5" x14ac:dyDescent="0.35">
      <c r="A6934">
        <v>0</v>
      </c>
      <c r="B6934">
        <v>0</v>
      </c>
      <c r="C6934">
        <v>0</v>
      </c>
      <c r="D6934">
        <v>0</v>
      </c>
      <c r="E6934">
        <v>0</v>
      </c>
    </row>
    <row r="6935" spans="1:5" x14ac:dyDescent="0.35">
      <c r="A6935">
        <v>0</v>
      </c>
      <c r="B6935">
        <v>0</v>
      </c>
      <c r="C6935">
        <v>0</v>
      </c>
      <c r="D6935">
        <v>0</v>
      </c>
      <c r="E6935">
        <v>0</v>
      </c>
    </row>
    <row r="6936" spans="1:5" x14ac:dyDescent="0.35">
      <c r="A6936">
        <v>0</v>
      </c>
      <c r="B6936">
        <v>0</v>
      </c>
      <c r="C6936">
        <v>0</v>
      </c>
      <c r="D6936">
        <v>0</v>
      </c>
      <c r="E6936">
        <v>0</v>
      </c>
    </row>
    <row r="6937" spans="1:5" x14ac:dyDescent="0.35">
      <c r="A6937">
        <v>0</v>
      </c>
      <c r="B6937">
        <v>0</v>
      </c>
      <c r="C6937">
        <v>0</v>
      </c>
      <c r="D6937">
        <v>0</v>
      </c>
      <c r="E6937">
        <v>0</v>
      </c>
    </row>
    <row r="6938" spans="1:5" x14ac:dyDescent="0.35">
      <c r="A6938">
        <v>0</v>
      </c>
      <c r="B6938">
        <v>0</v>
      </c>
      <c r="C6938">
        <v>0</v>
      </c>
      <c r="D6938">
        <v>0</v>
      </c>
      <c r="E6938">
        <v>0</v>
      </c>
    </row>
    <row r="6939" spans="1:5" x14ac:dyDescent="0.35">
      <c r="A6939">
        <v>0</v>
      </c>
      <c r="B6939">
        <v>0</v>
      </c>
      <c r="C6939">
        <v>0</v>
      </c>
      <c r="D6939">
        <v>0</v>
      </c>
      <c r="E6939">
        <v>0</v>
      </c>
    </row>
    <row r="6940" spans="1:5" x14ac:dyDescent="0.35">
      <c r="A6940">
        <v>0</v>
      </c>
      <c r="B6940">
        <v>0</v>
      </c>
      <c r="C6940">
        <v>0</v>
      </c>
      <c r="D6940">
        <v>0</v>
      </c>
      <c r="E6940">
        <v>0</v>
      </c>
    </row>
    <row r="6941" spans="1:5" x14ac:dyDescent="0.35">
      <c r="A6941">
        <v>0</v>
      </c>
      <c r="B6941">
        <v>0</v>
      </c>
      <c r="C6941">
        <v>0</v>
      </c>
      <c r="D6941">
        <v>0</v>
      </c>
      <c r="E6941">
        <v>0</v>
      </c>
    </row>
    <row r="6942" spans="1:5" x14ac:dyDescent="0.35">
      <c r="A6942">
        <v>0</v>
      </c>
      <c r="B6942">
        <v>0</v>
      </c>
      <c r="C6942">
        <v>0</v>
      </c>
      <c r="D6942">
        <v>0</v>
      </c>
      <c r="E6942">
        <v>0</v>
      </c>
    </row>
    <row r="6943" spans="1:5" x14ac:dyDescent="0.35">
      <c r="A6943">
        <v>0</v>
      </c>
      <c r="B6943">
        <v>0</v>
      </c>
      <c r="C6943">
        <v>0</v>
      </c>
      <c r="D6943">
        <v>0</v>
      </c>
      <c r="E6943">
        <v>0</v>
      </c>
    </row>
    <row r="6944" spans="1:5" x14ac:dyDescent="0.35">
      <c r="A6944">
        <v>0</v>
      </c>
      <c r="B6944">
        <v>0</v>
      </c>
      <c r="C6944">
        <v>0</v>
      </c>
      <c r="D6944">
        <v>0</v>
      </c>
      <c r="E6944">
        <v>0</v>
      </c>
    </row>
    <row r="6945" spans="1:5" x14ac:dyDescent="0.35">
      <c r="A6945">
        <v>0</v>
      </c>
      <c r="B6945">
        <v>0</v>
      </c>
      <c r="C6945">
        <v>0</v>
      </c>
      <c r="D6945">
        <v>0</v>
      </c>
      <c r="E6945">
        <v>0</v>
      </c>
    </row>
    <row r="6946" spans="1:5" x14ac:dyDescent="0.35">
      <c r="A6946">
        <v>0</v>
      </c>
      <c r="B6946">
        <v>0</v>
      </c>
      <c r="C6946">
        <v>0</v>
      </c>
      <c r="D6946">
        <v>0</v>
      </c>
      <c r="E6946">
        <v>0</v>
      </c>
    </row>
    <row r="6947" spans="1:5" x14ac:dyDescent="0.35">
      <c r="A6947">
        <v>0</v>
      </c>
      <c r="B6947">
        <v>0</v>
      </c>
      <c r="C6947">
        <v>0</v>
      </c>
      <c r="D6947">
        <v>0</v>
      </c>
      <c r="E6947">
        <v>0</v>
      </c>
    </row>
    <row r="6948" spans="1:5" x14ac:dyDescent="0.35">
      <c r="A6948">
        <v>0</v>
      </c>
      <c r="B6948">
        <v>0</v>
      </c>
      <c r="C6948">
        <v>0</v>
      </c>
      <c r="D6948">
        <v>0</v>
      </c>
      <c r="E6948">
        <v>0</v>
      </c>
    </row>
    <row r="6949" spans="1:5" x14ac:dyDescent="0.35">
      <c r="A6949">
        <v>0</v>
      </c>
      <c r="B6949">
        <v>0</v>
      </c>
      <c r="C6949">
        <v>0</v>
      </c>
      <c r="D6949">
        <v>0</v>
      </c>
      <c r="E6949">
        <v>0</v>
      </c>
    </row>
    <row r="6950" spans="1:5" x14ac:dyDescent="0.35">
      <c r="A6950">
        <v>0</v>
      </c>
      <c r="B6950">
        <v>0</v>
      </c>
      <c r="C6950">
        <v>0</v>
      </c>
      <c r="D6950">
        <v>0</v>
      </c>
      <c r="E6950">
        <v>0</v>
      </c>
    </row>
    <row r="6951" spans="1:5" x14ac:dyDescent="0.35">
      <c r="A6951">
        <v>0</v>
      </c>
      <c r="B6951">
        <v>0</v>
      </c>
      <c r="C6951">
        <v>0</v>
      </c>
      <c r="D6951">
        <v>0</v>
      </c>
      <c r="E6951">
        <v>0</v>
      </c>
    </row>
    <row r="6952" spans="1:5" x14ac:dyDescent="0.35">
      <c r="A6952">
        <v>0</v>
      </c>
      <c r="B6952">
        <v>0</v>
      </c>
      <c r="C6952">
        <v>0</v>
      </c>
      <c r="D6952">
        <v>0</v>
      </c>
      <c r="E6952">
        <v>0</v>
      </c>
    </row>
    <row r="6953" spans="1:5" x14ac:dyDescent="0.35">
      <c r="A6953">
        <v>0</v>
      </c>
      <c r="B6953">
        <v>0</v>
      </c>
      <c r="C6953">
        <v>0</v>
      </c>
      <c r="D6953">
        <v>0</v>
      </c>
      <c r="E6953">
        <v>0</v>
      </c>
    </row>
    <row r="6954" spans="1:5" x14ac:dyDescent="0.35">
      <c r="A6954">
        <v>0</v>
      </c>
      <c r="B6954">
        <v>0</v>
      </c>
      <c r="C6954">
        <v>0</v>
      </c>
      <c r="D6954">
        <v>0</v>
      </c>
      <c r="E6954">
        <v>0</v>
      </c>
    </row>
    <row r="6955" spans="1:5" x14ac:dyDescent="0.35">
      <c r="A6955">
        <v>0</v>
      </c>
      <c r="B6955">
        <v>0</v>
      </c>
      <c r="C6955">
        <v>0</v>
      </c>
      <c r="D6955">
        <v>0</v>
      </c>
      <c r="E6955">
        <v>0</v>
      </c>
    </row>
    <row r="6956" spans="1:5" x14ac:dyDescent="0.35">
      <c r="A6956">
        <v>0</v>
      </c>
      <c r="B6956">
        <v>0</v>
      </c>
      <c r="C6956">
        <v>0</v>
      </c>
      <c r="D6956">
        <v>0</v>
      </c>
      <c r="E6956">
        <v>0</v>
      </c>
    </row>
    <row r="6957" spans="1:5" x14ac:dyDescent="0.35">
      <c r="A6957">
        <v>0</v>
      </c>
      <c r="B6957">
        <v>0</v>
      </c>
      <c r="C6957">
        <v>0</v>
      </c>
      <c r="D6957">
        <v>0</v>
      </c>
      <c r="E6957">
        <v>0</v>
      </c>
    </row>
    <row r="6958" spans="1:5" x14ac:dyDescent="0.35">
      <c r="A6958">
        <v>0</v>
      </c>
      <c r="B6958">
        <v>0</v>
      </c>
      <c r="C6958">
        <v>0</v>
      </c>
      <c r="D6958">
        <v>0</v>
      </c>
      <c r="E6958">
        <v>0</v>
      </c>
    </row>
    <row r="6959" spans="1:5" x14ac:dyDescent="0.35">
      <c r="A6959">
        <v>0</v>
      </c>
      <c r="B6959">
        <v>0</v>
      </c>
      <c r="C6959">
        <v>0</v>
      </c>
      <c r="D6959">
        <v>0</v>
      </c>
      <c r="E6959">
        <v>0</v>
      </c>
    </row>
    <row r="6960" spans="1:5" x14ac:dyDescent="0.35">
      <c r="A6960">
        <v>0</v>
      </c>
      <c r="B6960">
        <v>0</v>
      </c>
      <c r="C6960">
        <v>0</v>
      </c>
      <c r="D6960">
        <v>0</v>
      </c>
      <c r="E6960">
        <v>0</v>
      </c>
    </row>
    <row r="6961" spans="1:5" x14ac:dyDescent="0.35">
      <c r="A6961">
        <v>0</v>
      </c>
      <c r="B6961">
        <v>0</v>
      </c>
      <c r="C6961">
        <v>0</v>
      </c>
      <c r="D6961">
        <v>0</v>
      </c>
      <c r="E6961">
        <v>0</v>
      </c>
    </row>
    <row r="6962" spans="1:5" x14ac:dyDescent="0.35">
      <c r="A6962">
        <v>0</v>
      </c>
      <c r="B6962">
        <v>0</v>
      </c>
      <c r="C6962">
        <v>0</v>
      </c>
      <c r="D6962">
        <v>0</v>
      </c>
      <c r="E6962">
        <v>0</v>
      </c>
    </row>
    <row r="6963" spans="1:5" x14ac:dyDescent="0.35">
      <c r="A6963">
        <v>0</v>
      </c>
      <c r="B6963">
        <v>0</v>
      </c>
      <c r="C6963">
        <v>0</v>
      </c>
      <c r="D6963">
        <v>0</v>
      </c>
      <c r="E6963">
        <v>0</v>
      </c>
    </row>
    <row r="6964" spans="1:5" x14ac:dyDescent="0.35">
      <c r="A6964">
        <v>0</v>
      </c>
      <c r="B6964">
        <v>0</v>
      </c>
      <c r="C6964">
        <v>0</v>
      </c>
      <c r="D6964">
        <v>0</v>
      </c>
      <c r="E6964">
        <v>0</v>
      </c>
    </row>
    <row r="6965" spans="1:5" x14ac:dyDescent="0.35">
      <c r="A6965">
        <v>0</v>
      </c>
      <c r="B6965">
        <v>0</v>
      </c>
      <c r="C6965">
        <v>0</v>
      </c>
      <c r="D6965">
        <v>0</v>
      </c>
      <c r="E6965">
        <v>0</v>
      </c>
    </row>
    <row r="6966" spans="1:5" x14ac:dyDescent="0.35">
      <c r="A6966">
        <v>0</v>
      </c>
      <c r="B6966">
        <v>0</v>
      </c>
      <c r="C6966">
        <v>0</v>
      </c>
      <c r="D6966">
        <v>0</v>
      </c>
      <c r="E6966">
        <v>0</v>
      </c>
    </row>
    <row r="6967" spans="1:5" x14ac:dyDescent="0.35">
      <c r="A6967">
        <v>0</v>
      </c>
      <c r="B6967">
        <v>0</v>
      </c>
      <c r="C6967">
        <v>0</v>
      </c>
      <c r="D6967">
        <v>0</v>
      </c>
      <c r="E6967">
        <v>0</v>
      </c>
    </row>
    <row r="6968" spans="1:5" x14ac:dyDescent="0.35">
      <c r="A6968">
        <v>0</v>
      </c>
      <c r="B6968">
        <v>0</v>
      </c>
      <c r="C6968">
        <v>0</v>
      </c>
      <c r="D6968">
        <v>0</v>
      </c>
      <c r="E6968">
        <v>0</v>
      </c>
    </row>
    <row r="6969" spans="1:5" x14ac:dyDescent="0.35">
      <c r="A6969">
        <v>0</v>
      </c>
      <c r="B6969">
        <v>0</v>
      </c>
      <c r="C6969">
        <v>0</v>
      </c>
      <c r="D6969">
        <v>0</v>
      </c>
      <c r="E6969">
        <v>0</v>
      </c>
    </row>
    <row r="6970" spans="1:5" x14ac:dyDescent="0.35">
      <c r="A6970">
        <v>0</v>
      </c>
      <c r="B6970">
        <v>0</v>
      </c>
      <c r="C6970">
        <v>0</v>
      </c>
      <c r="D6970">
        <v>0</v>
      </c>
      <c r="E6970">
        <v>0</v>
      </c>
    </row>
    <row r="6971" spans="1:5" x14ac:dyDescent="0.35">
      <c r="A6971">
        <v>0</v>
      </c>
      <c r="B6971">
        <v>0</v>
      </c>
      <c r="C6971">
        <v>0</v>
      </c>
      <c r="D6971">
        <v>0</v>
      </c>
      <c r="E6971">
        <v>0</v>
      </c>
    </row>
    <row r="6972" spans="1:5" x14ac:dyDescent="0.35">
      <c r="A6972">
        <v>0</v>
      </c>
      <c r="B6972">
        <v>0</v>
      </c>
      <c r="C6972">
        <v>0</v>
      </c>
      <c r="D6972">
        <v>0</v>
      </c>
      <c r="E6972">
        <v>0</v>
      </c>
    </row>
    <row r="6973" spans="1:5" x14ac:dyDescent="0.35">
      <c r="A6973">
        <v>0</v>
      </c>
      <c r="B6973">
        <v>0</v>
      </c>
      <c r="C6973">
        <v>0</v>
      </c>
      <c r="D6973">
        <v>0</v>
      </c>
      <c r="E6973">
        <v>0</v>
      </c>
    </row>
    <row r="6974" spans="1:5" x14ac:dyDescent="0.35">
      <c r="A6974">
        <v>0</v>
      </c>
      <c r="B6974">
        <v>0</v>
      </c>
      <c r="C6974">
        <v>0</v>
      </c>
      <c r="D6974">
        <v>0</v>
      </c>
      <c r="E6974">
        <v>0</v>
      </c>
    </row>
    <row r="6975" spans="1:5" x14ac:dyDescent="0.35">
      <c r="A6975">
        <v>0</v>
      </c>
      <c r="B6975">
        <v>0</v>
      </c>
      <c r="C6975">
        <v>0</v>
      </c>
      <c r="D6975">
        <v>0</v>
      </c>
      <c r="E6975">
        <v>0</v>
      </c>
    </row>
    <row r="6976" spans="1:5" x14ac:dyDescent="0.35">
      <c r="A6976">
        <v>0</v>
      </c>
      <c r="B6976">
        <v>0</v>
      </c>
      <c r="C6976">
        <v>0</v>
      </c>
      <c r="D6976">
        <v>0</v>
      </c>
      <c r="E6976">
        <v>0</v>
      </c>
    </row>
    <row r="6977" spans="1:5" x14ac:dyDescent="0.35">
      <c r="A6977">
        <v>0</v>
      </c>
      <c r="B6977">
        <v>0</v>
      </c>
      <c r="C6977">
        <v>0</v>
      </c>
      <c r="D6977">
        <v>0</v>
      </c>
      <c r="E6977">
        <v>0</v>
      </c>
    </row>
    <row r="6978" spans="1:5" x14ac:dyDescent="0.35">
      <c r="A6978">
        <v>0</v>
      </c>
      <c r="B6978">
        <v>0</v>
      </c>
      <c r="C6978">
        <v>0</v>
      </c>
      <c r="D6978">
        <v>0</v>
      </c>
      <c r="E6978">
        <v>0</v>
      </c>
    </row>
    <row r="6979" spans="1:5" x14ac:dyDescent="0.35">
      <c r="A6979">
        <v>0</v>
      </c>
      <c r="B6979">
        <v>0</v>
      </c>
      <c r="C6979">
        <v>0</v>
      </c>
      <c r="D6979">
        <v>0</v>
      </c>
      <c r="E6979">
        <v>0</v>
      </c>
    </row>
    <row r="6980" spans="1:5" x14ac:dyDescent="0.35">
      <c r="A6980">
        <v>0</v>
      </c>
      <c r="B6980">
        <v>0</v>
      </c>
      <c r="C6980">
        <v>0</v>
      </c>
      <c r="D6980">
        <v>0</v>
      </c>
      <c r="E6980">
        <v>0</v>
      </c>
    </row>
    <row r="6981" spans="1:5" x14ac:dyDescent="0.35">
      <c r="A6981">
        <v>0</v>
      </c>
      <c r="B6981">
        <v>0</v>
      </c>
      <c r="C6981">
        <v>0</v>
      </c>
      <c r="D6981">
        <v>0</v>
      </c>
      <c r="E6981">
        <v>0</v>
      </c>
    </row>
    <row r="6982" spans="1:5" x14ac:dyDescent="0.35">
      <c r="A6982">
        <v>0</v>
      </c>
      <c r="B6982">
        <v>0</v>
      </c>
      <c r="C6982">
        <v>0</v>
      </c>
      <c r="D6982">
        <v>0</v>
      </c>
      <c r="E6982">
        <v>0</v>
      </c>
    </row>
    <row r="6983" spans="1:5" x14ac:dyDescent="0.35">
      <c r="A6983">
        <v>0</v>
      </c>
      <c r="B6983">
        <v>0</v>
      </c>
      <c r="C6983">
        <v>0</v>
      </c>
      <c r="D6983">
        <v>0</v>
      </c>
      <c r="E6983">
        <v>0</v>
      </c>
    </row>
    <row r="6984" spans="1:5" x14ac:dyDescent="0.35">
      <c r="A6984">
        <v>0</v>
      </c>
      <c r="B6984">
        <v>0</v>
      </c>
      <c r="C6984">
        <v>0</v>
      </c>
      <c r="D6984">
        <v>0</v>
      </c>
      <c r="E6984">
        <v>0</v>
      </c>
    </row>
    <row r="6985" spans="1:5" x14ac:dyDescent="0.35">
      <c r="A6985">
        <v>0</v>
      </c>
      <c r="B6985">
        <v>0</v>
      </c>
      <c r="C6985">
        <v>0</v>
      </c>
      <c r="D6985">
        <v>0</v>
      </c>
      <c r="E6985">
        <v>0</v>
      </c>
    </row>
    <row r="6986" spans="1:5" x14ac:dyDescent="0.35">
      <c r="A6986">
        <v>0</v>
      </c>
      <c r="B6986">
        <v>0</v>
      </c>
      <c r="C6986">
        <v>0</v>
      </c>
      <c r="D6986">
        <v>0</v>
      </c>
      <c r="E6986">
        <v>0</v>
      </c>
    </row>
    <row r="6987" spans="1:5" x14ac:dyDescent="0.35">
      <c r="A6987">
        <v>0</v>
      </c>
      <c r="B6987">
        <v>0</v>
      </c>
      <c r="C6987">
        <v>0</v>
      </c>
      <c r="D6987">
        <v>0</v>
      </c>
      <c r="E6987">
        <v>0</v>
      </c>
    </row>
    <row r="6988" spans="1:5" x14ac:dyDescent="0.35">
      <c r="A6988">
        <v>0</v>
      </c>
      <c r="B6988">
        <v>0</v>
      </c>
      <c r="C6988">
        <v>0</v>
      </c>
      <c r="D6988">
        <v>0</v>
      </c>
      <c r="E6988">
        <v>0</v>
      </c>
    </row>
    <row r="6989" spans="1:5" x14ac:dyDescent="0.35">
      <c r="A6989">
        <v>0</v>
      </c>
      <c r="B6989">
        <v>0</v>
      </c>
      <c r="C6989">
        <v>0</v>
      </c>
      <c r="D6989">
        <v>0</v>
      </c>
      <c r="E6989">
        <v>0</v>
      </c>
    </row>
    <row r="6990" spans="1:5" x14ac:dyDescent="0.35">
      <c r="A6990">
        <v>0</v>
      </c>
      <c r="B6990">
        <v>0</v>
      </c>
      <c r="C6990">
        <v>0</v>
      </c>
      <c r="D6990">
        <v>0</v>
      </c>
      <c r="E6990">
        <v>0</v>
      </c>
    </row>
    <row r="6991" spans="1:5" x14ac:dyDescent="0.35">
      <c r="A6991">
        <v>0</v>
      </c>
      <c r="B6991">
        <v>0</v>
      </c>
      <c r="C6991">
        <v>0</v>
      </c>
      <c r="D6991">
        <v>0</v>
      </c>
      <c r="E6991">
        <v>0</v>
      </c>
    </row>
    <row r="6992" spans="1:5" x14ac:dyDescent="0.35">
      <c r="A6992">
        <v>0</v>
      </c>
      <c r="B6992">
        <v>0</v>
      </c>
      <c r="C6992">
        <v>0</v>
      </c>
      <c r="D6992">
        <v>0</v>
      </c>
      <c r="E6992">
        <v>0</v>
      </c>
    </row>
    <row r="6993" spans="1:5" x14ac:dyDescent="0.35">
      <c r="A6993">
        <v>0</v>
      </c>
      <c r="B6993">
        <v>0</v>
      </c>
      <c r="C6993">
        <v>0</v>
      </c>
      <c r="D6993">
        <v>0</v>
      </c>
      <c r="E6993">
        <v>0</v>
      </c>
    </row>
    <row r="6994" spans="1:5" x14ac:dyDescent="0.35">
      <c r="A6994">
        <v>0</v>
      </c>
      <c r="B6994">
        <v>0</v>
      </c>
      <c r="C6994">
        <v>0</v>
      </c>
      <c r="D6994">
        <v>0</v>
      </c>
      <c r="E6994">
        <v>0</v>
      </c>
    </row>
    <row r="6995" spans="1:5" x14ac:dyDescent="0.35">
      <c r="A6995">
        <v>0</v>
      </c>
      <c r="B6995">
        <v>0</v>
      </c>
      <c r="C6995">
        <v>0</v>
      </c>
      <c r="D6995">
        <v>0</v>
      </c>
      <c r="E6995">
        <v>0</v>
      </c>
    </row>
    <row r="6996" spans="1:5" x14ac:dyDescent="0.35">
      <c r="A6996">
        <v>0</v>
      </c>
      <c r="B6996">
        <v>0</v>
      </c>
      <c r="C6996">
        <v>0</v>
      </c>
      <c r="D6996">
        <v>0</v>
      </c>
      <c r="E6996">
        <v>0</v>
      </c>
    </row>
    <row r="6997" spans="1:5" x14ac:dyDescent="0.35">
      <c r="A6997">
        <v>0</v>
      </c>
      <c r="B6997">
        <v>0</v>
      </c>
      <c r="C6997">
        <v>0</v>
      </c>
      <c r="D6997">
        <v>0</v>
      </c>
      <c r="E6997">
        <v>0</v>
      </c>
    </row>
    <row r="6998" spans="1:5" x14ac:dyDescent="0.35">
      <c r="A6998">
        <v>0</v>
      </c>
      <c r="B6998">
        <v>0</v>
      </c>
      <c r="C6998">
        <v>0</v>
      </c>
      <c r="D6998">
        <v>0</v>
      </c>
      <c r="E6998">
        <v>0</v>
      </c>
    </row>
    <row r="6999" spans="1:5" x14ac:dyDescent="0.35">
      <c r="A6999">
        <v>0</v>
      </c>
      <c r="B6999">
        <v>0</v>
      </c>
      <c r="C6999">
        <v>0</v>
      </c>
      <c r="D6999">
        <v>0</v>
      </c>
      <c r="E6999">
        <v>0</v>
      </c>
    </row>
    <row r="7000" spans="1:5" x14ac:dyDescent="0.35">
      <c r="A7000">
        <v>0</v>
      </c>
      <c r="B7000">
        <v>0</v>
      </c>
      <c r="C7000">
        <v>0</v>
      </c>
      <c r="D7000">
        <v>0</v>
      </c>
      <c r="E7000">
        <v>0</v>
      </c>
    </row>
    <row r="7001" spans="1:5" x14ac:dyDescent="0.35">
      <c r="A7001">
        <v>0</v>
      </c>
      <c r="B7001">
        <v>0</v>
      </c>
      <c r="C7001">
        <v>0</v>
      </c>
      <c r="D7001">
        <v>0</v>
      </c>
      <c r="E7001">
        <v>0</v>
      </c>
    </row>
    <row r="7002" spans="1:5" x14ac:dyDescent="0.35">
      <c r="A7002">
        <v>0</v>
      </c>
      <c r="B7002">
        <v>0</v>
      </c>
      <c r="C7002">
        <v>0</v>
      </c>
      <c r="D7002">
        <v>0</v>
      </c>
      <c r="E7002">
        <v>0</v>
      </c>
    </row>
    <row r="7003" spans="1:5" x14ac:dyDescent="0.35">
      <c r="A7003">
        <v>0</v>
      </c>
      <c r="B7003">
        <v>0</v>
      </c>
      <c r="C7003">
        <v>0</v>
      </c>
      <c r="D7003">
        <v>0</v>
      </c>
      <c r="E7003">
        <v>0</v>
      </c>
    </row>
    <row r="7004" spans="1:5" x14ac:dyDescent="0.35">
      <c r="A7004">
        <v>0</v>
      </c>
      <c r="B7004">
        <v>0</v>
      </c>
      <c r="C7004">
        <v>0</v>
      </c>
      <c r="D7004">
        <v>0</v>
      </c>
      <c r="E7004">
        <v>0</v>
      </c>
    </row>
    <row r="7005" spans="1:5" x14ac:dyDescent="0.35">
      <c r="A7005">
        <v>0</v>
      </c>
      <c r="B7005">
        <v>0</v>
      </c>
      <c r="C7005">
        <v>0</v>
      </c>
      <c r="D7005">
        <v>0</v>
      </c>
      <c r="E7005">
        <v>0</v>
      </c>
    </row>
    <row r="7006" spans="1:5" x14ac:dyDescent="0.35">
      <c r="A7006">
        <v>0</v>
      </c>
      <c r="B7006">
        <v>0</v>
      </c>
      <c r="C7006">
        <v>0</v>
      </c>
      <c r="D7006">
        <v>0</v>
      </c>
      <c r="E7006">
        <v>0</v>
      </c>
    </row>
    <row r="7007" spans="1:5" x14ac:dyDescent="0.35">
      <c r="A7007">
        <v>0</v>
      </c>
      <c r="B7007">
        <v>0</v>
      </c>
      <c r="C7007">
        <v>0</v>
      </c>
      <c r="D7007">
        <v>0</v>
      </c>
      <c r="E7007">
        <v>0</v>
      </c>
    </row>
    <row r="7008" spans="1:5" x14ac:dyDescent="0.35">
      <c r="A7008">
        <v>0</v>
      </c>
      <c r="B7008">
        <v>0</v>
      </c>
      <c r="C7008">
        <v>0</v>
      </c>
      <c r="D7008">
        <v>0</v>
      </c>
      <c r="E7008">
        <v>0</v>
      </c>
    </row>
    <row r="7009" spans="1:5" x14ac:dyDescent="0.35">
      <c r="A7009">
        <v>0</v>
      </c>
      <c r="B7009">
        <v>0</v>
      </c>
      <c r="C7009">
        <v>0</v>
      </c>
      <c r="D7009">
        <v>0</v>
      </c>
      <c r="E7009">
        <v>0</v>
      </c>
    </row>
    <row r="7010" spans="1:5" x14ac:dyDescent="0.35">
      <c r="A7010">
        <v>0</v>
      </c>
      <c r="B7010">
        <v>0</v>
      </c>
      <c r="C7010">
        <v>0</v>
      </c>
      <c r="D7010">
        <v>0</v>
      </c>
      <c r="E7010">
        <v>0</v>
      </c>
    </row>
    <row r="7011" spans="1:5" x14ac:dyDescent="0.35">
      <c r="A7011">
        <v>0</v>
      </c>
      <c r="B7011">
        <v>0</v>
      </c>
      <c r="C7011">
        <v>0</v>
      </c>
      <c r="D7011">
        <v>0</v>
      </c>
      <c r="E7011">
        <v>0</v>
      </c>
    </row>
    <row r="7012" spans="1:5" x14ac:dyDescent="0.35">
      <c r="A7012">
        <v>0</v>
      </c>
      <c r="B7012">
        <v>0</v>
      </c>
      <c r="C7012">
        <v>0</v>
      </c>
      <c r="D7012">
        <v>0</v>
      </c>
      <c r="E7012">
        <v>0</v>
      </c>
    </row>
    <row r="7013" spans="1:5" x14ac:dyDescent="0.35">
      <c r="A7013">
        <v>0</v>
      </c>
      <c r="B7013">
        <v>0</v>
      </c>
      <c r="C7013">
        <v>0</v>
      </c>
      <c r="D7013">
        <v>0</v>
      </c>
      <c r="E7013">
        <v>0</v>
      </c>
    </row>
    <row r="7014" spans="1:5" x14ac:dyDescent="0.35">
      <c r="A7014">
        <v>0</v>
      </c>
      <c r="B7014">
        <v>0</v>
      </c>
      <c r="C7014">
        <v>0</v>
      </c>
      <c r="D7014">
        <v>0</v>
      </c>
      <c r="E7014">
        <v>0</v>
      </c>
    </row>
    <row r="7015" spans="1:5" x14ac:dyDescent="0.35">
      <c r="A7015">
        <v>0</v>
      </c>
      <c r="B7015">
        <v>0</v>
      </c>
      <c r="C7015">
        <v>0</v>
      </c>
      <c r="D7015">
        <v>0</v>
      </c>
      <c r="E7015">
        <v>0</v>
      </c>
    </row>
    <row r="7016" spans="1:5" x14ac:dyDescent="0.35">
      <c r="A7016">
        <v>0</v>
      </c>
      <c r="B7016">
        <v>0</v>
      </c>
      <c r="C7016">
        <v>0</v>
      </c>
      <c r="D7016">
        <v>0</v>
      </c>
      <c r="E7016">
        <v>0</v>
      </c>
    </row>
    <row r="7017" spans="1:5" x14ac:dyDescent="0.35">
      <c r="A7017">
        <v>0</v>
      </c>
      <c r="B7017">
        <v>0</v>
      </c>
      <c r="C7017">
        <v>0</v>
      </c>
      <c r="D7017">
        <v>0</v>
      </c>
      <c r="E7017">
        <v>0</v>
      </c>
    </row>
    <row r="7018" spans="1:5" x14ac:dyDescent="0.35">
      <c r="A7018">
        <v>0</v>
      </c>
      <c r="B7018">
        <v>0</v>
      </c>
      <c r="C7018">
        <v>0</v>
      </c>
      <c r="D7018">
        <v>0</v>
      </c>
      <c r="E7018">
        <v>0</v>
      </c>
    </row>
    <row r="7019" spans="1:5" x14ac:dyDescent="0.35">
      <c r="A7019">
        <v>0</v>
      </c>
      <c r="B7019">
        <v>0</v>
      </c>
      <c r="C7019">
        <v>0</v>
      </c>
      <c r="D7019">
        <v>0</v>
      </c>
      <c r="E7019">
        <v>0</v>
      </c>
    </row>
    <row r="7020" spans="1:5" x14ac:dyDescent="0.35">
      <c r="A7020">
        <v>0</v>
      </c>
      <c r="B7020">
        <v>0</v>
      </c>
      <c r="C7020">
        <v>0</v>
      </c>
      <c r="D7020">
        <v>0</v>
      </c>
      <c r="E7020">
        <v>0</v>
      </c>
    </row>
    <row r="7021" spans="1:5" x14ac:dyDescent="0.35">
      <c r="A7021">
        <v>0</v>
      </c>
      <c r="B7021">
        <v>0</v>
      </c>
      <c r="C7021">
        <v>0</v>
      </c>
      <c r="D7021">
        <v>0</v>
      </c>
      <c r="E7021">
        <v>0</v>
      </c>
    </row>
    <row r="7022" spans="1:5" x14ac:dyDescent="0.35">
      <c r="A7022">
        <v>0</v>
      </c>
      <c r="B7022">
        <v>0</v>
      </c>
      <c r="C7022">
        <v>0</v>
      </c>
      <c r="D7022">
        <v>0</v>
      </c>
      <c r="E7022">
        <v>0</v>
      </c>
    </row>
    <row r="7023" spans="1:5" x14ac:dyDescent="0.35">
      <c r="A7023">
        <v>0</v>
      </c>
      <c r="B7023">
        <v>0</v>
      </c>
      <c r="C7023">
        <v>0</v>
      </c>
      <c r="D7023">
        <v>0</v>
      </c>
      <c r="E7023">
        <v>0</v>
      </c>
    </row>
    <row r="7024" spans="1:5" x14ac:dyDescent="0.35">
      <c r="A7024">
        <v>0</v>
      </c>
      <c r="B7024">
        <v>0</v>
      </c>
      <c r="C7024">
        <v>0</v>
      </c>
      <c r="D7024">
        <v>0</v>
      </c>
      <c r="E7024">
        <v>0</v>
      </c>
    </row>
    <row r="7025" spans="1:5" x14ac:dyDescent="0.35">
      <c r="A7025">
        <v>0</v>
      </c>
      <c r="B7025">
        <v>0</v>
      </c>
      <c r="C7025">
        <v>0</v>
      </c>
      <c r="D7025">
        <v>0</v>
      </c>
      <c r="E7025">
        <v>0</v>
      </c>
    </row>
    <row r="7026" spans="1:5" x14ac:dyDescent="0.35">
      <c r="A7026">
        <v>0</v>
      </c>
      <c r="B7026">
        <v>0</v>
      </c>
      <c r="C7026">
        <v>0</v>
      </c>
      <c r="D7026">
        <v>0</v>
      </c>
      <c r="E7026">
        <v>0</v>
      </c>
    </row>
    <row r="7027" spans="1:5" x14ac:dyDescent="0.35">
      <c r="A7027">
        <v>0</v>
      </c>
      <c r="B7027">
        <v>0</v>
      </c>
      <c r="C7027">
        <v>0</v>
      </c>
      <c r="D7027">
        <v>0</v>
      </c>
      <c r="E7027">
        <v>0</v>
      </c>
    </row>
    <row r="7028" spans="1:5" x14ac:dyDescent="0.35">
      <c r="A7028">
        <v>0</v>
      </c>
      <c r="B7028">
        <v>0</v>
      </c>
      <c r="C7028">
        <v>0</v>
      </c>
      <c r="D7028">
        <v>0</v>
      </c>
      <c r="E7028">
        <v>0</v>
      </c>
    </row>
    <row r="7029" spans="1:5" x14ac:dyDescent="0.35">
      <c r="A7029">
        <v>0</v>
      </c>
      <c r="B7029">
        <v>0</v>
      </c>
      <c r="C7029">
        <v>0</v>
      </c>
      <c r="D7029">
        <v>0</v>
      </c>
      <c r="E7029">
        <v>0</v>
      </c>
    </row>
    <row r="7030" spans="1:5" x14ac:dyDescent="0.35">
      <c r="A7030">
        <v>0</v>
      </c>
      <c r="B7030">
        <v>0</v>
      </c>
      <c r="C7030">
        <v>0</v>
      </c>
      <c r="D7030">
        <v>0</v>
      </c>
      <c r="E7030">
        <v>0</v>
      </c>
    </row>
    <row r="7031" spans="1:5" x14ac:dyDescent="0.35">
      <c r="A7031">
        <v>0</v>
      </c>
      <c r="B7031">
        <v>0</v>
      </c>
      <c r="C7031">
        <v>0</v>
      </c>
      <c r="D7031">
        <v>0</v>
      </c>
      <c r="E7031">
        <v>0</v>
      </c>
    </row>
    <row r="7032" spans="1:5" x14ac:dyDescent="0.35">
      <c r="A7032">
        <v>0</v>
      </c>
      <c r="B7032">
        <v>0</v>
      </c>
      <c r="C7032">
        <v>0</v>
      </c>
      <c r="D7032">
        <v>0</v>
      </c>
      <c r="E7032">
        <v>0</v>
      </c>
    </row>
    <row r="7033" spans="1:5" x14ac:dyDescent="0.35">
      <c r="A7033">
        <v>0</v>
      </c>
      <c r="B7033">
        <v>0</v>
      </c>
      <c r="C7033">
        <v>0</v>
      </c>
      <c r="D7033">
        <v>0</v>
      </c>
      <c r="E7033">
        <v>0</v>
      </c>
    </row>
    <row r="7034" spans="1:5" x14ac:dyDescent="0.35">
      <c r="A7034">
        <v>0</v>
      </c>
      <c r="B7034">
        <v>0</v>
      </c>
      <c r="C7034">
        <v>0</v>
      </c>
      <c r="D7034">
        <v>0</v>
      </c>
      <c r="E7034">
        <v>0</v>
      </c>
    </row>
    <row r="7035" spans="1:5" x14ac:dyDescent="0.35">
      <c r="A7035">
        <v>0</v>
      </c>
      <c r="B7035">
        <v>0</v>
      </c>
      <c r="C7035">
        <v>0</v>
      </c>
      <c r="D7035">
        <v>0</v>
      </c>
      <c r="E7035">
        <v>0</v>
      </c>
    </row>
    <row r="7036" spans="1:5" x14ac:dyDescent="0.35">
      <c r="A7036">
        <v>0</v>
      </c>
      <c r="B7036">
        <v>0</v>
      </c>
      <c r="C7036">
        <v>0</v>
      </c>
      <c r="D7036">
        <v>0</v>
      </c>
      <c r="E7036">
        <v>0</v>
      </c>
    </row>
    <row r="7037" spans="1:5" x14ac:dyDescent="0.35">
      <c r="A7037">
        <v>0</v>
      </c>
      <c r="B7037">
        <v>0</v>
      </c>
      <c r="C7037">
        <v>0</v>
      </c>
      <c r="D7037">
        <v>0</v>
      </c>
      <c r="E7037">
        <v>0</v>
      </c>
    </row>
    <row r="7038" spans="1:5" x14ac:dyDescent="0.35">
      <c r="A7038">
        <v>0</v>
      </c>
      <c r="B7038">
        <v>0</v>
      </c>
      <c r="C7038">
        <v>0</v>
      </c>
      <c r="D7038">
        <v>0</v>
      </c>
      <c r="E7038">
        <v>0</v>
      </c>
    </row>
    <row r="7039" spans="1:5" x14ac:dyDescent="0.35">
      <c r="A7039">
        <v>0</v>
      </c>
      <c r="B7039">
        <v>0</v>
      </c>
      <c r="C7039">
        <v>0</v>
      </c>
      <c r="D7039">
        <v>0</v>
      </c>
      <c r="E7039">
        <v>0</v>
      </c>
    </row>
    <row r="7040" spans="1:5" x14ac:dyDescent="0.35">
      <c r="A7040">
        <v>0</v>
      </c>
      <c r="B7040">
        <v>0</v>
      </c>
      <c r="C7040">
        <v>0</v>
      </c>
      <c r="D7040">
        <v>0</v>
      </c>
      <c r="E7040">
        <v>0</v>
      </c>
    </row>
    <row r="7041" spans="1:5" x14ac:dyDescent="0.35">
      <c r="A7041">
        <v>0</v>
      </c>
      <c r="B7041">
        <v>0</v>
      </c>
      <c r="C7041">
        <v>0</v>
      </c>
      <c r="D7041">
        <v>0</v>
      </c>
      <c r="E7041">
        <v>0</v>
      </c>
    </row>
    <row r="7042" spans="1:5" x14ac:dyDescent="0.35">
      <c r="A7042">
        <v>0</v>
      </c>
      <c r="B7042">
        <v>0</v>
      </c>
      <c r="C7042">
        <v>0</v>
      </c>
      <c r="D7042">
        <v>0</v>
      </c>
      <c r="E7042">
        <v>0</v>
      </c>
    </row>
    <row r="7043" spans="1:5" x14ac:dyDescent="0.35">
      <c r="A7043">
        <v>0</v>
      </c>
      <c r="B7043">
        <v>0</v>
      </c>
      <c r="C7043">
        <v>0</v>
      </c>
      <c r="D7043">
        <v>0</v>
      </c>
      <c r="E7043">
        <v>0</v>
      </c>
    </row>
    <row r="7044" spans="1:5" x14ac:dyDescent="0.35">
      <c r="A7044">
        <v>0</v>
      </c>
      <c r="B7044">
        <v>0</v>
      </c>
      <c r="C7044">
        <v>0</v>
      </c>
      <c r="D7044">
        <v>0</v>
      </c>
      <c r="E7044">
        <v>0</v>
      </c>
    </row>
    <row r="7045" spans="1:5" x14ac:dyDescent="0.35">
      <c r="A7045">
        <v>0</v>
      </c>
      <c r="B7045">
        <v>0</v>
      </c>
      <c r="C7045">
        <v>0</v>
      </c>
      <c r="D7045">
        <v>0</v>
      </c>
      <c r="E7045">
        <v>0</v>
      </c>
    </row>
    <row r="7046" spans="1:5" x14ac:dyDescent="0.35">
      <c r="A7046">
        <v>0</v>
      </c>
      <c r="B7046">
        <v>0</v>
      </c>
      <c r="C7046">
        <v>0</v>
      </c>
      <c r="D7046">
        <v>0</v>
      </c>
      <c r="E7046">
        <v>0</v>
      </c>
    </row>
    <row r="7047" spans="1:5" x14ac:dyDescent="0.35">
      <c r="A7047">
        <v>0</v>
      </c>
      <c r="B7047">
        <v>0</v>
      </c>
      <c r="C7047">
        <v>0</v>
      </c>
      <c r="D7047">
        <v>0</v>
      </c>
      <c r="E7047">
        <v>0</v>
      </c>
    </row>
    <row r="7048" spans="1:5" x14ac:dyDescent="0.35">
      <c r="A7048">
        <v>0</v>
      </c>
      <c r="B7048">
        <v>0</v>
      </c>
      <c r="C7048">
        <v>0</v>
      </c>
      <c r="D7048">
        <v>0</v>
      </c>
      <c r="E7048">
        <v>0</v>
      </c>
    </row>
    <row r="7049" spans="1:5" x14ac:dyDescent="0.35">
      <c r="A7049">
        <v>0</v>
      </c>
      <c r="B7049">
        <v>0</v>
      </c>
      <c r="C7049">
        <v>0</v>
      </c>
      <c r="D7049">
        <v>0</v>
      </c>
      <c r="E7049">
        <v>0</v>
      </c>
    </row>
    <row r="7050" spans="1:5" x14ac:dyDescent="0.35">
      <c r="A7050">
        <v>0</v>
      </c>
      <c r="B7050">
        <v>0</v>
      </c>
      <c r="C7050">
        <v>0</v>
      </c>
      <c r="D7050">
        <v>0</v>
      </c>
      <c r="E7050">
        <v>0</v>
      </c>
    </row>
    <row r="7051" spans="1:5" x14ac:dyDescent="0.35">
      <c r="A7051">
        <v>0</v>
      </c>
      <c r="B7051">
        <v>0</v>
      </c>
      <c r="C7051">
        <v>0</v>
      </c>
      <c r="D7051">
        <v>0</v>
      </c>
      <c r="E7051">
        <v>0</v>
      </c>
    </row>
    <row r="7052" spans="1:5" x14ac:dyDescent="0.35">
      <c r="A7052">
        <v>0</v>
      </c>
      <c r="B7052">
        <v>0</v>
      </c>
      <c r="C7052">
        <v>0</v>
      </c>
      <c r="D7052">
        <v>0</v>
      </c>
      <c r="E7052">
        <v>0</v>
      </c>
    </row>
    <row r="7053" spans="1:5" x14ac:dyDescent="0.35">
      <c r="A7053">
        <v>0</v>
      </c>
      <c r="B7053">
        <v>0</v>
      </c>
      <c r="C7053">
        <v>0</v>
      </c>
      <c r="D7053">
        <v>0</v>
      </c>
      <c r="E7053">
        <v>0</v>
      </c>
    </row>
    <row r="7054" spans="1:5" x14ac:dyDescent="0.35">
      <c r="A7054">
        <v>0</v>
      </c>
      <c r="B7054">
        <v>0</v>
      </c>
      <c r="C7054">
        <v>0</v>
      </c>
      <c r="D7054">
        <v>0</v>
      </c>
      <c r="E7054">
        <v>0</v>
      </c>
    </row>
    <row r="7055" spans="1:5" x14ac:dyDescent="0.35">
      <c r="A7055">
        <v>0</v>
      </c>
      <c r="B7055">
        <v>0</v>
      </c>
      <c r="C7055">
        <v>0</v>
      </c>
      <c r="D7055">
        <v>0</v>
      </c>
      <c r="E7055">
        <v>0</v>
      </c>
    </row>
    <row r="7056" spans="1:5" x14ac:dyDescent="0.35">
      <c r="A7056">
        <v>0</v>
      </c>
      <c r="B7056">
        <v>0</v>
      </c>
      <c r="C7056">
        <v>0</v>
      </c>
      <c r="D7056">
        <v>0</v>
      </c>
      <c r="E7056">
        <v>0</v>
      </c>
    </row>
    <row r="7057" spans="1:5" x14ac:dyDescent="0.35">
      <c r="A7057">
        <v>0</v>
      </c>
      <c r="B7057">
        <v>0</v>
      </c>
      <c r="C7057">
        <v>0</v>
      </c>
      <c r="D7057">
        <v>0</v>
      </c>
      <c r="E7057">
        <v>0</v>
      </c>
    </row>
    <row r="7058" spans="1:5" x14ac:dyDescent="0.35">
      <c r="A7058">
        <v>0</v>
      </c>
      <c r="B7058">
        <v>0</v>
      </c>
      <c r="C7058">
        <v>0</v>
      </c>
      <c r="D7058">
        <v>0</v>
      </c>
      <c r="E7058">
        <v>0</v>
      </c>
    </row>
    <row r="7059" spans="1:5" x14ac:dyDescent="0.35">
      <c r="A7059">
        <v>0</v>
      </c>
      <c r="B7059">
        <v>0</v>
      </c>
      <c r="C7059">
        <v>0</v>
      </c>
      <c r="D7059">
        <v>0</v>
      </c>
      <c r="E7059">
        <v>0</v>
      </c>
    </row>
    <row r="7060" spans="1:5" x14ac:dyDescent="0.35">
      <c r="A7060">
        <v>0</v>
      </c>
      <c r="B7060">
        <v>0</v>
      </c>
      <c r="C7060">
        <v>0</v>
      </c>
      <c r="D7060">
        <v>0</v>
      </c>
      <c r="E7060">
        <v>0</v>
      </c>
    </row>
    <row r="7061" spans="1:5" x14ac:dyDescent="0.35">
      <c r="A7061">
        <v>0</v>
      </c>
      <c r="B7061">
        <v>0</v>
      </c>
      <c r="C7061">
        <v>0</v>
      </c>
      <c r="D7061">
        <v>0</v>
      </c>
      <c r="E7061">
        <v>0</v>
      </c>
    </row>
    <row r="7062" spans="1:5" x14ac:dyDescent="0.35">
      <c r="A7062">
        <v>0</v>
      </c>
      <c r="B7062">
        <v>0</v>
      </c>
      <c r="C7062">
        <v>0</v>
      </c>
      <c r="D7062">
        <v>0</v>
      </c>
      <c r="E7062">
        <v>0</v>
      </c>
    </row>
    <row r="7063" spans="1:5" x14ac:dyDescent="0.35">
      <c r="A7063">
        <v>0</v>
      </c>
      <c r="B7063">
        <v>0</v>
      </c>
      <c r="C7063">
        <v>0</v>
      </c>
      <c r="D7063">
        <v>0</v>
      </c>
      <c r="E7063">
        <v>0</v>
      </c>
    </row>
    <row r="7064" spans="1:5" x14ac:dyDescent="0.35">
      <c r="A7064">
        <v>0</v>
      </c>
      <c r="B7064">
        <v>0</v>
      </c>
      <c r="C7064">
        <v>0</v>
      </c>
      <c r="D7064">
        <v>0</v>
      </c>
      <c r="E7064">
        <v>0</v>
      </c>
    </row>
    <row r="7065" spans="1:5" x14ac:dyDescent="0.35">
      <c r="A7065">
        <v>0</v>
      </c>
      <c r="B7065">
        <v>0</v>
      </c>
      <c r="C7065">
        <v>0</v>
      </c>
      <c r="D7065">
        <v>0</v>
      </c>
      <c r="E7065">
        <v>0</v>
      </c>
    </row>
    <row r="7066" spans="1:5" x14ac:dyDescent="0.35">
      <c r="A7066">
        <v>0</v>
      </c>
      <c r="B7066">
        <v>0</v>
      </c>
      <c r="C7066">
        <v>0</v>
      </c>
      <c r="D7066">
        <v>0</v>
      </c>
      <c r="E7066">
        <v>0</v>
      </c>
    </row>
    <row r="7067" spans="1:5" x14ac:dyDescent="0.35">
      <c r="A7067">
        <v>0</v>
      </c>
      <c r="B7067">
        <v>0</v>
      </c>
      <c r="C7067">
        <v>0</v>
      </c>
      <c r="D7067">
        <v>0</v>
      </c>
      <c r="E7067">
        <v>0</v>
      </c>
    </row>
    <row r="7068" spans="1:5" x14ac:dyDescent="0.35">
      <c r="A7068">
        <v>0</v>
      </c>
      <c r="B7068">
        <v>0</v>
      </c>
      <c r="C7068">
        <v>0</v>
      </c>
      <c r="D7068">
        <v>0</v>
      </c>
      <c r="E7068">
        <v>0</v>
      </c>
    </row>
    <row r="7069" spans="1:5" x14ac:dyDescent="0.35">
      <c r="A7069">
        <v>0</v>
      </c>
      <c r="B7069">
        <v>0</v>
      </c>
      <c r="C7069">
        <v>0</v>
      </c>
      <c r="D7069">
        <v>0</v>
      </c>
      <c r="E7069">
        <v>0</v>
      </c>
    </row>
    <row r="7070" spans="1:5" x14ac:dyDescent="0.35">
      <c r="A7070">
        <v>0</v>
      </c>
      <c r="B7070">
        <v>0</v>
      </c>
      <c r="C7070">
        <v>0</v>
      </c>
      <c r="D7070">
        <v>0</v>
      </c>
      <c r="E7070">
        <v>0</v>
      </c>
    </row>
    <row r="7071" spans="1:5" x14ac:dyDescent="0.35">
      <c r="A7071">
        <v>0</v>
      </c>
      <c r="B7071">
        <v>0</v>
      </c>
      <c r="C7071">
        <v>0</v>
      </c>
      <c r="D7071">
        <v>0</v>
      </c>
      <c r="E7071">
        <v>0</v>
      </c>
    </row>
    <row r="7072" spans="1:5" x14ac:dyDescent="0.35">
      <c r="A7072">
        <v>0</v>
      </c>
      <c r="B7072">
        <v>0</v>
      </c>
      <c r="C7072">
        <v>0</v>
      </c>
      <c r="D7072">
        <v>0</v>
      </c>
      <c r="E7072">
        <v>0</v>
      </c>
    </row>
    <row r="7073" spans="1:5" x14ac:dyDescent="0.35">
      <c r="A7073">
        <v>0</v>
      </c>
      <c r="B7073">
        <v>0</v>
      </c>
      <c r="C7073">
        <v>0</v>
      </c>
      <c r="D7073">
        <v>0</v>
      </c>
      <c r="E7073">
        <v>0</v>
      </c>
    </row>
    <row r="7074" spans="1:5" x14ac:dyDescent="0.35">
      <c r="A7074">
        <v>0</v>
      </c>
      <c r="B7074">
        <v>0</v>
      </c>
      <c r="C7074">
        <v>0</v>
      </c>
      <c r="D7074">
        <v>0</v>
      </c>
      <c r="E7074">
        <v>0</v>
      </c>
    </row>
    <row r="7075" spans="1:5" x14ac:dyDescent="0.35">
      <c r="A7075">
        <v>0</v>
      </c>
      <c r="B7075">
        <v>0</v>
      </c>
      <c r="C7075">
        <v>0</v>
      </c>
      <c r="D7075">
        <v>0</v>
      </c>
      <c r="E7075">
        <v>0</v>
      </c>
    </row>
    <row r="7076" spans="1:5" x14ac:dyDescent="0.35">
      <c r="A7076">
        <v>0</v>
      </c>
      <c r="B7076">
        <v>0</v>
      </c>
      <c r="C7076">
        <v>0</v>
      </c>
      <c r="D7076">
        <v>0</v>
      </c>
      <c r="E7076">
        <v>0</v>
      </c>
    </row>
    <row r="7077" spans="1:5" x14ac:dyDescent="0.35">
      <c r="A7077">
        <v>0</v>
      </c>
      <c r="B7077">
        <v>0</v>
      </c>
      <c r="C7077">
        <v>0</v>
      </c>
      <c r="D7077">
        <v>0</v>
      </c>
      <c r="E7077">
        <v>0</v>
      </c>
    </row>
    <row r="7078" spans="1:5" x14ac:dyDescent="0.35">
      <c r="A7078">
        <v>0</v>
      </c>
      <c r="B7078">
        <v>0</v>
      </c>
      <c r="C7078">
        <v>0</v>
      </c>
      <c r="D7078">
        <v>0</v>
      </c>
      <c r="E7078">
        <v>0</v>
      </c>
    </row>
    <row r="7079" spans="1:5" x14ac:dyDescent="0.35">
      <c r="A7079">
        <v>0</v>
      </c>
      <c r="B7079">
        <v>0</v>
      </c>
      <c r="C7079">
        <v>0</v>
      </c>
      <c r="D7079">
        <v>0</v>
      </c>
      <c r="E7079">
        <v>0</v>
      </c>
    </row>
    <row r="7080" spans="1:5" x14ac:dyDescent="0.35">
      <c r="A7080">
        <v>0</v>
      </c>
      <c r="B7080">
        <v>0</v>
      </c>
      <c r="C7080">
        <v>0</v>
      </c>
      <c r="D7080">
        <v>0</v>
      </c>
      <c r="E7080">
        <v>0</v>
      </c>
    </row>
    <row r="7081" spans="1:5" x14ac:dyDescent="0.35">
      <c r="A7081">
        <v>0</v>
      </c>
      <c r="B7081">
        <v>0</v>
      </c>
      <c r="C7081">
        <v>0</v>
      </c>
      <c r="D7081">
        <v>0</v>
      </c>
      <c r="E7081">
        <v>0</v>
      </c>
    </row>
    <row r="7082" spans="1:5" x14ac:dyDescent="0.35">
      <c r="A7082">
        <v>0</v>
      </c>
      <c r="B7082">
        <v>0</v>
      </c>
      <c r="C7082">
        <v>0</v>
      </c>
      <c r="D7082">
        <v>0</v>
      </c>
      <c r="E7082">
        <v>0</v>
      </c>
    </row>
    <row r="7083" spans="1:5" x14ac:dyDescent="0.35">
      <c r="A7083">
        <v>0</v>
      </c>
      <c r="B7083">
        <v>0</v>
      </c>
      <c r="C7083">
        <v>0</v>
      </c>
      <c r="D7083">
        <v>0</v>
      </c>
      <c r="E7083">
        <v>0</v>
      </c>
    </row>
    <row r="7084" spans="1:5" x14ac:dyDescent="0.35">
      <c r="A7084">
        <v>0</v>
      </c>
      <c r="B7084">
        <v>0</v>
      </c>
      <c r="C7084">
        <v>0</v>
      </c>
      <c r="D7084">
        <v>0</v>
      </c>
      <c r="E7084">
        <v>0</v>
      </c>
    </row>
    <row r="7085" spans="1:5" x14ac:dyDescent="0.35">
      <c r="A7085">
        <v>0</v>
      </c>
      <c r="B7085">
        <v>0</v>
      </c>
      <c r="C7085">
        <v>0</v>
      </c>
      <c r="D7085">
        <v>0</v>
      </c>
      <c r="E7085">
        <v>0</v>
      </c>
    </row>
    <row r="7086" spans="1:5" x14ac:dyDescent="0.35">
      <c r="A7086">
        <v>0</v>
      </c>
      <c r="B7086">
        <v>0</v>
      </c>
      <c r="C7086">
        <v>0</v>
      </c>
      <c r="D7086">
        <v>0</v>
      </c>
      <c r="E7086">
        <v>0</v>
      </c>
    </row>
    <row r="7087" spans="1:5" x14ac:dyDescent="0.35">
      <c r="A7087">
        <v>0</v>
      </c>
      <c r="B7087">
        <v>0</v>
      </c>
      <c r="C7087">
        <v>0</v>
      </c>
      <c r="D7087">
        <v>0</v>
      </c>
      <c r="E7087">
        <v>0</v>
      </c>
    </row>
    <row r="7088" spans="1:5" x14ac:dyDescent="0.35">
      <c r="A7088">
        <v>0</v>
      </c>
      <c r="B7088">
        <v>0</v>
      </c>
      <c r="C7088">
        <v>0</v>
      </c>
      <c r="D7088">
        <v>0</v>
      </c>
      <c r="E7088">
        <v>0</v>
      </c>
    </row>
    <row r="7089" spans="1:5" x14ac:dyDescent="0.35">
      <c r="A7089">
        <v>0</v>
      </c>
      <c r="B7089">
        <v>0</v>
      </c>
      <c r="C7089">
        <v>0</v>
      </c>
      <c r="D7089">
        <v>0</v>
      </c>
      <c r="E7089">
        <v>0</v>
      </c>
    </row>
    <row r="7090" spans="1:5" x14ac:dyDescent="0.35">
      <c r="A7090">
        <v>0</v>
      </c>
      <c r="B7090">
        <v>0</v>
      </c>
      <c r="C7090">
        <v>0</v>
      </c>
      <c r="D7090">
        <v>0</v>
      </c>
      <c r="E7090">
        <v>0</v>
      </c>
    </row>
    <row r="7091" spans="1:5" x14ac:dyDescent="0.35">
      <c r="A7091">
        <v>0</v>
      </c>
      <c r="B7091">
        <v>0</v>
      </c>
      <c r="C7091">
        <v>0</v>
      </c>
      <c r="D7091">
        <v>0</v>
      </c>
      <c r="E7091">
        <v>0</v>
      </c>
    </row>
    <row r="7092" spans="1:5" x14ac:dyDescent="0.35">
      <c r="A7092">
        <v>0</v>
      </c>
      <c r="B7092">
        <v>0</v>
      </c>
      <c r="C7092">
        <v>0</v>
      </c>
      <c r="D7092">
        <v>0</v>
      </c>
      <c r="E7092">
        <v>0</v>
      </c>
    </row>
    <row r="7093" spans="1:5" x14ac:dyDescent="0.35">
      <c r="A7093">
        <v>0</v>
      </c>
      <c r="B7093">
        <v>0</v>
      </c>
      <c r="C7093">
        <v>0</v>
      </c>
      <c r="D7093">
        <v>0</v>
      </c>
      <c r="E7093">
        <v>0</v>
      </c>
    </row>
    <row r="7094" spans="1:5" x14ac:dyDescent="0.35">
      <c r="A7094">
        <v>0</v>
      </c>
      <c r="B7094">
        <v>0</v>
      </c>
      <c r="C7094">
        <v>0</v>
      </c>
      <c r="D7094">
        <v>0</v>
      </c>
      <c r="E7094">
        <v>0</v>
      </c>
    </row>
    <row r="7095" spans="1:5" x14ac:dyDescent="0.35">
      <c r="A7095">
        <v>0</v>
      </c>
      <c r="B7095">
        <v>0</v>
      </c>
      <c r="C7095">
        <v>0</v>
      </c>
      <c r="D7095">
        <v>0</v>
      </c>
      <c r="E7095">
        <v>0</v>
      </c>
    </row>
    <row r="7096" spans="1:5" x14ac:dyDescent="0.35">
      <c r="A7096">
        <v>0</v>
      </c>
      <c r="B7096">
        <v>0</v>
      </c>
      <c r="C7096">
        <v>0</v>
      </c>
      <c r="D7096">
        <v>0</v>
      </c>
      <c r="E7096">
        <v>0</v>
      </c>
    </row>
    <row r="7097" spans="1:5" x14ac:dyDescent="0.35">
      <c r="A7097">
        <v>0</v>
      </c>
      <c r="B7097">
        <v>0</v>
      </c>
      <c r="C7097">
        <v>0</v>
      </c>
      <c r="D7097">
        <v>0</v>
      </c>
      <c r="E7097">
        <v>0</v>
      </c>
    </row>
    <row r="7098" spans="1:5" x14ac:dyDescent="0.35">
      <c r="A7098">
        <v>0</v>
      </c>
      <c r="B7098">
        <v>0</v>
      </c>
      <c r="C7098">
        <v>0</v>
      </c>
      <c r="D7098">
        <v>0</v>
      </c>
      <c r="E7098">
        <v>0</v>
      </c>
    </row>
    <row r="7099" spans="1:5" x14ac:dyDescent="0.35">
      <c r="A7099">
        <v>0</v>
      </c>
      <c r="B7099">
        <v>0</v>
      </c>
      <c r="C7099">
        <v>0</v>
      </c>
      <c r="D7099">
        <v>0</v>
      </c>
      <c r="E7099">
        <v>0</v>
      </c>
    </row>
    <row r="7100" spans="1:5" x14ac:dyDescent="0.35">
      <c r="A7100">
        <v>0</v>
      </c>
      <c r="B7100">
        <v>0</v>
      </c>
      <c r="C7100">
        <v>0</v>
      </c>
      <c r="D7100">
        <v>0</v>
      </c>
      <c r="E7100">
        <v>0</v>
      </c>
    </row>
    <row r="7101" spans="1:5" x14ac:dyDescent="0.35">
      <c r="A7101">
        <v>0</v>
      </c>
      <c r="B7101">
        <v>0</v>
      </c>
      <c r="C7101">
        <v>0</v>
      </c>
      <c r="D7101">
        <v>0</v>
      </c>
      <c r="E7101">
        <v>0</v>
      </c>
    </row>
    <row r="7102" spans="1:5" x14ac:dyDescent="0.35">
      <c r="A7102">
        <v>0</v>
      </c>
      <c r="B7102">
        <v>0</v>
      </c>
      <c r="C7102">
        <v>0</v>
      </c>
      <c r="D7102">
        <v>0</v>
      </c>
      <c r="E7102">
        <v>0</v>
      </c>
    </row>
    <row r="7103" spans="1:5" x14ac:dyDescent="0.35">
      <c r="A7103">
        <v>0</v>
      </c>
      <c r="B7103">
        <v>0</v>
      </c>
      <c r="C7103">
        <v>0</v>
      </c>
      <c r="D7103">
        <v>0</v>
      </c>
      <c r="E7103">
        <v>0</v>
      </c>
    </row>
    <row r="7104" spans="1:5" x14ac:dyDescent="0.35">
      <c r="A7104">
        <v>0</v>
      </c>
      <c r="B7104">
        <v>0</v>
      </c>
      <c r="C7104">
        <v>0</v>
      </c>
      <c r="D7104">
        <v>0</v>
      </c>
      <c r="E7104">
        <v>0</v>
      </c>
    </row>
    <row r="7105" spans="1:5" x14ac:dyDescent="0.35">
      <c r="A7105">
        <v>0</v>
      </c>
      <c r="B7105">
        <v>0</v>
      </c>
      <c r="C7105">
        <v>0</v>
      </c>
      <c r="D7105">
        <v>0</v>
      </c>
      <c r="E7105">
        <v>0</v>
      </c>
    </row>
    <row r="7106" spans="1:5" x14ac:dyDescent="0.35">
      <c r="A7106">
        <v>0</v>
      </c>
      <c r="B7106">
        <v>0</v>
      </c>
      <c r="C7106">
        <v>0</v>
      </c>
      <c r="D7106">
        <v>0</v>
      </c>
      <c r="E7106">
        <v>0</v>
      </c>
    </row>
    <row r="7107" spans="1:5" x14ac:dyDescent="0.35">
      <c r="A7107">
        <v>0</v>
      </c>
      <c r="B7107">
        <v>0</v>
      </c>
      <c r="C7107">
        <v>0</v>
      </c>
      <c r="D7107">
        <v>0</v>
      </c>
      <c r="E7107">
        <v>0</v>
      </c>
    </row>
    <row r="7108" spans="1:5" x14ac:dyDescent="0.35">
      <c r="A7108">
        <v>0</v>
      </c>
      <c r="B7108">
        <v>0</v>
      </c>
      <c r="C7108">
        <v>0</v>
      </c>
      <c r="D7108">
        <v>0</v>
      </c>
      <c r="E7108">
        <v>0</v>
      </c>
    </row>
    <row r="7109" spans="1:5" x14ac:dyDescent="0.35">
      <c r="A7109">
        <v>0</v>
      </c>
      <c r="B7109">
        <v>0</v>
      </c>
      <c r="C7109">
        <v>0</v>
      </c>
      <c r="D7109">
        <v>0</v>
      </c>
      <c r="E7109">
        <v>0</v>
      </c>
    </row>
    <row r="7110" spans="1:5" x14ac:dyDescent="0.35">
      <c r="A7110">
        <v>0</v>
      </c>
      <c r="B7110">
        <v>0</v>
      </c>
      <c r="C7110">
        <v>0</v>
      </c>
      <c r="D7110">
        <v>0</v>
      </c>
      <c r="E7110">
        <v>0</v>
      </c>
    </row>
    <row r="7111" spans="1:5" x14ac:dyDescent="0.35">
      <c r="A7111">
        <v>0</v>
      </c>
      <c r="B7111">
        <v>0</v>
      </c>
      <c r="C7111">
        <v>0</v>
      </c>
      <c r="D7111">
        <v>0</v>
      </c>
      <c r="E7111">
        <v>0</v>
      </c>
    </row>
    <row r="7112" spans="1:5" x14ac:dyDescent="0.35">
      <c r="A7112">
        <v>0</v>
      </c>
      <c r="B7112">
        <v>0</v>
      </c>
      <c r="C7112">
        <v>0</v>
      </c>
      <c r="D7112">
        <v>0</v>
      </c>
      <c r="E7112">
        <v>0</v>
      </c>
    </row>
    <row r="7113" spans="1:5" x14ac:dyDescent="0.35">
      <c r="A7113">
        <v>0</v>
      </c>
      <c r="B7113">
        <v>0</v>
      </c>
      <c r="C7113">
        <v>0</v>
      </c>
      <c r="D7113">
        <v>0</v>
      </c>
      <c r="E7113">
        <v>0</v>
      </c>
    </row>
    <row r="7114" spans="1:5" x14ac:dyDescent="0.35">
      <c r="A7114">
        <v>0</v>
      </c>
      <c r="B7114">
        <v>0</v>
      </c>
      <c r="C7114">
        <v>0</v>
      </c>
      <c r="D7114">
        <v>0</v>
      </c>
      <c r="E7114">
        <v>0</v>
      </c>
    </row>
    <row r="7115" spans="1:5" x14ac:dyDescent="0.35">
      <c r="A7115">
        <v>0</v>
      </c>
      <c r="B7115">
        <v>0</v>
      </c>
      <c r="C7115">
        <v>0</v>
      </c>
      <c r="D7115">
        <v>0</v>
      </c>
      <c r="E7115">
        <v>0</v>
      </c>
    </row>
    <row r="7116" spans="1:5" x14ac:dyDescent="0.35">
      <c r="A7116">
        <v>0</v>
      </c>
      <c r="B7116">
        <v>0</v>
      </c>
      <c r="C7116">
        <v>0</v>
      </c>
      <c r="D7116">
        <v>0</v>
      </c>
      <c r="E7116">
        <v>0</v>
      </c>
    </row>
    <row r="7117" spans="1:5" x14ac:dyDescent="0.35">
      <c r="A7117">
        <v>0</v>
      </c>
      <c r="B7117">
        <v>0</v>
      </c>
      <c r="C7117">
        <v>0</v>
      </c>
      <c r="D7117">
        <v>0</v>
      </c>
      <c r="E7117">
        <v>0</v>
      </c>
    </row>
    <row r="7118" spans="1:5" x14ac:dyDescent="0.35">
      <c r="A7118">
        <v>0</v>
      </c>
      <c r="B7118">
        <v>0</v>
      </c>
      <c r="C7118">
        <v>0</v>
      </c>
      <c r="D7118">
        <v>0</v>
      </c>
      <c r="E7118">
        <v>0</v>
      </c>
    </row>
    <row r="7119" spans="1:5" x14ac:dyDescent="0.35">
      <c r="A7119">
        <v>0</v>
      </c>
      <c r="B7119">
        <v>0</v>
      </c>
      <c r="C7119">
        <v>0</v>
      </c>
      <c r="D7119">
        <v>0</v>
      </c>
      <c r="E7119">
        <v>0</v>
      </c>
    </row>
    <row r="7120" spans="1:5" x14ac:dyDescent="0.35">
      <c r="A7120">
        <v>0</v>
      </c>
      <c r="B7120">
        <v>0</v>
      </c>
      <c r="C7120">
        <v>0</v>
      </c>
      <c r="D7120">
        <v>0</v>
      </c>
      <c r="E7120">
        <v>0</v>
      </c>
    </row>
    <row r="7121" spans="1:5" x14ac:dyDescent="0.35">
      <c r="A7121">
        <v>0</v>
      </c>
      <c r="B7121">
        <v>0</v>
      </c>
      <c r="C7121">
        <v>0</v>
      </c>
      <c r="D7121">
        <v>0</v>
      </c>
      <c r="E7121">
        <v>0</v>
      </c>
    </row>
    <row r="7122" spans="1:5" x14ac:dyDescent="0.35">
      <c r="A7122">
        <v>0</v>
      </c>
      <c r="B7122">
        <v>0</v>
      </c>
      <c r="C7122">
        <v>0</v>
      </c>
      <c r="D7122">
        <v>0</v>
      </c>
      <c r="E7122">
        <v>0</v>
      </c>
    </row>
    <row r="7123" spans="1:5" x14ac:dyDescent="0.35">
      <c r="A7123">
        <v>0</v>
      </c>
      <c r="B7123">
        <v>0</v>
      </c>
      <c r="C7123">
        <v>0</v>
      </c>
      <c r="D7123">
        <v>0</v>
      </c>
      <c r="E7123">
        <v>0</v>
      </c>
    </row>
    <row r="7124" spans="1:5" x14ac:dyDescent="0.35">
      <c r="A7124">
        <v>0</v>
      </c>
      <c r="B7124">
        <v>0</v>
      </c>
      <c r="C7124">
        <v>0</v>
      </c>
      <c r="D7124">
        <v>0</v>
      </c>
      <c r="E7124">
        <v>0</v>
      </c>
    </row>
    <row r="7125" spans="1:5" x14ac:dyDescent="0.35">
      <c r="A7125">
        <v>0</v>
      </c>
      <c r="B7125">
        <v>0</v>
      </c>
      <c r="C7125">
        <v>0</v>
      </c>
      <c r="D7125">
        <v>0</v>
      </c>
      <c r="E7125">
        <v>0</v>
      </c>
    </row>
    <row r="7126" spans="1:5" x14ac:dyDescent="0.35">
      <c r="A7126">
        <v>0</v>
      </c>
      <c r="B7126">
        <v>0</v>
      </c>
      <c r="C7126">
        <v>0</v>
      </c>
      <c r="D7126">
        <v>0</v>
      </c>
      <c r="E7126">
        <v>0</v>
      </c>
    </row>
    <row r="7127" spans="1:5" x14ac:dyDescent="0.35">
      <c r="A7127">
        <v>0</v>
      </c>
      <c r="B7127">
        <v>0</v>
      </c>
      <c r="C7127">
        <v>0</v>
      </c>
      <c r="D7127">
        <v>0</v>
      </c>
      <c r="E7127">
        <v>0</v>
      </c>
    </row>
    <row r="7128" spans="1:5" x14ac:dyDescent="0.35">
      <c r="A7128">
        <v>0</v>
      </c>
      <c r="B7128">
        <v>0</v>
      </c>
      <c r="C7128">
        <v>0</v>
      </c>
      <c r="D7128">
        <v>0</v>
      </c>
      <c r="E7128">
        <v>0</v>
      </c>
    </row>
    <row r="7129" spans="1:5" x14ac:dyDescent="0.35">
      <c r="A7129">
        <v>0</v>
      </c>
      <c r="B7129">
        <v>0</v>
      </c>
      <c r="C7129">
        <v>0</v>
      </c>
      <c r="D7129">
        <v>0</v>
      </c>
      <c r="E7129">
        <v>0</v>
      </c>
    </row>
    <row r="7130" spans="1:5" x14ac:dyDescent="0.35">
      <c r="A7130">
        <v>0</v>
      </c>
      <c r="B7130">
        <v>0</v>
      </c>
      <c r="C7130">
        <v>0</v>
      </c>
      <c r="D7130">
        <v>0</v>
      </c>
      <c r="E7130">
        <v>0</v>
      </c>
    </row>
    <row r="7131" spans="1:5" x14ac:dyDescent="0.35">
      <c r="A7131">
        <v>0</v>
      </c>
      <c r="B7131">
        <v>0</v>
      </c>
      <c r="C7131">
        <v>0</v>
      </c>
      <c r="D7131">
        <v>0</v>
      </c>
      <c r="E7131">
        <v>0</v>
      </c>
    </row>
    <row r="7132" spans="1:5" x14ac:dyDescent="0.35">
      <c r="A7132">
        <v>0</v>
      </c>
      <c r="B7132">
        <v>0</v>
      </c>
      <c r="C7132">
        <v>0</v>
      </c>
      <c r="D7132">
        <v>0</v>
      </c>
      <c r="E7132">
        <v>0</v>
      </c>
    </row>
    <row r="7133" spans="1:5" x14ac:dyDescent="0.35">
      <c r="A7133">
        <v>0</v>
      </c>
      <c r="B7133">
        <v>0</v>
      </c>
      <c r="C7133">
        <v>0</v>
      </c>
      <c r="D7133">
        <v>0</v>
      </c>
      <c r="E7133">
        <v>0</v>
      </c>
    </row>
    <row r="7134" spans="1:5" x14ac:dyDescent="0.35">
      <c r="A7134">
        <v>0</v>
      </c>
      <c r="B7134">
        <v>0</v>
      </c>
      <c r="C7134">
        <v>0</v>
      </c>
      <c r="D7134">
        <v>0</v>
      </c>
      <c r="E7134">
        <v>0</v>
      </c>
    </row>
    <row r="7135" spans="1:5" x14ac:dyDescent="0.35">
      <c r="A7135">
        <v>0</v>
      </c>
      <c r="B7135">
        <v>0</v>
      </c>
      <c r="C7135">
        <v>0</v>
      </c>
      <c r="D7135">
        <v>0</v>
      </c>
      <c r="E7135">
        <v>0</v>
      </c>
    </row>
    <row r="7136" spans="1:5" x14ac:dyDescent="0.35">
      <c r="A7136">
        <v>0</v>
      </c>
      <c r="B7136">
        <v>0</v>
      </c>
      <c r="C7136">
        <v>0</v>
      </c>
      <c r="D7136">
        <v>0</v>
      </c>
      <c r="E7136">
        <v>0</v>
      </c>
    </row>
    <row r="7137" spans="1:5" x14ac:dyDescent="0.35">
      <c r="A7137">
        <v>0</v>
      </c>
      <c r="B7137">
        <v>0</v>
      </c>
      <c r="C7137">
        <v>0</v>
      </c>
      <c r="D7137">
        <v>0</v>
      </c>
      <c r="E7137">
        <v>0</v>
      </c>
    </row>
    <row r="7138" spans="1:5" x14ac:dyDescent="0.35">
      <c r="A7138">
        <v>0</v>
      </c>
      <c r="B7138">
        <v>0</v>
      </c>
      <c r="C7138">
        <v>0</v>
      </c>
      <c r="D7138">
        <v>0</v>
      </c>
      <c r="E7138">
        <v>0</v>
      </c>
    </row>
    <row r="7139" spans="1:5" x14ac:dyDescent="0.35">
      <c r="A7139">
        <v>0</v>
      </c>
      <c r="B7139">
        <v>0</v>
      </c>
      <c r="C7139">
        <v>0</v>
      </c>
      <c r="D7139">
        <v>0</v>
      </c>
      <c r="E7139">
        <v>0</v>
      </c>
    </row>
    <row r="7140" spans="1:5" x14ac:dyDescent="0.35">
      <c r="A7140">
        <v>0</v>
      </c>
      <c r="B7140">
        <v>0</v>
      </c>
      <c r="C7140">
        <v>0</v>
      </c>
      <c r="D7140">
        <v>0</v>
      </c>
      <c r="E7140">
        <v>0</v>
      </c>
    </row>
    <row r="7141" spans="1:5" x14ac:dyDescent="0.35">
      <c r="A7141">
        <v>0</v>
      </c>
      <c r="B7141">
        <v>0</v>
      </c>
      <c r="C7141">
        <v>0</v>
      </c>
      <c r="D7141">
        <v>0</v>
      </c>
      <c r="E7141">
        <v>0</v>
      </c>
    </row>
    <row r="7142" spans="1:5" x14ac:dyDescent="0.35">
      <c r="A7142">
        <v>0</v>
      </c>
      <c r="B7142">
        <v>0</v>
      </c>
      <c r="C7142">
        <v>0</v>
      </c>
      <c r="D7142">
        <v>0</v>
      </c>
      <c r="E7142">
        <v>0</v>
      </c>
    </row>
    <row r="7143" spans="1:5" x14ac:dyDescent="0.35">
      <c r="A7143">
        <v>0</v>
      </c>
      <c r="B7143">
        <v>0</v>
      </c>
      <c r="C7143">
        <v>0</v>
      </c>
      <c r="D7143">
        <v>0</v>
      </c>
      <c r="E7143">
        <v>0</v>
      </c>
    </row>
    <row r="7144" spans="1:5" x14ac:dyDescent="0.35">
      <c r="A7144">
        <v>0</v>
      </c>
      <c r="B7144">
        <v>0</v>
      </c>
      <c r="C7144">
        <v>0</v>
      </c>
      <c r="D7144">
        <v>0</v>
      </c>
      <c r="E7144">
        <v>0</v>
      </c>
    </row>
    <row r="7145" spans="1:5" x14ac:dyDescent="0.35">
      <c r="A7145">
        <v>0</v>
      </c>
      <c r="B7145">
        <v>0</v>
      </c>
      <c r="C7145">
        <v>0</v>
      </c>
      <c r="D7145">
        <v>0</v>
      </c>
      <c r="E7145">
        <v>0</v>
      </c>
    </row>
    <row r="7146" spans="1:5" x14ac:dyDescent="0.35">
      <c r="A7146">
        <v>0</v>
      </c>
      <c r="B7146">
        <v>0</v>
      </c>
      <c r="C7146">
        <v>0</v>
      </c>
      <c r="D7146">
        <v>0</v>
      </c>
      <c r="E7146">
        <v>0</v>
      </c>
    </row>
    <row r="7147" spans="1:5" x14ac:dyDescent="0.35">
      <c r="A7147">
        <v>0</v>
      </c>
      <c r="B7147">
        <v>0</v>
      </c>
      <c r="C7147">
        <v>0</v>
      </c>
      <c r="D7147">
        <v>0</v>
      </c>
      <c r="E7147">
        <v>0</v>
      </c>
    </row>
    <row r="7148" spans="1:5" x14ac:dyDescent="0.35">
      <c r="A7148">
        <v>0</v>
      </c>
      <c r="B7148">
        <v>0</v>
      </c>
      <c r="C7148">
        <v>0</v>
      </c>
      <c r="D7148">
        <v>0</v>
      </c>
      <c r="E7148">
        <v>0</v>
      </c>
    </row>
    <row r="7149" spans="1:5" x14ac:dyDescent="0.35">
      <c r="A7149">
        <v>0</v>
      </c>
      <c r="B7149">
        <v>0</v>
      </c>
      <c r="C7149">
        <v>0</v>
      </c>
      <c r="D7149">
        <v>0</v>
      </c>
      <c r="E7149">
        <v>0</v>
      </c>
    </row>
    <row r="7150" spans="1:5" x14ac:dyDescent="0.35">
      <c r="A7150">
        <v>0</v>
      </c>
      <c r="B7150">
        <v>0</v>
      </c>
      <c r="C7150">
        <v>0</v>
      </c>
      <c r="D7150">
        <v>0</v>
      </c>
      <c r="E7150">
        <v>0</v>
      </c>
    </row>
    <row r="7151" spans="1:5" x14ac:dyDescent="0.35">
      <c r="A7151">
        <v>0</v>
      </c>
      <c r="B7151">
        <v>0</v>
      </c>
      <c r="C7151">
        <v>0</v>
      </c>
      <c r="D7151">
        <v>0</v>
      </c>
      <c r="E7151">
        <v>0</v>
      </c>
    </row>
    <row r="7152" spans="1:5" x14ac:dyDescent="0.35">
      <c r="A7152">
        <v>0</v>
      </c>
      <c r="B7152">
        <v>0</v>
      </c>
      <c r="C7152">
        <v>0</v>
      </c>
      <c r="D7152">
        <v>0</v>
      </c>
      <c r="E7152">
        <v>0</v>
      </c>
    </row>
    <row r="7153" spans="1:5" x14ac:dyDescent="0.35">
      <c r="A7153">
        <v>0</v>
      </c>
      <c r="B7153">
        <v>0</v>
      </c>
      <c r="C7153">
        <v>0</v>
      </c>
      <c r="D7153">
        <v>0</v>
      </c>
      <c r="E7153">
        <v>0</v>
      </c>
    </row>
    <row r="7154" spans="1:5" x14ac:dyDescent="0.35">
      <c r="A7154">
        <v>0</v>
      </c>
      <c r="B7154">
        <v>0</v>
      </c>
      <c r="C7154">
        <v>0</v>
      </c>
      <c r="D7154">
        <v>0</v>
      </c>
      <c r="E7154">
        <v>0</v>
      </c>
    </row>
    <row r="7155" spans="1:5" x14ac:dyDescent="0.35">
      <c r="A7155">
        <v>0</v>
      </c>
      <c r="B7155">
        <v>0</v>
      </c>
      <c r="C7155">
        <v>0</v>
      </c>
      <c r="D7155">
        <v>0</v>
      </c>
      <c r="E7155">
        <v>0</v>
      </c>
    </row>
    <row r="7156" spans="1:5" x14ac:dyDescent="0.35">
      <c r="A7156">
        <v>0</v>
      </c>
      <c r="B7156">
        <v>0</v>
      </c>
      <c r="C7156">
        <v>0</v>
      </c>
      <c r="D7156">
        <v>0</v>
      </c>
      <c r="E7156">
        <v>0</v>
      </c>
    </row>
    <row r="7157" spans="1:5" x14ac:dyDescent="0.35">
      <c r="A7157">
        <v>0</v>
      </c>
      <c r="B7157">
        <v>0</v>
      </c>
      <c r="C7157">
        <v>0</v>
      </c>
      <c r="D7157">
        <v>0</v>
      </c>
      <c r="E7157">
        <v>0</v>
      </c>
    </row>
    <row r="7158" spans="1:5" x14ac:dyDescent="0.35">
      <c r="A7158">
        <v>0</v>
      </c>
      <c r="B7158">
        <v>0</v>
      </c>
      <c r="C7158">
        <v>0</v>
      </c>
      <c r="D7158">
        <v>0</v>
      </c>
      <c r="E7158">
        <v>0</v>
      </c>
    </row>
    <row r="7159" spans="1:5" x14ac:dyDescent="0.35">
      <c r="A7159">
        <v>0</v>
      </c>
      <c r="B7159">
        <v>0</v>
      </c>
      <c r="C7159">
        <v>0</v>
      </c>
      <c r="D7159">
        <v>0</v>
      </c>
      <c r="E7159">
        <v>0</v>
      </c>
    </row>
    <row r="7160" spans="1:5" x14ac:dyDescent="0.35">
      <c r="A7160">
        <v>0</v>
      </c>
      <c r="B7160">
        <v>0</v>
      </c>
      <c r="C7160">
        <v>0</v>
      </c>
      <c r="D7160">
        <v>0</v>
      </c>
      <c r="E7160">
        <v>0</v>
      </c>
    </row>
    <row r="7161" spans="1:5" x14ac:dyDescent="0.35">
      <c r="A7161">
        <v>0</v>
      </c>
      <c r="B7161">
        <v>0</v>
      </c>
      <c r="C7161">
        <v>0</v>
      </c>
      <c r="D7161">
        <v>0</v>
      </c>
      <c r="E7161">
        <v>0</v>
      </c>
    </row>
    <row r="7162" spans="1:5" x14ac:dyDescent="0.35">
      <c r="A7162">
        <v>0</v>
      </c>
      <c r="B7162">
        <v>0</v>
      </c>
      <c r="C7162">
        <v>0</v>
      </c>
      <c r="D7162">
        <v>0</v>
      </c>
      <c r="E7162">
        <v>0</v>
      </c>
    </row>
    <row r="7163" spans="1:5" x14ac:dyDescent="0.35">
      <c r="A7163">
        <v>0</v>
      </c>
      <c r="B7163">
        <v>0</v>
      </c>
      <c r="C7163">
        <v>0</v>
      </c>
      <c r="D7163">
        <v>0</v>
      </c>
      <c r="E7163">
        <v>0</v>
      </c>
    </row>
    <row r="7164" spans="1:5" x14ac:dyDescent="0.35">
      <c r="A7164">
        <v>0</v>
      </c>
      <c r="B7164">
        <v>0</v>
      </c>
      <c r="C7164">
        <v>0</v>
      </c>
      <c r="D7164">
        <v>0</v>
      </c>
      <c r="E7164">
        <v>0</v>
      </c>
    </row>
    <row r="7165" spans="1:5" x14ac:dyDescent="0.35">
      <c r="A7165">
        <v>0</v>
      </c>
      <c r="B7165">
        <v>0</v>
      </c>
      <c r="C7165">
        <v>0</v>
      </c>
      <c r="D7165">
        <v>0</v>
      </c>
      <c r="E7165">
        <v>0</v>
      </c>
    </row>
    <row r="7166" spans="1:5" x14ac:dyDescent="0.35">
      <c r="A7166">
        <v>0</v>
      </c>
      <c r="B7166">
        <v>0</v>
      </c>
      <c r="C7166">
        <v>0</v>
      </c>
      <c r="D7166">
        <v>0</v>
      </c>
      <c r="E7166">
        <v>0</v>
      </c>
    </row>
    <row r="7167" spans="1:5" x14ac:dyDescent="0.35">
      <c r="A7167">
        <v>0</v>
      </c>
      <c r="B7167">
        <v>0</v>
      </c>
      <c r="C7167">
        <v>0</v>
      </c>
      <c r="D7167">
        <v>0</v>
      </c>
      <c r="E7167">
        <v>0</v>
      </c>
    </row>
    <row r="7168" spans="1:5" x14ac:dyDescent="0.35">
      <c r="A7168">
        <v>0</v>
      </c>
      <c r="B7168">
        <v>0</v>
      </c>
      <c r="C7168">
        <v>0</v>
      </c>
      <c r="D7168">
        <v>0</v>
      </c>
      <c r="E7168">
        <v>0</v>
      </c>
    </row>
    <row r="7169" spans="1:5" x14ac:dyDescent="0.35">
      <c r="A7169">
        <v>0</v>
      </c>
      <c r="B7169">
        <v>0</v>
      </c>
      <c r="C7169">
        <v>0</v>
      </c>
      <c r="D7169">
        <v>0</v>
      </c>
      <c r="E7169">
        <v>0</v>
      </c>
    </row>
    <row r="7170" spans="1:5" x14ac:dyDescent="0.35">
      <c r="A7170">
        <v>0</v>
      </c>
      <c r="B7170">
        <v>0</v>
      </c>
      <c r="C7170">
        <v>0</v>
      </c>
      <c r="D7170">
        <v>0</v>
      </c>
      <c r="E7170">
        <v>0</v>
      </c>
    </row>
    <row r="7171" spans="1:5" x14ac:dyDescent="0.35">
      <c r="A7171">
        <v>0</v>
      </c>
      <c r="B7171">
        <v>0</v>
      </c>
      <c r="C7171">
        <v>0</v>
      </c>
      <c r="D7171">
        <v>0</v>
      </c>
      <c r="E7171">
        <v>0</v>
      </c>
    </row>
    <row r="7172" spans="1:5" x14ac:dyDescent="0.35">
      <c r="A7172">
        <v>0</v>
      </c>
      <c r="B7172">
        <v>0</v>
      </c>
      <c r="C7172">
        <v>0</v>
      </c>
      <c r="D7172">
        <v>0</v>
      </c>
      <c r="E7172">
        <v>0</v>
      </c>
    </row>
    <row r="7173" spans="1:5" x14ac:dyDescent="0.35">
      <c r="A7173">
        <v>0</v>
      </c>
      <c r="B7173">
        <v>0</v>
      </c>
      <c r="C7173">
        <v>0</v>
      </c>
      <c r="D7173">
        <v>0</v>
      </c>
      <c r="E7173">
        <v>0</v>
      </c>
    </row>
    <row r="7174" spans="1:5" x14ac:dyDescent="0.35">
      <c r="A7174">
        <v>0</v>
      </c>
      <c r="B7174">
        <v>0</v>
      </c>
      <c r="C7174">
        <v>0</v>
      </c>
      <c r="D7174">
        <v>0</v>
      </c>
      <c r="E7174">
        <v>0</v>
      </c>
    </row>
    <row r="7175" spans="1:5" x14ac:dyDescent="0.35">
      <c r="A7175">
        <v>0</v>
      </c>
      <c r="B7175">
        <v>0</v>
      </c>
      <c r="C7175">
        <v>0</v>
      </c>
      <c r="D7175">
        <v>0</v>
      </c>
      <c r="E7175">
        <v>0</v>
      </c>
    </row>
    <row r="7176" spans="1:5" x14ac:dyDescent="0.35">
      <c r="A7176">
        <v>0</v>
      </c>
      <c r="B7176">
        <v>0</v>
      </c>
      <c r="C7176">
        <v>0</v>
      </c>
      <c r="D7176">
        <v>0</v>
      </c>
      <c r="E7176">
        <v>0</v>
      </c>
    </row>
    <row r="7177" spans="1:5" x14ac:dyDescent="0.35">
      <c r="A7177">
        <v>0</v>
      </c>
      <c r="B7177">
        <v>0</v>
      </c>
      <c r="C7177">
        <v>0</v>
      </c>
      <c r="D7177">
        <v>0</v>
      </c>
      <c r="E7177">
        <v>0</v>
      </c>
    </row>
    <row r="7178" spans="1:5" x14ac:dyDescent="0.35">
      <c r="A7178">
        <v>0</v>
      </c>
      <c r="B7178">
        <v>0</v>
      </c>
      <c r="C7178">
        <v>0</v>
      </c>
      <c r="D7178">
        <v>0</v>
      </c>
      <c r="E7178">
        <v>0</v>
      </c>
    </row>
    <row r="7179" spans="1:5" x14ac:dyDescent="0.35">
      <c r="A7179">
        <v>0</v>
      </c>
      <c r="B7179">
        <v>0</v>
      </c>
      <c r="C7179">
        <v>0</v>
      </c>
      <c r="D7179">
        <v>0</v>
      </c>
      <c r="E7179">
        <v>0</v>
      </c>
    </row>
    <row r="7180" spans="1:5" x14ac:dyDescent="0.35">
      <c r="A7180">
        <v>0</v>
      </c>
      <c r="B7180">
        <v>0</v>
      </c>
      <c r="C7180">
        <v>0</v>
      </c>
      <c r="D7180">
        <v>0</v>
      </c>
      <c r="E7180">
        <v>0</v>
      </c>
    </row>
    <row r="7181" spans="1:5" x14ac:dyDescent="0.35">
      <c r="A7181">
        <v>0</v>
      </c>
      <c r="B7181">
        <v>0</v>
      </c>
      <c r="C7181">
        <v>0</v>
      </c>
      <c r="D7181">
        <v>0</v>
      </c>
      <c r="E7181">
        <v>0</v>
      </c>
    </row>
    <row r="7182" spans="1:5" x14ac:dyDescent="0.35">
      <c r="A7182">
        <v>0</v>
      </c>
      <c r="B7182">
        <v>0</v>
      </c>
      <c r="C7182">
        <v>0</v>
      </c>
      <c r="D7182">
        <v>0</v>
      </c>
      <c r="E7182">
        <v>0</v>
      </c>
    </row>
    <row r="7183" spans="1:5" x14ac:dyDescent="0.35">
      <c r="A7183">
        <v>0</v>
      </c>
      <c r="B7183">
        <v>0</v>
      </c>
      <c r="C7183">
        <v>0</v>
      </c>
      <c r="D7183">
        <v>0</v>
      </c>
      <c r="E7183">
        <v>0</v>
      </c>
    </row>
    <row r="7184" spans="1:5" x14ac:dyDescent="0.35">
      <c r="A7184">
        <v>0</v>
      </c>
      <c r="B7184">
        <v>0</v>
      </c>
      <c r="C7184">
        <v>0</v>
      </c>
      <c r="D7184">
        <v>0</v>
      </c>
      <c r="E7184">
        <v>0</v>
      </c>
    </row>
    <row r="7185" spans="1:5" x14ac:dyDescent="0.35">
      <c r="A7185">
        <v>0</v>
      </c>
      <c r="B7185">
        <v>0</v>
      </c>
      <c r="C7185">
        <v>0</v>
      </c>
      <c r="D7185">
        <v>0</v>
      </c>
      <c r="E7185">
        <v>0</v>
      </c>
    </row>
    <row r="7186" spans="1:5" x14ac:dyDescent="0.35">
      <c r="A7186">
        <v>0</v>
      </c>
      <c r="B7186">
        <v>0</v>
      </c>
      <c r="C7186">
        <v>0</v>
      </c>
      <c r="D7186">
        <v>0</v>
      </c>
      <c r="E7186">
        <v>0</v>
      </c>
    </row>
    <row r="7187" spans="1:5" x14ac:dyDescent="0.35">
      <c r="A7187">
        <v>0</v>
      </c>
      <c r="B7187">
        <v>0</v>
      </c>
      <c r="C7187">
        <v>0</v>
      </c>
      <c r="D7187">
        <v>0</v>
      </c>
      <c r="E7187">
        <v>0</v>
      </c>
    </row>
    <row r="7188" spans="1:5" x14ac:dyDescent="0.35">
      <c r="A7188">
        <v>0</v>
      </c>
      <c r="B7188">
        <v>0</v>
      </c>
      <c r="C7188">
        <v>0</v>
      </c>
      <c r="D7188">
        <v>0</v>
      </c>
      <c r="E7188">
        <v>0</v>
      </c>
    </row>
    <row r="7189" spans="1:5" x14ac:dyDescent="0.35">
      <c r="A7189">
        <v>0</v>
      </c>
      <c r="B7189">
        <v>0</v>
      </c>
      <c r="C7189">
        <v>0</v>
      </c>
      <c r="D7189">
        <v>0</v>
      </c>
      <c r="E7189">
        <v>0</v>
      </c>
    </row>
    <row r="7190" spans="1:5" x14ac:dyDescent="0.35">
      <c r="A7190">
        <v>0</v>
      </c>
      <c r="B7190">
        <v>0</v>
      </c>
      <c r="C7190">
        <v>0</v>
      </c>
      <c r="D7190">
        <v>0</v>
      </c>
      <c r="E7190">
        <v>0</v>
      </c>
    </row>
    <row r="7191" spans="1:5" x14ac:dyDescent="0.35">
      <c r="A7191">
        <v>0</v>
      </c>
      <c r="B7191">
        <v>0</v>
      </c>
      <c r="C7191">
        <v>0</v>
      </c>
      <c r="D7191">
        <v>0</v>
      </c>
      <c r="E7191">
        <v>0</v>
      </c>
    </row>
    <row r="7192" spans="1:5" x14ac:dyDescent="0.35">
      <c r="A7192">
        <v>0</v>
      </c>
      <c r="B7192">
        <v>0</v>
      </c>
      <c r="C7192">
        <v>0</v>
      </c>
      <c r="D7192">
        <v>0</v>
      </c>
      <c r="E7192">
        <v>0</v>
      </c>
    </row>
    <row r="7193" spans="1:5" x14ac:dyDescent="0.35">
      <c r="A7193">
        <v>0</v>
      </c>
      <c r="B7193">
        <v>0</v>
      </c>
      <c r="C7193">
        <v>0</v>
      </c>
      <c r="D7193">
        <v>0</v>
      </c>
      <c r="E7193">
        <v>0</v>
      </c>
    </row>
    <row r="7194" spans="1:5" x14ac:dyDescent="0.35">
      <c r="A7194">
        <v>0</v>
      </c>
      <c r="B7194">
        <v>0</v>
      </c>
      <c r="C7194">
        <v>0</v>
      </c>
      <c r="D7194">
        <v>0</v>
      </c>
      <c r="E7194">
        <v>0</v>
      </c>
    </row>
    <row r="7195" spans="1:5" x14ac:dyDescent="0.35">
      <c r="A7195">
        <v>0</v>
      </c>
      <c r="B7195">
        <v>0</v>
      </c>
      <c r="C7195">
        <v>0</v>
      </c>
      <c r="D7195">
        <v>0</v>
      </c>
      <c r="E7195">
        <v>0</v>
      </c>
    </row>
    <row r="7196" spans="1:5" x14ac:dyDescent="0.35">
      <c r="A7196">
        <v>0</v>
      </c>
      <c r="B7196">
        <v>0</v>
      </c>
      <c r="C7196">
        <v>0</v>
      </c>
      <c r="D7196">
        <v>0</v>
      </c>
      <c r="E7196">
        <v>0</v>
      </c>
    </row>
    <row r="7197" spans="1:5" x14ac:dyDescent="0.35">
      <c r="A7197">
        <v>0</v>
      </c>
      <c r="B7197">
        <v>0</v>
      </c>
      <c r="C7197">
        <v>0</v>
      </c>
      <c r="D7197">
        <v>0</v>
      </c>
      <c r="E7197">
        <v>0</v>
      </c>
    </row>
    <row r="7198" spans="1:5" x14ac:dyDescent="0.35">
      <c r="A7198">
        <v>0</v>
      </c>
      <c r="B7198">
        <v>0</v>
      </c>
      <c r="C7198">
        <v>0</v>
      </c>
      <c r="D7198">
        <v>0</v>
      </c>
      <c r="E7198">
        <v>0</v>
      </c>
    </row>
    <row r="7199" spans="1:5" x14ac:dyDescent="0.35">
      <c r="A7199">
        <v>0</v>
      </c>
      <c r="B7199">
        <v>0</v>
      </c>
      <c r="C7199">
        <v>0</v>
      </c>
      <c r="D7199">
        <v>0</v>
      </c>
      <c r="E7199">
        <v>0</v>
      </c>
    </row>
    <row r="7200" spans="1:5" x14ac:dyDescent="0.35">
      <c r="A7200">
        <v>0</v>
      </c>
      <c r="B7200">
        <v>0</v>
      </c>
      <c r="C7200">
        <v>0</v>
      </c>
      <c r="D7200">
        <v>0</v>
      </c>
      <c r="E7200">
        <v>0</v>
      </c>
    </row>
    <row r="7201" spans="1:5" x14ac:dyDescent="0.35">
      <c r="A7201">
        <v>0</v>
      </c>
      <c r="B7201">
        <v>0</v>
      </c>
      <c r="C7201">
        <v>0</v>
      </c>
      <c r="D7201">
        <v>0</v>
      </c>
      <c r="E7201">
        <v>0</v>
      </c>
    </row>
    <row r="7202" spans="1:5" x14ac:dyDescent="0.35">
      <c r="A7202">
        <v>0</v>
      </c>
      <c r="B7202">
        <v>0</v>
      </c>
      <c r="C7202">
        <v>0</v>
      </c>
      <c r="D7202">
        <v>0</v>
      </c>
      <c r="E7202">
        <v>0</v>
      </c>
    </row>
    <row r="7203" spans="1:5" x14ac:dyDescent="0.35">
      <c r="A7203">
        <v>0</v>
      </c>
      <c r="B7203">
        <v>0</v>
      </c>
      <c r="C7203">
        <v>0</v>
      </c>
      <c r="D7203">
        <v>0</v>
      </c>
      <c r="E7203">
        <v>0</v>
      </c>
    </row>
    <row r="7204" spans="1:5" x14ac:dyDescent="0.35">
      <c r="A7204">
        <v>0</v>
      </c>
      <c r="B7204">
        <v>0</v>
      </c>
      <c r="C7204">
        <v>0</v>
      </c>
      <c r="D7204">
        <v>0</v>
      </c>
      <c r="E7204">
        <v>0</v>
      </c>
    </row>
    <row r="7205" spans="1:5" x14ac:dyDescent="0.35">
      <c r="A7205">
        <v>0</v>
      </c>
      <c r="B7205">
        <v>0</v>
      </c>
      <c r="C7205">
        <v>0</v>
      </c>
      <c r="D7205">
        <v>0</v>
      </c>
      <c r="E7205">
        <v>0</v>
      </c>
    </row>
    <row r="7206" spans="1:5" x14ac:dyDescent="0.35">
      <c r="A7206">
        <v>0</v>
      </c>
      <c r="B7206">
        <v>0</v>
      </c>
      <c r="C7206">
        <v>0</v>
      </c>
      <c r="D7206">
        <v>0</v>
      </c>
      <c r="E7206">
        <v>0</v>
      </c>
    </row>
    <row r="7207" spans="1:5" x14ac:dyDescent="0.35">
      <c r="A7207">
        <v>0</v>
      </c>
      <c r="B7207">
        <v>0</v>
      </c>
      <c r="C7207">
        <v>0</v>
      </c>
      <c r="D7207">
        <v>0</v>
      </c>
      <c r="E7207">
        <v>0</v>
      </c>
    </row>
    <row r="7208" spans="1:5" x14ac:dyDescent="0.35">
      <c r="A7208">
        <v>0</v>
      </c>
      <c r="B7208">
        <v>0</v>
      </c>
      <c r="C7208">
        <v>0</v>
      </c>
      <c r="D7208">
        <v>0</v>
      </c>
      <c r="E7208">
        <v>0</v>
      </c>
    </row>
    <row r="7209" spans="1:5" x14ac:dyDescent="0.35">
      <c r="A7209">
        <v>0</v>
      </c>
      <c r="B7209">
        <v>0</v>
      </c>
      <c r="C7209">
        <v>0</v>
      </c>
      <c r="D7209">
        <v>0</v>
      </c>
      <c r="E7209">
        <v>0</v>
      </c>
    </row>
    <row r="7210" spans="1:5" x14ac:dyDescent="0.35">
      <c r="A7210">
        <v>0</v>
      </c>
      <c r="B7210">
        <v>0</v>
      </c>
      <c r="C7210">
        <v>0</v>
      </c>
      <c r="D7210">
        <v>0</v>
      </c>
      <c r="E7210">
        <v>0</v>
      </c>
    </row>
    <row r="7211" spans="1:5" x14ac:dyDescent="0.35">
      <c r="A7211">
        <v>0</v>
      </c>
      <c r="B7211">
        <v>0</v>
      </c>
      <c r="C7211">
        <v>0</v>
      </c>
      <c r="D7211">
        <v>0</v>
      </c>
      <c r="E7211">
        <v>0</v>
      </c>
    </row>
    <row r="7212" spans="1:5" x14ac:dyDescent="0.35">
      <c r="A7212">
        <v>0</v>
      </c>
      <c r="B7212">
        <v>0</v>
      </c>
      <c r="C7212">
        <v>0</v>
      </c>
      <c r="D7212">
        <v>0</v>
      </c>
      <c r="E7212">
        <v>0</v>
      </c>
    </row>
    <row r="7213" spans="1:5" x14ac:dyDescent="0.35">
      <c r="A7213">
        <v>0</v>
      </c>
      <c r="B7213">
        <v>0</v>
      </c>
      <c r="C7213">
        <v>0</v>
      </c>
      <c r="D7213">
        <v>0</v>
      </c>
      <c r="E7213">
        <v>0</v>
      </c>
    </row>
    <row r="7214" spans="1:5" x14ac:dyDescent="0.35">
      <c r="A7214">
        <v>0</v>
      </c>
      <c r="B7214">
        <v>0</v>
      </c>
      <c r="C7214">
        <v>0</v>
      </c>
      <c r="D7214">
        <v>0</v>
      </c>
      <c r="E7214">
        <v>0</v>
      </c>
    </row>
    <row r="7215" spans="1:5" x14ac:dyDescent="0.35">
      <c r="A7215">
        <v>0</v>
      </c>
      <c r="B7215">
        <v>0</v>
      </c>
      <c r="C7215">
        <v>0</v>
      </c>
      <c r="D7215">
        <v>0</v>
      </c>
      <c r="E7215">
        <v>0</v>
      </c>
    </row>
    <row r="7216" spans="1:5" x14ac:dyDescent="0.35">
      <c r="A7216">
        <v>0</v>
      </c>
      <c r="B7216">
        <v>0</v>
      </c>
      <c r="C7216">
        <v>0</v>
      </c>
      <c r="D7216">
        <v>0</v>
      </c>
      <c r="E7216">
        <v>0</v>
      </c>
    </row>
    <row r="7217" spans="1:5" x14ac:dyDescent="0.35">
      <c r="A7217">
        <v>0</v>
      </c>
      <c r="B7217">
        <v>0</v>
      </c>
      <c r="C7217">
        <v>0</v>
      </c>
      <c r="D7217">
        <v>0</v>
      </c>
      <c r="E7217">
        <v>0</v>
      </c>
    </row>
    <row r="7218" spans="1:5" x14ac:dyDescent="0.35">
      <c r="A7218">
        <v>0</v>
      </c>
      <c r="B7218">
        <v>0</v>
      </c>
      <c r="C7218">
        <v>0</v>
      </c>
      <c r="D7218">
        <v>0</v>
      </c>
      <c r="E7218">
        <v>0</v>
      </c>
    </row>
    <row r="7219" spans="1:5" x14ac:dyDescent="0.35">
      <c r="A7219">
        <v>0</v>
      </c>
      <c r="B7219">
        <v>0</v>
      </c>
      <c r="C7219">
        <v>0</v>
      </c>
      <c r="D7219">
        <v>0</v>
      </c>
      <c r="E7219">
        <v>0</v>
      </c>
    </row>
    <row r="7220" spans="1:5" x14ac:dyDescent="0.35">
      <c r="A7220">
        <v>0</v>
      </c>
      <c r="B7220">
        <v>0</v>
      </c>
      <c r="C7220">
        <v>0</v>
      </c>
      <c r="D7220">
        <v>0</v>
      </c>
      <c r="E7220">
        <v>0</v>
      </c>
    </row>
    <row r="7221" spans="1:5" x14ac:dyDescent="0.35">
      <c r="A7221">
        <v>0</v>
      </c>
      <c r="B7221">
        <v>0</v>
      </c>
      <c r="C7221">
        <v>0</v>
      </c>
      <c r="D7221">
        <v>0</v>
      </c>
      <c r="E7221">
        <v>0</v>
      </c>
    </row>
    <row r="7222" spans="1:5" x14ac:dyDescent="0.35">
      <c r="A7222">
        <v>0</v>
      </c>
      <c r="B7222">
        <v>0</v>
      </c>
      <c r="C7222">
        <v>0</v>
      </c>
      <c r="D7222">
        <v>0</v>
      </c>
      <c r="E7222">
        <v>0</v>
      </c>
    </row>
    <row r="7223" spans="1:5" x14ac:dyDescent="0.35">
      <c r="A7223">
        <v>0</v>
      </c>
      <c r="B7223">
        <v>0</v>
      </c>
      <c r="C7223">
        <v>0</v>
      </c>
      <c r="D7223">
        <v>0</v>
      </c>
      <c r="E7223">
        <v>0</v>
      </c>
    </row>
    <row r="7224" spans="1:5" x14ac:dyDescent="0.35">
      <c r="A7224">
        <v>0</v>
      </c>
      <c r="B7224">
        <v>0</v>
      </c>
      <c r="C7224">
        <v>0</v>
      </c>
      <c r="D7224">
        <v>0</v>
      </c>
      <c r="E7224">
        <v>0</v>
      </c>
    </row>
    <row r="7225" spans="1:5" x14ac:dyDescent="0.35">
      <c r="A7225">
        <v>0</v>
      </c>
      <c r="B7225">
        <v>0</v>
      </c>
      <c r="C7225">
        <v>0</v>
      </c>
      <c r="D7225">
        <v>0</v>
      </c>
      <c r="E7225">
        <v>0</v>
      </c>
    </row>
    <row r="7226" spans="1:5" x14ac:dyDescent="0.35">
      <c r="A7226">
        <v>0</v>
      </c>
      <c r="B7226">
        <v>0</v>
      </c>
      <c r="C7226">
        <v>0</v>
      </c>
      <c r="D7226">
        <v>0</v>
      </c>
      <c r="E7226">
        <v>0</v>
      </c>
    </row>
    <row r="7227" spans="1:5" x14ac:dyDescent="0.35">
      <c r="A7227">
        <v>0</v>
      </c>
      <c r="B7227">
        <v>0</v>
      </c>
      <c r="C7227">
        <v>0</v>
      </c>
      <c r="D7227">
        <v>0</v>
      </c>
      <c r="E7227">
        <v>0</v>
      </c>
    </row>
    <row r="7228" spans="1:5" x14ac:dyDescent="0.35">
      <c r="A7228">
        <v>0</v>
      </c>
      <c r="B7228">
        <v>0</v>
      </c>
      <c r="C7228">
        <v>0</v>
      </c>
      <c r="D7228">
        <v>0</v>
      </c>
      <c r="E7228">
        <v>0</v>
      </c>
    </row>
    <row r="7229" spans="1:5" x14ac:dyDescent="0.35">
      <c r="A7229">
        <v>0</v>
      </c>
      <c r="B7229">
        <v>0</v>
      </c>
      <c r="C7229">
        <v>0</v>
      </c>
      <c r="D7229">
        <v>0</v>
      </c>
      <c r="E7229">
        <v>0</v>
      </c>
    </row>
    <row r="7230" spans="1:5" x14ac:dyDescent="0.35">
      <c r="A7230">
        <v>0</v>
      </c>
      <c r="B7230">
        <v>0</v>
      </c>
      <c r="C7230">
        <v>0</v>
      </c>
      <c r="D7230">
        <v>0</v>
      </c>
      <c r="E7230">
        <v>0</v>
      </c>
    </row>
    <row r="7231" spans="1:5" x14ac:dyDescent="0.35">
      <c r="A7231">
        <v>0</v>
      </c>
      <c r="B7231">
        <v>0</v>
      </c>
      <c r="C7231">
        <v>0</v>
      </c>
      <c r="D7231">
        <v>0</v>
      </c>
      <c r="E7231">
        <v>0</v>
      </c>
    </row>
    <row r="7232" spans="1:5" x14ac:dyDescent="0.35">
      <c r="A7232">
        <v>0</v>
      </c>
      <c r="B7232">
        <v>0</v>
      </c>
      <c r="C7232">
        <v>0</v>
      </c>
      <c r="D7232">
        <v>0</v>
      </c>
      <c r="E7232">
        <v>0</v>
      </c>
    </row>
    <row r="7233" spans="1:5" x14ac:dyDescent="0.35">
      <c r="A7233">
        <v>0</v>
      </c>
      <c r="B7233">
        <v>0</v>
      </c>
      <c r="C7233">
        <v>0</v>
      </c>
      <c r="D7233">
        <v>0</v>
      </c>
      <c r="E7233">
        <v>0</v>
      </c>
    </row>
    <row r="7234" spans="1:5" x14ac:dyDescent="0.35">
      <c r="A7234">
        <v>0</v>
      </c>
      <c r="B7234">
        <v>0</v>
      </c>
      <c r="C7234">
        <v>0</v>
      </c>
      <c r="D7234">
        <v>0</v>
      </c>
      <c r="E7234">
        <v>0</v>
      </c>
    </row>
    <row r="7235" spans="1:5" x14ac:dyDescent="0.35">
      <c r="A7235">
        <v>0</v>
      </c>
      <c r="B7235">
        <v>0</v>
      </c>
      <c r="C7235">
        <v>0</v>
      </c>
      <c r="D7235">
        <v>0</v>
      </c>
      <c r="E7235">
        <v>0</v>
      </c>
    </row>
    <row r="7236" spans="1:5" x14ac:dyDescent="0.35">
      <c r="A7236">
        <v>0</v>
      </c>
      <c r="B7236">
        <v>0</v>
      </c>
      <c r="C7236">
        <v>0</v>
      </c>
      <c r="D7236">
        <v>0</v>
      </c>
      <c r="E7236">
        <v>0</v>
      </c>
    </row>
    <row r="7237" spans="1:5" x14ac:dyDescent="0.35">
      <c r="A7237">
        <v>0</v>
      </c>
      <c r="B7237">
        <v>0</v>
      </c>
      <c r="C7237">
        <v>0</v>
      </c>
      <c r="D7237">
        <v>0</v>
      </c>
      <c r="E7237">
        <v>0</v>
      </c>
    </row>
    <row r="7238" spans="1:5" x14ac:dyDescent="0.35">
      <c r="A7238">
        <v>0</v>
      </c>
      <c r="B7238">
        <v>0</v>
      </c>
      <c r="C7238">
        <v>0</v>
      </c>
      <c r="D7238">
        <v>0</v>
      </c>
      <c r="E7238">
        <v>0</v>
      </c>
    </row>
    <row r="7239" spans="1:5" x14ac:dyDescent="0.35">
      <c r="A7239">
        <v>0</v>
      </c>
      <c r="B7239">
        <v>0</v>
      </c>
      <c r="C7239">
        <v>0</v>
      </c>
      <c r="D7239">
        <v>0</v>
      </c>
      <c r="E7239">
        <v>0</v>
      </c>
    </row>
    <row r="7240" spans="1:5" x14ac:dyDescent="0.35">
      <c r="A7240">
        <v>0</v>
      </c>
      <c r="B7240">
        <v>0</v>
      </c>
      <c r="C7240">
        <v>0</v>
      </c>
      <c r="D7240">
        <v>0</v>
      </c>
      <c r="E7240">
        <v>0</v>
      </c>
    </row>
    <row r="7241" spans="1:5" x14ac:dyDescent="0.35">
      <c r="A7241">
        <v>0</v>
      </c>
      <c r="B7241">
        <v>0</v>
      </c>
      <c r="C7241">
        <v>0</v>
      </c>
      <c r="D7241">
        <v>0</v>
      </c>
      <c r="E7241">
        <v>0</v>
      </c>
    </row>
    <row r="7242" spans="1:5" x14ac:dyDescent="0.35">
      <c r="A7242">
        <v>0</v>
      </c>
      <c r="B7242">
        <v>0</v>
      </c>
      <c r="C7242">
        <v>0</v>
      </c>
      <c r="D7242">
        <v>0</v>
      </c>
      <c r="E7242">
        <v>0</v>
      </c>
    </row>
    <row r="7243" spans="1:5" x14ac:dyDescent="0.35">
      <c r="A7243">
        <v>0</v>
      </c>
      <c r="B7243">
        <v>0</v>
      </c>
      <c r="C7243">
        <v>0</v>
      </c>
      <c r="D7243">
        <v>0</v>
      </c>
      <c r="E7243">
        <v>0</v>
      </c>
    </row>
    <row r="7244" spans="1:5" x14ac:dyDescent="0.35">
      <c r="A7244">
        <v>0</v>
      </c>
      <c r="B7244">
        <v>0</v>
      </c>
      <c r="C7244">
        <v>0</v>
      </c>
      <c r="D7244">
        <v>0</v>
      </c>
      <c r="E7244">
        <v>0</v>
      </c>
    </row>
    <row r="7245" spans="1:5" x14ac:dyDescent="0.35">
      <c r="A7245">
        <v>0</v>
      </c>
      <c r="B7245">
        <v>0</v>
      </c>
      <c r="C7245">
        <v>0</v>
      </c>
      <c r="D7245">
        <v>0</v>
      </c>
      <c r="E7245">
        <v>0</v>
      </c>
    </row>
    <row r="7246" spans="1:5" x14ac:dyDescent="0.35">
      <c r="A7246">
        <v>0</v>
      </c>
      <c r="B7246">
        <v>0</v>
      </c>
      <c r="C7246">
        <v>0</v>
      </c>
      <c r="D7246">
        <v>0</v>
      </c>
      <c r="E7246">
        <v>0</v>
      </c>
    </row>
    <row r="7247" spans="1:5" x14ac:dyDescent="0.35">
      <c r="A7247">
        <v>0</v>
      </c>
      <c r="B7247">
        <v>0</v>
      </c>
      <c r="C7247">
        <v>0</v>
      </c>
      <c r="D7247">
        <v>0</v>
      </c>
      <c r="E7247">
        <v>0</v>
      </c>
    </row>
    <row r="7248" spans="1:5" x14ac:dyDescent="0.35">
      <c r="A7248">
        <v>0</v>
      </c>
      <c r="B7248">
        <v>0</v>
      </c>
      <c r="C7248">
        <v>0</v>
      </c>
      <c r="D7248">
        <v>0</v>
      </c>
      <c r="E7248">
        <v>0</v>
      </c>
    </row>
    <row r="7249" spans="1:5" x14ac:dyDescent="0.35">
      <c r="A7249">
        <v>0</v>
      </c>
      <c r="B7249">
        <v>0</v>
      </c>
      <c r="C7249">
        <v>0</v>
      </c>
      <c r="D7249">
        <v>0</v>
      </c>
      <c r="E7249">
        <v>0</v>
      </c>
    </row>
    <row r="7250" spans="1:5" x14ac:dyDescent="0.35">
      <c r="A7250">
        <v>0</v>
      </c>
      <c r="B7250">
        <v>0</v>
      </c>
      <c r="C7250">
        <v>0</v>
      </c>
      <c r="D7250">
        <v>0</v>
      </c>
      <c r="E7250">
        <v>0</v>
      </c>
    </row>
    <row r="7251" spans="1:5" x14ac:dyDescent="0.35">
      <c r="A7251">
        <v>0</v>
      </c>
      <c r="B7251">
        <v>0</v>
      </c>
      <c r="C7251">
        <v>0</v>
      </c>
      <c r="D7251">
        <v>0</v>
      </c>
      <c r="E7251">
        <v>0</v>
      </c>
    </row>
    <row r="7252" spans="1:5" x14ac:dyDescent="0.35">
      <c r="A7252">
        <v>0</v>
      </c>
      <c r="B7252">
        <v>0</v>
      </c>
      <c r="C7252">
        <v>0</v>
      </c>
      <c r="D7252">
        <v>0</v>
      </c>
      <c r="E7252">
        <v>0</v>
      </c>
    </row>
    <row r="7253" spans="1:5" x14ac:dyDescent="0.35">
      <c r="A7253">
        <v>0</v>
      </c>
      <c r="B7253">
        <v>0</v>
      </c>
      <c r="C7253">
        <v>0</v>
      </c>
      <c r="D7253">
        <v>0</v>
      </c>
      <c r="E7253">
        <v>0</v>
      </c>
    </row>
    <row r="7254" spans="1:5" x14ac:dyDescent="0.35">
      <c r="A7254">
        <v>0</v>
      </c>
      <c r="B7254">
        <v>0</v>
      </c>
      <c r="C7254">
        <v>0</v>
      </c>
      <c r="D7254">
        <v>0</v>
      </c>
      <c r="E7254">
        <v>0</v>
      </c>
    </row>
    <row r="7255" spans="1:5" x14ac:dyDescent="0.35">
      <c r="A7255">
        <v>0</v>
      </c>
      <c r="B7255">
        <v>0</v>
      </c>
      <c r="C7255">
        <v>0</v>
      </c>
      <c r="D7255">
        <v>0</v>
      </c>
      <c r="E7255">
        <v>0</v>
      </c>
    </row>
    <row r="7256" spans="1:5" x14ac:dyDescent="0.35">
      <c r="A7256">
        <v>0</v>
      </c>
      <c r="B7256">
        <v>0</v>
      </c>
      <c r="C7256">
        <v>0</v>
      </c>
      <c r="D7256">
        <v>0</v>
      </c>
      <c r="E7256">
        <v>0</v>
      </c>
    </row>
    <row r="7257" spans="1:5" x14ac:dyDescent="0.35">
      <c r="A7257">
        <v>0</v>
      </c>
      <c r="B7257">
        <v>0</v>
      </c>
      <c r="C7257">
        <v>0</v>
      </c>
      <c r="D7257">
        <v>0</v>
      </c>
      <c r="E7257">
        <v>0</v>
      </c>
    </row>
    <row r="7258" spans="1:5" x14ac:dyDescent="0.35">
      <c r="A7258">
        <v>0</v>
      </c>
      <c r="B7258">
        <v>0</v>
      </c>
      <c r="C7258">
        <v>0</v>
      </c>
      <c r="D7258">
        <v>0</v>
      </c>
      <c r="E7258">
        <v>0</v>
      </c>
    </row>
    <row r="7259" spans="1:5" x14ac:dyDescent="0.35">
      <c r="A7259">
        <v>0</v>
      </c>
      <c r="B7259">
        <v>0</v>
      </c>
      <c r="C7259">
        <v>0</v>
      </c>
      <c r="D7259">
        <v>0</v>
      </c>
      <c r="E7259">
        <v>0</v>
      </c>
    </row>
    <row r="7260" spans="1:5" x14ac:dyDescent="0.35">
      <c r="A7260">
        <v>0</v>
      </c>
      <c r="B7260">
        <v>0</v>
      </c>
      <c r="C7260">
        <v>0</v>
      </c>
      <c r="D7260">
        <v>0</v>
      </c>
      <c r="E7260">
        <v>0</v>
      </c>
    </row>
    <row r="7261" spans="1:5" x14ac:dyDescent="0.35">
      <c r="A7261">
        <v>0</v>
      </c>
      <c r="B7261">
        <v>0</v>
      </c>
      <c r="C7261">
        <v>0</v>
      </c>
      <c r="D7261">
        <v>0</v>
      </c>
      <c r="E7261">
        <v>0</v>
      </c>
    </row>
    <row r="7262" spans="1:5" x14ac:dyDescent="0.35">
      <c r="A7262">
        <v>0</v>
      </c>
      <c r="B7262">
        <v>0</v>
      </c>
      <c r="C7262">
        <v>0</v>
      </c>
      <c r="D7262">
        <v>0</v>
      </c>
      <c r="E7262">
        <v>0</v>
      </c>
    </row>
    <row r="7263" spans="1:5" x14ac:dyDescent="0.35">
      <c r="A7263">
        <v>0</v>
      </c>
      <c r="B7263">
        <v>0</v>
      </c>
      <c r="C7263">
        <v>0</v>
      </c>
      <c r="D7263">
        <v>0</v>
      </c>
      <c r="E7263">
        <v>0</v>
      </c>
    </row>
    <row r="7264" spans="1:5" x14ac:dyDescent="0.35">
      <c r="A7264">
        <v>0</v>
      </c>
      <c r="B7264">
        <v>0</v>
      </c>
      <c r="C7264">
        <v>0</v>
      </c>
      <c r="D7264">
        <v>0</v>
      </c>
      <c r="E7264">
        <v>0</v>
      </c>
    </row>
    <row r="7265" spans="1:5" x14ac:dyDescent="0.35">
      <c r="A7265">
        <v>0</v>
      </c>
      <c r="B7265">
        <v>0</v>
      </c>
      <c r="C7265">
        <v>0</v>
      </c>
      <c r="D7265">
        <v>0</v>
      </c>
      <c r="E7265">
        <v>0</v>
      </c>
    </row>
    <row r="7266" spans="1:5" x14ac:dyDescent="0.35">
      <c r="A7266">
        <v>0</v>
      </c>
      <c r="B7266">
        <v>0</v>
      </c>
      <c r="C7266">
        <v>0</v>
      </c>
      <c r="D7266">
        <v>0</v>
      </c>
      <c r="E7266">
        <v>0</v>
      </c>
    </row>
    <row r="7267" spans="1:5" x14ac:dyDescent="0.35">
      <c r="A7267">
        <v>0</v>
      </c>
      <c r="B7267">
        <v>0</v>
      </c>
      <c r="C7267">
        <v>0</v>
      </c>
      <c r="D7267">
        <v>0</v>
      </c>
      <c r="E7267">
        <v>0</v>
      </c>
    </row>
    <row r="7268" spans="1:5" x14ac:dyDescent="0.35">
      <c r="A7268">
        <v>0</v>
      </c>
      <c r="B7268">
        <v>0</v>
      </c>
      <c r="C7268">
        <v>0</v>
      </c>
      <c r="D7268">
        <v>0</v>
      </c>
      <c r="E7268">
        <v>0</v>
      </c>
    </row>
    <row r="7269" spans="1:5" x14ac:dyDescent="0.35">
      <c r="A7269">
        <v>0</v>
      </c>
      <c r="B7269">
        <v>0</v>
      </c>
      <c r="C7269">
        <v>0</v>
      </c>
      <c r="D7269">
        <v>0</v>
      </c>
      <c r="E7269">
        <v>0</v>
      </c>
    </row>
    <row r="7270" spans="1:5" x14ac:dyDescent="0.35">
      <c r="A7270">
        <v>0</v>
      </c>
      <c r="B7270">
        <v>0</v>
      </c>
      <c r="C7270">
        <v>0</v>
      </c>
      <c r="D7270">
        <v>0</v>
      </c>
      <c r="E7270">
        <v>0</v>
      </c>
    </row>
    <row r="7271" spans="1:5" x14ac:dyDescent="0.35">
      <c r="A7271">
        <v>0</v>
      </c>
      <c r="B7271">
        <v>0</v>
      </c>
      <c r="C7271">
        <v>0</v>
      </c>
      <c r="D7271">
        <v>0</v>
      </c>
      <c r="E7271">
        <v>0</v>
      </c>
    </row>
    <row r="7272" spans="1:5" x14ac:dyDescent="0.35">
      <c r="A7272">
        <v>0</v>
      </c>
      <c r="B7272">
        <v>0</v>
      </c>
      <c r="C7272">
        <v>0</v>
      </c>
      <c r="D7272">
        <v>0</v>
      </c>
      <c r="E7272">
        <v>0</v>
      </c>
    </row>
    <row r="7273" spans="1:5" x14ac:dyDescent="0.35">
      <c r="A7273">
        <v>0</v>
      </c>
      <c r="B7273">
        <v>0</v>
      </c>
      <c r="C7273">
        <v>0</v>
      </c>
      <c r="D7273">
        <v>0</v>
      </c>
      <c r="E7273">
        <v>0</v>
      </c>
    </row>
    <row r="7274" spans="1:5" x14ac:dyDescent="0.35">
      <c r="A7274">
        <v>0</v>
      </c>
      <c r="B7274">
        <v>0</v>
      </c>
      <c r="C7274">
        <v>0</v>
      </c>
      <c r="D7274">
        <v>0</v>
      </c>
      <c r="E7274">
        <v>0</v>
      </c>
    </row>
    <row r="7275" spans="1:5" x14ac:dyDescent="0.35">
      <c r="A7275">
        <v>0</v>
      </c>
      <c r="B7275">
        <v>0</v>
      </c>
      <c r="C7275">
        <v>0</v>
      </c>
      <c r="D7275">
        <v>0</v>
      </c>
      <c r="E7275">
        <v>0</v>
      </c>
    </row>
    <row r="7276" spans="1:5" x14ac:dyDescent="0.35">
      <c r="A7276">
        <v>0</v>
      </c>
      <c r="B7276">
        <v>0</v>
      </c>
      <c r="C7276">
        <v>0</v>
      </c>
      <c r="D7276">
        <v>0</v>
      </c>
      <c r="E7276">
        <v>0</v>
      </c>
    </row>
    <row r="7277" spans="1:5" x14ac:dyDescent="0.35">
      <c r="A7277">
        <v>0</v>
      </c>
      <c r="B7277">
        <v>0</v>
      </c>
      <c r="C7277">
        <v>0</v>
      </c>
      <c r="D7277">
        <v>0</v>
      </c>
      <c r="E7277">
        <v>0</v>
      </c>
    </row>
    <row r="7278" spans="1:5" x14ac:dyDescent="0.35">
      <c r="A7278">
        <v>0</v>
      </c>
      <c r="B7278">
        <v>0</v>
      </c>
      <c r="C7278">
        <v>0</v>
      </c>
      <c r="D7278">
        <v>0</v>
      </c>
      <c r="E7278">
        <v>0</v>
      </c>
    </row>
    <row r="7279" spans="1:5" x14ac:dyDescent="0.35">
      <c r="A7279">
        <v>0</v>
      </c>
      <c r="B7279">
        <v>0</v>
      </c>
      <c r="C7279">
        <v>0</v>
      </c>
      <c r="D7279">
        <v>0</v>
      </c>
      <c r="E7279">
        <v>0</v>
      </c>
    </row>
    <row r="7280" spans="1:5" x14ac:dyDescent="0.35">
      <c r="A7280">
        <v>0</v>
      </c>
      <c r="B7280">
        <v>0</v>
      </c>
      <c r="C7280">
        <v>0</v>
      </c>
      <c r="D7280">
        <v>0</v>
      </c>
      <c r="E7280">
        <v>0</v>
      </c>
    </row>
    <row r="7281" spans="1:5" x14ac:dyDescent="0.35">
      <c r="A7281">
        <v>0</v>
      </c>
      <c r="B7281">
        <v>0</v>
      </c>
      <c r="C7281">
        <v>0</v>
      </c>
      <c r="D7281">
        <v>0</v>
      </c>
      <c r="E7281">
        <v>0</v>
      </c>
    </row>
    <row r="7282" spans="1:5" x14ac:dyDescent="0.35">
      <c r="A7282">
        <v>0</v>
      </c>
      <c r="B7282">
        <v>0</v>
      </c>
      <c r="C7282">
        <v>0</v>
      </c>
      <c r="D7282">
        <v>0</v>
      </c>
      <c r="E7282">
        <v>0</v>
      </c>
    </row>
    <row r="7283" spans="1:5" x14ac:dyDescent="0.35">
      <c r="A7283">
        <v>0</v>
      </c>
      <c r="B7283">
        <v>0</v>
      </c>
      <c r="C7283">
        <v>0</v>
      </c>
      <c r="D7283">
        <v>0</v>
      </c>
      <c r="E7283">
        <v>0</v>
      </c>
    </row>
    <row r="7284" spans="1:5" x14ac:dyDescent="0.35">
      <c r="A7284">
        <v>0</v>
      </c>
      <c r="B7284">
        <v>0</v>
      </c>
      <c r="C7284">
        <v>0</v>
      </c>
      <c r="D7284">
        <v>0</v>
      </c>
      <c r="E7284">
        <v>0</v>
      </c>
    </row>
    <row r="7285" spans="1:5" x14ac:dyDescent="0.35">
      <c r="A7285">
        <v>0</v>
      </c>
      <c r="B7285">
        <v>0</v>
      </c>
      <c r="C7285">
        <v>0</v>
      </c>
      <c r="D7285">
        <v>0</v>
      </c>
      <c r="E7285">
        <v>0</v>
      </c>
    </row>
    <row r="7286" spans="1:5" x14ac:dyDescent="0.35">
      <c r="A7286">
        <v>0</v>
      </c>
      <c r="B7286">
        <v>0</v>
      </c>
      <c r="C7286">
        <v>0</v>
      </c>
      <c r="D7286">
        <v>0</v>
      </c>
      <c r="E7286">
        <v>0</v>
      </c>
    </row>
    <row r="7287" spans="1:5" x14ac:dyDescent="0.35">
      <c r="A7287">
        <v>0</v>
      </c>
      <c r="B7287">
        <v>0</v>
      </c>
      <c r="C7287">
        <v>0</v>
      </c>
      <c r="D7287">
        <v>0</v>
      </c>
      <c r="E7287">
        <v>0</v>
      </c>
    </row>
    <row r="7288" spans="1:5" x14ac:dyDescent="0.35">
      <c r="A7288">
        <v>0</v>
      </c>
      <c r="B7288">
        <v>0</v>
      </c>
      <c r="C7288">
        <v>0</v>
      </c>
      <c r="D7288">
        <v>0</v>
      </c>
      <c r="E7288">
        <v>0</v>
      </c>
    </row>
    <row r="7289" spans="1:5" x14ac:dyDescent="0.35">
      <c r="A7289">
        <v>0</v>
      </c>
      <c r="B7289">
        <v>0</v>
      </c>
      <c r="C7289">
        <v>0</v>
      </c>
      <c r="D7289">
        <v>0</v>
      </c>
      <c r="E7289">
        <v>0</v>
      </c>
    </row>
    <row r="7290" spans="1:5" x14ac:dyDescent="0.35">
      <c r="A7290">
        <v>0</v>
      </c>
      <c r="B7290">
        <v>0</v>
      </c>
      <c r="C7290">
        <v>0</v>
      </c>
      <c r="D7290">
        <v>0</v>
      </c>
      <c r="E7290">
        <v>0</v>
      </c>
    </row>
    <row r="7291" spans="1:5" x14ac:dyDescent="0.35">
      <c r="A7291">
        <v>0</v>
      </c>
      <c r="B7291">
        <v>0</v>
      </c>
      <c r="C7291">
        <v>0</v>
      </c>
      <c r="D7291">
        <v>0</v>
      </c>
      <c r="E7291">
        <v>0</v>
      </c>
    </row>
    <row r="7292" spans="1:5" x14ac:dyDescent="0.35">
      <c r="A7292">
        <v>0</v>
      </c>
      <c r="B7292">
        <v>0</v>
      </c>
      <c r="C7292">
        <v>0</v>
      </c>
      <c r="D7292">
        <v>0</v>
      </c>
      <c r="E7292">
        <v>0</v>
      </c>
    </row>
    <row r="7293" spans="1:5" x14ac:dyDescent="0.35">
      <c r="A7293">
        <v>0</v>
      </c>
      <c r="B7293">
        <v>0</v>
      </c>
      <c r="C7293">
        <v>0</v>
      </c>
      <c r="D7293">
        <v>0</v>
      </c>
      <c r="E7293">
        <v>0</v>
      </c>
    </row>
    <row r="7294" spans="1:5" x14ac:dyDescent="0.35">
      <c r="A7294">
        <v>0</v>
      </c>
      <c r="B7294">
        <v>0</v>
      </c>
      <c r="C7294">
        <v>0</v>
      </c>
      <c r="D7294">
        <v>0</v>
      </c>
      <c r="E7294">
        <v>0</v>
      </c>
    </row>
    <row r="7295" spans="1:5" x14ac:dyDescent="0.35">
      <c r="A7295">
        <v>0</v>
      </c>
      <c r="B7295">
        <v>0</v>
      </c>
      <c r="C7295">
        <v>0</v>
      </c>
      <c r="D7295">
        <v>0</v>
      </c>
      <c r="E7295">
        <v>0</v>
      </c>
    </row>
    <row r="7296" spans="1:5" x14ac:dyDescent="0.35">
      <c r="A7296">
        <v>0</v>
      </c>
      <c r="B7296">
        <v>0</v>
      </c>
      <c r="C7296">
        <v>0</v>
      </c>
      <c r="D7296">
        <v>0</v>
      </c>
      <c r="E7296">
        <v>0</v>
      </c>
    </row>
    <row r="7297" spans="1:5" x14ac:dyDescent="0.35">
      <c r="A7297">
        <v>0</v>
      </c>
      <c r="B7297">
        <v>0</v>
      </c>
      <c r="C7297">
        <v>0</v>
      </c>
      <c r="D7297">
        <v>0</v>
      </c>
      <c r="E7297">
        <v>0</v>
      </c>
    </row>
    <row r="7298" spans="1:5" x14ac:dyDescent="0.35">
      <c r="A7298">
        <v>0</v>
      </c>
      <c r="B7298">
        <v>0</v>
      </c>
      <c r="C7298">
        <v>0</v>
      </c>
      <c r="D7298">
        <v>0</v>
      </c>
      <c r="E7298">
        <v>0</v>
      </c>
    </row>
    <row r="7299" spans="1:5" x14ac:dyDescent="0.35">
      <c r="A7299">
        <v>0</v>
      </c>
      <c r="B7299">
        <v>0</v>
      </c>
      <c r="C7299">
        <v>0</v>
      </c>
      <c r="D7299">
        <v>0</v>
      </c>
      <c r="E7299">
        <v>0</v>
      </c>
    </row>
    <row r="7300" spans="1:5" x14ac:dyDescent="0.35">
      <c r="A7300">
        <v>0</v>
      </c>
      <c r="B7300">
        <v>0</v>
      </c>
      <c r="C7300">
        <v>0</v>
      </c>
      <c r="D7300">
        <v>0</v>
      </c>
      <c r="E7300">
        <v>0</v>
      </c>
    </row>
    <row r="7301" spans="1:5" x14ac:dyDescent="0.35">
      <c r="A7301">
        <v>0</v>
      </c>
      <c r="B7301">
        <v>0</v>
      </c>
      <c r="C7301">
        <v>0</v>
      </c>
      <c r="D7301">
        <v>0</v>
      </c>
      <c r="E7301">
        <v>0</v>
      </c>
    </row>
    <row r="7302" spans="1:5" x14ac:dyDescent="0.35">
      <c r="A7302">
        <v>0</v>
      </c>
      <c r="B7302">
        <v>0</v>
      </c>
      <c r="C7302">
        <v>0</v>
      </c>
      <c r="D7302">
        <v>0</v>
      </c>
      <c r="E7302">
        <v>0</v>
      </c>
    </row>
    <row r="7303" spans="1:5" x14ac:dyDescent="0.35">
      <c r="A7303">
        <v>0</v>
      </c>
      <c r="B7303">
        <v>0</v>
      </c>
      <c r="C7303">
        <v>0</v>
      </c>
      <c r="D7303">
        <v>0</v>
      </c>
      <c r="E7303">
        <v>0</v>
      </c>
    </row>
    <row r="7304" spans="1:5" x14ac:dyDescent="0.35">
      <c r="A7304">
        <v>0</v>
      </c>
      <c r="B7304">
        <v>0</v>
      </c>
      <c r="C7304">
        <v>0</v>
      </c>
      <c r="D7304">
        <v>0</v>
      </c>
      <c r="E7304">
        <v>0</v>
      </c>
    </row>
    <row r="7305" spans="1:5" x14ac:dyDescent="0.35">
      <c r="A7305">
        <v>0</v>
      </c>
      <c r="B7305">
        <v>0</v>
      </c>
      <c r="C7305">
        <v>0</v>
      </c>
      <c r="D7305">
        <v>0</v>
      </c>
      <c r="E7305">
        <v>0</v>
      </c>
    </row>
    <row r="7306" spans="1:5" x14ac:dyDescent="0.35">
      <c r="A7306">
        <v>0</v>
      </c>
      <c r="B7306">
        <v>0</v>
      </c>
      <c r="C7306">
        <v>0</v>
      </c>
      <c r="D7306">
        <v>0</v>
      </c>
      <c r="E7306">
        <v>0</v>
      </c>
    </row>
    <row r="7307" spans="1:5" x14ac:dyDescent="0.35">
      <c r="A7307">
        <v>0</v>
      </c>
      <c r="B7307">
        <v>0</v>
      </c>
      <c r="C7307">
        <v>0</v>
      </c>
      <c r="D7307">
        <v>0</v>
      </c>
      <c r="E7307">
        <v>0</v>
      </c>
    </row>
    <row r="7308" spans="1:5" x14ac:dyDescent="0.35">
      <c r="A7308">
        <v>0</v>
      </c>
      <c r="B7308">
        <v>0</v>
      </c>
      <c r="C7308">
        <v>0</v>
      </c>
      <c r="D7308">
        <v>0</v>
      </c>
      <c r="E7308">
        <v>0</v>
      </c>
    </row>
    <row r="7309" spans="1:5" x14ac:dyDescent="0.35">
      <c r="A7309">
        <v>0</v>
      </c>
      <c r="B7309">
        <v>0</v>
      </c>
      <c r="C7309">
        <v>0</v>
      </c>
      <c r="D7309">
        <v>0</v>
      </c>
      <c r="E7309">
        <v>0</v>
      </c>
    </row>
    <row r="7310" spans="1:5" x14ac:dyDescent="0.35">
      <c r="A7310">
        <v>0</v>
      </c>
      <c r="B7310">
        <v>0</v>
      </c>
      <c r="C7310">
        <v>0</v>
      </c>
      <c r="D7310">
        <v>0</v>
      </c>
      <c r="E7310">
        <v>0</v>
      </c>
    </row>
    <row r="7311" spans="1:5" x14ac:dyDescent="0.35">
      <c r="A7311">
        <v>0</v>
      </c>
      <c r="B7311">
        <v>0</v>
      </c>
      <c r="C7311">
        <v>0</v>
      </c>
      <c r="D7311">
        <v>0</v>
      </c>
      <c r="E7311">
        <v>0</v>
      </c>
    </row>
    <row r="7312" spans="1:5" x14ac:dyDescent="0.35">
      <c r="A7312">
        <v>0</v>
      </c>
      <c r="B7312">
        <v>0</v>
      </c>
      <c r="C7312">
        <v>0</v>
      </c>
      <c r="D7312">
        <v>0</v>
      </c>
      <c r="E7312">
        <v>0</v>
      </c>
    </row>
    <row r="7313" spans="1:5" x14ac:dyDescent="0.35">
      <c r="A7313">
        <v>0</v>
      </c>
      <c r="B7313">
        <v>0</v>
      </c>
      <c r="C7313">
        <v>0</v>
      </c>
      <c r="D7313">
        <v>0</v>
      </c>
      <c r="E7313">
        <v>0</v>
      </c>
    </row>
    <row r="7314" spans="1:5" x14ac:dyDescent="0.35">
      <c r="A7314">
        <v>0</v>
      </c>
      <c r="B7314">
        <v>0</v>
      </c>
      <c r="C7314">
        <v>0</v>
      </c>
      <c r="D7314">
        <v>0</v>
      </c>
      <c r="E7314">
        <v>0</v>
      </c>
    </row>
    <row r="7315" spans="1:5" x14ac:dyDescent="0.35">
      <c r="A7315">
        <v>0</v>
      </c>
      <c r="B7315">
        <v>0</v>
      </c>
      <c r="C7315">
        <v>0</v>
      </c>
      <c r="D7315">
        <v>0</v>
      </c>
      <c r="E7315">
        <v>0</v>
      </c>
    </row>
    <row r="7316" spans="1:5" x14ac:dyDescent="0.35">
      <c r="A7316">
        <v>0</v>
      </c>
      <c r="B7316">
        <v>0</v>
      </c>
      <c r="C7316">
        <v>0</v>
      </c>
      <c r="D7316">
        <v>0</v>
      </c>
      <c r="E7316">
        <v>0</v>
      </c>
    </row>
    <row r="7317" spans="1:5" x14ac:dyDescent="0.35">
      <c r="A7317">
        <v>0</v>
      </c>
      <c r="B7317">
        <v>0</v>
      </c>
      <c r="C7317">
        <v>0</v>
      </c>
      <c r="D7317">
        <v>0</v>
      </c>
      <c r="E7317">
        <v>0</v>
      </c>
    </row>
    <row r="7318" spans="1:5" x14ac:dyDescent="0.35">
      <c r="A7318">
        <v>0</v>
      </c>
      <c r="B7318">
        <v>0</v>
      </c>
      <c r="C7318">
        <v>0</v>
      </c>
      <c r="D7318">
        <v>0</v>
      </c>
      <c r="E7318">
        <v>0</v>
      </c>
    </row>
    <row r="7319" spans="1:5" x14ac:dyDescent="0.35">
      <c r="A7319">
        <v>0</v>
      </c>
      <c r="B7319">
        <v>0</v>
      </c>
      <c r="C7319">
        <v>0</v>
      </c>
      <c r="D7319">
        <v>0</v>
      </c>
      <c r="E7319">
        <v>0</v>
      </c>
    </row>
    <row r="7320" spans="1:5" x14ac:dyDescent="0.35">
      <c r="A7320">
        <v>0</v>
      </c>
      <c r="B7320">
        <v>0</v>
      </c>
      <c r="C7320">
        <v>0</v>
      </c>
      <c r="D7320">
        <v>0</v>
      </c>
      <c r="E7320">
        <v>0</v>
      </c>
    </row>
    <row r="7321" spans="1:5" x14ac:dyDescent="0.35">
      <c r="A7321">
        <v>0</v>
      </c>
      <c r="B7321">
        <v>0</v>
      </c>
      <c r="C7321">
        <v>0</v>
      </c>
      <c r="D7321">
        <v>0</v>
      </c>
      <c r="E7321">
        <v>0</v>
      </c>
    </row>
    <row r="7322" spans="1:5" x14ac:dyDescent="0.35">
      <c r="A7322">
        <v>0</v>
      </c>
      <c r="B7322">
        <v>0</v>
      </c>
      <c r="C7322">
        <v>0</v>
      </c>
      <c r="D7322">
        <v>0</v>
      </c>
      <c r="E7322">
        <v>0</v>
      </c>
    </row>
    <row r="7323" spans="1:5" x14ac:dyDescent="0.35">
      <c r="A7323">
        <v>0</v>
      </c>
      <c r="B7323">
        <v>0</v>
      </c>
      <c r="C7323">
        <v>0</v>
      </c>
      <c r="D7323">
        <v>0</v>
      </c>
      <c r="E7323">
        <v>0</v>
      </c>
    </row>
    <row r="7324" spans="1:5" x14ac:dyDescent="0.35">
      <c r="A7324">
        <v>0</v>
      </c>
      <c r="B7324">
        <v>0</v>
      </c>
      <c r="C7324">
        <v>0</v>
      </c>
      <c r="D7324">
        <v>0</v>
      </c>
      <c r="E7324">
        <v>0</v>
      </c>
    </row>
    <row r="7325" spans="1:5" x14ac:dyDescent="0.35">
      <c r="A7325">
        <v>0</v>
      </c>
      <c r="B7325">
        <v>0</v>
      </c>
      <c r="C7325">
        <v>0</v>
      </c>
      <c r="D7325">
        <v>0</v>
      </c>
      <c r="E7325">
        <v>0</v>
      </c>
    </row>
    <row r="7326" spans="1:5" x14ac:dyDescent="0.35">
      <c r="A7326">
        <v>0</v>
      </c>
      <c r="B7326">
        <v>0</v>
      </c>
      <c r="C7326">
        <v>0</v>
      </c>
      <c r="D7326">
        <v>0</v>
      </c>
      <c r="E7326">
        <v>0</v>
      </c>
    </row>
    <row r="7327" spans="1:5" x14ac:dyDescent="0.35">
      <c r="A7327">
        <v>0</v>
      </c>
      <c r="B7327">
        <v>0</v>
      </c>
      <c r="C7327">
        <v>0</v>
      </c>
      <c r="D7327">
        <v>0</v>
      </c>
      <c r="E7327">
        <v>0</v>
      </c>
    </row>
    <row r="7328" spans="1:5" x14ac:dyDescent="0.35">
      <c r="A7328">
        <v>0</v>
      </c>
      <c r="B7328">
        <v>0</v>
      </c>
      <c r="C7328">
        <v>0</v>
      </c>
      <c r="D7328">
        <v>0</v>
      </c>
      <c r="E7328">
        <v>0</v>
      </c>
    </row>
    <row r="7329" spans="1:5" x14ac:dyDescent="0.35">
      <c r="A7329">
        <v>0</v>
      </c>
      <c r="B7329">
        <v>0</v>
      </c>
      <c r="C7329">
        <v>0</v>
      </c>
      <c r="D7329">
        <v>0</v>
      </c>
      <c r="E7329">
        <v>0</v>
      </c>
    </row>
    <row r="7330" spans="1:5" x14ac:dyDescent="0.35">
      <c r="A7330">
        <v>0</v>
      </c>
      <c r="B7330">
        <v>0</v>
      </c>
      <c r="C7330">
        <v>0</v>
      </c>
      <c r="D7330">
        <v>0</v>
      </c>
      <c r="E7330">
        <v>0</v>
      </c>
    </row>
    <row r="7331" spans="1:5" x14ac:dyDescent="0.35">
      <c r="A7331">
        <v>0</v>
      </c>
      <c r="B7331">
        <v>0</v>
      </c>
      <c r="C7331">
        <v>0</v>
      </c>
      <c r="D7331">
        <v>0</v>
      </c>
      <c r="E7331">
        <v>0</v>
      </c>
    </row>
    <row r="7332" spans="1:5" x14ac:dyDescent="0.35">
      <c r="A7332">
        <v>0</v>
      </c>
      <c r="B7332">
        <v>0</v>
      </c>
      <c r="C7332">
        <v>0</v>
      </c>
      <c r="D7332">
        <v>0</v>
      </c>
      <c r="E7332">
        <v>0</v>
      </c>
    </row>
    <row r="7333" spans="1:5" x14ac:dyDescent="0.35">
      <c r="A7333">
        <v>0</v>
      </c>
      <c r="B7333">
        <v>0</v>
      </c>
      <c r="C7333">
        <v>0</v>
      </c>
      <c r="D7333">
        <v>0</v>
      </c>
      <c r="E7333">
        <v>0</v>
      </c>
    </row>
    <row r="7334" spans="1:5" x14ac:dyDescent="0.35">
      <c r="A7334">
        <v>0</v>
      </c>
      <c r="B7334">
        <v>0</v>
      </c>
      <c r="C7334">
        <v>0</v>
      </c>
      <c r="D7334">
        <v>0</v>
      </c>
      <c r="E7334">
        <v>0</v>
      </c>
    </row>
    <row r="7335" spans="1:5" x14ac:dyDescent="0.35">
      <c r="A7335">
        <v>0</v>
      </c>
      <c r="B7335">
        <v>0</v>
      </c>
      <c r="C7335">
        <v>0</v>
      </c>
      <c r="D7335">
        <v>0</v>
      </c>
      <c r="E7335">
        <v>0</v>
      </c>
    </row>
    <row r="7336" spans="1:5" x14ac:dyDescent="0.35">
      <c r="A7336">
        <v>0</v>
      </c>
      <c r="B7336">
        <v>0</v>
      </c>
      <c r="C7336">
        <v>0</v>
      </c>
      <c r="D7336">
        <v>0</v>
      </c>
      <c r="E7336">
        <v>0</v>
      </c>
    </row>
    <row r="7337" spans="1:5" x14ac:dyDescent="0.35">
      <c r="A7337">
        <v>0</v>
      </c>
      <c r="B7337">
        <v>0</v>
      </c>
      <c r="C7337">
        <v>0</v>
      </c>
      <c r="D7337">
        <v>0</v>
      </c>
      <c r="E7337">
        <v>0</v>
      </c>
    </row>
    <row r="7338" spans="1:5" x14ac:dyDescent="0.35">
      <c r="A7338">
        <v>0</v>
      </c>
      <c r="B7338">
        <v>0</v>
      </c>
      <c r="C7338">
        <v>0</v>
      </c>
      <c r="D7338">
        <v>0</v>
      </c>
      <c r="E7338">
        <v>0</v>
      </c>
    </row>
    <row r="7339" spans="1:5" x14ac:dyDescent="0.35">
      <c r="A7339">
        <v>0</v>
      </c>
      <c r="B7339">
        <v>0</v>
      </c>
      <c r="C7339">
        <v>0</v>
      </c>
      <c r="D7339">
        <v>0</v>
      </c>
      <c r="E7339">
        <v>0</v>
      </c>
    </row>
    <row r="7340" spans="1:5" x14ac:dyDescent="0.35">
      <c r="A7340">
        <v>0</v>
      </c>
      <c r="B7340">
        <v>0</v>
      </c>
      <c r="C7340">
        <v>0</v>
      </c>
      <c r="D7340">
        <v>0</v>
      </c>
      <c r="E7340">
        <v>0</v>
      </c>
    </row>
    <row r="7341" spans="1:5" x14ac:dyDescent="0.35">
      <c r="A7341">
        <v>0</v>
      </c>
      <c r="B7341">
        <v>0</v>
      </c>
      <c r="C7341">
        <v>0</v>
      </c>
      <c r="D7341">
        <v>0</v>
      </c>
      <c r="E7341">
        <v>0</v>
      </c>
    </row>
    <row r="7342" spans="1:5" x14ac:dyDescent="0.35">
      <c r="A7342">
        <v>0</v>
      </c>
      <c r="B7342">
        <v>0</v>
      </c>
      <c r="C7342">
        <v>0</v>
      </c>
      <c r="D7342">
        <v>0</v>
      </c>
      <c r="E7342">
        <v>0</v>
      </c>
    </row>
    <row r="7343" spans="1:5" x14ac:dyDescent="0.35">
      <c r="A7343">
        <v>0</v>
      </c>
      <c r="B7343">
        <v>0</v>
      </c>
      <c r="C7343">
        <v>0</v>
      </c>
      <c r="D7343">
        <v>0</v>
      </c>
      <c r="E7343">
        <v>0</v>
      </c>
    </row>
    <row r="7344" spans="1:5" x14ac:dyDescent="0.35">
      <c r="A7344">
        <v>0</v>
      </c>
      <c r="B7344">
        <v>0</v>
      </c>
      <c r="C7344">
        <v>0</v>
      </c>
      <c r="D7344">
        <v>0</v>
      </c>
      <c r="E7344">
        <v>0</v>
      </c>
    </row>
    <row r="7345" spans="1:5" x14ac:dyDescent="0.35">
      <c r="A7345">
        <v>0</v>
      </c>
      <c r="B7345">
        <v>0</v>
      </c>
      <c r="C7345">
        <v>0</v>
      </c>
      <c r="D7345">
        <v>0</v>
      </c>
      <c r="E7345">
        <v>0</v>
      </c>
    </row>
    <row r="7346" spans="1:5" x14ac:dyDescent="0.35">
      <c r="A7346">
        <v>0</v>
      </c>
      <c r="B7346">
        <v>0</v>
      </c>
      <c r="C7346">
        <v>0</v>
      </c>
      <c r="D7346">
        <v>0</v>
      </c>
      <c r="E7346">
        <v>0</v>
      </c>
    </row>
    <row r="7347" spans="1:5" x14ac:dyDescent="0.35">
      <c r="A7347">
        <v>0</v>
      </c>
      <c r="B7347">
        <v>0</v>
      </c>
      <c r="C7347">
        <v>0</v>
      </c>
      <c r="D7347">
        <v>0</v>
      </c>
      <c r="E7347">
        <v>0</v>
      </c>
    </row>
    <row r="7348" spans="1:5" x14ac:dyDescent="0.35">
      <c r="A7348">
        <v>0</v>
      </c>
      <c r="B7348">
        <v>0</v>
      </c>
      <c r="C7348">
        <v>0</v>
      </c>
      <c r="D7348">
        <v>0</v>
      </c>
      <c r="E7348">
        <v>0</v>
      </c>
    </row>
    <row r="7349" spans="1:5" x14ac:dyDescent="0.35">
      <c r="A7349">
        <v>0</v>
      </c>
      <c r="B7349">
        <v>0</v>
      </c>
      <c r="C7349">
        <v>0</v>
      </c>
      <c r="D7349">
        <v>0</v>
      </c>
      <c r="E7349">
        <v>0</v>
      </c>
    </row>
    <row r="7350" spans="1:5" x14ac:dyDescent="0.35">
      <c r="A7350">
        <v>0</v>
      </c>
      <c r="B7350">
        <v>0</v>
      </c>
      <c r="C7350">
        <v>0</v>
      </c>
      <c r="D7350">
        <v>0</v>
      </c>
      <c r="E7350">
        <v>0</v>
      </c>
    </row>
    <row r="7351" spans="1:5" x14ac:dyDescent="0.35">
      <c r="A7351">
        <v>0</v>
      </c>
      <c r="B7351">
        <v>0</v>
      </c>
      <c r="C7351">
        <v>0</v>
      </c>
      <c r="D7351">
        <v>0</v>
      </c>
      <c r="E7351">
        <v>0</v>
      </c>
    </row>
    <row r="7352" spans="1:5" x14ac:dyDescent="0.35">
      <c r="A7352">
        <v>0</v>
      </c>
      <c r="B7352">
        <v>0</v>
      </c>
      <c r="C7352">
        <v>0</v>
      </c>
      <c r="D7352">
        <v>0</v>
      </c>
      <c r="E7352">
        <v>0</v>
      </c>
    </row>
    <row r="7353" spans="1:5" x14ac:dyDescent="0.35">
      <c r="A7353">
        <v>0</v>
      </c>
      <c r="B7353">
        <v>0</v>
      </c>
      <c r="C7353">
        <v>0</v>
      </c>
      <c r="D7353">
        <v>0</v>
      </c>
      <c r="E7353">
        <v>0</v>
      </c>
    </row>
    <row r="7354" spans="1:5" x14ac:dyDescent="0.35">
      <c r="A7354">
        <v>0</v>
      </c>
      <c r="B7354">
        <v>0</v>
      </c>
      <c r="C7354">
        <v>0</v>
      </c>
      <c r="D7354">
        <v>0</v>
      </c>
      <c r="E7354">
        <v>0</v>
      </c>
    </row>
    <row r="7355" spans="1:5" x14ac:dyDescent="0.35">
      <c r="A7355">
        <v>0</v>
      </c>
      <c r="B7355">
        <v>0</v>
      </c>
      <c r="C7355">
        <v>0</v>
      </c>
      <c r="D7355">
        <v>0</v>
      </c>
      <c r="E7355">
        <v>0</v>
      </c>
    </row>
    <row r="7356" spans="1:5" x14ac:dyDescent="0.35">
      <c r="A7356">
        <v>0</v>
      </c>
      <c r="B7356">
        <v>0</v>
      </c>
      <c r="C7356">
        <v>0</v>
      </c>
      <c r="D7356">
        <v>0</v>
      </c>
      <c r="E7356">
        <v>0</v>
      </c>
    </row>
    <row r="7357" spans="1:5" x14ac:dyDescent="0.35">
      <c r="A7357">
        <v>0</v>
      </c>
      <c r="B7357">
        <v>0</v>
      </c>
      <c r="C7357">
        <v>0</v>
      </c>
      <c r="D7357">
        <v>0</v>
      </c>
      <c r="E7357">
        <v>0</v>
      </c>
    </row>
    <row r="7358" spans="1:5" x14ac:dyDescent="0.35">
      <c r="A7358">
        <v>0</v>
      </c>
      <c r="B7358">
        <v>0</v>
      </c>
      <c r="C7358">
        <v>0</v>
      </c>
      <c r="D7358">
        <v>0</v>
      </c>
      <c r="E7358">
        <v>0</v>
      </c>
    </row>
    <row r="7359" spans="1:5" x14ac:dyDescent="0.35">
      <c r="A7359">
        <v>0</v>
      </c>
      <c r="B7359">
        <v>0</v>
      </c>
      <c r="C7359">
        <v>0</v>
      </c>
      <c r="D7359">
        <v>0</v>
      </c>
      <c r="E7359">
        <v>0</v>
      </c>
    </row>
    <row r="7360" spans="1:5" x14ac:dyDescent="0.35">
      <c r="A7360">
        <v>0</v>
      </c>
      <c r="B7360">
        <v>0</v>
      </c>
      <c r="C7360">
        <v>0</v>
      </c>
      <c r="D7360">
        <v>0</v>
      </c>
      <c r="E7360">
        <v>0</v>
      </c>
    </row>
    <row r="7361" spans="1:5" x14ac:dyDescent="0.35">
      <c r="A7361">
        <v>0</v>
      </c>
      <c r="B7361">
        <v>0</v>
      </c>
      <c r="C7361">
        <v>0</v>
      </c>
      <c r="D7361">
        <v>0</v>
      </c>
      <c r="E7361">
        <v>0</v>
      </c>
    </row>
    <row r="7362" spans="1:5" x14ac:dyDescent="0.35">
      <c r="A7362">
        <v>0</v>
      </c>
      <c r="B7362">
        <v>0</v>
      </c>
      <c r="C7362">
        <v>0</v>
      </c>
      <c r="D7362">
        <v>0</v>
      </c>
      <c r="E7362">
        <v>0</v>
      </c>
    </row>
    <row r="7363" spans="1:5" x14ac:dyDescent="0.35">
      <c r="A7363">
        <v>0</v>
      </c>
      <c r="B7363">
        <v>0</v>
      </c>
      <c r="C7363">
        <v>0</v>
      </c>
      <c r="D7363">
        <v>0</v>
      </c>
      <c r="E7363">
        <v>0</v>
      </c>
    </row>
    <row r="7364" spans="1:5" x14ac:dyDescent="0.35">
      <c r="A7364">
        <v>0</v>
      </c>
      <c r="B7364">
        <v>0</v>
      </c>
      <c r="C7364">
        <v>0</v>
      </c>
      <c r="D7364">
        <v>0</v>
      </c>
      <c r="E7364">
        <v>0</v>
      </c>
    </row>
    <row r="7365" spans="1:5" x14ac:dyDescent="0.35">
      <c r="A7365">
        <v>0</v>
      </c>
      <c r="B7365">
        <v>0</v>
      </c>
      <c r="C7365">
        <v>0</v>
      </c>
      <c r="D7365">
        <v>0</v>
      </c>
      <c r="E7365">
        <v>0</v>
      </c>
    </row>
    <row r="7366" spans="1:5" x14ac:dyDescent="0.35">
      <c r="A7366">
        <v>0</v>
      </c>
      <c r="B7366">
        <v>0</v>
      </c>
      <c r="C7366">
        <v>0</v>
      </c>
      <c r="D7366">
        <v>0</v>
      </c>
      <c r="E7366">
        <v>0</v>
      </c>
    </row>
    <row r="7367" spans="1:5" x14ac:dyDescent="0.35">
      <c r="A7367">
        <v>0</v>
      </c>
      <c r="B7367">
        <v>0</v>
      </c>
      <c r="C7367">
        <v>0</v>
      </c>
      <c r="D7367">
        <v>0</v>
      </c>
      <c r="E7367">
        <v>0</v>
      </c>
    </row>
    <row r="7368" spans="1:5" x14ac:dyDescent="0.35">
      <c r="A7368">
        <v>0</v>
      </c>
      <c r="B7368">
        <v>0</v>
      </c>
      <c r="C7368">
        <v>0</v>
      </c>
      <c r="D7368">
        <v>0</v>
      </c>
      <c r="E7368">
        <v>0</v>
      </c>
    </row>
    <row r="7369" spans="1:5" x14ac:dyDescent="0.35">
      <c r="A7369">
        <v>0</v>
      </c>
      <c r="B7369">
        <v>0</v>
      </c>
      <c r="C7369">
        <v>0</v>
      </c>
      <c r="D7369">
        <v>0</v>
      </c>
      <c r="E7369">
        <v>0</v>
      </c>
    </row>
    <row r="7370" spans="1:5" x14ac:dyDescent="0.35">
      <c r="A7370">
        <v>0</v>
      </c>
      <c r="B7370">
        <v>0</v>
      </c>
      <c r="C7370">
        <v>0</v>
      </c>
      <c r="D7370">
        <v>0</v>
      </c>
      <c r="E7370">
        <v>0</v>
      </c>
    </row>
    <row r="7371" spans="1:5" x14ac:dyDescent="0.35">
      <c r="A7371">
        <v>0</v>
      </c>
      <c r="B7371">
        <v>0</v>
      </c>
      <c r="C7371">
        <v>0</v>
      </c>
      <c r="D7371">
        <v>0</v>
      </c>
      <c r="E7371">
        <v>0</v>
      </c>
    </row>
    <row r="7372" spans="1:5" x14ac:dyDescent="0.35">
      <c r="A7372">
        <v>0</v>
      </c>
      <c r="B7372">
        <v>0</v>
      </c>
      <c r="C7372">
        <v>0</v>
      </c>
      <c r="D7372">
        <v>0</v>
      </c>
      <c r="E7372">
        <v>0</v>
      </c>
    </row>
    <row r="7373" spans="1:5" x14ac:dyDescent="0.35">
      <c r="A7373">
        <v>0</v>
      </c>
      <c r="B7373">
        <v>0</v>
      </c>
      <c r="C7373">
        <v>0</v>
      </c>
      <c r="D7373">
        <v>0</v>
      </c>
      <c r="E7373">
        <v>0</v>
      </c>
    </row>
    <row r="7374" spans="1:5" x14ac:dyDescent="0.35">
      <c r="A7374">
        <v>0</v>
      </c>
      <c r="B7374">
        <v>0</v>
      </c>
      <c r="C7374">
        <v>0</v>
      </c>
      <c r="D7374">
        <v>0</v>
      </c>
      <c r="E7374">
        <v>0</v>
      </c>
    </row>
    <row r="7375" spans="1:5" x14ac:dyDescent="0.35">
      <c r="A7375">
        <v>0</v>
      </c>
      <c r="B7375">
        <v>0</v>
      </c>
      <c r="C7375">
        <v>0</v>
      </c>
      <c r="D7375">
        <v>0</v>
      </c>
      <c r="E7375">
        <v>0</v>
      </c>
    </row>
    <row r="7376" spans="1:5" x14ac:dyDescent="0.35">
      <c r="A7376">
        <v>0</v>
      </c>
      <c r="B7376">
        <v>0</v>
      </c>
      <c r="C7376">
        <v>0</v>
      </c>
      <c r="D7376">
        <v>0</v>
      </c>
      <c r="E7376">
        <v>0</v>
      </c>
    </row>
    <row r="7377" spans="1:5" x14ac:dyDescent="0.35">
      <c r="A7377">
        <v>0</v>
      </c>
      <c r="B7377">
        <v>0</v>
      </c>
      <c r="C7377">
        <v>0</v>
      </c>
      <c r="D7377">
        <v>0</v>
      </c>
      <c r="E7377">
        <v>0</v>
      </c>
    </row>
    <row r="7378" spans="1:5" x14ac:dyDescent="0.35">
      <c r="A7378">
        <v>0</v>
      </c>
      <c r="B7378">
        <v>0</v>
      </c>
      <c r="C7378">
        <v>0</v>
      </c>
      <c r="D7378">
        <v>0</v>
      </c>
      <c r="E7378">
        <v>0</v>
      </c>
    </row>
    <row r="7379" spans="1:5" x14ac:dyDescent="0.35">
      <c r="A7379">
        <v>0</v>
      </c>
      <c r="B7379">
        <v>0</v>
      </c>
      <c r="C7379">
        <v>0</v>
      </c>
      <c r="D7379">
        <v>0</v>
      </c>
      <c r="E7379">
        <v>0</v>
      </c>
    </row>
    <row r="7380" spans="1:5" x14ac:dyDescent="0.35">
      <c r="A7380">
        <v>0</v>
      </c>
      <c r="B7380">
        <v>0</v>
      </c>
      <c r="C7380">
        <v>0</v>
      </c>
      <c r="D7380">
        <v>0</v>
      </c>
      <c r="E7380">
        <v>0</v>
      </c>
    </row>
    <row r="7381" spans="1:5" x14ac:dyDescent="0.35">
      <c r="A7381">
        <v>0</v>
      </c>
      <c r="B7381">
        <v>0</v>
      </c>
      <c r="C7381">
        <v>0</v>
      </c>
      <c r="D7381">
        <v>0</v>
      </c>
      <c r="E7381">
        <v>0</v>
      </c>
    </row>
    <row r="7382" spans="1:5" x14ac:dyDescent="0.35">
      <c r="A7382">
        <v>0</v>
      </c>
      <c r="B7382">
        <v>0</v>
      </c>
      <c r="C7382">
        <v>0</v>
      </c>
      <c r="D7382">
        <v>0</v>
      </c>
      <c r="E7382">
        <v>0</v>
      </c>
    </row>
    <row r="7383" spans="1:5" x14ac:dyDescent="0.35">
      <c r="A7383">
        <v>0</v>
      </c>
      <c r="B7383">
        <v>0</v>
      </c>
      <c r="C7383">
        <v>0</v>
      </c>
      <c r="D7383">
        <v>0</v>
      </c>
      <c r="E7383">
        <v>0</v>
      </c>
    </row>
    <row r="7384" spans="1:5" x14ac:dyDescent="0.35">
      <c r="A7384">
        <v>0</v>
      </c>
      <c r="B7384">
        <v>0</v>
      </c>
      <c r="C7384">
        <v>0</v>
      </c>
      <c r="D7384">
        <v>0</v>
      </c>
      <c r="E7384">
        <v>0</v>
      </c>
    </row>
    <row r="7385" spans="1:5" x14ac:dyDescent="0.35">
      <c r="A7385">
        <v>0</v>
      </c>
      <c r="B7385">
        <v>0</v>
      </c>
      <c r="C7385">
        <v>0</v>
      </c>
      <c r="D7385">
        <v>0</v>
      </c>
      <c r="E7385">
        <v>0</v>
      </c>
    </row>
    <row r="7386" spans="1:5" x14ac:dyDescent="0.35">
      <c r="A7386">
        <v>0</v>
      </c>
      <c r="B7386">
        <v>0</v>
      </c>
      <c r="C7386">
        <v>0</v>
      </c>
      <c r="D7386">
        <v>0</v>
      </c>
      <c r="E7386">
        <v>0</v>
      </c>
    </row>
    <row r="7387" spans="1:5" x14ac:dyDescent="0.35">
      <c r="A7387">
        <v>0</v>
      </c>
      <c r="B7387">
        <v>0</v>
      </c>
      <c r="C7387">
        <v>0</v>
      </c>
      <c r="D7387">
        <v>0</v>
      </c>
      <c r="E7387">
        <v>0</v>
      </c>
    </row>
    <row r="7388" spans="1:5" x14ac:dyDescent="0.35">
      <c r="A7388">
        <v>0</v>
      </c>
      <c r="B7388">
        <v>0</v>
      </c>
      <c r="C7388">
        <v>0</v>
      </c>
      <c r="D7388">
        <v>0</v>
      </c>
      <c r="E7388">
        <v>0</v>
      </c>
    </row>
    <row r="7389" spans="1:5" x14ac:dyDescent="0.35">
      <c r="A7389">
        <v>0</v>
      </c>
      <c r="B7389">
        <v>0</v>
      </c>
      <c r="C7389">
        <v>0</v>
      </c>
      <c r="D7389">
        <v>0</v>
      </c>
      <c r="E7389">
        <v>0</v>
      </c>
    </row>
    <row r="7390" spans="1:5" x14ac:dyDescent="0.35">
      <c r="A7390">
        <v>0</v>
      </c>
      <c r="B7390">
        <v>0</v>
      </c>
      <c r="C7390">
        <v>0</v>
      </c>
      <c r="D7390">
        <v>0</v>
      </c>
      <c r="E7390">
        <v>0</v>
      </c>
    </row>
    <row r="7391" spans="1:5" x14ac:dyDescent="0.35">
      <c r="A7391">
        <v>0</v>
      </c>
      <c r="B7391">
        <v>0</v>
      </c>
      <c r="C7391">
        <v>0</v>
      </c>
      <c r="D7391">
        <v>0</v>
      </c>
      <c r="E7391">
        <v>0</v>
      </c>
    </row>
    <row r="7392" spans="1:5" x14ac:dyDescent="0.35">
      <c r="A7392">
        <v>0</v>
      </c>
      <c r="B7392">
        <v>0</v>
      </c>
      <c r="C7392">
        <v>0</v>
      </c>
      <c r="D7392">
        <v>0</v>
      </c>
      <c r="E7392">
        <v>0</v>
      </c>
    </row>
    <row r="7393" spans="1:5" x14ac:dyDescent="0.35">
      <c r="A7393">
        <v>0</v>
      </c>
      <c r="B7393">
        <v>0</v>
      </c>
      <c r="C7393">
        <v>0</v>
      </c>
      <c r="D7393">
        <v>0</v>
      </c>
      <c r="E7393">
        <v>0</v>
      </c>
    </row>
    <row r="7394" spans="1:5" x14ac:dyDescent="0.35">
      <c r="A7394">
        <v>0</v>
      </c>
      <c r="B7394">
        <v>0</v>
      </c>
      <c r="C7394">
        <v>0</v>
      </c>
      <c r="D7394">
        <v>0</v>
      </c>
      <c r="E7394">
        <v>0</v>
      </c>
    </row>
    <row r="7395" spans="1:5" x14ac:dyDescent="0.35">
      <c r="A7395">
        <v>0</v>
      </c>
      <c r="B7395">
        <v>0</v>
      </c>
      <c r="C7395">
        <v>0</v>
      </c>
      <c r="D7395">
        <v>0</v>
      </c>
      <c r="E7395">
        <v>0</v>
      </c>
    </row>
    <row r="7396" spans="1:5" x14ac:dyDescent="0.35">
      <c r="A7396">
        <v>0</v>
      </c>
      <c r="B7396">
        <v>0</v>
      </c>
      <c r="C7396">
        <v>0</v>
      </c>
      <c r="D7396">
        <v>0</v>
      </c>
      <c r="E7396">
        <v>0</v>
      </c>
    </row>
    <row r="7397" spans="1:5" x14ac:dyDescent="0.35">
      <c r="A7397">
        <v>0</v>
      </c>
      <c r="B7397">
        <v>0</v>
      </c>
      <c r="C7397">
        <v>0</v>
      </c>
      <c r="D7397">
        <v>0</v>
      </c>
      <c r="E7397">
        <v>0</v>
      </c>
    </row>
    <row r="7398" spans="1:5" x14ac:dyDescent="0.35">
      <c r="A7398">
        <v>0</v>
      </c>
      <c r="B7398">
        <v>0</v>
      </c>
      <c r="C7398">
        <v>0</v>
      </c>
      <c r="D7398">
        <v>0</v>
      </c>
      <c r="E7398">
        <v>0</v>
      </c>
    </row>
    <row r="7399" spans="1:5" x14ac:dyDescent="0.35">
      <c r="A7399">
        <v>0</v>
      </c>
      <c r="B7399">
        <v>0</v>
      </c>
      <c r="C7399">
        <v>0</v>
      </c>
      <c r="D7399">
        <v>0</v>
      </c>
      <c r="E7399">
        <v>0</v>
      </c>
    </row>
    <row r="7400" spans="1:5" x14ac:dyDescent="0.35">
      <c r="A7400">
        <v>0</v>
      </c>
      <c r="B7400">
        <v>0</v>
      </c>
      <c r="C7400">
        <v>0</v>
      </c>
      <c r="D7400">
        <v>0</v>
      </c>
      <c r="E7400">
        <v>0</v>
      </c>
    </row>
    <row r="7401" spans="1:5" x14ac:dyDescent="0.35">
      <c r="A7401">
        <v>0</v>
      </c>
      <c r="B7401">
        <v>0</v>
      </c>
      <c r="C7401">
        <v>0</v>
      </c>
      <c r="D7401">
        <v>0</v>
      </c>
      <c r="E7401">
        <v>0</v>
      </c>
    </row>
    <row r="7402" spans="1:5" x14ac:dyDescent="0.35">
      <c r="A7402">
        <v>0</v>
      </c>
      <c r="B7402">
        <v>0</v>
      </c>
      <c r="C7402">
        <v>0</v>
      </c>
      <c r="D7402">
        <v>0</v>
      </c>
      <c r="E7402">
        <v>0</v>
      </c>
    </row>
    <row r="7403" spans="1:5" x14ac:dyDescent="0.35">
      <c r="A7403">
        <v>0</v>
      </c>
      <c r="B7403">
        <v>0</v>
      </c>
      <c r="C7403">
        <v>0</v>
      </c>
      <c r="D7403">
        <v>0</v>
      </c>
      <c r="E7403">
        <v>0</v>
      </c>
    </row>
    <row r="7404" spans="1:5" x14ac:dyDescent="0.35">
      <c r="A7404">
        <v>0</v>
      </c>
      <c r="B7404">
        <v>0</v>
      </c>
      <c r="C7404">
        <v>0</v>
      </c>
      <c r="D7404">
        <v>0</v>
      </c>
      <c r="E7404">
        <v>0</v>
      </c>
    </row>
    <row r="7405" spans="1:5" x14ac:dyDescent="0.35">
      <c r="A7405">
        <v>0</v>
      </c>
      <c r="B7405">
        <v>0</v>
      </c>
      <c r="C7405">
        <v>0</v>
      </c>
      <c r="D7405">
        <v>0</v>
      </c>
      <c r="E7405">
        <v>0</v>
      </c>
    </row>
    <row r="7406" spans="1:5" x14ac:dyDescent="0.35">
      <c r="A7406">
        <v>0</v>
      </c>
      <c r="B7406">
        <v>0</v>
      </c>
      <c r="C7406">
        <v>0</v>
      </c>
      <c r="D7406">
        <v>0</v>
      </c>
      <c r="E7406">
        <v>0</v>
      </c>
    </row>
    <row r="7407" spans="1:5" x14ac:dyDescent="0.35">
      <c r="A7407">
        <v>0</v>
      </c>
      <c r="B7407">
        <v>0</v>
      </c>
      <c r="C7407">
        <v>0</v>
      </c>
      <c r="D7407">
        <v>0</v>
      </c>
      <c r="E7407">
        <v>0</v>
      </c>
    </row>
    <row r="7408" spans="1:5" x14ac:dyDescent="0.35">
      <c r="A7408">
        <v>0</v>
      </c>
      <c r="B7408">
        <v>0</v>
      </c>
      <c r="C7408">
        <v>0</v>
      </c>
      <c r="D7408">
        <v>0</v>
      </c>
      <c r="E7408">
        <v>0</v>
      </c>
    </row>
    <row r="7409" spans="1:5" x14ac:dyDescent="0.35">
      <c r="A7409">
        <v>0</v>
      </c>
      <c r="B7409">
        <v>0</v>
      </c>
      <c r="C7409">
        <v>0</v>
      </c>
      <c r="D7409">
        <v>0</v>
      </c>
      <c r="E7409">
        <v>0</v>
      </c>
    </row>
    <row r="7410" spans="1:5" x14ac:dyDescent="0.35">
      <c r="A7410">
        <v>0</v>
      </c>
      <c r="B7410">
        <v>0</v>
      </c>
      <c r="C7410">
        <v>0</v>
      </c>
      <c r="D7410">
        <v>0</v>
      </c>
      <c r="E7410">
        <v>0</v>
      </c>
    </row>
    <row r="7411" spans="1:5" x14ac:dyDescent="0.35">
      <c r="A7411">
        <v>0</v>
      </c>
      <c r="B7411">
        <v>0</v>
      </c>
      <c r="C7411">
        <v>0</v>
      </c>
      <c r="D7411">
        <v>0</v>
      </c>
      <c r="E7411">
        <v>0</v>
      </c>
    </row>
    <row r="7412" spans="1:5" x14ac:dyDescent="0.35">
      <c r="A7412">
        <v>0</v>
      </c>
      <c r="B7412">
        <v>0</v>
      </c>
      <c r="C7412">
        <v>0</v>
      </c>
      <c r="D7412">
        <v>0</v>
      </c>
      <c r="E7412">
        <v>0</v>
      </c>
    </row>
    <row r="7413" spans="1:5" x14ac:dyDescent="0.35">
      <c r="A7413">
        <v>0</v>
      </c>
      <c r="B7413">
        <v>0</v>
      </c>
      <c r="C7413">
        <v>0</v>
      </c>
      <c r="D7413">
        <v>0</v>
      </c>
      <c r="E7413">
        <v>0</v>
      </c>
    </row>
    <row r="7414" spans="1:5" x14ac:dyDescent="0.35">
      <c r="A7414">
        <v>0</v>
      </c>
      <c r="B7414">
        <v>0</v>
      </c>
      <c r="C7414">
        <v>0</v>
      </c>
      <c r="D7414">
        <v>0</v>
      </c>
      <c r="E7414">
        <v>0</v>
      </c>
    </row>
    <row r="7415" spans="1:5" x14ac:dyDescent="0.35">
      <c r="A7415">
        <v>0</v>
      </c>
      <c r="B7415">
        <v>0</v>
      </c>
      <c r="C7415">
        <v>0</v>
      </c>
      <c r="D7415">
        <v>0</v>
      </c>
      <c r="E7415">
        <v>0</v>
      </c>
    </row>
    <row r="7416" spans="1:5" x14ac:dyDescent="0.35">
      <c r="A7416">
        <v>0</v>
      </c>
      <c r="B7416">
        <v>0</v>
      </c>
      <c r="C7416">
        <v>0</v>
      </c>
      <c r="D7416">
        <v>0</v>
      </c>
      <c r="E7416">
        <v>0</v>
      </c>
    </row>
    <row r="7417" spans="1:5" x14ac:dyDescent="0.35">
      <c r="A7417">
        <v>0</v>
      </c>
      <c r="B7417">
        <v>0</v>
      </c>
      <c r="C7417">
        <v>0</v>
      </c>
      <c r="D7417">
        <v>0</v>
      </c>
      <c r="E7417">
        <v>0</v>
      </c>
    </row>
    <row r="7418" spans="1:5" x14ac:dyDescent="0.35">
      <c r="A7418">
        <v>0</v>
      </c>
      <c r="B7418">
        <v>0</v>
      </c>
      <c r="C7418">
        <v>0</v>
      </c>
      <c r="D7418">
        <v>0</v>
      </c>
      <c r="E7418">
        <v>0</v>
      </c>
    </row>
    <row r="7419" spans="1:5" x14ac:dyDescent="0.35">
      <c r="A7419">
        <v>0</v>
      </c>
      <c r="B7419">
        <v>0</v>
      </c>
      <c r="C7419">
        <v>0</v>
      </c>
      <c r="D7419">
        <v>0</v>
      </c>
      <c r="E7419">
        <v>0</v>
      </c>
    </row>
    <row r="7420" spans="1:5" x14ac:dyDescent="0.35">
      <c r="A7420">
        <v>0</v>
      </c>
      <c r="B7420">
        <v>0</v>
      </c>
      <c r="C7420">
        <v>0</v>
      </c>
      <c r="D7420">
        <v>0</v>
      </c>
      <c r="E7420">
        <v>0</v>
      </c>
    </row>
    <row r="7421" spans="1:5" x14ac:dyDescent="0.35">
      <c r="A7421">
        <v>0</v>
      </c>
      <c r="B7421">
        <v>0</v>
      </c>
      <c r="C7421">
        <v>0</v>
      </c>
      <c r="D7421">
        <v>0</v>
      </c>
      <c r="E7421">
        <v>0</v>
      </c>
    </row>
    <row r="7422" spans="1:5" x14ac:dyDescent="0.35">
      <c r="A7422">
        <v>0</v>
      </c>
      <c r="B7422">
        <v>0</v>
      </c>
      <c r="C7422">
        <v>0</v>
      </c>
      <c r="D7422">
        <v>0</v>
      </c>
      <c r="E7422">
        <v>0</v>
      </c>
    </row>
    <row r="7423" spans="1:5" x14ac:dyDescent="0.35">
      <c r="A7423">
        <v>0</v>
      </c>
      <c r="B7423">
        <v>0</v>
      </c>
      <c r="C7423">
        <v>0</v>
      </c>
      <c r="D7423">
        <v>0</v>
      </c>
      <c r="E7423">
        <v>0</v>
      </c>
    </row>
    <row r="7424" spans="1:5" x14ac:dyDescent="0.35">
      <c r="A7424">
        <v>0</v>
      </c>
      <c r="B7424">
        <v>0</v>
      </c>
      <c r="C7424">
        <v>0</v>
      </c>
      <c r="D7424">
        <v>0</v>
      </c>
      <c r="E7424">
        <v>0</v>
      </c>
    </row>
    <row r="7425" spans="1:5" x14ac:dyDescent="0.35">
      <c r="A7425">
        <v>0</v>
      </c>
      <c r="B7425">
        <v>0</v>
      </c>
      <c r="C7425">
        <v>0</v>
      </c>
      <c r="D7425">
        <v>0</v>
      </c>
      <c r="E7425">
        <v>0</v>
      </c>
    </row>
    <row r="7426" spans="1:5" x14ac:dyDescent="0.35">
      <c r="A7426">
        <v>0</v>
      </c>
      <c r="B7426">
        <v>0</v>
      </c>
      <c r="C7426">
        <v>0</v>
      </c>
      <c r="D7426">
        <v>0</v>
      </c>
      <c r="E7426">
        <v>0</v>
      </c>
    </row>
    <row r="7427" spans="1:5" x14ac:dyDescent="0.35">
      <c r="A7427">
        <v>0</v>
      </c>
      <c r="B7427">
        <v>0</v>
      </c>
      <c r="C7427">
        <v>0</v>
      </c>
      <c r="D7427">
        <v>0</v>
      </c>
      <c r="E7427">
        <v>0</v>
      </c>
    </row>
    <row r="7428" spans="1:5" x14ac:dyDescent="0.35">
      <c r="A7428">
        <v>0</v>
      </c>
      <c r="B7428">
        <v>0</v>
      </c>
      <c r="C7428">
        <v>0</v>
      </c>
      <c r="D7428">
        <v>0</v>
      </c>
      <c r="E7428">
        <v>0</v>
      </c>
    </row>
    <row r="7429" spans="1:5" x14ac:dyDescent="0.35">
      <c r="A7429">
        <v>0</v>
      </c>
      <c r="B7429">
        <v>0</v>
      </c>
      <c r="C7429">
        <v>0</v>
      </c>
      <c r="D7429">
        <v>0</v>
      </c>
      <c r="E7429">
        <v>0</v>
      </c>
    </row>
    <row r="7430" spans="1:5" x14ac:dyDescent="0.35">
      <c r="A7430">
        <v>0</v>
      </c>
      <c r="B7430">
        <v>0</v>
      </c>
      <c r="C7430">
        <v>0</v>
      </c>
      <c r="D7430">
        <v>0</v>
      </c>
      <c r="E7430">
        <v>0</v>
      </c>
    </row>
    <row r="7431" spans="1:5" x14ac:dyDescent="0.35">
      <c r="A7431">
        <v>0</v>
      </c>
      <c r="B7431">
        <v>0</v>
      </c>
      <c r="C7431">
        <v>0</v>
      </c>
      <c r="D7431">
        <v>0</v>
      </c>
      <c r="E7431">
        <v>0</v>
      </c>
    </row>
    <row r="7432" spans="1:5" x14ac:dyDescent="0.35">
      <c r="A7432">
        <v>0</v>
      </c>
      <c r="B7432">
        <v>0</v>
      </c>
      <c r="C7432">
        <v>0</v>
      </c>
      <c r="D7432">
        <v>0</v>
      </c>
      <c r="E7432">
        <v>0</v>
      </c>
    </row>
    <row r="7433" spans="1:5" x14ac:dyDescent="0.35">
      <c r="A7433">
        <v>0</v>
      </c>
      <c r="B7433">
        <v>0</v>
      </c>
      <c r="C7433">
        <v>0</v>
      </c>
      <c r="D7433">
        <v>0</v>
      </c>
      <c r="E7433">
        <v>0</v>
      </c>
    </row>
    <row r="7434" spans="1:5" x14ac:dyDescent="0.35">
      <c r="A7434">
        <v>0</v>
      </c>
      <c r="B7434">
        <v>0</v>
      </c>
      <c r="C7434">
        <v>0</v>
      </c>
      <c r="D7434">
        <v>0</v>
      </c>
      <c r="E7434">
        <v>0</v>
      </c>
    </row>
    <row r="7435" spans="1:5" x14ac:dyDescent="0.35">
      <c r="A7435">
        <v>0</v>
      </c>
      <c r="B7435">
        <v>0</v>
      </c>
      <c r="C7435">
        <v>0</v>
      </c>
      <c r="D7435">
        <v>0</v>
      </c>
      <c r="E7435">
        <v>0</v>
      </c>
    </row>
    <row r="7436" spans="1:5" x14ac:dyDescent="0.35">
      <c r="A7436">
        <v>0</v>
      </c>
      <c r="B7436">
        <v>0</v>
      </c>
      <c r="C7436">
        <v>0</v>
      </c>
      <c r="D7436">
        <v>0</v>
      </c>
      <c r="E7436">
        <v>0</v>
      </c>
    </row>
    <row r="7437" spans="1:5" x14ac:dyDescent="0.35">
      <c r="A7437">
        <v>0</v>
      </c>
      <c r="B7437">
        <v>0</v>
      </c>
      <c r="C7437">
        <v>0</v>
      </c>
      <c r="D7437">
        <v>0</v>
      </c>
      <c r="E7437">
        <v>0</v>
      </c>
    </row>
    <row r="7438" spans="1:5" x14ac:dyDescent="0.35">
      <c r="A7438">
        <v>0</v>
      </c>
      <c r="B7438">
        <v>0</v>
      </c>
      <c r="C7438">
        <v>0</v>
      </c>
      <c r="D7438">
        <v>0</v>
      </c>
      <c r="E7438">
        <v>0</v>
      </c>
    </row>
    <row r="7439" spans="1:5" x14ac:dyDescent="0.35">
      <c r="A7439">
        <v>0</v>
      </c>
      <c r="B7439">
        <v>0</v>
      </c>
      <c r="C7439">
        <v>0</v>
      </c>
      <c r="D7439">
        <v>0</v>
      </c>
      <c r="E7439">
        <v>0</v>
      </c>
    </row>
    <row r="7440" spans="1:5" x14ac:dyDescent="0.35">
      <c r="A7440">
        <v>0</v>
      </c>
      <c r="B7440">
        <v>0</v>
      </c>
      <c r="C7440">
        <v>0</v>
      </c>
      <c r="D7440">
        <v>0</v>
      </c>
      <c r="E7440">
        <v>0</v>
      </c>
    </row>
    <row r="7441" spans="1:5" x14ac:dyDescent="0.35">
      <c r="A7441">
        <v>0</v>
      </c>
      <c r="B7441">
        <v>0</v>
      </c>
      <c r="C7441">
        <v>0</v>
      </c>
      <c r="D7441">
        <v>0</v>
      </c>
      <c r="E7441">
        <v>0</v>
      </c>
    </row>
    <row r="7442" spans="1:5" x14ac:dyDescent="0.35">
      <c r="A7442">
        <v>0</v>
      </c>
      <c r="B7442">
        <v>0</v>
      </c>
      <c r="C7442">
        <v>0</v>
      </c>
      <c r="D7442">
        <v>0</v>
      </c>
      <c r="E7442">
        <v>0</v>
      </c>
    </row>
    <row r="7443" spans="1:5" x14ac:dyDescent="0.35">
      <c r="A7443">
        <v>0</v>
      </c>
      <c r="B7443">
        <v>0</v>
      </c>
      <c r="C7443">
        <v>0</v>
      </c>
      <c r="D7443">
        <v>0</v>
      </c>
      <c r="E7443">
        <v>0</v>
      </c>
    </row>
    <row r="7444" spans="1:5" x14ac:dyDescent="0.35">
      <c r="A7444">
        <v>0</v>
      </c>
      <c r="B7444">
        <v>0</v>
      </c>
      <c r="C7444">
        <v>0</v>
      </c>
      <c r="D7444">
        <v>0</v>
      </c>
      <c r="E7444">
        <v>0</v>
      </c>
    </row>
    <row r="7445" spans="1:5" x14ac:dyDescent="0.35">
      <c r="A7445">
        <v>0</v>
      </c>
      <c r="B7445">
        <v>0</v>
      </c>
      <c r="C7445">
        <v>0</v>
      </c>
      <c r="D7445">
        <v>0</v>
      </c>
      <c r="E7445">
        <v>0</v>
      </c>
    </row>
    <row r="7446" spans="1:5" x14ac:dyDescent="0.35">
      <c r="A7446">
        <v>0</v>
      </c>
      <c r="B7446">
        <v>0</v>
      </c>
      <c r="C7446">
        <v>0</v>
      </c>
      <c r="D7446">
        <v>0</v>
      </c>
      <c r="E7446">
        <v>0</v>
      </c>
    </row>
    <row r="7447" spans="1:5" x14ac:dyDescent="0.35">
      <c r="A7447">
        <v>0</v>
      </c>
      <c r="B7447">
        <v>0</v>
      </c>
      <c r="C7447">
        <v>0</v>
      </c>
      <c r="D7447">
        <v>0</v>
      </c>
      <c r="E7447">
        <v>0</v>
      </c>
    </row>
    <row r="7448" spans="1:5" x14ac:dyDescent="0.35">
      <c r="A7448">
        <v>0</v>
      </c>
      <c r="B7448">
        <v>0</v>
      </c>
      <c r="C7448">
        <v>0</v>
      </c>
      <c r="D7448">
        <v>0</v>
      </c>
      <c r="E7448">
        <v>0</v>
      </c>
    </row>
    <row r="7449" spans="1:5" x14ac:dyDescent="0.35">
      <c r="A7449">
        <v>0</v>
      </c>
      <c r="B7449">
        <v>0</v>
      </c>
      <c r="C7449">
        <v>0</v>
      </c>
      <c r="D7449">
        <v>0</v>
      </c>
      <c r="E7449">
        <v>0</v>
      </c>
    </row>
    <row r="7450" spans="1:5" x14ac:dyDescent="0.35">
      <c r="A7450">
        <v>0</v>
      </c>
      <c r="B7450">
        <v>0</v>
      </c>
      <c r="C7450">
        <v>0</v>
      </c>
      <c r="D7450">
        <v>0</v>
      </c>
      <c r="E7450">
        <v>0</v>
      </c>
    </row>
    <row r="7451" spans="1:5" x14ac:dyDescent="0.35">
      <c r="A7451">
        <v>0</v>
      </c>
      <c r="B7451">
        <v>0</v>
      </c>
      <c r="C7451">
        <v>0</v>
      </c>
      <c r="D7451">
        <v>0</v>
      </c>
      <c r="E7451">
        <v>0</v>
      </c>
    </row>
    <row r="7452" spans="1:5" x14ac:dyDescent="0.35">
      <c r="A7452">
        <v>0</v>
      </c>
      <c r="B7452">
        <v>0</v>
      </c>
      <c r="C7452">
        <v>0</v>
      </c>
      <c r="D7452">
        <v>0</v>
      </c>
      <c r="E7452">
        <v>0</v>
      </c>
    </row>
    <row r="7453" spans="1:5" x14ac:dyDescent="0.35">
      <c r="A7453">
        <v>0</v>
      </c>
      <c r="B7453">
        <v>0</v>
      </c>
      <c r="C7453">
        <v>0</v>
      </c>
      <c r="D7453">
        <v>0</v>
      </c>
      <c r="E7453">
        <v>0</v>
      </c>
    </row>
    <row r="7454" spans="1:5" x14ac:dyDescent="0.35">
      <c r="A7454">
        <v>0</v>
      </c>
      <c r="B7454">
        <v>0</v>
      </c>
      <c r="C7454">
        <v>0</v>
      </c>
      <c r="D7454">
        <v>0</v>
      </c>
      <c r="E7454">
        <v>0</v>
      </c>
    </row>
    <row r="7455" spans="1:5" x14ac:dyDescent="0.35">
      <c r="A7455">
        <v>0</v>
      </c>
      <c r="B7455">
        <v>0</v>
      </c>
      <c r="C7455">
        <v>0</v>
      </c>
      <c r="D7455">
        <v>0</v>
      </c>
      <c r="E7455">
        <v>0</v>
      </c>
    </row>
    <row r="7456" spans="1:5" x14ac:dyDescent="0.35">
      <c r="A7456">
        <v>0</v>
      </c>
      <c r="B7456">
        <v>0</v>
      </c>
      <c r="C7456">
        <v>0</v>
      </c>
      <c r="D7456">
        <v>0</v>
      </c>
      <c r="E7456">
        <v>0</v>
      </c>
    </row>
    <row r="7457" spans="1:5" x14ac:dyDescent="0.35">
      <c r="A7457">
        <v>0</v>
      </c>
      <c r="B7457">
        <v>0</v>
      </c>
      <c r="C7457">
        <v>0</v>
      </c>
      <c r="D7457">
        <v>0</v>
      </c>
      <c r="E7457">
        <v>0</v>
      </c>
    </row>
    <row r="7458" spans="1:5" x14ac:dyDescent="0.35">
      <c r="A7458">
        <v>0</v>
      </c>
      <c r="B7458">
        <v>0</v>
      </c>
      <c r="C7458">
        <v>0</v>
      </c>
      <c r="D7458">
        <v>0</v>
      </c>
      <c r="E7458">
        <v>0</v>
      </c>
    </row>
    <row r="7459" spans="1:5" x14ac:dyDescent="0.35">
      <c r="A7459">
        <v>0</v>
      </c>
      <c r="B7459">
        <v>0</v>
      </c>
      <c r="C7459">
        <v>0</v>
      </c>
      <c r="D7459">
        <v>0</v>
      </c>
      <c r="E7459">
        <v>0</v>
      </c>
    </row>
    <row r="7460" spans="1:5" x14ac:dyDescent="0.35">
      <c r="A7460">
        <v>0</v>
      </c>
      <c r="B7460">
        <v>0</v>
      </c>
      <c r="C7460">
        <v>0</v>
      </c>
      <c r="D7460">
        <v>0</v>
      </c>
      <c r="E7460">
        <v>0</v>
      </c>
    </row>
    <row r="7461" spans="1:5" x14ac:dyDescent="0.35">
      <c r="A7461">
        <v>0</v>
      </c>
      <c r="B7461">
        <v>0</v>
      </c>
      <c r="C7461">
        <v>0</v>
      </c>
      <c r="D7461">
        <v>0</v>
      </c>
      <c r="E7461">
        <v>0</v>
      </c>
    </row>
    <row r="7462" spans="1:5" x14ac:dyDescent="0.35">
      <c r="A7462">
        <v>0</v>
      </c>
      <c r="B7462">
        <v>0</v>
      </c>
      <c r="C7462">
        <v>0</v>
      </c>
      <c r="D7462">
        <v>0</v>
      </c>
      <c r="E7462">
        <v>0</v>
      </c>
    </row>
    <row r="7463" spans="1:5" x14ac:dyDescent="0.35">
      <c r="A7463">
        <v>0</v>
      </c>
      <c r="B7463">
        <v>0</v>
      </c>
      <c r="C7463">
        <v>0</v>
      </c>
      <c r="D7463">
        <v>0</v>
      </c>
      <c r="E7463">
        <v>0</v>
      </c>
    </row>
    <row r="7464" spans="1:5" x14ac:dyDescent="0.35">
      <c r="A7464">
        <v>0</v>
      </c>
      <c r="B7464">
        <v>0</v>
      </c>
      <c r="C7464">
        <v>0</v>
      </c>
      <c r="D7464">
        <v>0</v>
      </c>
      <c r="E7464">
        <v>0</v>
      </c>
    </row>
    <row r="7465" spans="1:5" x14ac:dyDescent="0.35">
      <c r="A7465">
        <v>0</v>
      </c>
      <c r="B7465">
        <v>0</v>
      </c>
      <c r="C7465">
        <v>0</v>
      </c>
      <c r="D7465">
        <v>0</v>
      </c>
      <c r="E7465">
        <v>0</v>
      </c>
    </row>
    <row r="7466" spans="1:5" x14ac:dyDescent="0.35">
      <c r="A7466">
        <v>0</v>
      </c>
      <c r="B7466">
        <v>0</v>
      </c>
      <c r="C7466">
        <v>0</v>
      </c>
      <c r="D7466">
        <v>0</v>
      </c>
      <c r="E7466">
        <v>0</v>
      </c>
    </row>
    <row r="7467" spans="1:5" x14ac:dyDescent="0.35">
      <c r="A7467">
        <v>0</v>
      </c>
      <c r="B7467">
        <v>0</v>
      </c>
      <c r="C7467">
        <v>0</v>
      </c>
      <c r="D7467">
        <v>0</v>
      </c>
      <c r="E7467">
        <v>0</v>
      </c>
    </row>
    <row r="7468" spans="1:5" x14ac:dyDescent="0.35">
      <c r="A7468">
        <v>0</v>
      </c>
      <c r="B7468">
        <v>0</v>
      </c>
      <c r="C7468">
        <v>0</v>
      </c>
      <c r="D7468">
        <v>0</v>
      </c>
      <c r="E7468">
        <v>0</v>
      </c>
    </row>
    <row r="7469" spans="1:5" x14ac:dyDescent="0.35">
      <c r="A7469">
        <v>0</v>
      </c>
      <c r="B7469">
        <v>0</v>
      </c>
      <c r="C7469">
        <v>0</v>
      </c>
      <c r="D7469">
        <v>0</v>
      </c>
      <c r="E7469">
        <v>0</v>
      </c>
    </row>
    <row r="7470" spans="1:5" x14ac:dyDescent="0.35">
      <c r="A7470">
        <v>0</v>
      </c>
      <c r="B7470">
        <v>0</v>
      </c>
      <c r="C7470">
        <v>0</v>
      </c>
      <c r="D7470">
        <v>0</v>
      </c>
      <c r="E7470">
        <v>0</v>
      </c>
    </row>
    <row r="7471" spans="1:5" x14ac:dyDescent="0.35">
      <c r="A7471">
        <v>0</v>
      </c>
      <c r="B7471">
        <v>0</v>
      </c>
      <c r="C7471">
        <v>0</v>
      </c>
      <c r="D7471">
        <v>0</v>
      </c>
      <c r="E7471">
        <v>0</v>
      </c>
    </row>
    <row r="7472" spans="1:5" x14ac:dyDescent="0.35">
      <c r="A7472">
        <v>0</v>
      </c>
      <c r="B7472">
        <v>0</v>
      </c>
      <c r="C7472">
        <v>0</v>
      </c>
      <c r="D7472">
        <v>0</v>
      </c>
      <c r="E7472">
        <v>0</v>
      </c>
    </row>
    <row r="7473" spans="1:5" x14ac:dyDescent="0.35">
      <c r="A7473">
        <v>0</v>
      </c>
      <c r="B7473">
        <v>0</v>
      </c>
      <c r="C7473">
        <v>0</v>
      </c>
      <c r="D7473">
        <v>0</v>
      </c>
      <c r="E7473">
        <v>0</v>
      </c>
    </row>
    <row r="7474" spans="1:5" x14ac:dyDescent="0.35">
      <c r="A7474">
        <v>0</v>
      </c>
      <c r="B7474">
        <v>0</v>
      </c>
      <c r="C7474">
        <v>0</v>
      </c>
      <c r="D7474">
        <v>0</v>
      </c>
      <c r="E7474">
        <v>0</v>
      </c>
    </row>
    <row r="7475" spans="1:5" x14ac:dyDescent="0.35">
      <c r="A7475">
        <v>0</v>
      </c>
      <c r="B7475">
        <v>0</v>
      </c>
      <c r="C7475">
        <v>0</v>
      </c>
      <c r="D7475">
        <v>0</v>
      </c>
      <c r="E7475">
        <v>0</v>
      </c>
    </row>
    <row r="7476" spans="1:5" x14ac:dyDescent="0.35">
      <c r="A7476">
        <v>0</v>
      </c>
      <c r="B7476">
        <v>0</v>
      </c>
      <c r="C7476">
        <v>0</v>
      </c>
      <c r="D7476">
        <v>0</v>
      </c>
      <c r="E7476">
        <v>0</v>
      </c>
    </row>
    <row r="7477" spans="1:5" x14ac:dyDescent="0.35">
      <c r="A7477">
        <v>0</v>
      </c>
      <c r="B7477">
        <v>0</v>
      </c>
      <c r="C7477">
        <v>0</v>
      </c>
      <c r="D7477">
        <v>0</v>
      </c>
      <c r="E7477">
        <v>0</v>
      </c>
    </row>
    <row r="7478" spans="1:5" x14ac:dyDescent="0.35">
      <c r="A7478">
        <v>0</v>
      </c>
      <c r="B7478">
        <v>0</v>
      </c>
      <c r="C7478">
        <v>0</v>
      </c>
      <c r="D7478">
        <v>0</v>
      </c>
      <c r="E7478">
        <v>0</v>
      </c>
    </row>
    <row r="7479" spans="1:5" x14ac:dyDescent="0.35">
      <c r="A7479">
        <v>0</v>
      </c>
      <c r="B7479">
        <v>0</v>
      </c>
      <c r="C7479">
        <v>0</v>
      </c>
      <c r="D7479">
        <v>0</v>
      </c>
      <c r="E7479">
        <v>0</v>
      </c>
    </row>
    <row r="7480" spans="1:5" x14ac:dyDescent="0.35">
      <c r="A7480">
        <v>0</v>
      </c>
      <c r="B7480">
        <v>0</v>
      </c>
      <c r="C7480">
        <v>0</v>
      </c>
      <c r="D7480">
        <v>0</v>
      </c>
      <c r="E7480">
        <v>0</v>
      </c>
    </row>
    <row r="7481" spans="1:5" x14ac:dyDescent="0.35">
      <c r="A7481">
        <v>0</v>
      </c>
      <c r="B7481">
        <v>0</v>
      </c>
      <c r="C7481">
        <v>0</v>
      </c>
      <c r="D7481">
        <v>0</v>
      </c>
      <c r="E7481">
        <v>0</v>
      </c>
    </row>
    <row r="7482" spans="1:5" x14ac:dyDescent="0.35">
      <c r="A7482">
        <v>0</v>
      </c>
      <c r="B7482">
        <v>0</v>
      </c>
      <c r="C7482">
        <v>0</v>
      </c>
      <c r="D7482">
        <v>0</v>
      </c>
      <c r="E7482">
        <v>0</v>
      </c>
    </row>
    <row r="7483" spans="1:5" x14ac:dyDescent="0.35">
      <c r="A7483">
        <v>0</v>
      </c>
      <c r="B7483">
        <v>0</v>
      </c>
      <c r="C7483">
        <v>0</v>
      </c>
      <c r="D7483">
        <v>0</v>
      </c>
      <c r="E7483">
        <v>0</v>
      </c>
    </row>
    <row r="7484" spans="1:5" x14ac:dyDescent="0.35">
      <c r="A7484">
        <v>0</v>
      </c>
      <c r="B7484">
        <v>0</v>
      </c>
      <c r="C7484">
        <v>0</v>
      </c>
      <c r="D7484">
        <v>0</v>
      </c>
      <c r="E7484">
        <v>0</v>
      </c>
    </row>
    <row r="7485" spans="1:5" x14ac:dyDescent="0.35">
      <c r="A7485">
        <v>0</v>
      </c>
      <c r="B7485">
        <v>0</v>
      </c>
      <c r="C7485">
        <v>0</v>
      </c>
      <c r="D7485">
        <v>0</v>
      </c>
      <c r="E7485">
        <v>0</v>
      </c>
    </row>
    <row r="7486" spans="1:5" x14ac:dyDescent="0.35">
      <c r="A7486">
        <v>0</v>
      </c>
      <c r="B7486">
        <v>0</v>
      </c>
      <c r="C7486">
        <v>0</v>
      </c>
      <c r="D7486">
        <v>0</v>
      </c>
      <c r="E7486">
        <v>0</v>
      </c>
    </row>
    <row r="7487" spans="1:5" x14ac:dyDescent="0.35">
      <c r="A7487">
        <v>0</v>
      </c>
      <c r="B7487">
        <v>0</v>
      </c>
      <c r="C7487">
        <v>0</v>
      </c>
      <c r="D7487">
        <v>0</v>
      </c>
      <c r="E7487">
        <v>0</v>
      </c>
    </row>
    <row r="7488" spans="1:5" x14ac:dyDescent="0.35">
      <c r="A7488">
        <v>0</v>
      </c>
      <c r="B7488">
        <v>0</v>
      </c>
      <c r="C7488">
        <v>0</v>
      </c>
      <c r="D7488">
        <v>0</v>
      </c>
      <c r="E7488">
        <v>0</v>
      </c>
    </row>
    <row r="7489" spans="1:5" x14ac:dyDescent="0.35">
      <c r="A7489">
        <v>0</v>
      </c>
      <c r="B7489">
        <v>0</v>
      </c>
      <c r="C7489">
        <v>0</v>
      </c>
      <c r="D7489">
        <v>0</v>
      </c>
      <c r="E7489">
        <v>0</v>
      </c>
    </row>
    <row r="7490" spans="1:5" x14ac:dyDescent="0.35">
      <c r="A7490">
        <v>0</v>
      </c>
      <c r="B7490">
        <v>0</v>
      </c>
      <c r="C7490">
        <v>0</v>
      </c>
      <c r="D7490">
        <v>0</v>
      </c>
      <c r="E7490">
        <v>0</v>
      </c>
    </row>
    <row r="7491" spans="1:5" x14ac:dyDescent="0.35">
      <c r="A7491">
        <v>0</v>
      </c>
      <c r="B7491">
        <v>0</v>
      </c>
      <c r="C7491">
        <v>0</v>
      </c>
      <c r="D7491">
        <v>0</v>
      </c>
      <c r="E7491">
        <v>0</v>
      </c>
    </row>
    <row r="7492" spans="1:5" x14ac:dyDescent="0.35">
      <c r="A7492">
        <v>0</v>
      </c>
      <c r="B7492">
        <v>0</v>
      </c>
      <c r="C7492">
        <v>0</v>
      </c>
      <c r="D7492">
        <v>0</v>
      </c>
      <c r="E7492">
        <v>0</v>
      </c>
    </row>
    <row r="7493" spans="1:5" x14ac:dyDescent="0.35">
      <c r="A7493">
        <v>0</v>
      </c>
      <c r="B7493">
        <v>0</v>
      </c>
      <c r="C7493">
        <v>0</v>
      </c>
      <c r="D7493">
        <v>0</v>
      </c>
      <c r="E7493">
        <v>0</v>
      </c>
    </row>
    <row r="7494" spans="1:5" x14ac:dyDescent="0.35">
      <c r="A7494">
        <v>0</v>
      </c>
      <c r="B7494">
        <v>0</v>
      </c>
      <c r="C7494">
        <v>0</v>
      </c>
      <c r="D7494">
        <v>0</v>
      </c>
      <c r="E7494">
        <v>0</v>
      </c>
    </row>
    <row r="7495" spans="1:5" x14ac:dyDescent="0.35">
      <c r="A7495">
        <v>0</v>
      </c>
      <c r="B7495">
        <v>0</v>
      </c>
      <c r="C7495">
        <v>0</v>
      </c>
      <c r="D7495">
        <v>0</v>
      </c>
      <c r="E7495">
        <v>0</v>
      </c>
    </row>
    <row r="7496" spans="1:5" x14ac:dyDescent="0.35">
      <c r="A7496">
        <v>0</v>
      </c>
      <c r="B7496">
        <v>0</v>
      </c>
      <c r="C7496">
        <v>0</v>
      </c>
      <c r="D7496">
        <v>0</v>
      </c>
      <c r="E7496">
        <v>0</v>
      </c>
    </row>
    <row r="7497" spans="1:5" x14ac:dyDescent="0.35">
      <c r="A7497">
        <v>0</v>
      </c>
      <c r="B7497">
        <v>0</v>
      </c>
      <c r="C7497">
        <v>0</v>
      </c>
      <c r="D7497">
        <v>0</v>
      </c>
      <c r="E7497">
        <v>0</v>
      </c>
    </row>
    <row r="7498" spans="1:5" x14ac:dyDescent="0.35">
      <c r="A7498">
        <v>0</v>
      </c>
      <c r="B7498">
        <v>0</v>
      </c>
      <c r="C7498">
        <v>0</v>
      </c>
      <c r="D7498">
        <v>0</v>
      </c>
      <c r="E7498">
        <v>0</v>
      </c>
    </row>
    <row r="7499" spans="1:5" x14ac:dyDescent="0.35">
      <c r="A7499">
        <v>0</v>
      </c>
      <c r="B7499">
        <v>0</v>
      </c>
      <c r="C7499">
        <v>0</v>
      </c>
      <c r="D7499">
        <v>0</v>
      </c>
      <c r="E7499">
        <v>0</v>
      </c>
    </row>
    <row r="7500" spans="1:5" x14ac:dyDescent="0.35">
      <c r="A7500">
        <v>0</v>
      </c>
      <c r="B7500">
        <v>0</v>
      </c>
      <c r="C7500">
        <v>0</v>
      </c>
      <c r="D7500">
        <v>0</v>
      </c>
      <c r="E7500">
        <v>0</v>
      </c>
    </row>
    <row r="7501" spans="1:5" x14ac:dyDescent="0.35">
      <c r="A7501">
        <v>0</v>
      </c>
      <c r="B7501">
        <v>0</v>
      </c>
      <c r="C7501">
        <v>0</v>
      </c>
      <c r="D7501">
        <v>0</v>
      </c>
      <c r="E7501">
        <v>0</v>
      </c>
    </row>
    <row r="7502" spans="1:5" x14ac:dyDescent="0.35">
      <c r="A7502">
        <v>0</v>
      </c>
      <c r="B7502">
        <v>0</v>
      </c>
      <c r="C7502">
        <v>0</v>
      </c>
      <c r="D7502">
        <v>0</v>
      </c>
      <c r="E7502">
        <v>0</v>
      </c>
    </row>
    <row r="7503" spans="1:5" x14ac:dyDescent="0.35">
      <c r="A7503">
        <v>0</v>
      </c>
      <c r="B7503">
        <v>0</v>
      </c>
      <c r="C7503">
        <v>0</v>
      </c>
      <c r="D7503">
        <v>0</v>
      </c>
      <c r="E7503">
        <v>0</v>
      </c>
    </row>
    <row r="7504" spans="1:5" x14ac:dyDescent="0.35">
      <c r="A7504">
        <v>0</v>
      </c>
      <c r="B7504">
        <v>0</v>
      </c>
      <c r="C7504">
        <v>0</v>
      </c>
      <c r="D7504">
        <v>0</v>
      </c>
      <c r="E7504">
        <v>0</v>
      </c>
    </row>
    <row r="7505" spans="1:5" x14ac:dyDescent="0.35">
      <c r="A7505">
        <v>0</v>
      </c>
      <c r="B7505">
        <v>0</v>
      </c>
      <c r="C7505">
        <v>0</v>
      </c>
      <c r="D7505">
        <v>0</v>
      </c>
      <c r="E7505">
        <v>0</v>
      </c>
    </row>
    <row r="7506" spans="1:5" x14ac:dyDescent="0.35">
      <c r="A7506">
        <v>0</v>
      </c>
      <c r="B7506">
        <v>0</v>
      </c>
      <c r="C7506">
        <v>0</v>
      </c>
      <c r="D7506">
        <v>0</v>
      </c>
      <c r="E7506">
        <v>0</v>
      </c>
    </row>
    <row r="7507" spans="1:5" x14ac:dyDescent="0.35">
      <c r="A7507">
        <v>0</v>
      </c>
      <c r="B7507">
        <v>0</v>
      </c>
      <c r="C7507">
        <v>0</v>
      </c>
      <c r="D7507">
        <v>0</v>
      </c>
      <c r="E7507">
        <v>0</v>
      </c>
    </row>
    <row r="7508" spans="1:5" x14ac:dyDescent="0.35">
      <c r="A7508">
        <v>0</v>
      </c>
      <c r="B7508">
        <v>0</v>
      </c>
      <c r="C7508">
        <v>0</v>
      </c>
      <c r="D7508">
        <v>0</v>
      </c>
      <c r="E7508">
        <v>0</v>
      </c>
    </row>
    <row r="7509" spans="1:5" x14ac:dyDescent="0.35">
      <c r="A7509">
        <v>0</v>
      </c>
      <c r="B7509">
        <v>0</v>
      </c>
      <c r="C7509">
        <v>0</v>
      </c>
      <c r="D7509">
        <v>0</v>
      </c>
      <c r="E7509">
        <v>0</v>
      </c>
    </row>
    <row r="7510" spans="1:5" x14ac:dyDescent="0.35">
      <c r="A7510">
        <v>0</v>
      </c>
      <c r="B7510">
        <v>0</v>
      </c>
      <c r="C7510">
        <v>0</v>
      </c>
      <c r="D7510">
        <v>0</v>
      </c>
      <c r="E7510">
        <v>0</v>
      </c>
    </row>
    <row r="7511" spans="1:5" x14ac:dyDescent="0.35">
      <c r="A7511">
        <v>0</v>
      </c>
      <c r="B7511">
        <v>0</v>
      </c>
      <c r="C7511">
        <v>0</v>
      </c>
      <c r="D7511">
        <v>0</v>
      </c>
      <c r="E7511">
        <v>0</v>
      </c>
    </row>
    <row r="7512" spans="1:5" x14ac:dyDescent="0.35">
      <c r="A7512">
        <v>0</v>
      </c>
      <c r="B7512">
        <v>0</v>
      </c>
      <c r="C7512">
        <v>0</v>
      </c>
      <c r="D7512">
        <v>0</v>
      </c>
      <c r="E7512">
        <v>0</v>
      </c>
    </row>
    <row r="7513" spans="1:5" x14ac:dyDescent="0.35">
      <c r="A7513">
        <v>0</v>
      </c>
      <c r="B7513">
        <v>0</v>
      </c>
      <c r="C7513">
        <v>0</v>
      </c>
      <c r="D7513">
        <v>0</v>
      </c>
      <c r="E7513">
        <v>0</v>
      </c>
    </row>
    <row r="7514" spans="1:5" x14ac:dyDescent="0.35">
      <c r="A7514">
        <v>0</v>
      </c>
      <c r="B7514">
        <v>0</v>
      </c>
      <c r="C7514">
        <v>0</v>
      </c>
      <c r="D7514">
        <v>0</v>
      </c>
      <c r="E7514">
        <v>0</v>
      </c>
    </row>
    <row r="7515" spans="1:5" x14ac:dyDescent="0.35">
      <c r="A7515">
        <v>0</v>
      </c>
      <c r="B7515">
        <v>0</v>
      </c>
      <c r="C7515">
        <v>0</v>
      </c>
      <c r="D7515">
        <v>0</v>
      </c>
      <c r="E7515">
        <v>0</v>
      </c>
    </row>
    <row r="7516" spans="1:5" x14ac:dyDescent="0.35">
      <c r="A7516">
        <v>0</v>
      </c>
      <c r="B7516">
        <v>0</v>
      </c>
      <c r="C7516">
        <v>0</v>
      </c>
      <c r="D7516">
        <v>0</v>
      </c>
      <c r="E7516">
        <v>0</v>
      </c>
    </row>
    <row r="7517" spans="1:5" x14ac:dyDescent="0.35">
      <c r="A7517">
        <v>0</v>
      </c>
      <c r="B7517">
        <v>0</v>
      </c>
      <c r="C7517">
        <v>0</v>
      </c>
      <c r="D7517">
        <v>0</v>
      </c>
      <c r="E7517">
        <v>0</v>
      </c>
    </row>
    <row r="7518" spans="1:5" x14ac:dyDescent="0.35">
      <c r="A7518">
        <v>0</v>
      </c>
      <c r="B7518">
        <v>0</v>
      </c>
      <c r="C7518">
        <v>0</v>
      </c>
      <c r="D7518">
        <v>0</v>
      </c>
      <c r="E7518">
        <v>0</v>
      </c>
    </row>
    <row r="7519" spans="1:5" x14ac:dyDescent="0.35">
      <c r="A7519">
        <v>0</v>
      </c>
      <c r="B7519">
        <v>0</v>
      </c>
      <c r="C7519">
        <v>0</v>
      </c>
      <c r="D7519">
        <v>0</v>
      </c>
      <c r="E7519">
        <v>0</v>
      </c>
    </row>
    <row r="7520" spans="1:5" x14ac:dyDescent="0.35">
      <c r="A7520">
        <v>0</v>
      </c>
      <c r="B7520">
        <v>0</v>
      </c>
      <c r="C7520">
        <v>0</v>
      </c>
      <c r="D7520">
        <v>0</v>
      </c>
      <c r="E7520">
        <v>0</v>
      </c>
    </row>
    <row r="7521" spans="1:5" x14ac:dyDescent="0.35">
      <c r="A7521">
        <v>0</v>
      </c>
      <c r="B7521">
        <v>0</v>
      </c>
      <c r="C7521">
        <v>0</v>
      </c>
      <c r="D7521">
        <v>0</v>
      </c>
      <c r="E7521">
        <v>0</v>
      </c>
    </row>
    <row r="7522" spans="1:5" x14ac:dyDescent="0.35">
      <c r="A7522">
        <v>0</v>
      </c>
      <c r="B7522">
        <v>0</v>
      </c>
      <c r="C7522">
        <v>0</v>
      </c>
      <c r="D7522">
        <v>0</v>
      </c>
      <c r="E7522">
        <v>0</v>
      </c>
    </row>
    <row r="7523" spans="1:5" x14ac:dyDescent="0.35">
      <c r="A7523">
        <v>0</v>
      </c>
      <c r="B7523">
        <v>0</v>
      </c>
      <c r="C7523">
        <v>0</v>
      </c>
      <c r="D7523">
        <v>0</v>
      </c>
      <c r="E7523">
        <v>0</v>
      </c>
    </row>
    <row r="7524" spans="1:5" x14ac:dyDescent="0.35">
      <c r="A7524">
        <v>0</v>
      </c>
      <c r="B7524">
        <v>0</v>
      </c>
      <c r="C7524">
        <v>0</v>
      </c>
      <c r="D7524">
        <v>0</v>
      </c>
      <c r="E7524">
        <v>0</v>
      </c>
    </row>
    <row r="7525" spans="1:5" x14ac:dyDescent="0.35">
      <c r="A7525">
        <v>0</v>
      </c>
      <c r="B7525">
        <v>0</v>
      </c>
      <c r="C7525">
        <v>0</v>
      </c>
      <c r="D7525">
        <v>0</v>
      </c>
      <c r="E7525">
        <v>0</v>
      </c>
    </row>
    <row r="7526" spans="1:5" x14ac:dyDescent="0.35">
      <c r="A7526">
        <v>0</v>
      </c>
      <c r="B7526">
        <v>0</v>
      </c>
      <c r="C7526">
        <v>0</v>
      </c>
      <c r="D7526">
        <v>0</v>
      </c>
      <c r="E7526">
        <v>0</v>
      </c>
    </row>
    <row r="7527" spans="1:5" x14ac:dyDescent="0.35">
      <c r="A7527">
        <v>0</v>
      </c>
      <c r="B7527">
        <v>0</v>
      </c>
      <c r="C7527">
        <v>0</v>
      </c>
      <c r="D7527">
        <v>0</v>
      </c>
      <c r="E7527">
        <v>0</v>
      </c>
    </row>
    <row r="7528" spans="1:5" x14ac:dyDescent="0.35">
      <c r="A7528">
        <v>0</v>
      </c>
      <c r="B7528">
        <v>0</v>
      </c>
      <c r="C7528">
        <v>0</v>
      </c>
      <c r="D7528">
        <v>0</v>
      </c>
      <c r="E7528">
        <v>0</v>
      </c>
    </row>
    <row r="7529" spans="1:5" x14ac:dyDescent="0.35">
      <c r="A7529">
        <v>0</v>
      </c>
      <c r="B7529">
        <v>0</v>
      </c>
      <c r="C7529">
        <v>0</v>
      </c>
      <c r="D7529">
        <v>0</v>
      </c>
      <c r="E7529">
        <v>0</v>
      </c>
    </row>
    <row r="7530" spans="1:5" x14ac:dyDescent="0.35">
      <c r="A7530">
        <v>0</v>
      </c>
      <c r="B7530">
        <v>0</v>
      </c>
      <c r="C7530">
        <v>0</v>
      </c>
      <c r="D7530">
        <v>0</v>
      </c>
      <c r="E7530">
        <v>0</v>
      </c>
    </row>
    <row r="7531" spans="1:5" x14ac:dyDescent="0.35">
      <c r="A7531">
        <v>0</v>
      </c>
      <c r="B7531">
        <v>0</v>
      </c>
      <c r="C7531">
        <v>0</v>
      </c>
      <c r="D7531">
        <v>0</v>
      </c>
      <c r="E7531">
        <v>0</v>
      </c>
    </row>
    <row r="7532" spans="1:5" x14ac:dyDescent="0.35">
      <c r="A7532">
        <v>0</v>
      </c>
      <c r="B7532">
        <v>0</v>
      </c>
      <c r="C7532">
        <v>0</v>
      </c>
      <c r="D7532">
        <v>0</v>
      </c>
      <c r="E7532">
        <v>0</v>
      </c>
    </row>
    <row r="7533" spans="1:5" x14ac:dyDescent="0.35">
      <c r="A7533">
        <v>0</v>
      </c>
      <c r="B7533">
        <v>0</v>
      </c>
      <c r="C7533">
        <v>0</v>
      </c>
      <c r="D7533">
        <v>0</v>
      </c>
      <c r="E7533">
        <v>0</v>
      </c>
    </row>
    <row r="7534" spans="1:5" x14ac:dyDescent="0.35">
      <c r="A7534">
        <v>0</v>
      </c>
      <c r="B7534">
        <v>0</v>
      </c>
      <c r="C7534">
        <v>0</v>
      </c>
      <c r="D7534">
        <v>0</v>
      </c>
      <c r="E7534">
        <v>0</v>
      </c>
    </row>
    <row r="7535" spans="1:5" x14ac:dyDescent="0.35">
      <c r="A7535">
        <v>0</v>
      </c>
      <c r="B7535">
        <v>0</v>
      </c>
      <c r="C7535">
        <v>0</v>
      </c>
      <c r="D7535">
        <v>0</v>
      </c>
      <c r="E7535">
        <v>0</v>
      </c>
    </row>
    <row r="7536" spans="1:5" x14ac:dyDescent="0.35">
      <c r="A7536">
        <v>0</v>
      </c>
      <c r="B7536">
        <v>0</v>
      </c>
      <c r="C7536">
        <v>0</v>
      </c>
      <c r="D7536">
        <v>0</v>
      </c>
      <c r="E7536">
        <v>0</v>
      </c>
    </row>
    <row r="7537" spans="1:5" x14ac:dyDescent="0.35">
      <c r="A7537">
        <v>0</v>
      </c>
      <c r="B7537">
        <v>0</v>
      </c>
      <c r="C7537">
        <v>0</v>
      </c>
      <c r="D7537">
        <v>0</v>
      </c>
      <c r="E7537">
        <v>0</v>
      </c>
    </row>
    <row r="7538" spans="1:5" x14ac:dyDescent="0.35">
      <c r="A7538">
        <v>0</v>
      </c>
      <c r="B7538">
        <v>0</v>
      </c>
      <c r="C7538">
        <v>0</v>
      </c>
      <c r="D7538">
        <v>0</v>
      </c>
      <c r="E7538">
        <v>0</v>
      </c>
    </row>
    <row r="7539" spans="1:5" x14ac:dyDescent="0.35">
      <c r="A7539">
        <v>0</v>
      </c>
      <c r="B7539">
        <v>0</v>
      </c>
      <c r="C7539">
        <v>0</v>
      </c>
      <c r="D7539">
        <v>0</v>
      </c>
      <c r="E7539">
        <v>0</v>
      </c>
    </row>
    <row r="7540" spans="1:5" x14ac:dyDescent="0.35">
      <c r="A7540">
        <v>0</v>
      </c>
      <c r="B7540">
        <v>0</v>
      </c>
      <c r="C7540">
        <v>0</v>
      </c>
      <c r="D7540">
        <v>0</v>
      </c>
      <c r="E7540">
        <v>0</v>
      </c>
    </row>
    <row r="7541" spans="1:5" x14ac:dyDescent="0.35">
      <c r="A7541">
        <v>0</v>
      </c>
      <c r="B7541">
        <v>0</v>
      </c>
      <c r="C7541">
        <v>0</v>
      </c>
      <c r="D7541">
        <v>0</v>
      </c>
      <c r="E7541">
        <v>0</v>
      </c>
    </row>
    <row r="7542" spans="1:5" x14ac:dyDescent="0.35">
      <c r="A7542">
        <v>0</v>
      </c>
      <c r="B7542">
        <v>0</v>
      </c>
      <c r="C7542">
        <v>0</v>
      </c>
      <c r="D7542">
        <v>0</v>
      </c>
      <c r="E7542">
        <v>0</v>
      </c>
    </row>
    <row r="7543" spans="1:5" x14ac:dyDescent="0.35">
      <c r="A7543">
        <v>0</v>
      </c>
      <c r="B7543">
        <v>0</v>
      </c>
      <c r="C7543">
        <v>0</v>
      </c>
      <c r="D7543">
        <v>0</v>
      </c>
      <c r="E7543">
        <v>0</v>
      </c>
    </row>
    <row r="7544" spans="1:5" x14ac:dyDescent="0.35">
      <c r="A7544">
        <v>0</v>
      </c>
      <c r="B7544">
        <v>0</v>
      </c>
      <c r="C7544">
        <v>0</v>
      </c>
      <c r="D7544">
        <v>0</v>
      </c>
      <c r="E7544">
        <v>0</v>
      </c>
    </row>
    <row r="7545" spans="1:5" x14ac:dyDescent="0.35">
      <c r="A7545">
        <v>0</v>
      </c>
      <c r="B7545">
        <v>0</v>
      </c>
      <c r="C7545">
        <v>0</v>
      </c>
      <c r="D7545">
        <v>0</v>
      </c>
      <c r="E7545">
        <v>0</v>
      </c>
    </row>
    <row r="7546" spans="1:5" x14ac:dyDescent="0.35">
      <c r="A7546">
        <v>0</v>
      </c>
      <c r="B7546">
        <v>0</v>
      </c>
      <c r="C7546">
        <v>0</v>
      </c>
      <c r="D7546">
        <v>0</v>
      </c>
      <c r="E7546">
        <v>0</v>
      </c>
    </row>
    <row r="7547" spans="1:5" x14ac:dyDescent="0.35">
      <c r="A7547">
        <v>0</v>
      </c>
      <c r="B7547">
        <v>0</v>
      </c>
      <c r="C7547">
        <v>0</v>
      </c>
      <c r="D7547">
        <v>0</v>
      </c>
      <c r="E7547">
        <v>0</v>
      </c>
    </row>
    <row r="7548" spans="1:5" x14ac:dyDescent="0.35">
      <c r="A7548">
        <v>0</v>
      </c>
      <c r="B7548">
        <v>0</v>
      </c>
      <c r="C7548">
        <v>0</v>
      </c>
      <c r="D7548">
        <v>0</v>
      </c>
      <c r="E7548">
        <v>0</v>
      </c>
    </row>
    <row r="7549" spans="1:5" x14ac:dyDescent="0.35">
      <c r="A7549">
        <v>0</v>
      </c>
      <c r="B7549">
        <v>0</v>
      </c>
      <c r="C7549">
        <v>0</v>
      </c>
      <c r="D7549">
        <v>0</v>
      </c>
      <c r="E7549">
        <v>0</v>
      </c>
    </row>
    <row r="7550" spans="1:5" x14ac:dyDescent="0.35">
      <c r="A7550">
        <v>0</v>
      </c>
      <c r="B7550">
        <v>0</v>
      </c>
      <c r="C7550">
        <v>0</v>
      </c>
      <c r="D7550">
        <v>0</v>
      </c>
      <c r="E7550">
        <v>0</v>
      </c>
    </row>
    <row r="7551" spans="1:5" x14ac:dyDescent="0.35">
      <c r="A7551">
        <v>0</v>
      </c>
      <c r="B7551">
        <v>0</v>
      </c>
      <c r="C7551">
        <v>0</v>
      </c>
      <c r="D7551">
        <v>0</v>
      </c>
      <c r="E7551">
        <v>0</v>
      </c>
    </row>
    <row r="7552" spans="1:5" x14ac:dyDescent="0.35">
      <c r="A7552">
        <v>0</v>
      </c>
      <c r="B7552">
        <v>0</v>
      </c>
      <c r="C7552">
        <v>0</v>
      </c>
      <c r="D7552">
        <v>0</v>
      </c>
      <c r="E7552">
        <v>0</v>
      </c>
    </row>
    <row r="7553" spans="1:5" x14ac:dyDescent="0.35">
      <c r="A7553">
        <v>0</v>
      </c>
      <c r="B7553">
        <v>0</v>
      </c>
      <c r="C7553">
        <v>0</v>
      </c>
      <c r="D7553">
        <v>0</v>
      </c>
      <c r="E7553">
        <v>0</v>
      </c>
    </row>
    <row r="7554" spans="1:5" x14ac:dyDescent="0.35">
      <c r="A7554">
        <v>0</v>
      </c>
      <c r="B7554">
        <v>0</v>
      </c>
      <c r="C7554">
        <v>0</v>
      </c>
      <c r="D7554">
        <v>0</v>
      </c>
      <c r="E7554">
        <v>0</v>
      </c>
    </row>
    <row r="7555" spans="1:5" x14ac:dyDescent="0.35">
      <c r="A7555">
        <v>0</v>
      </c>
      <c r="B7555">
        <v>0</v>
      </c>
      <c r="C7555">
        <v>0</v>
      </c>
      <c r="D7555">
        <v>0</v>
      </c>
      <c r="E7555">
        <v>0</v>
      </c>
    </row>
    <row r="7556" spans="1:5" x14ac:dyDescent="0.35">
      <c r="A7556">
        <v>0</v>
      </c>
      <c r="B7556">
        <v>0</v>
      </c>
      <c r="C7556">
        <v>0</v>
      </c>
      <c r="D7556">
        <v>0</v>
      </c>
      <c r="E7556">
        <v>0</v>
      </c>
    </row>
    <row r="7557" spans="1:5" x14ac:dyDescent="0.35">
      <c r="A7557">
        <v>0</v>
      </c>
      <c r="B7557">
        <v>0</v>
      </c>
      <c r="C7557">
        <v>0</v>
      </c>
      <c r="D7557">
        <v>0</v>
      </c>
      <c r="E7557">
        <v>0</v>
      </c>
    </row>
    <row r="7558" spans="1:5" x14ac:dyDescent="0.35">
      <c r="A7558">
        <v>0</v>
      </c>
      <c r="B7558">
        <v>0</v>
      </c>
      <c r="C7558">
        <v>0</v>
      </c>
      <c r="D7558">
        <v>0</v>
      </c>
      <c r="E7558">
        <v>0</v>
      </c>
    </row>
    <row r="7559" spans="1:5" x14ac:dyDescent="0.35">
      <c r="A7559">
        <v>0</v>
      </c>
      <c r="B7559">
        <v>0</v>
      </c>
      <c r="C7559">
        <v>0</v>
      </c>
      <c r="D7559">
        <v>0</v>
      </c>
      <c r="E7559">
        <v>0</v>
      </c>
    </row>
    <row r="7560" spans="1:5" x14ac:dyDescent="0.35">
      <c r="A7560">
        <v>0</v>
      </c>
      <c r="B7560">
        <v>0</v>
      </c>
      <c r="C7560">
        <v>0</v>
      </c>
      <c r="D7560">
        <v>0</v>
      </c>
      <c r="E7560">
        <v>0</v>
      </c>
    </row>
    <row r="7561" spans="1:5" x14ac:dyDescent="0.35">
      <c r="A7561">
        <v>0</v>
      </c>
      <c r="B7561">
        <v>0</v>
      </c>
      <c r="C7561">
        <v>0</v>
      </c>
      <c r="D7561">
        <v>0</v>
      </c>
      <c r="E7561">
        <v>0</v>
      </c>
    </row>
    <row r="7562" spans="1:5" x14ac:dyDescent="0.35">
      <c r="A7562">
        <v>0</v>
      </c>
      <c r="B7562">
        <v>0</v>
      </c>
      <c r="C7562">
        <v>0</v>
      </c>
      <c r="D7562">
        <v>0</v>
      </c>
      <c r="E7562">
        <v>0</v>
      </c>
    </row>
    <row r="7563" spans="1:5" x14ac:dyDescent="0.35">
      <c r="A7563">
        <v>0</v>
      </c>
      <c r="B7563">
        <v>0</v>
      </c>
      <c r="C7563">
        <v>0</v>
      </c>
      <c r="D7563">
        <v>0</v>
      </c>
      <c r="E7563">
        <v>0</v>
      </c>
    </row>
    <row r="7564" spans="1:5" x14ac:dyDescent="0.35">
      <c r="A7564">
        <v>0</v>
      </c>
      <c r="B7564">
        <v>0</v>
      </c>
      <c r="C7564">
        <v>0</v>
      </c>
      <c r="D7564">
        <v>0</v>
      </c>
      <c r="E7564">
        <v>0</v>
      </c>
    </row>
    <row r="7565" spans="1:5" x14ac:dyDescent="0.35">
      <c r="A7565">
        <v>0</v>
      </c>
      <c r="B7565">
        <v>0</v>
      </c>
      <c r="C7565">
        <v>0</v>
      </c>
      <c r="D7565">
        <v>0</v>
      </c>
      <c r="E7565">
        <v>0</v>
      </c>
    </row>
    <row r="7566" spans="1:5" x14ac:dyDescent="0.35">
      <c r="A7566">
        <v>0</v>
      </c>
      <c r="B7566">
        <v>0</v>
      </c>
      <c r="C7566">
        <v>0</v>
      </c>
      <c r="D7566">
        <v>0</v>
      </c>
      <c r="E7566">
        <v>0</v>
      </c>
    </row>
    <row r="7567" spans="1:5" x14ac:dyDescent="0.35">
      <c r="A7567">
        <v>0</v>
      </c>
      <c r="B7567">
        <v>0</v>
      </c>
      <c r="C7567">
        <v>0</v>
      </c>
      <c r="D7567">
        <v>0</v>
      </c>
      <c r="E7567">
        <v>0</v>
      </c>
    </row>
    <row r="7568" spans="1:5" x14ac:dyDescent="0.35">
      <c r="A7568">
        <v>0</v>
      </c>
      <c r="B7568">
        <v>0</v>
      </c>
      <c r="C7568">
        <v>0</v>
      </c>
      <c r="D7568">
        <v>0</v>
      </c>
      <c r="E7568">
        <v>0</v>
      </c>
    </row>
    <row r="7569" spans="1:5" x14ac:dyDescent="0.35">
      <c r="A7569">
        <v>0</v>
      </c>
      <c r="B7569">
        <v>0</v>
      </c>
      <c r="C7569">
        <v>0</v>
      </c>
      <c r="D7569">
        <v>0</v>
      </c>
      <c r="E7569">
        <v>0</v>
      </c>
    </row>
    <row r="7570" spans="1:5" x14ac:dyDescent="0.35">
      <c r="A7570">
        <v>0</v>
      </c>
      <c r="B7570">
        <v>0</v>
      </c>
      <c r="C7570">
        <v>0</v>
      </c>
      <c r="D7570">
        <v>0</v>
      </c>
      <c r="E7570">
        <v>0</v>
      </c>
    </row>
    <row r="7571" spans="1:5" x14ac:dyDescent="0.35">
      <c r="A7571">
        <v>0</v>
      </c>
      <c r="B7571">
        <v>0</v>
      </c>
      <c r="C7571">
        <v>0</v>
      </c>
      <c r="D7571">
        <v>0</v>
      </c>
      <c r="E7571">
        <v>0</v>
      </c>
    </row>
    <row r="7572" spans="1:5" x14ac:dyDescent="0.35">
      <c r="A7572">
        <v>0</v>
      </c>
      <c r="B7572">
        <v>0</v>
      </c>
      <c r="C7572">
        <v>0</v>
      </c>
      <c r="D7572">
        <v>0</v>
      </c>
      <c r="E7572">
        <v>0</v>
      </c>
    </row>
    <row r="7573" spans="1:5" x14ac:dyDescent="0.35">
      <c r="A7573">
        <v>0</v>
      </c>
      <c r="B7573">
        <v>0</v>
      </c>
      <c r="C7573">
        <v>0</v>
      </c>
      <c r="D7573">
        <v>0</v>
      </c>
      <c r="E7573">
        <v>0</v>
      </c>
    </row>
    <row r="7574" spans="1:5" x14ac:dyDescent="0.35">
      <c r="A7574">
        <v>0</v>
      </c>
      <c r="B7574">
        <v>0</v>
      </c>
      <c r="C7574">
        <v>0</v>
      </c>
      <c r="D7574">
        <v>0</v>
      </c>
      <c r="E7574">
        <v>0</v>
      </c>
    </row>
    <row r="7575" spans="1:5" x14ac:dyDescent="0.35">
      <c r="A7575">
        <v>0</v>
      </c>
      <c r="B7575">
        <v>0</v>
      </c>
      <c r="C7575">
        <v>0</v>
      </c>
      <c r="D7575">
        <v>0</v>
      </c>
      <c r="E7575">
        <v>0</v>
      </c>
    </row>
    <row r="7576" spans="1:5" x14ac:dyDescent="0.35">
      <c r="A7576">
        <v>0</v>
      </c>
      <c r="B7576">
        <v>0</v>
      </c>
      <c r="C7576">
        <v>0</v>
      </c>
      <c r="D7576">
        <v>0</v>
      </c>
      <c r="E7576">
        <v>0</v>
      </c>
    </row>
    <row r="7577" spans="1:5" x14ac:dyDescent="0.35">
      <c r="A7577">
        <v>0</v>
      </c>
      <c r="B7577">
        <v>0</v>
      </c>
      <c r="C7577">
        <v>0</v>
      </c>
      <c r="D7577">
        <v>0</v>
      </c>
      <c r="E7577">
        <v>0</v>
      </c>
    </row>
    <row r="7578" spans="1:5" x14ac:dyDescent="0.35">
      <c r="A7578">
        <v>0</v>
      </c>
      <c r="B7578">
        <v>0</v>
      </c>
      <c r="C7578">
        <v>0</v>
      </c>
      <c r="D7578">
        <v>0</v>
      </c>
      <c r="E7578">
        <v>0</v>
      </c>
    </row>
    <row r="7579" spans="1:5" x14ac:dyDescent="0.35">
      <c r="A7579">
        <v>0</v>
      </c>
      <c r="B7579">
        <v>0</v>
      </c>
      <c r="C7579">
        <v>0</v>
      </c>
      <c r="D7579">
        <v>0</v>
      </c>
      <c r="E7579">
        <v>0</v>
      </c>
    </row>
    <row r="7580" spans="1:5" x14ac:dyDescent="0.35">
      <c r="A7580">
        <v>0</v>
      </c>
      <c r="B7580">
        <v>0</v>
      </c>
      <c r="C7580">
        <v>0</v>
      </c>
      <c r="D7580">
        <v>0</v>
      </c>
      <c r="E7580">
        <v>0</v>
      </c>
    </row>
    <row r="7581" spans="1:5" x14ac:dyDescent="0.35">
      <c r="A7581">
        <v>0</v>
      </c>
      <c r="B7581">
        <v>0</v>
      </c>
      <c r="C7581">
        <v>0</v>
      </c>
      <c r="D7581">
        <v>0</v>
      </c>
      <c r="E7581">
        <v>0</v>
      </c>
    </row>
    <row r="7582" spans="1:5" x14ac:dyDescent="0.35">
      <c r="A7582">
        <v>0</v>
      </c>
      <c r="B7582">
        <v>0</v>
      </c>
      <c r="C7582">
        <v>0</v>
      </c>
      <c r="D7582">
        <v>0</v>
      </c>
      <c r="E7582">
        <v>0</v>
      </c>
    </row>
    <row r="7583" spans="1:5" x14ac:dyDescent="0.35">
      <c r="A7583">
        <v>0</v>
      </c>
      <c r="B7583">
        <v>0</v>
      </c>
      <c r="C7583">
        <v>0</v>
      </c>
      <c r="D7583">
        <v>0</v>
      </c>
      <c r="E7583">
        <v>0</v>
      </c>
    </row>
    <row r="7584" spans="1:5" x14ac:dyDescent="0.35">
      <c r="A7584">
        <v>0</v>
      </c>
      <c r="B7584">
        <v>0</v>
      </c>
      <c r="C7584">
        <v>0</v>
      </c>
      <c r="D7584">
        <v>0</v>
      </c>
      <c r="E7584">
        <v>0</v>
      </c>
    </row>
    <row r="7585" spans="1:5" x14ac:dyDescent="0.35">
      <c r="A7585">
        <v>0</v>
      </c>
      <c r="B7585">
        <v>0</v>
      </c>
      <c r="C7585">
        <v>0</v>
      </c>
      <c r="D7585">
        <v>0</v>
      </c>
      <c r="E7585">
        <v>0</v>
      </c>
    </row>
    <row r="7586" spans="1:5" x14ac:dyDescent="0.35">
      <c r="A7586">
        <v>0</v>
      </c>
      <c r="B7586">
        <v>0</v>
      </c>
      <c r="C7586">
        <v>0</v>
      </c>
      <c r="D7586">
        <v>0</v>
      </c>
      <c r="E7586">
        <v>0</v>
      </c>
    </row>
    <row r="7587" spans="1:5" x14ac:dyDescent="0.35">
      <c r="A7587">
        <v>0</v>
      </c>
      <c r="B7587">
        <v>0</v>
      </c>
      <c r="C7587">
        <v>0</v>
      </c>
      <c r="D7587">
        <v>0</v>
      </c>
      <c r="E7587">
        <v>0</v>
      </c>
    </row>
    <row r="7588" spans="1:5" x14ac:dyDescent="0.35">
      <c r="A7588">
        <v>0</v>
      </c>
      <c r="B7588">
        <v>0</v>
      </c>
      <c r="C7588">
        <v>0</v>
      </c>
      <c r="D7588">
        <v>0</v>
      </c>
      <c r="E7588">
        <v>0</v>
      </c>
    </row>
    <row r="7589" spans="1:5" x14ac:dyDescent="0.35">
      <c r="A7589">
        <v>0</v>
      </c>
      <c r="B7589">
        <v>0</v>
      </c>
      <c r="C7589">
        <v>0</v>
      </c>
      <c r="D7589">
        <v>0</v>
      </c>
      <c r="E7589">
        <v>0</v>
      </c>
    </row>
    <row r="7590" spans="1:5" x14ac:dyDescent="0.35">
      <c r="A7590">
        <v>0</v>
      </c>
      <c r="B7590">
        <v>0</v>
      </c>
      <c r="C7590">
        <v>0</v>
      </c>
      <c r="D7590">
        <v>0</v>
      </c>
      <c r="E7590">
        <v>0</v>
      </c>
    </row>
    <row r="7591" spans="1:5" x14ac:dyDescent="0.35">
      <c r="A7591">
        <v>0</v>
      </c>
      <c r="B7591">
        <v>0</v>
      </c>
      <c r="C7591">
        <v>0</v>
      </c>
      <c r="D7591">
        <v>0</v>
      </c>
      <c r="E7591">
        <v>0</v>
      </c>
    </row>
    <row r="7592" spans="1:5" x14ac:dyDescent="0.35">
      <c r="A7592">
        <v>0</v>
      </c>
      <c r="B7592">
        <v>0</v>
      </c>
      <c r="C7592">
        <v>0</v>
      </c>
      <c r="D7592">
        <v>0</v>
      </c>
      <c r="E7592">
        <v>0</v>
      </c>
    </row>
    <row r="7593" spans="1:5" x14ac:dyDescent="0.35">
      <c r="A7593">
        <v>0</v>
      </c>
      <c r="B7593">
        <v>0</v>
      </c>
      <c r="C7593">
        <v>0</v>
      </c>
      <c r="D7593">
        <v>0</v>
      </c>
      <c r="E7593">
        <v>0</v>
      </c>
    </row>
    <row r="7594" spans="1:5" x14ac:dyDescent="0.35">
      <c r="A7594">
        <v>0</v>
      </c>
      <c r="B7594">
        <v>0</v>
      </c>
      <c r="C7594">
        <v>0</v>
      </c>
      <c r="D7594">
        <v>0</v>
      </c>
      <c r="E7594">
        <v>0</v>
      </c>
    </row>
    <row r="7595" spans="1:5" x14ac:dyDescent="0.35">
      <c r="A7595">
        <v>0</v>
      </c>
      <c r="B7595">
        <v>0</v>
      </c>
      <c r="C7595">
        <v>0</v>
      </c>
      <c r="D7595">
        <v>0</v>
      </c>
      <c r="E7595">
        <v>0</v>
      </c>
    </row>
    <row r="7596" spans="1:5" x14ac:dyDescent="0.35">
      <c r="A7596">
        <v>0</v>
      </c>
      <c r="B7596">
        <v>0</v>
      </c>
      <c r="C7596">
        <v>0</v>
      </c>
      <c r="D7596">
        <v>0</v>
      </c>
      <c r="E7596">
        <v>0</v>
      </c>
    </row>
    <row r="7597" spans="1:5" x14ac:dyDescent="0.35">
      <c r="A7597">
        <v>0</v>
      </c>
      <c r="B7597">
        <v>0</v>
      </c>
      <c r="C7597">
        <v>0</v>
      </c>
      <c r="D7597">
        <v>0</v>
      </c>
      <c r="E7597">
        <v>0</v>
      </c>
    </row>
    <row r="7598" spans="1:5" x14ac:dyDescent="0.35">
      <c r="A7598">
        <v>0</v>
      </c>
      <c r="B7598">
        <v>0</v>
      </c>
      <c r="C7598">
        <v>0</v>
      </c>
      <c r="D7598">
        <v>0</v>
      </c>
      <c r="E7598">
        <v>0</v>
      </c>
    </row>
    <row r="7599" spans="1:5" x14ac:dyDescent="0.35">
      <c r="A7599">
        <v>0</v>
      </c>
      <c r="B7599">
        <v>0</v>
      </c>
      <c r="C7599">
        <v>0</v>
      </c>
      <c r="D7599">
        <v>0</v>
      </c>
      <c r="E7599">
        <v>0</v>
      </c>
    </row>
    <row r="7600" spans="1:5" x14ac:dyDescent="0.35">
      <c r="A7600">
        <v>0</v>
      </c>
      <c r="B7600">
        <v>0</v>
      </c>
      <c r="C7600">
        <v>0</v>
      </c>
      <c r="D7600">
        <v>0</v>
      </c>
      <c r="E7600">
        <v>0</v>
      </c>
    </row>
    <row r="7601" spans="1:5" x14ac:dyDescent="0.35">
      <c r="A7601">
        <v>0</v>
      </c>
      <c r="B7601">
        <v>0</v>
      </c>
      <c r="C7601">
        <v>0</v>
      </c>
      <c r="D7601">
        <v>0</v>
      </c>
      <c r="E7601">
        <v>0</v>
      </c>
    </row>
    <row r="7602" spans="1:5" x14ac:dyDescent="0.35">
      <c r="A7602">
        <v>0</v>
      </c>
      <c r="B7602">
        <v>0</v>
      </c>
      <c r="C7602">
        <v>0</v>
      </c>
      <c r="D7602">
        <v>0</v>
      </c>
      <c r="E7602">
        <v>0</v>
      </c>
    </row>
    <row r="7603" spans="1:5" x14ac:dyDescent="0.35">
      <c r="A7603">
        <v>0</v>
      </c>
      <c r="B7603">
        <v>0</v>
      </c>
      <c r="C7603">
        <v>0</v>
      </c>
      <c r="D7603">
        <v>0</v>
      </c>
      <c r="E7603">
        <v>0</v>
      </c>
    </row>
    <row r="7604" spans="1:5" x14ac:dyDescent="0.35">
      <c r="A7604">
        <v>0</v>
      </c>
      <c r="B7604">
        <v>0</v>
      </c>
      <c r="C7604">
        <v>0</v>
      </c>
      <c r="D7604">
        <v>0</v>
      </c>
      <c r="E7604">
        <v>0</v>
      </c>
    </row>
    <row r="7605" spans="1:5" x14ac:dyDescent="0.35">
      <c r="A7605">
        <v>0</v>
      </c>
      <c r="B7605">
        <v>0</v>
      </c>
      <c r="C7605">
        <v>0</v>
      </c>
      <c r="D7605">
        <v>0</v>
      </c>
      <c r="E7605">
        <v>0</v>
      </c>
    </row>
    <row r="7606" spans="1:5" x14ac:dyDescent="0.35">
      <c r="A7606">
        <v>0</v>
      </c>
      <c r="B7606">
        <v>0</v>
      </c>
      <c r="C7606">
        <v>0</v>
      </c>
      <c r="D7606">
        <v>0</v>
      </c>
      <c r="E7606">
        <v>0</v>
      </c>
    </row>
    <row r="7607" spans="1:5" x14ac:dyDescent="0.35">
      <c r="A7607">
        <v>0</v>
      </c>
      <c r="B7607">
        <v>0</v>
      </c>
      <c r="C7607">
        <v>0</v>
      </c>
      <c r="D7607">
        <v>0</v>
      </c>
      <c r="E7607">
        <v>0</v>
      </c>
    </row>
    <row r="7608" spans="1:5" x14ac:dyDescent="0.35">
      <c r="A7608">
        <v>0</v>
      </c>
      <c r="B7608">
        <v>0</v>
      </c>
      <c r="C7608">
        <v>0</v>
      </c>
      <c r="D7608">
        <v>0</v>
      </c>
      <c r="E7608">
        <v>0</v>
      </c>
    </row>
    <row r="7609" spans="1:5" x14ac:dyDescent="0.35">
      <c r="A7609">
        <v>0</v>
      </c>
      <c r="B7609">
        <v>0</v>
      </c>
      <c r="C7609">
        <v>0</v>
      </c>
      <c r="D7609">
        <v>0</v>
      </c>
      <c r="E7609">
        <v>0</v>
      </c>
    </row>
    <row r="7610" spans="1:5" x14ac:dyDescent="0.35">
      <c r="A7610">
        <v>0</v>
      </c>
      <c r="B7610">
        <v>0</v>
      </c>
      <c r="C7610">
        <v>0</v>
      </c>
      <c r="D7610">
        <v>0</v>
      </c>
      <c r="E7610">
        <v>0</v>
      </c>
    </row>
    <row r="7611" spans="1:5" x14ac:dyDescent="0.35">
      <c r="A7611">
        <v>0</v>
      </c>
      <c r="B7611">
        <v>0</v>
      </c>
      <c r="C7611">
        <v>0</v>
      </c>
      <c r="D7611">
        <v>0</v>
      </c>
      <c r="E7611">
        <v>0</v>
      </c>
    </row>
    <row r="7612" spans="1:5" x14ac:dyDescent="0.35">
      <c r="A7612">
        <v>0</v>
      </c>
      <c r="B7612">
        <v>0</v>
      </c>
      <c r="C7612">
        <v>0</v>
      </c>
      <c r="D7612">
        <v>0</v>
      </c>
      <c r="E7612">
        <v>0</v>
      </c>
    </row>
    <row r="7613" spans="1:5" x14ac:dyDescent="0.35">
      <c r="A7613">
        <v>0</v>
      </c>
      <c r="B7613">
        <v>0</v>
      </c>
      <c r="C7613">
        <v>0</v>
      </c>
      <c r="D7613">
        <v>0</v>
      </c>
      <c r="E7613">
        <v>0</v>
      </c>
    </row>
    <row r="7614" spans="1:5" x14ac:dyDescent="0.35">
      <c r="A7614">
        <v>0</v>
      </c>
      <c r="B7614">
        <v>0</v>
      </c>
      <c r="C7614">
        <v>0</v>
      </c>
      <c r="D7614">
        <v>0</v>
      </c>
      <c r="E7614">
        <v>0</v>
      </c>
    </row>
    <row r="7615" spans="1:5" x14ac:dyDescent="0.35">
      <c r="A7615">
        <v>0</v>
      </c>
      <c r="B7615">
        <v>0</v>
      </c>
      <c r="C7615">
        <v>0</v>
      </c>
      <c r="D7615">
        <v>0</v>
      </c>
      <c r="E7615">
        <v>0</v>
      </c>
    </row>
    <row r="7616" spans="1:5" x14ac:dyDescent="0.35">
      <c r="A7616">
        <v>0</v>
      </c>
      <c r="B7616">
        <v>0</v>
      </c>
      <c r="C7616">
        <v>0</v>
      </c>
      <c r="D7616">
        <v>0</v>
      </c>
      <c r="E7616">
        <v>0</v>
      </c>
    </row>
    <row r="7617" spans="1:5" x14ac:dyDescent="0.35">
      <c r="A7617">
        <v>0</v>
      </c>
      <c r="B7617">
        <v>0</v>
      </c>
      <c r="C7617">
        <v>0</v>
      </c>
      <c r="D7617">
        <v>0</v>
      </c>
      <c r="E7617">
        <v>0</v>
      </c>
    </row>
    <row r="7618" spans="1:5" x14ac:dyDescent="0.35">
      <c r="A7618">
        <v>0</v>
      </c>
      <c r="B7618">
        <v>0</v>
      </c>
      <c r="C7618">
        <v>0</v>
      </c>
      <c r="D7618">
        <v>0</v>
      </c>
      <c r="E7618">
        <v>0</v>
      </c>
    </row>
    <row r="7619" spans="1:5" x14ac:dyDescent="0.35">
      <c r="A7619">
        <v>0</v>
      </c>
      <c r="B7619">
        <v>0</v>
      </c>
      <c r="C7619">
        <v>0</v>
      </c>
      <c r="D7619">
        <v>0</v>
      </c>
      <c r="E7619">
        <v>0</v>
      </c>
    </row>
    <row r="7620" spans="1:5" x14ac:dyDescent="0.35">
      <c r="A7620">
        <v>0</v>
      </c>
      <c r="B7620">
        <v>0</v>
      </c>
      <c r="C7620">
        <v>0</v>
      </c>
      <c r="D7620">
        <v>0</v>
      </c>
      <c r="E7620">
        <v>0</v>
      </c>
    </row>
    <row r="7621" spans="1:5" x14ac:dyDescent="0.35">
      <c r="A7621">
        <v>0</v>
      </c>
      <c r="B7621">
        <v>0</v>
      </c>
      <c r="C7621">
        <v>0</v>
      </c>
      <c r="D7621">
        <v>0</v>
      </c>
      <c r="E7621">
        <v>0</v>
      </c>
    </row>
    <row r="7622" spans="1:5" x14ac:dyDescent="0.35">
      <c r="A7622">
        <v>0</v>
      </c>
      <c r="B7622">
        <v>0</v>
      </c>
      <c r="C7622">
        <v>0</v>
      </c>
      <c r="D7622">
        <v>0</v>
      </c>
      <c r="E7622">
        <v>0</v>
      </c>
    </row>
    <row r="7623" spans="1:5" x14ac:dyDescent="0.35">
      <c r="A7623">
        <v>0</v>
      </c>
      <c r="B7623">
        <v>0</v>
      </c>
      <c r="C7623">
        <v>0</v>
      </c>
      <c r="D7623">
        <v>0</v>
      </c>
      <c r="E7623">
        <v>0</v>
      </c>
    </row>
    <row r="7624" spans="1:5" x14ac:dyDescent="0.35">
      <c r="A7624">
        <v>0</v>
      </c>
      <c r="B7624">
        <v>0</v>
      </c>
      <c r="C7624">
        <v>0</v>
      </c>
      <c r="D7624">
        <v>0</v>
      </c>
      <c r="E7624">
        <v>0</v>
      </c>
    </row>
    <row r="7625" spans="1:5" x14ac:dyDescent="0.35">
      <c r="A7625">
        <v>0</v>
      </c>
      <c r="B7625">
        <v>0</v>
      </c>
      <c r="C7625">
        <v>0</v>
      </c>
      <c r="D7625">
        <v>0</v>
      </c>
      <c r="E7625">
        <v>0</v>
      </c>
    </row>
    <row r="7626" spans="1:5" x14ac:dyDescent="0.35">
      <c r="A7626">
        <v>0</v>
      </c>
      <c r="B7626">
        <v>0</v>
      </c>
      <c r="C7626">
        <v>0</v>
      </c>
      <c r="D7626">
        <v>0</v>
      </c>
      <c r="E7626">
        <v>0</v>
      </c>
    </row>
    <row r="7627" spans="1:5" x14ac:dyDescent="0.35">
      <c r="A7627">
        <v>0</v>
      </c>
      <c r="B7627">
        <v>0</v>
      </c>
      <c r="C7627">
        <v>0</v>
      </c>
      <c r="D7627">
        <v>0</v>
      </c>
      <c r="E7627">
        <v>0</v>
      </c>
    </row>
    <row r="7628" spans="1:5" x14ac:dyDescent="0.35">
      <c r="A7628">
        <v>0</v>
      </c>
      <c r="B7628">
        <v>0</v>
      </c>
      <c r="C7628">
        <v>0</v>
      </c>
      <c r="D7628">
        <v>0</v>
      </c>
      <c r="E7628">
        <v>0</v>
      </c>
    </row>
    <row r="7629" spans="1:5" x14ac:dyDescent="0.35">
      <c r="A7629">
        <v>0</v>
      </c>
      <c r="B7629">
        <v>0</v>
      </c>
      <c r="C7629">
        <v>0</v>
      </c>
      <c r="D7629">
        <v>0</v>
      </c>
      <c r="E7629">
        <v>0</v>
      </c>
    </row>
    <row r="7630" spans="1:5" x14ac:dyDescent="0.35">
      <c r="A7630">
        <v>0</v>
      </c>
      <c r="B7630">
        <v>0</v>
      </c>
      <c r="C7630">
        <v>0</v>
      </c>
      <c r="D7630">
        <v>0</v>
      </c>
      <c r="E7630">
        <v>0</v>
      </c>
    </row>
    <row r="7631" spans="1:5" x14ac:dyDescent="0.35">
      <c r="A7631">
        <v>0</v>
      </c>
      <c r="B7631">
        <v>0</v>
      </c>
      <c r="C7631">
        <v>0</v>
      </c>
      <c r="D7631">
        <v>0</v>
      </c>
      <c r="E7631">
        <v>0</v>
      </c>
    </row>
    <row r="7632" spans="1:5" x14ac:dyDescent="0.35">
      <c r="A7632">
        <v>0</v>
      </c>
      <c r="B7632">
        <v>0</v>
      </c>
      <c r="C7632">
        <v>0</v>
      </c>
      <c r="D7632">
        <v>0</v>
      </c>
      <c r="E7632">
        <v>0</v>
      </c>
    </row>
    <row r="7633" spans="1:5" x14ac:dyDescent="0.35">
      <c r="A7633">
        <v>0</v>
      </c>
      <c r="B7633">
        <v>0</v>
      </c>
      <c r="C7633">
        <v>0</v>
      </c>
      <c r="D7633">
        <v>0</v>
      </c>
      <c r="E7633">
        <v>0</v>
      </c>
    </row>
    <row r="7634" spans="1:5" x14ac:dyDescent="0.35">
      <c r="A7634">
        <v>0</v>
      </c>
      <c r="B7634">
        <v>0</v>
      </c>
      <c r="C7634">
        <v>0</v>
      </c>
      <c r="D7634">
        <v>0</v>
      </c>
      <c r="E7634">
        <v>0</v>
      </c>
    </row>
    <row r="7635" spans="1:5" x14ac:dyDescent="0.35">
      <c r="A7635">
        <v>0</v>
      </c>
      <c r="B7635">
        <v>0</v>
      </c>
      <c r="C7635">
        <v>0</v>
      </c>
      <c r="D7635">
        <v>0</v>
      </c>
      <c r="E7635">
        <v>0</v>
      </c>
    </row>
    <row r="7636" spans="1:5" x14ac:dyDescent="0.35">
      <c r="A7636">
        <v>0</v>
      </c>
      <c r="B7636">
        <v>0</v>
      </c>
      <c r="C7636">
        <v>0</v>
      </c>
      <c r="D7636">
        <v>0</v>
      </c>
      <c r="E7636">
        <v>0</v>
      </c>
    </row>
    <row r="7637" spans="1:5" x14ac:dyDescent="0.35">
      <c r="A7637">
        <v>0</v>
      </c>
      <c r="B7637">
        <v>0</v>
      </c>
      <c r="C7637">
        <v>0</v>
      </c>
      <c r="D7637">
        <v>0</v>
      </c>
      <c r="E7637">
        <v>0</v>
      </c>
    </row>
    <row r="7638" spans="1:5" x14ac:dyDescent="0.35">
      <c r="A7638">
        <v>0</v>
      </c>
      <c r="B7638">
        <v>0</v>
      </c>
      <c r="C7638">
        <v>0</v>
      </c>
      <c r="D7638">
        <v>0</v>
      </c>
      <c r="E7638">
        <v>0</v>
      </c>
    </row>
    <row r="7639" spans="1:5" x14ac:dyDescent="0.35">
      <c r="A7639">
        <v>0</v>
      </c>
      <c r="B7639">
        <v>0</v>
      </c>
      <c r="C7639">
        <v>0</v>
      </c>
      <c r="D7639">
        <v>0</v>
      </c>
      <c r="E7639">
        <v>0</v>
      </c>
    </row>
    <row r="7640" spans="1:5" x14ac:dyDescent="0.35">
      <c r="A7640">
        <v>0</v>
      </c>
      <c r="B7640">
        <v>0</v>
      </c>
      <c r="C7640">
        <v>0</v>
      </c>
      <c r="D7640">
        <v>0</v>
      </c>
      <c r="E7640">
        <v>0</v>
      </c>
    </row>
    <row r="7641" spans="1:5" x14ac:dyDescent="0.35">
      <c r="A7641">
        <v>0</v>
      </c>
      <c r="B7641">
        <v>0</v>
      </c>
      <c r="C7641">
        <v>0</v>
      </c>
      <c r="D7641">
        <v>0</v>
      </c>
      <c r="E7641">
        <v>0</v>
      </c>
    </row>
    <row r="7642" spans="1:5" x14ac:dyDescent="0.35">
      <c r="A7642">
        <v>0</v>
      </c>
      <c r="B7642">
        <v>0</v>
      </c>
      <c r="C7642">
        <v>0</v>
      </c>
      <c r="D7642">
        <v>0</v>
      </c>
      <c r="E7642">
        <v>0</v>
      </c>
    </row>
    <row r="7643" spans="1:5" x14ac:dyDescent="0.35">
      <c r="A7643">
        <v>0</v>
      </c>
      <c r="B7643">
        <v>0</v>
      </c>
      <c r="C7643">
        <v>0</v>
      </c>
      <c r="D7643">
        <v>0</v>
      </c>
      <c r="E7643">
        <v>0</v>
      </c>
    </row>
    <row r="7644" spans="1:5" x14ac:dyDescent="0.35">
      <c r="A7644">
        <v>0</v>
      </c>
      <c r="B7644">
        <v>0</v>
      </c>
      <c r="C7644">
        <v>0</v>
      </c>
      <c r="D7644">
        <v>0</v>
      </c>
      <c r="E7644">
        <v>0</v>
      </c>
    </row>
    <row r="7645" spans="1:5" x14ac:dyDescent="0.35">
      <c r="A7645">
        <v>0</v>
      </c>
      <c r="B7645">
        <v>0</v>
      </c>
      <c r="C7645">
        <v>0</v>
      </c>
      <c r="D7645">
        <v>0</v>
      </c>
      <c r="E7645">
        <v>0</v>
      </c>
    </row>
    <row r="7646" spans="1:5" x14ac:dyDescent="0.35">
      <c r="A7646">
        <v>0</v>
      </c>
      <c r="B7646">
        <v>0</v>
      </c>
      <c r="C7646">
        <v>0</v>
      </c>
      <c r="D7646">
        <v>0</v>
      </c>
      <c r="E7646">
        <v>0</v>
      </c>
    </row>
    <row r="7647" spans="1:5" x14ac:dyDescent="0.35">
      <c r="A7647">
        <v>0</v>
      </c>
      <c r="B7647">
        <v>0</v>
      </c>
      <c r="C7647">
        <v>0</v>
      </c>
      <c r="D7647">
        <v>0</v>
      </c>
      <c r="E7647">
        <v>0</v>
      </c>
    </row>
    <row r="7648" spans="1:5" x14ac:dyDescent="0.35">
      <c r="A7648">
        <v>0</v>
      </c>
      <c r="B7648">
        <v>0</v>
      </c>
      <c r="C7648">
        <v>0</v>
      </c>
      <c r="D7648">
        <v>0</v>
      </c>
      <c r="E7648">
        <v>0</v>
      </c>
    </row>
    <row r="7649" spans="1:5" x14ac:dyDescent="0.35">
      <c r="A7649">
        <v>0</v>
      </c>
      <c r="B7649">
        <v>0</v>
      </c>
      <c r="C7649">
        <v>0</v>
      </c>
      <c r="D7649">
        <v>0</v>
      </c>
      <c r="E7649">
        <v>0</v>
      </c>
    </row>
    <row r="7650" spans="1:5" x14ac:dyDescent="0.35">
      <c r="A7650">
        <v>0</v>
      </c>
      <c r="B7650">
        <v>0</v>
      </c>
      <c r="C7650">
        <v>0</v>
      </c>
      <c r="D7650">
        <v>0</v>
      </c>
      <c r="E7650">
        <v>0</v>
      </c>
    </row>
    <row r="7651" spans="1:5" x14ac:dyDescent="0.35">
      <c r="A7651">
        <v>0</v>
      </c>
      <c r="B7651">
        <v>0</v>
      </c>
      <c r="C7651">
        <v>0</v>
      </c>
      <c r="D7651">
        <v>0</v>
      </c>
      <c r="E7651">
        <v>0</v>
      </c>
    </row>
    <row r="7652" spans="1:5" x14ac:dyDescent="0.35">
      <c r="A7652">
        <v>0</v>
      </c>
      <c r="B7652">
        <v>0</v>
      </c>
      <c r="C7652">
        <v>0</v>
      </c>
      <c r="D7652">
        <v>0</v>
      </c>
      <c r="E7652">
        <v>0</v>
      </c>
    </row>
    <row r="7653" spans="1:5" x14ac:dyDescent="0.35">
      <c r="A7653">
        <v>0</v>
      </c>
      <c r="B7653">
        <v>0</v>
      </c>
      <c r="C7653">
        <v>0</v>
      </c>
      <c r="D7653">
        <v>0</v>
      </c>
      <c r="E7653">
        <v>0</v>
      </c>
    </row>
    <row r="7654" spans="1:5" x14ac:dyDescent="0.35">
      <c r="A7654">
        <v>0</v>
      </c>
      <c r="B7654">
        <v>0</v>
      </c>
      <c r="C7654">
        <v>0</v>
      </c>
      <c r="D7654">
        <v>0</v>
      </c>
      <c r="E7654">
        <v>0</v>
      </c>
    </row>
    <row r="7655" spans="1:5" x14ac:dyDescent="0.35">
      <c r="A7655">
        <v>0</v>
      </c>
      <c r="B7655">
        <v>0</v>
      </c>
      <c r="C7655">
        <v>0</v>
      </c>
      <c r="D7655">
        <v>0</v>
      </c>
      <c r="E7655">
        <v>0</v>
      </c>
    </row>
    <row r="7656" spans="1:5" x14ac:dyDescent="0.35">
      <c r="A7656">
        <v>0</v>
      </c>
      <c r="B7656">
        <v>0</v>
      </c>
      <c r="C7656">
        <v>0</v>
      </c>
      <c r="D7656">
        <v>0</v>
      </c>
      <c r="E7656">
        <v>0</v>
      </c>
    </row>
    <row r="7657" spans="1:5" x14ac:dyDescent="0.35">
      <c r="A7657">
        <v>0</v>
      </c>
      <c r="B7657">
        <v>0</v>
      </c>
      <c r="C7657">
        <v>0</v>
      </c>
      <c r="D7657">
        <v>0</v>
      </c>
      <c r="E7657">
        <v>0</v>
      </c>
    </row>
    <row r="7658" spans="1:5" x14ac:dyDescent="0.35">
      <c r="A7658">
        <v>0</v>
      </c>
      <c r="B7658">
        <v>0</v>
      </c>
      <c r="C7658">
        <v>0</v>
      </c>
      <c r="D7658">
        <v>0</v>
      </c>
      <c r="E7658">
        <v>0</v>
      </c>
    </row>
    <row r="7659" spans="1:5" x14ac:dyDescent="0.35">
      <c r="A7659">
        <v>0</v>
      </c>
      <c r="B7659">
        <v>0</v>
      </c>
      <c r="C7659">
        <v>0</v>
      </c>
      <c r="D7659">
        <v>0</v>
      </c>
      <c r="E7659">
        <v>0</v>
      </c>
    </row>
    <row r="7660" spans="1:5" x14ac:dyDescent="0.35">
      <c r="A7660">
        <v>0</v>
      </c>
      <c r="B7660">
        <v>0</v>
      </c>
      <c r="C7660">
        <v>0</v>
      </c>
      <c r="D7660">
        <v>0</v>
      </c>
      <c r="E7660">
        <v>0</v>
      </c>
    </row>
    <row r="7661" spans="1:5" x14ac:dyDescent="0.35">
      <c r="A7661">
        <v>0</v>
      </c>
      <c r="B7661">
        <v>0</v>
      </c>
      <c r="C7661">
        <v>0</v>
      </c>
      <c r="D7661">
        <v>0</v>
      </c>
      <c r="E7661">
        <v>0</v>
      </c>
    </row>
    <row r="7662" spans="1:5" x14ac:dyDescent="0.35">
      <c r="A7662">
        <v>0</v>
      </c>
      <c r="B7662">
        <v>0</v>
      </c>
      <c r="C7662">
        <v>0</v>
      </c>
      <c r="D7662">
        <v>0</v>
      </c>
      <c r="E7662">
        <v>0</v>
      </c>
    </row>
    <row r="7663" spans="1:5" x14ac:dyDescent="0.35">
      <c r="A7663">
        <v>0</v>
      </c>
      <c r="B7663">
        <v>0</v>
      </c>
      <c r="C7663">
        <v>0</v>
      </c>
      <c r="D7663">
        <v>0</v>
      </c>
      <c r="E7663">
        <v>0</v>
      </c>
    </row>
    <row r="7664" spans="1:5" x14ac:dyDescent="0.35">
      <c r="A7664">
        <v>0</v>
      </c>
      <c r="B7664">
        <v>0</v>
      </c>
      <c r="C7664">
        <v>0</v>
      </c>
      <c r="D7664">
        <v>0</v>
      </c>
      <c r="E7664">
        <v>0</v>
      </c>
    </row>
    <row r="7665" spans="1:5" x14ac:dyDescent="0.35">
      <c r="A7665">
        <v>0</v>
      </c>
      <c r="B7665">
        <v>0</v>
      </c>
      <c r="C7665">
        <v>0</v>
      </c>
      <c r="D7665">
        <v>0</v>
      </c>
      <c r="E7665">
        <v>0</v>
      </c>
    </row>
    <row r="7666" spans="1:5" x14ac:dyDescent="0.35">
      <c r="A7666">
        <v>0</v>
      </c>
      <c r="B7666">
        <v>0</v>
      </c>
      <c r="C7666">
        <v>0</v>
      </c>
      <c r="D7666">
        <v>0</v>
      </c>
      <c r="E7666">
        <v>0</v>
      </c>
    </row>
    <row r="7667" spans="1:5" x14ac:dyDescent="0.35">
      <c r="A7667">
        <v>0</v>
      </c>
      <c r="B7667">
        <v>0</v>
      </c>
      <c r="C7667">
        <v>0</v>
      </c>
      <c r="D7667">
        <v>0</v>
      </c>
      <c r="E7667">
        <v>0</v>
      </c>
    </row>
    <row r="7668" spans="1:5" x14ac:dyDescent="0.35">
      <c r="A7668">
        <v>0</v>
      </c>
      <c r="B7668">
        <v>0</v>
      </c>
      <c r="C7668">
        <v>0</v>
      </c>
      <c r="D7668">
        <v>0</v>
      </c>
      <c r="E7668">
        <v>0</v>
      </c>
    </row>
    <row r="7669" spans="1:5" x14ac:dyDescent="0.35">
      <c r="A7669">
        <v>0</v>
      </c>
      <c r="B7669">
        <v>0</v>
      </c>
      <c r="C7669">
        <v>0</v>
      </c>
      <c r="D7669">
        <v>0</v>
      </c>
      <c r="E7669">
        <v>0</v>
      </c>
    </row>
    <row r="7670" spans="1:5" x14ac:dyDescent="0.35">
      <c r="A7670">
        <v>0</v>
      </c>
      <c r="B7670">
        <v>0</v>
      </c>
      <c r="C7670">
        <v>0</v>
      </c>
      <c r="D7670">
        <v>0</v>
      </c>
      <c r="E7670">
        <v>0</v>
      </c>
    </row>
    <row r="7671" spans="1:5" x14ac:dyDescent="0.35">
      <c r="A7671">
        <v>0</v>
      </c>
      <c r="B7671">
        <v>0</v>
      </c>
      <c r="C7671">
        <v>0</v>
      </c>
      <c r="D7671">
        <v>0</v>
      </c>
      <c r="E7671">
        <v>0</v>
      </c>
    </row>
    <row r="7672" spans="1:5" x14ac:dyDescent="0.35">
      <c r="A7672">
        <v>0</v>
      </c>
      <c r="B7672">
        <v>0</v>
      </c>
      <c r="C7672">
        <v>0</v>
      </c>
      <c r="D7672">
        <v>0</v>
      </c>
      <c r="E7672">
        <v>0</v>
      </c>
    </row>
    <row r="7673" spans="1:5" x14ac:dyDescent="0.35">
      <c r="A7673">
        <v>0</v>
      </c>
      <c r="B7673">
        <v>0</v>
      </c>
      <c r="C7673">
        <v>0</v>
      </c>
      <c r="D7673">
        <v>0</v>
      </c>
      <c r="E7673">
        <v>0</v>
      </c>
    </row>
    <row r="7674" spans="1:5" x14ac:dyDescent="0.35">
      <c r="A7674">
        <v>0</v>
      </c>
      <c r="B7674">
        <v>0</v>
      </c>
      <c r="C7674">
        <v>0</v>
      </c>
      <c r="D7674">
        <v>0</v>
      </c>
      <c r="E7674">
        <v>0</v>
      </c>
    </row>
    <row r="7675" spans="1:5" x14ac:dyDescent="0.35">
      <c r="A7675">
        <v>0</v>
      </c>
      <c r="B7675">
        <v>0</v>
      </c>
      <c r="C7675">
        <v>0</v>
      </c>
      <c r="D7675">
        <v>0</v>
      </c>
      <c r="E7675">
        <v>0</v>
      </c>
    </row>
    <row r="7676" spans="1:5" x14ac:dyDescent="0.35">
      <c r="A7676">
        <v>0</v>
      </c>
      <c r="B7676">
        <v>0</v>
      </c>
      <c r="C7676">
        <v>0</v>
      </c>
      <c r="D7676">
        <v>0</v>
      </c>
      <c r="E7676">
        <v>0</v>
      </c>
    </row>
    <row r="7677" spans="1:5" x14ac:dyDescent="0.35">
      <c r="A7677">
        <v>0</v>
      </c>
      <c r="B7677">
        <v>0</v>
      </c>
      <c r="C7677">
        <v>0</v>
      </c>
      <c r="D7677">
        <v>0</v>
      </c>
      <c r="E7677">
        <v>0</v>
      </c>
    </row>
    <row r="7678" spans="1:5" x14ac:dyDescent="0.35">
      <c r="A7678">
        <v>0</v>
      </c>
      <c r="B7678">
        <v>0</v>
      </c>
      <c r="C7678">
        <v>0</v>
      </c>
      <c r="D7678">
        <v>0</v>
      </c>
      <c r="E7678">
        <v>0</v>
      </c>
    </row>
    <row r="7679" spans="1:5" x14ac:dyDescent="0.35">
      <c r="A7679">
        <v>0</v>
      </c>
      <c r="B7679">
        <v>0</v>
      </c>
      <c r="C7679">
        <v>0</v>
      </c>
      <c r="D7679">
        <v>0</v>
      </c>
      <c r="E7679">
        <v>0</v>
      </c>
    </row>
    <row r="7680" spans="1:5" x14ac:dyDescent="0.35">
      <c r="A7680">
        <v>0</v>
      </c>
      <c r="B7680">
        <v>0</v>
      </c>
      <c r="C7680">
        <v>0</v>
      </c>
      <c r="D7680">
        <v>0</v>
      </c>
      <c r="E7680">
        <v>0</v>
      </c>
    </row>
    <row r="7681" spans="1:5" x14ac:dyDescent="0.35">
      <c r="A7681">
        <v>0</v>
      </c>
      <c r="B7681">
        <v>0</v>
      </c>
      <c r="C7681">
        <v>0</v>
      </c>
      <c r="D7681">
        <v>0</v>
      </c>
      <c r="E7681">
        <v>0</v>
      </c>
    </row>
    <row r="7682" spans="1:5" x14ac:dyDescent="0.35">
      <c r="A7682">
        <v>0</v>
      </c>
      <c r="B7682">
        <v>0</v>
      </c>
      <c r="C7682">
        <v>0</v>
      </c>
      <c r="D7682">
        <v>0</v>
      </c>
      <c r="E7682">
        <v>0</v>
      </c>
    </row>
    <row r="7683" spans="1:5" x14ac:dyDescent="0.35">
      <c r="A7683">
        <v>0</v>
      </c>
      <c r="B7683">
        <v>0</v>
      </c>
      <c r="C7683">
        <v>0</v>
      </c>
      <c r="D7683">
        <v>0</v>
      </c>
      <c r="E7683">
        <v>0</v>
      </c>
    </row>
    <row r="7684" spans="1:5" x14ac:dyDescent="0.35">
      <c r="A7684">
        <v>0</v>
      </c>
      <c r="B7684">
        <v>0</v>
      </c>
      <c r="C7684">
        <v>0</v>
      </c>
      <c r="D7684">
        <v>0</v>
      </c>
      <c r="E7684">
        <v>0</v>
      </c>
    </row>
    <row r="7685" spans="1:5" x14ac:dyDescent="0.35">
      <c r="A7685">
        <v>0</v>
      </c>
      <c r="B7685">
        <v>0</v>
      </c>
      <c r="C7685">
        <v>0</v>
      </c>
      <c r="D7685">
        <v>0</v>
      </c>
      <c r="E7685">
        <v>0</v>
      </c>
    </row>
    <row r="7686" spans="1:5" x14ac:dyDescent="0.35">
      <c r="A7686">
        <v>0</v>
      </c>
      <c r="B7686">
        <v>0</v>
      </c>
      <c r="C7686">
        <v>0</v>
      </c>
      <c r="D7686">
        <v>0</v>
      </c>
      <c r="E7686">
        <v>0</v>
      </c>
    </row>
    <row r="7687" spans="1:5" x14ac:dyDescent="0.35">
      <c r="A7687">
        <v>0</v>
      </c>
      <c r="B7687">
        <v>0</v>
      </c>
      <c r="C7687">
        <v>0</v>
      </c>
      <c r="D7687">
        <v>0</v>
      </c>
      <c r="E7687">
        <v>0</v>
      </c>
    </row>
    <row r="7688" spans="1:5" x14ac:dyDescent="0.35">
      <c r="A7688">
        <v>0</v>
      </c>
      <c r="B7688">
        <v>0</v>
      </c>
      <c r="C7688">
        <v>0</v>
      </c>
      <c r="D7688">
        <v>0</v>
      </c>
      <c r="E7688">
        <v>0</v>
      </c>
    </row>
    <row r="7689" spans="1:5" x14ac:dyDescent="0.35">
      <c r="A7689">
        <v>0</v>
      </c>
      <c r="B7689">
        <v>0</v>
      </c>
      <c r="C7689">
        <v>0</v>
      </c>
      <c r="D7689">
        <v>0</v>
      </c>
      <c r="E7689">
        <v>0</v>
      </c>
    </row>
    <row r="7690" spans="1:5" x14ac:dyDescent="0.35">
      <c r="A7690">
        <v>0</v>
      </c>
      <c r="B7690">
        <v>0</v>
      </c>
      <c r="C7690">
        <v>0</v>
      </c>
      <c r="D7690">
        <v>0</v>
      </c>
      <c r="E7690">
        <v>0</v>
      </c>
    </row>
    <row r="7691" spans="1:5" x14ac:dyDescent="0.35">
      <c r="A7691">
        <v>0</v>
      </c>
      <c r="B7691">
        <v>0</v>
      </c>
      <c r="C7691">
        <v>0</v>
      </c>
      <c r="D7691">
        <v>0</v>
      </c>
      <c r="E7691">
        <v>0</v>
      </c>
    </row>
    <row r="7692" spans="1:5" x14ac:dyDescent="0.35">
      <c r="A7692">
        <v>0</v>
      </c>
      <c r="B7692">
        <v>0</v>
      </c>
      <c r="C7692">
        <v>0</v>
      </c>
      <c r="D7692">
        <v>0</v>
      </c>
      <c r="E7692">
        <v>0</v>
      </c>
    </row>
    <row r="7693" spans="1:5" x14ac:dyDescent="0.35">
      <c r="A7693">
        <v>0</v>
      </c>
      <c r="B7693">
        <v>0</v>
      </c>
      <c r="C7693">
        <v>0</v>
      </c>
      <c r="D7693">
        <v>0</v>
      </c>
      <c r="E7693">
        <v>0</v>
      </c>
    </row>
    <row r="7694" spans="1:5" x14ac:dyDescent="0.35">
      <c r="A7694">
        <v>0</v>
      </c>
      <c r="B7694">
        <v>0</v>
      </c>
      <c r="C7694">
        <v>0</v>
      </c>
      <c r="D7694">
        <v>0</v>
      </c>
      <c r="E7694">
        <v>0</v>
      </c>
    </row>
    <row r="7695" spans="1:5" x14ac:dyDescent="0.35">
      <c r="A7695">
        <v>0</v>
      </c>
      <c r="B7695">
        <v>0</v>
      </c>
      <c r="C7695">
        <v>0</v>
      </c>
      <c r="D7695">
        <v>0</v>
      </c>
      <c r="E7695">
        <v>0</v>
      </c>
    </row>
    <row r="7696" spans="1:5" x14ac:dyDescent="0.35">
      <c r="A7696">
        <v>0</v>
      </c>
      <c r="B7696">
        <v>0</v>
      </c>
      <c r="C7696">
        <v>0</v>
      </c>
      <c r="D7696">
        <v>0</v>
      </c>
      <c r="E7696">
        <v>0</v>
      </c>
    </row>
    <row r="7697" spans="1:5" x14ac:dyDescent="0.35">
      <c r="A7697">
        <v>0</v>
      </c>
      <c r="B7697">
        <v>0</v>
      </c>
      <c r="C7697">
        <v>0</v>
      </c>
      <c r="D7697">
        <v>0</v>
      </c>
      <c r="E7697">
        <v>0</v>
      </c>
    </row>
    <row r="7698" spans="1:5" x14ac:dyDescent="0.35">
      <c r="A7698">
        <v>0</v>
      </c>
      <c r="B7698">
        <v>0</v>
      </c>
      <c r="C7698">
        <v>0</v>
      </c>
      <c r="D7698">
        <v>0</v>
      </c>
      <c r="E7698">
        <v>0</v>
      </c>
    </row>
    <row r="7699" spans="1:5" x14ac:dyDescent="0.35">
      <c r="A7699">
        <v>0</v>
      </c>
      <c r="B7699">
        <v>0</v>
      </c>
      <c r="C7699">
        <v>0</v>
      </c>
      <c r="D7699">
        <v>0</v>
      </c>
      <c r="E7699">
        <v>0</v>
      </c>
    </row>
    <row r="7700" spans="1:5" x14ac:dyDescent="0.35">
      <c r="A7700">
        <v>0</v>
      </c>
      <c r="B7700">
        <v>0</v>
      </c>
      <c r="C7700">
        <v>0</v>
      </c>
      <c r="D7700">
        <v>0</v>
      </c>
      <c r="E7700">
        <v>0</v>
      </c>
    </row>
    <row r="7701" spans="1:5" x14ac:dyDescent="0.35">
      <c r="A7701">
        <v>0</v>
      </c>
      <c r="B7701">
        <v>0</v>
      </c>
      <c r="C7701">
        <v>0</v>
      </c>
      <c r="D7701">
        <v>0</v>
      </c>
      <c r="E7701">
        <v>0</v>
      </c>
    </row>
    <row r="7702" spans="1:5" x14ac:dyDescent="0.35">
      <c r="A7702">
        <v>0</v>
      </c>
      <c r="B7702">
        <v>0</v>
      </c>
      <c r="C7702">
        <v>0</v>
      </c>
      <c r="D7702">
        <v>0</v>
      </c>
      <c r="E7702">
        <v>0</v>
      </c>
    </row>
    <row r="7703" spans="1:5" x14ac:dyDescent="0.35">
      <c r="A7703">
        <v>0</v>
      </c>
      <c r="B7703">
        <v>0</v>
      </c>
      <c r="C7703">
        <v>0</v>
      </c>
      <c r="D7703">
        <v>0</v>
      </c>
      <c r="E7703">
        <v>0</v>
      </c>
    </row>
    <row r="7704" spans="1:5" x14ac:dyDescent="0.35">
      <c r="A7704">
        <v>0</v>
      </c>
      <c r="B7704">
        <v>0</v>
      </c>
      <c r="C7704">
        <v>0</v>
      </c>
      <c r="D7704">
        <v>0</v>
      </c>
      <c r="E7704">
        <v>0</v>
      </c>
    </row>
    <row r="7705" spans="1:5" x14ac:dyDescent="0.35">
      <c r="A7705">
        <v>0</v>
      </c>
      <c r="B7705">
        <v>0</v>
      </c>
      <c r="C7705">
        <v>0</v>
      </c>
      <c r="D7705">
        <v>0</v>
      </c>
      <c r="E7705">
        <v>0</v>
      </c>
    </row>
    <row r="7706" spans="1:5" x14ac:dyDescent="0.35">
      <c r="A7706">
        <v>0</v>
      </c>
      <c r="B7706">
        <v>0</v>
      </c>
      <c r="C7706">
        <v>0</v>
      </c>
      <c r="D7706">
        <v>0</v>
      </c>
      <c r="E7706">
        <v>0</v>
      </c>
    </row>
    <row r="7707" spans="1:5" x14ac:dyDescent="0.35">
      <c r="A7707">
        <v>0</v>
      </c>
      <c r="B7707">
        <v>0</v>
      </c>
      <c r="C7707">
        <v>0</v>
      </c>
      <c r="D7707">
        <v>0</v>
      </c>
      <c r="E7707">
        <v>0</v>
      </c>
    </row>
    <row r="7708" spans="1:5" x14ac:dyDescent="0.35">
      <c r="A7708">
        <v>0</v>
      </c>
      <c r="B7708">
        <v>0</v>
      </c>
      <c r="C7708">
        <v>0</v>
      </c>
      <c r="D7708">
        <v>0</v>
      </c>
      <c r="E7708">
        <v>0</v>
      </c>
    </row>
    <row r="7709" spans="1:5" x14ac:dyDescent="0.35">
      <c r="A7709">
        <v>0</v>
      </c>
      <c r="B7709">
        <v>0</v>
      </c>
      <c r="C7709">
        <v>0</v>
      </c>
      <c r="D7709">
        <v>0</v>
      </c>
      <c r="E7709">
        <v>0</v>
      </c>
    </row>
    <row r="7710" spans="1:5" x14ac:dyDescent="0.35">
      <c r="A7710">
        <v>0</v>
      </c>
      <c r="B7710">
        <v>0</v>
      </c>
      <c r="C7710">
        <v>0</v>
      </c>
      <c r="D7710">
        <v>0</v>
      </c>
      <c r="E7710">
        <v>0</v>
      </c>
    </row>
    <row r="7711" spans="1:5" x14ac:dyDescent="0.35">
      <c r="A7711">
        <v>0</v>
      </c>
      <c r="B7711">
        <v>0</v>
      </c>
      <c r="C7711">
        <v>0</v>
      </c>
      <c r="D7711">
        <v>0</v>
      </c>
      <c r="E7711">
        <v>0</v>
      </c>
    </row>
    <row r="7712" spans="1:5" x14ac:dyDescent="0.35">
      <c r="A7712">
        <v>0</v>
      </c>
      <c r="B7712">
        <v>0</v>
      </c>
      <c r="C7712">
        <v>0</v>
      </c>
      <c r="D7712">
        <v>0</v>
      </c>
      <c r="E7712">
        <v>0</v>
      </c>
    </row>
    <row r="7713" spans="1:5" x14ac:dyDescent="0.35">
      <c r="A7713">
        <v>0</v>
      </c>
      <c r="B7713">
        <v>0</v>
      </c>
      <c r="C7713">
        <v>0</v>
      </c>
      <c r="D7713">
        <v>0</v>
      </c>
      <c r="E7713">
        <v>0</v>
      </c>
    </row>
    <row r="7714" spans="1:5" x14ac:dyDescent="0.35">
      <c r="A7714">
        <v>0</v>
      </c>
      <c r="B7714">
        <v>0</v>
      </c>
      <c r="C7714">
        <v>0</v>
      </c>
      <c r="D7714">
        <v>0</v>
      </c>
      <c r="E7714">
        <v>0</v>
      </c>
    </row>
    <row r="7715" spans="1:5" x14ac:dyDescent="0.35">
      <c r="A7715">
        <v>0</v>
      </c>
      <c r="B7715">
        <v>0</v>
      </c>
      <c r="C7715">
        <v>0</v>
      </c>
      <c r="D7715">
        <v>0</v>
      </c>
      <c r="E7715">
        <v>0</v>
      </c>
    </row>
    <row r="7716" spans="1:5" x14ac:dyDescent="0.35">
      <c r="A7716">
        <v>0</v>
      </c>
      <c r="B7716">
        <v>0</v>
      </c>
      <c r="C7716">
        <v>0</v>
      </c>
      <c r="D7716">
        <v>0</v>
      </c>
      <c r="E7716">
        <v>0</v>
      </c>
    </row>
    <row r="7717" spans="1:5" x14ac:dyDescent="0.35">
      <c r="A7717">
        <v>0</v>
      </c>
      <c r="B7717">
        <v>0</v>
      </c>
      <c r="C7717">
        <v>0</v>
      </c>
      <c r="D7717">
        <v>0</v>
      </c>
      <c r="E7717">
        <v>0</v>
      </c>
    </row>
    <row r="7718" spans="1:5" x14ac:dyDescent="0.35">
      <c r="A7718">
        <v>0</v>
      </c>
      <c r="B7718">
        <v>0</v>
      </c>
      <c r="C7718">
        <v>0</v>
      </c>
      <c r="D7718">
        <v>0</v>
      </c>
      <c r="E7718">
        <v>0</v>
      </c>
    </row>
    <row r="7719" spans="1:5" x14ac:dyDescent="0.35">
      <c r="A7719">
        <v>0</v>
      </c>
      <c r="B7719">
        <v>0</v>
      </c>
      <c r="C7719">
        <v>0</v>
      </c>
      <c r="D7719">
        <v>0</v>
      </c>
      <c r="E7719">
        <v>0</v>
      </c>
    </row>
    <row r="7720" spans="1:5" x14ac:dyDescent="0.35">
      <c r="A7720">
        <v>0</v>
      </c>
      <c r="B7720">
        <v>0</v>
      </c>
      <c r="C7720">
        <v>0</v>
      </c>
      <c r="D7720">
        <v>0</v>
      </c>
      <c r="E7720">
        <v>0</v>
      </c>
    </row>
    <row r="7721" spans="1:5" x14ac:dyDescent="0.35">
      <c r="A7721">
        <v>0</v>
      </c>
      <c r="B7721">
        <v>0</v>
      </c>
      <c r="C7721">
        <v>0</v>
      </c>
      <c r="D7721">
        <v>0</v>
      </c>
      <c r="E7721">
        <v>0</v>
      </c>
    </row>
    <row r="7722" spans="1:5" x14ac:dyDescent="0.35">
      <c r="A7722">
        <v>0</v>
      </c>
      <c r="B7722">
        <v>0</v>
      </c>
      <c r="C7722">
        <v>0</v>
      </c>
      <c r="D7722">
        <v>0</v>
      </c>
      <c r="E7722">
        <v>0</v>
      </c>
    </row>
    <row r="7723" spans="1:5" x14ac:dyDescent="0.35">
      <c r="A7723">
        <v>0</v>
      </c>
      <c r="B7723">
        <v>0</v>
      </c>
      <c r="C7723">
        <v>0</v>
      </c>
      <c r="D7723">
        <v>0</v>
      </c>
      <c r="E7723">
        <v>0</v>
      </c>
    </row>
    <row r="7724" spans="1:5" x14ac:dyDescent="0.35">
      <c r="A7724">
        <v>0</v>
      </c>
      <c r="B7724">
        <v>0</v>
      </c>
      <c r="C7724">
        <v>0</v>
      </c>
      <c r="D7724">
        <v>0</v>
      </c>
      <c r="E7724">
        <v>0</v>
      </c>
    </row>
    <row r="7725" spans="1:5" x14ac:dyDescent="0.35">
      <c r="A7725">
        <v>0</v>
      </c>
      <c r="B7725">
        <v>0</v>
      </c>
      <c r="C7725">
        <v>0</v>
      </c>
      <c r="D7725">
        <v>0</v>
      </c>
      <c r="E7725">
        <v>0</v>
      </c>
    </row>
    <row r="7726" spans="1:5" x14ac:dyDescent="0.35">
      <c r="A7726">
        <v>0</v>
      </c>
      <c r="B7726">
        <v>0</v>
      </c>
      <c r="C7726">
        <v>0</v>
      </c>
      <c r="D7726">
        <v>0</v>
      </c>
      <c r="E7726">
        <v>0</v>
      </c>
    </row>
    <row r="7727" spans="1:5" x14ac:dyDescent="0.35">
      <c r="A7727">
        <v>0</v>
      </c>
      <c r="B7727">
        <v>0</v>
      </c>
      <c r="C7727">
        <v>0</v>
      </c>
      <c r="D7727">
        <v>0</v>
      </c>
      <c r="E7727">
        <v>0</v>
      </c>
    </row>
    <row r="7728" spans="1:5" x14ac:dyDescent="0.35">
      <c r="A7728">
        <v>0</v>
      </c>
      <c r="B7728">
        <v>0</v>
      </c>
      <c r="C7728">
        <v>0</v>
      </c>
      <c r="D7728">
        <v>0</v>
      </c>
      <c r="E7728">
        <v>0</v>
      </c>
    </row>
    <row r="7729" spans="1:5" x14ac:dyDescent="0.35">
      <c r="A7729">
        <v>0</v>
      </c>
      <c r="B7729">
        <v>0</v>
      </c>
      <c r="C7729">
        <v>0</v>
      </c>
      <c r="D7729">
        <v>0</v>
      </c>
      <c r="E7729">
        <v>0</v>
      </c>
    </row>
    <row r="7730" spans="1:5" x14ac:dyDescent="0.35">
      <c r="A7730">
        <v>0</v>
      </c>
      <c r="B7730">
        <v>0</v>
      </c>
      <c r="C7730">
        <v>0</v>
      </c>
      <c r="D7730">
        <v>0</v>
      </c>
      <c r="E7730">
        <v>0</v>
      </c>
    </row>
    <row r="7731" spans="1:5" x14ac:dyDescent="0.35">
      <c r="A7731">
        <v>0</v>
      </c>
      <c r="B7731">
        <v>0</v>
      </c>
      <c r="C7731">
        <v>0</v>
      </c>
      <c r="D7731">
        <v>0</v>
      </c>
      <c r="E7731">
        <v>0</v>
      </c>
    </row>
    <row r="7732" spans="1:5" x14ac:dyDescent="0.35">
      <c r="A7732">
        <v>0</v>
      </c>
      <c r="B7732">
        <v>0</v>
      </c>
      <c r="C7732">
        <v>0</v>
      </c>
      <c r="D7732">
        <v>0</v>
      </c>
      <c r="E7732">
        <v>0</v>
      </c>
    </row>
    <row r="7733" spans="1:5" x14ac:dyDescent="0.35">
      <c r="A7733">
        <v>0</v>
      </c>
      <c r="B7733">
        <v>0</v>
      </c>
      <c r="C7733">
        <v>0</v>
      </c>
      <c r="D7733">
        <v>0</v>
      </c>
      <c r="E7733">
        <v>0</v>
      </c>
    </row>
    <row r="7734" spans="1:5" x14ac:dyDescent="0.35">
      <c r="A7734">
        <v>0</v>
      </c>
      <c r="B7734">
        <v>0</v>
      </c>
      <c r="C7734">
        <v>0</v>
      </c>
      <c r="D7734">
        <v>0</v>
      </c>
      <c r="E7734">
        <v>0</v>
      </c>
    </row>
    <row r="7735" spans="1:5" x14ac:dyDescent="0.35">
      <c r="A7735">
        <v>0</v>
      </c>
      <c r="B7735">
        <v>0</v>
      </c>
      <c r="C7735">
        <v>0</v>
      </c>
      <c r="D7735">
        <v>0</v>
      </c>
      <c r="E7735">
        <v>0</v>
      </c>
    </row>
    <row r="7736" spans="1:5" x14ac:dyDescent="0.35">
      <c r="A7736">
        <v>0</v>
      </c>
      <c r="B7736">
        <v>0</v>
      </c>
      <c r="C7736">
        <v>0</v>
      </c>
      <c r="D7736">
        <v>0</v>
      </c>
      <c r="E7736">
        <v>0</v>
      </c>
    </row>
    <row r="7737" spans="1:5" x14ac:dyDescent="0.35">
      <c r="A7737">
        <v>0</v>
      </c>
      <c r="B7737">
        <v>0</v>
      </c>
      <c r="C7737">
        <v>0</v>
      </c>
      <c r="D7737">
        <v>0</v>
      </c>
      <c r="E7737">
        <v>0</v>
      </c>
    </row>
    <row r="7738" spans="1:5" x14ac:dyDescent="0.35">
      <c r="A7738">
        <v>0</v>
      </c>
      <c r="B7738">
        <v>0</v>
      </c>
      <c r="C7738">
        <v>0</v>
      </c>
      <c r="D7738">
        <v>0</v>
      </c>
      <c r="E7738">
        <v>0</v>
      </c>
    </row>
    <row r="7739" spans="1:5" x14ac:dyDescent="0.35">
      <c r="A7739">
        <v>0</v>
      </c>
      <c r="B7739">
        <v>0</v>
      </c>
      <c r="C7739">
        <v>0</v>
      </c>
      <c r="D7739">
        <v>0</v>
      </c>
      <c r="E7739">
        <v>0</v>
      </c>
    </row>
    <row r="7740" spans="1:5" x14ac:dyDescent="0.35">
      <c r="A7740">
        <v>0</v>
      </c>
      <c r="B7740">
        <v>0</v>
      </c>
      <c r="C7740">
        <v>0</v>
      </c>
      <c r="D7740">
        <v>0</v>
      </c>
      <c r="E7740">
        <v>0</v>
      </c>
    </row>
    <row r="7741" spans="1:5" x14ac:dyDescent="0.35">
      <c r="A7741">
        <v>0</v>
      </c>
      <c r="B7741">
        <v>0</v>
      </c>
      <c r="C7741">
        <v>0</v>
      </c>
      <c r="D7741">
        <v>0</v>
      </c>
      <c r="E7741">
        <v>0</v>
      </c>
    </row>
    <row r="7742" spans="1:5" x14ac:dyDescent="0.35">
      <c r="A7742">
        <v>0</v>
      </c>
      <c r="B7742">
        <v>0</v>
      </c>
      <c r="C7742">
        <v>0</v>
      </c>
      <c r="D7742">
        <v>0</v>
      </c>
      <c r="E7742">
        <v>0</v>
      </c>
    </row>
    <row r="7743" spans="1:5" x14ac:dyDescent="0.35">
      <c r="A7743">
        <v>0</v>
      </c>
      <c r="B7743">
        <v>0</v>
      </c>
      <c r="C7743">
        <v>0</v>
      </c>
      <c r="D7743">
        <v>0</v>
      </c>
      <c r="E7743">
        <v>0</v>
      </c>
    </row>
    <row r="7744" spans="1:5" x14ac:dyDescent="0.35">
      <c r="A7744">
        <v>0</v>
      </c>
      <c r="B7744">
        <v>0</v>
      </c>
      <c r="C7744">
        <v>0</v>
      </c>
      <c r="D7744">
        <v>0</v>
      </c>
      <c r="E7744">
        <v>0</v>
      </c>
    </row>
    <row r="7745" spans="1:5" x14ac:dyDescent="0.35">
      <c r="A7745">
        <v>0</v>
      </c>
      <c r="B7745">
        <v>0</v>
      </c>
      <c r="C7745">
        <v>0</v>
      </c>
      <c r="D7745">
        <v>0</v>
      </c>
      <c r="E7745">
        <v>0</v>
      </c>
    </row>
    <row r="7746" spans="1:5" x14ac:dyDescent="0.35">
      <c r="A7746">
        <v>0</v>
      </c>
      <c r="B7746">
        <v>0</v>
      </c>
      <c r="C7746">
        <v>0</v>
      </c>
      <c r="D7746">
        <v>0</v>
      </c>
      <c r="E7746">
        <v>0</v>
      </c>
    </row>
    <row r="7747" spans="1:5" x14ac:dyDescent="0.35">
      <c r="A7747">
        <v>0</v>
      </c>
      <c r="B7747">
        <v>0</v>
      </c>
      <c r="C7747">
        <v>0</v>
      </c>
      <c r="D7747">
        <v>0</v>
      </c>
      <c r="E7747">
        <v>0</v>
      </c>
    </row>
    <row r="7748" spans="1:5" x14ac:dyDescent="0.35">
      <c r="A7748">
        <v>0</v>
      </c>
      <c r="B7748">
        <v>0</v>
      </c>
      <c r="C7748">
        <v>0</v>
      </c>
      <c r="D7748">
        <v>0</v>
      </c>
      <c r="E7748">
        <v>0</v>
      </c>
    </row>
    <row r="7749" spans="1:5" x14ac:dyDescent="0.35">
      <c r="A7749">
        <v>0</v>
      </c>
      <c r="B7749">
        <v>0</v>
      </c>
      <c r="C7749">
        <v>0</v>
      </c>
      <c r="D7749">
        <v>0</v>
      </c>
      <c r="E7749">
        <v>0</v>
      </c>
    </row>
    <row r="7750" spans="1:5" x14ac:dyDescent="0.35">
      <c r="A7750">
        <v>0</v>
      </c>
      <c r="B7750">
        <v>0</v>
      </c>
      <c r="C7750">
        <v>0</v>
      </c>
      <c r="D7750">
        <v>0</v>
      </c>
      <c r="E7750">
        <v>0</v>
      </c>
    </row>
    <row r="7751" spans="1:5" x14ac:dyDescent="0.35">
      <c r="A7751">
        <v>0</v>
      </c>
      <c r="B7751">
        <v>0</v>
      </c>
      <c r="C7751">
        <v>0</v>
      </c>
      <c r="D7751">
        <v>0</v>
      </c>
      <c r="E7751">
        <v>0</v>
      </c>
    </row>
    <row r="7752" spans="1:5" x14ac:dyDescent="0.35">
      <c r="A7752">
        <v>0</v>
      </c>
      <c r="B7752">
        <v>0</v>
      </c>
      <c r="C7752">
        <v>0</v>
      </c>
      <c r="D7752">
        <v>0</v>
      </c>
      <c r="E7752">
        <v>0</v>
      </c>
    </row>
    <row r="7753" spans="1:5" x14ac:dyDescent="0.35">
      <c r="A7753">
        <v>0</v>
      </c>
      <c r="B7753">
        <v>0</v>
      </c>
      <c r="C7753">
        <v>0</v>
      </c>
      <c r="D7753">
        <v>0</v>
      </c>
      <c r="E7753">
        <v>0</v>
      </c>
    </row>
    <row r="7754" spans="1:5" x14ac:dyDescent="0.35">
      <c r="A7754">
        <v>0</v>
      </c>
      <c r="B7754">
        <v>0</v>
      </c>
      <c r="C7754">
        <v>0</v>
      </c>
      <c r="D7754">
        <v>0</v>
      </c>
      <c r="E7754">
        <v>0</v>
      </c>
    </row>
    <row r="7755" spans="1:5" x14ac:dyDescent="0.35">
      <c r="A7755">
        <v>0</v>
      </c>
      <c r="B7755">
        <v>0</v>
      </c>
      <c r="C7755">
        <v>0</v>
      </c>
      <c r="D7755">
        <v>0</v>
      </c>
      <c r="E7755">
        <v>0</v>
      </c>
    </row>
    <row r="7756" spans="1:5" x14ac:dyDescent="0.35">
      <c r="A7756">
        <v>0</v>
      </c>
      <c r="B7756">
        <v>0</v>
      </c>
      <c r="C7756">
        <v>0</v>
      </c>
      <c r="D7756">
        <v>0</v>
      </c>
      <c r="E7756">
        <v>0</v>
      </c>
    </row>
    <row r="7757" spans="1:5" x14ac:dyDescent="0.35">
      <c r="A7757">
        <v>0</v>
      </c>
      <c r="B7757">
        <v>0</v>
      </c>
      <c r="C7757">
        <v>0</v>
      </c>
      <c r="D7757">
        <v>0</v>
      </c>
      <c r="E7757">
        <v>0</v>
      </c>
    </row>
    <row r="7758" spans="1:5" x14ac:dyDescent="0.35">
      <c r="A7758">
        <v>0</v>
      </c>
      <c r="B7758">
        <v>0</v>
      </c>
      <c r="C7758">
        <v>0</v>
      </c>
      <c r="D7758">
        <v>0</v>
      </c>
      <c r="E7758">
        <v>0</v>
      </c>
    </row>
    <row r="7759" spans="1:5" x14ac:dyDescent="0.35">
      <c r="A7759">
        <v>0</v>
      </c>
      <c r="B7759">
        <v>0</v>
      </c>
      <c r="C7759">
        <v>0</v>
      </c>
      <c r="D7759">
        <v>0</v>
      </c>
      <c r="E7759">
        <v>0</v>
      </c>
    </row>
    <row r="7760" spans="1:5" x14ac:dyDescent="0.35">
      <c r="A7760">
        <v>0</v>
      </c>
      <c r="B7760">
        <v>0</v>
      </c>
      <c r="C7760">
        <v>0</v>
      </c>
      <c r="D7760">
        <v>0</v>
      </c>
      <c r="E7760">
        <v>0</v>
      </c>
    </row>
    <row r="7761" spans="1:5" x14ac:dyDescent="0.35">
      <c r="A7761">
        <v>0</v>
      </c>
      <c r="B7761">
        <v>0</v>
      </c>
      <c r="C7761">
        <v>0</v>
      </c>
      <c r="D7761">
        <v>0</v>
      </c>
      <c r="E7761">
        <v>0</v>
      </c>
    </row>
    <row r="7762" spans="1:5" x14ac:dyDescent="0.35">
      <c r="A7762">
        <v>0</v>
      </c>
      <c r="B7762">
        <v>0</v>
      </c>
      <c r="C7762">
        <v>0</v>
      </c>
      <c r="D7762">
        <v>0</v>
      </c>
      <c r="E7762">
        <v>0</v>
      </c>
    </row>
    <row r="7763" spans="1:5" x14ac:dyDescent="0.35">
      <c r="A7763">
        <v>0</v>
      </c>
      <c r="B7763">
        <v>0</v>
      </c>
      <c r="C7763">
        <v>0</v>
      </c>
      <c r="D7763">
        <v>0</v>
      </c>
      <c r="E7763">
        <v>0</v>
      </c>
    </row>
    <row r="7764" spans="1:5" x14ac:dyDescent="0.35">
      <c r="A7764">
        <v>0</v>
      </c>
      <c r="B7764">
        <v>0</v>
      </c>
      <c r="C7764">
        <v>0</v>
      </c>
      <c r="D7764">
        <v>0</v>
      </c>
      <c r="E7764">
        <v>0</v>
      </c>
    </row>
    <row r="7765" spans="1:5" x14ac:dyDescent="0.35">
      <c r="A7765">
        <v>0</v>
      </c>
      <c r="B7765">
        <v>0</v>
      </c>
      <c r="C7765">
        <v>0</v>
      </c>
      <c r="D7765">
        <v>0</v>
      </c>
      <c r="E7765">
        <v>0</v>
      </c>
    </row>
    <row r="7766" spans="1:5" x14ac:dyDescent="0.35">
      <c r="A7766">
        <v>0</v>
      </c>
      <c r="B7766">
        <v>0</v>
      </c>
      <c r="C7766">
        <v>0</v>
      </c>
      <c r="D7766">
        <v>0</v>
      </c>
      <c r="E7766">
        <v>0</v>
      </c>
    </row>
    <row r="7767" spans="1:5" x14ac:dyDescent="0.35">
      <c r="A7767">
        <v>0</v>
      </c>
      <c r="B7767">
        <v>0</v>
      </c>
      <c r="C7767">
        <v>0</v>
      </c>
      <c r="D7767">
        <v>0</v>
      </c>
      <c r="E7767">
        <v>0</v>
      </c>
    </row>
    <row r="7768" spans="1:5" x14ac:dyDescent="0.35">
      <c r="A7768">
        <v>0</v>
      </c>
      <c r="B7768">
        <v>0</v>
      </c>
      <c r="C7768">
        <v>0</v>
      </c>
      <c r="D7768">
        <v>0</v>
      </c>
      <c r="E7768">
        <v>0</v>
      </c>
    </row>
    <row r="7769" spans="1:5" x14ac:dyDescent="0.35">
      <c r="A7769">
        <v>0</v>
      </c>
      <c r="B7769">
        <v>0</v>
      </c>
      <c r="C7769">
        <v>0</v>
      </c>
      <c r="D7769">
        <v>0</v>
      </c>
      <c r="E7769">
        <v>0</v>
      </c>
    </row>
    <row r="7770" spans="1:5" x14ac:dyDescent="0.35">
      <c r="A7770">
        <v>0</v>
      </c>
      <c r="B7770">
        <v>0</v>
      </c>
      <c r="C7770">
        <v>0</v>
      </c>
      <c r="D7770">
        <v>0</v>
      </c>
      <c r="E7770">
        <v>0</v>
      </c>
    </row>
    <row r="7771" spans="1:5" x14ac:dyDescent="0.35">
      <c r="A7771">
        <v>0</v>
      </c>
      <c r="B7771">
        <v>0</v>
      </c>
      <c r="C7771">
        <v>0</v>
      </c>
      <c r="D7771">
        <v>0</v>
      </c>
      <c r="E7771">
        <v>0</v>
      </c>
    </row>
    <row r="7772" spans="1:5" x14ac:dyDescent="0.35">
      <c r="A7772">
        <v>0</v>
      </c>
      <c r="B7772">
        <v>0</v>
      </c>
      <c r="C7772">
        <v>0</v>
      </c>
      <c r="D7772">
        <v>0</v>
      </c>
      <c r="E7772">
        <v>0</v>
      </c>
    </row>
    <row r="7773" spans="1:5" x14ac:dyDescent="0.35">
      <c r="A7773">
        <v>0</v>
      </c>
      <c r="B7773">
        <v>0</v>
      </c>
      <c r="C7773">
        <v>0</v>
      </c>
      <c r="D7773">
        <v>0</v>
      </c>
      <c r="E7773">
        <v>0</v>
      </c>
    </row>
    <row r="7774" spans="1:5" x14ac:dyDescent="0.35">
      <c r="A7774">
        <v>0</v>
      </c>
      <c r="B7774">
        <v>0</v>
      </c>
      <c r="C7774">
        <v>0</v>
      </c>
      <c r="D7774">
        <v>0</v>
      </c>
      <c r="E7774">
        <v>0</v>
      </c>
    </row>
    <row r="7775" spans="1:5" x14ac:dyDescent="0.35">
      <c r="A7775">
        <v>0</v>
      </c>
      <c r="B7775">
        <v>0</v>
      </c>
      <c r="C7775">
        <v>0</v>
      </c>
      <c r="D7775">
        <v>0</v>
      </c>
      <c r="E7775">
        <v>0</v>
      </c>
    </row>
    <row r="7776" spans="1:5" x14ac:dyDescent="0.35">
      <c r="A7776">
        <v>0</v>
      </c>
      <c r="B7776">
        <v>0</v>
      </c>
      <c r="C7776">
        <v>0</v>
      </c>
      <c r="D7776">
        <v>0</v>
      </c>
      <c r="E7776">
        <v>0</v>
      </c>
    </row>
    <row r="7777" spans="1:5" x14ac:dyDescent="0.35">
      <c r="A7777">
        <v>0</v>
      </c>
      <c r="B7777">
        <v>0</v>
      </c>
      <c r="C7777">
        <v>0</v>
      </c>
      <c r="D7777">
        <v>0</v>
      </c>
      <c r="E7777">
        <v>0</v>
      </c>
    </row>
    <row r="7778" spans="1:5" x14ac:dyDescent="0.35">
      <c r="A7778">
        <v>0</v>
      </c>
      <c r="B7778">
        <v>0</v>
      </c>
      <c r="C7778">
        <v>0</v>
      </c>
      <c r="D7778">
        <v>0</v>
      </c>
      <c r="E7778">
        <v>0</v>
      </c>
    </row>
    <row r="7779" spans="1:5" x14ac:dyDescent="0.35">
      <c r="A7779">
        <v>0</v>
      </c>
      <c r="B7779">
        <v>0</v>
      </c>
      <c r="C7779">
        <v>0</v>
      </c>
      <c r="D7779">
        <v>0</v>
      </c>
      <c r="E7779">
        <v>0</v>
      </c>
    </row>
    <row r="7780" spans="1:5" x14ac:dyDescent="0.35">
      <c r="A7780">
        <v>0</v>
      </c>
      <c r="B7780">
        <v>0</v>
      </c>
      <c r="C7780">
        <v>0</v>
      </c>
      <c r="D7780">
        <v>0</v>
      </c>
      <c r="E7780">
        <v>0</v>
      </c>
    </row>
    <row r="7781" spans="1:5" x14ac:dyDescent="0.35">
      <c r="A7781">
        <v>0</v>
      </c>
      <c r="B7781">
        <v>0</v>
      </c>
      <c r="C7781">
        <v>0</v>
      </c>
      <c r="D7781">
        <v>0</v>
      </c>
      <c r="E7781">
        <v>0</v>
      </c>
    </row>
    <row r="7782" spans="1:5" x14ac:dyDescent="0.35">
      <c r="A7782">
        <v>0</v>
      </c>
      <c r="B7782">
        <v>0</v>
      </c>
      <c r="C7782">
        <v>0</v>
      </c>
      <c r="D7782">
        <v>0</v>
      </c>
      <c r="E7782">
        <v>0</v>
      </c>
    </row>
    <row r="7783" spans="1:5" x14ac:dyDescent="0.35">
      <c r="A7783">
        <v>0</v>
      </c>
      <c r="B7783">
        <v>0</v>
      </c>
      <c r="C7783">
        <v>0</v>
      </c>
      <c r="D7783">
        <v>0</v>
      </c>
      <c r="E7783">
        <v>0</v>
      </c>
    </row>
    <row r="7784" spans="1:5" x14ac:dyDescent="0.35">
      <c r="A7784">
        <v>0</v>
      </c>
      <c r="B7784">
        <v>0</v>
      </c>
      <c r="C7784">
        <v>0</v>
      </c>
      <c r="D7784">
        <v>0</v>
      </c>
      <c r="E7784">
        <v>0</v>
      </c>
    </row>
    <row r="7785" spans="1:5" x14ac:dyDescent="0.35">
      <c r="A7785">
        <v>0</v>
      </c>
      <c r="B7785">
        <v>0</v>
      </c>
      <c r="C7785">
        <v>0</v>
      </c>
      <c r="D7785">
        <v>0</v>
      </c>
      <c r="E7785">
        <v>0</v>
      </c>
    </row>
    <row r="7786" spans="1:5" x14ac:dyDescent="0.35">
      <c r="A7786">
        <v>0</v>
      </c>
      <c r="B7786">
        <v>0</v>
      </c>
      <c r="C7786">
        <v>0</v>
      </c>
      <c r="D7786">
        <v>0</v>
      </c>
      <c r="E7786">
        <v>0</v>
      </c>
    </row>
    <row r="7787" spans="1:5" x14ac:dyDescent="0.35">
      <c r="A7787">
        <v>0</v>
      </c>
      <c r="B7787">
        <v>0</v>
      </c>
      <c r="C7787">
        <v>0</v>
      </c>
      <c r="D7787">
        <v>0</v>
      </c>
      <c r="E7787">
        <v>0</v>
      </c>
    </row>
    <row r="7788" spans="1:5" x14ac:dyDescent="0.35">
      <c r="A7788">
        <v>0</v>
      </c>
      <c r="B7788">
        <v>0</v>
      </c>
      <c r="C7788">
        <v>0</v>
      </c>
      <c r="D7788">
        <v>0</v>
      </c>
      <c r="E7788">
        <v>0</v>
      </c>
    </row>
    <row r="7789" spans="1:5" x14ac:dyDescent="0.35">
      <c r="A7789">
        <v>0</v>
      </c>
      <c r="B7789">
        <v>0</v>
      </c>
      <c r="C7789">
        <v>0</v>
      </c>
      <c r="D7789">
        <v>0</v>
      </c>
      <c r="E7789">
        <v>0</v>
      </c>
    </row>
    <row r="7790" spans="1:5" x14ac:dyDescent="0.35">
      <c r="A7790">
        <v>0</v>
      </c>
      <c r="B7790">
        <v>0</v>
      </c>
      <c r="C7790">
        <v>0</v>
      </c>
      <c r="D7790">
        <v>0</v>
      </c>
      <c r="E7790">
        <v>0</v>
      </c>
    </row>
    <row r="7791" spans="1:5" x14ac:dyDescent="0.35">
      <c r="A7791">
        <v>0</v>
      </c>
      <c r="B7791">
        <v>0</v>
      </c>
      <c r="C7791">
        <v>0</v>
      </c>
      <c r="D7791">
        <v>0</v>
      </c>
      <c r="E7791">
        <v>0</v>
      </c>
    </row>
    <row r="7792" spans="1:5" x14ac:dyDescent="0.35">
      <c r="A7792">
        <v>0</v>
      </c>
      <c r="B7792">
        <v>0</v>
      </c>
      <c r="C7792">
        <v>0</v>
      </c>
      <c r="D7792">
        <v>0</v>
      </c>
      <c r="E7792">
        <v>0</v>
      </c>
    </row>
    <row r="7793" spans="1:5" x14ac:dyDescent="0.35">
      <c r="A7793">
        <v>0</v>
      </c>
      <c r="B7793">
        <v>0</v>
      </c>
      <c r="C7793">
        <v>0</v>
      </c>
      <c r="D7793">
        <v>0</v>
      </c>
      <c r="E7793">
        <v>0</v>
      </c>
    </row>
    <row r="7794" spans="1:5" x14ac:dyDescent="0.35">
      <c r="A7794">
        <v>0</v>
      </c>
      <c r="B7794">
        <v>0</v>
      </c>
      <c r="C7794">
        <v>0</v>
      </c>
      <c r="D7794">
        <v>0</v>
      </c>
      <c r="E7794">
        <v>0</v>
      </c>
    </row>
    <row r="7795" spans="1:5" x14ac:dyDescent="0.35">
      <c r="A7795">
        <v>0</v>
      </c>
      <c r="B7795">
        <v>0</v>
      </c>
      <c r="C7795">
        <v>0</v>
      </c>
      <c r="D7795">
        <v>0</v>
      </c>
      <c r="E7795">
        <v>0</v>
      </c>
    </row>
    <row r="7796" spans="1:5" x14ac:dyDescent="0.35">
      <c r="A7796">
        <v>0</v>
      </c>
      <c r="B7796">
        <v>0</v>
      </c>
      <c r="C7796">
        <v>0</v>
      </c>
      <c r="D7796">
        <v>0</v>
      </c>
      <c r="E7796">
        <v>0</v>
      </c>
    </row>
    <row r="7797" spans="1:5" x14ac:dyDescent="0.35">
      <c r="A7797">
        <v>0</v>
      </c>
      <c r="B7797">
        <v>0</v>
      </c>
      <c r="C7797">
        <v>0</v>
      </c>
      <c r="D7797">
        <v>0</v>
      </c>
      <c r="E7797">
        <v>0</v>
      </c>
    </row>
    <row r="7798" spans="1:5" x14ac:dyDescent="0.35">
      <c r="A7798">
        <v>0</v>
      </c>
      <c r="B7798">
        <v>0</v>
      </c>
      <c r="C7798">
        <v>0</v>
      </c>
      <c r="D7798">
        <v>0</v>
      </c>
      <c r="E7798">
        <v>0</v>
      </c>
    </row>
    <row r="7799" spans="1:5" x14ac:dyDescent="0.35">
      <c r="A7799">
        <v>0</v>
      </c>
      <c r="B7799">
        <v>0</v>
      </c>
      <c r="C7799">
        <v>0</v>
      </c>
      <c r="D7799">
        <v>0</v>
      </c>
      <c r="E7799">
        <v>0</v>
      </c>
    </row>
    <row r="7800" spans="1:5" x14ac:dyDescent="0.35">
      <c r="A7800">
        <v>0</v>
      </c>
      <c r="B7800">
        <v>0</v>
      </c>
      <c r="C7800">
        <v>0</v>
      </c>
      <c r="D7800">
        <v>0</v>
      </c>
      <c r="E7800">
        <v>0</v>
      </c>
    </row>
    <row r="7801" spans="1:5" x14ac:dyDescent="0.35">
      <c r="A7801">
        <v>0</v>
      </c>
      <c r="B7801">
        <v>0</v>
      </c>
      <c r="C7801">
        <v>0</v>
      </c>
      <c r="D7801">
        <v>0</v>
      </c>
      <c r="E7801">
        <v>0</v>
      </c>
    </row>
    <row r="7802" spans="1:5" x14ac:dyDescent="0.35">
      <c r="A7802">
        <v>0</v>
      </c>
      <c r="B7802">
        <v>0</v>
      </c>
      <c r="C7802">
        <v>0</v>
      </c>
      <c r="D7802">
        <v>0</v>
      </c>
      <c r="E7802">
        <v>0</v>
      </c>
    </row>
    <row r="7803" spans="1:5" x14ac:dyDescent="0.35">
      <c r="A7803">
        <v>0</v>
      </c>
      <c r="B7803">
        <v>0</v>
      </c>
      <c r="C7803">
        <v>0</v>
      </c>
      <c r="D7803">
        <v>0</v>
      </c>
      <c r="E7803">
        <v>0</v>
      </c>
    </row>
    <row r="7804" spans="1:5" x14ac:dyDescent="0.35">
      <c r="A7804">
        <v>0</v>
      </c>
      <c r="B7804">
        <v>0</v>
      </c>
      <c r="C7804">
        <v>0</v>
      </c>
      <c r="D7804">
        <v>0</v>
      </c>
      <c r="E7804">
        <v>0</v>
      </c>
    </row>
    <row r="7805" spans="1:5" x14ac:dyDescent="0.35">
      <c r="A7805">
        <v>0</v>
      </c>
      <c r="B7805">
        <v>0</v>
      </c>
      <c r="C7805">
        <v>0</v>
      </c>
      <c r="D7805">
        <v>0</v>
      </c>
      <c r="E7805">
        <v>0</v>
      </c>
    </row>
    <row r="7806" spans="1:5" x14ac:dyDescent="0.35">
      <c r="A7806">
        <v>0</v>
      </c>
      <c r="B7806">
        <v>0</v>
      </c>
      <c r="C7806">
        <v>0</v>
      </c>
      <c r="D7806">
        <v>0</v>
      </c>
      <c r="E7806">
        <v>0</v>
      </c>
    </row>
    <row r="7807" spans="1:5" x14ac:dyDescent="0.35">
      <c r="A7807">
        <v>0</v>
      </c>
      <c r="B7807">
        <v>0</v>
      </c>
      <c r="C7807">
        <v>0</v>
      </c>
      <c r="D7807">
        <v>0</v>
      </c>
      <c r="E7807">
        <v>0</v>
      </c>
    </row>
    <row r="7808" spans="1:5" x14ac:dyDescent="0.35">
      <c r="A7808">
        <v>0</v>
      </c>
      <c r="B7808">
        <v>0</v>
      </c>
      <c r="C7808">
        <v>0</v>
      </c>
      <c r="D7808">
        <v>0</v>
      </c>
      <c r="E7808">
        <v>0</v>
      </c>
    </row>
    <row r="7809" spans="1:5" x14ac:dyDescent="0.35">
      <c r="A7809">
        <v>0</v>
      </c>
      <c r="B7809">
        <v>0</v>
      </c>
      <c r="C7809">
        <v>0</v>
      </c>
      <c r="D7809">
        <v>0</v>
      </c>
      <c r="E7809">
        <v>0</v>
      </c>
    </row>
    <row r="7810" spans="1:5" x14ac:dyDescent="0.35">
      <c r="A7810">
        <v>0</v>
      </c>
      <c r="B7810">
        <v>0</v>
      </c>
      <c r="C7810">
        <v>0</v>
      </c>
      <c r="D7810">
        <v>0</v>
      </c>
      <c r="E7810">
        <v>0</v>
      </c>
    </row>
    <row r="7811" spans="1:5" x14ac:dyDescent="0.35">
      <c r="A7811">
        <v>0</v>
      </c>
      <c r="B7811">
        <v>0</v>
      </c>
      <c r="C7811">
        <v>0</v>
      </c>
      <c r="D7811">
        <v>0</v>
      </c>
      <c r="E7811">
        <v>0</v>
      </c>
    </row>
    <row r="7812" spans="1:5" x14ac:dyDescent="0.35">
      <c r="A7812">
        <v>0</v>
      </c>
      <c r="B7812">
        <v>0</v>
      </c>
      <c r="C7812">
        <v>0</v>
      </c>
      <c r="D7812">
        <v>0</v>
      </c>
      <c r="E7812">
        <v>0</v>
      </c>
    </row>
    <row r="7813" spans="1:5" x14ac:dyDescent="0.35">
      <c r="A7813">
        <v>0</v>
      </c>
      <c r="B7813">
        <v>0</v>
      </c>
      <c r="C7813">
        <v>0</v>
      </c>
      <c r="D7813">
        <v>0</v>
      </c>
      <c r="E7813">
        <v>0</v>
      </c>
    </row>
    <row r="7814" spans="1:5" x14ac:dyDescent="0.35">
      <c r="A7814">
        <v>0</v>
      </c>
      <c r="B7814">
        <v>0</v>
      </c>
      <c r="C7814">
        <v>0</v>
      </c>
      <c r="D7814">
        <v>0</v>
      </c>
      <c r="E7814">
        <v>0</v>
      </c>
    </row>
    <row r="7815" spans="1:5" x14ac:dyDescent="0.35">
      <c r="A7815">
        <v>0</v>
      </c>
      <c r="B7815">
        <v>0</v>
      </c>
      <c r="C7815">
        <v>0</v>
      </c>
      <c r="D7815">
        <v>0</v>
      </c>
      <c r="E7815">
        <v>0</v>
      </c>
    </row>
    <row r="7816" spans="1:5" x14ac:dyDescent="0.35">
      <c r="A7816">
        <v>0</v>
      </c>
      <c r="B7816">
        <v>0</v>
      </c>
      <c r="C7816">
        <v>0</v>
      </c>
      <c r="D7816">
        <v>0</v>
      </c>
      <c r="E7816">
        <v>0</v>
      </c>
    </row>
    <row r="7817" spans="1:5" x14ac:dyDescent="0.35">
      <c r="A7817">
        <v>0</v>
      </c>
      <c r="B7817">
        <v>0</v>
      </c>
      <c r="C7817">
        <v>0</v>
      </c>
      <c r="D7817">
        <v>0</v>
      </c>
      <c r="E7817">
        <v>0</v>
      </c>
    </row>
    <row r="7818" spans="1:5" x14ac:dyDescent="0.35">
      <c r="A7818">
        <v>0</v>
      </c>
      <c r="B7818">
        <v>0</v>
      </c>
      <c r="C7818">
        <v>0</v>
      </c>
      <c r="D7818">
        <v>0</v>
      </c>
      <c r="E7818">
        <v>0</v>
      </c>
    </row>
    <row r="7819" spans="1:5" x14ac:dyDescent="0.35">
      <c r="A7819">
        <v>0</v>
      </c>
      <c r="B7819">
        <v>0</v>
      </c>
      <c r="C7819">
        <v>0</v>
      </c>
      <c r="D7819">
        <v>0</v>
      </c>
      <c r="E7819">
        <v>0</v>
      </c>
    </row>
    <row r="7820" spans="1:5" x14ac:dyDescent="0.35">
      <c r="A7820">
        <v>0</v>
      </c>
      <c r="B7820">
        <v>0</v>
      </c>
      <c r="C7820">
        <v>0</v>
      </c>
      <c r="D7820">
        <v>0</v>
      </c>
      <c r="E7820">
        <v>0</v>
      </c>
    </row>
    <row r="7821" spans="1:5" x14ac:dyDescent="0.35">
      <c r="A7821">
        <v>0</v>
      </c>
      <c r="B7821">
        <v>0</v>
      </c>
      <c r="C7821">
        <v>0</v>
      </c>
      <c r="D7821">
        <v>0</v>
      </c>
      <c r="E7821">
        <v>0</v>
      </c>
    </row>
    <row r="7822" spans="1:5" x14ac:dyDescent="0.35">
      <c r="A7822">
        <v>0</v>
      </c>
      <c r="B7822">
        <v>0</v>
      </c>
      <c r="C7822">
        <v>0</v>
      </c>
      <c r="D7822">
        <v>0</v>
      </c>
      <c r="E7822">
        <v>0</v>
      </c>
    </row>
    <row r="7823" spans="1:5" x14ac:dyDescent="0.35">
      <c r="A7823">
        <v>0</v>
      </c>
      <c r="B7823">
        <v>0</v>
      </c>
      <c r="C7823">
        <v>0</v>
      </c>
      <c r="D7823">
        <v>0</v>
      </c>
      <c r="E7823">
        <v>0</v>
      </c>
    </row>
    <row r="7824" spans="1:5" x14ac:dyDescent="0.35">
      <c r="A7824">
        <v>0</v>
      </c>
      <c r="B7824">
        <v>0</v>
      </c>
      <c r="C7824">
        <v>0</v>
      </c>
      <c r="D7824">
        <v>0</v>
      </c>
      <c r="E7824">
        <v>0</v>
      </c>
    </row>
    <row r="7825" spans="1:5" x14ac:dyDescent="0.35">
      <c r="A7825">
        <v>0</v>
      </c>
      <c r="B7825">
        <v>0</v>
      </c>
      <c r="C7825">
        <v>0</v>
      </c>
      <c r="D7825">
        <v>0</v>
      </c>
      <c r="E7825">
        <v>0</v>
      </c>
    </row>
    <row r="7826" spans="1:5" x14ac:dyDescent="0.35">
      <c r="A7826">
        <v>0</v>
      </c>
      <c r="B7826">
        <v>0</v>
      </c>
      <c r="C7826">
        <v>0</v>
      </c>
      <c r="D7826">
        <v>0</v>
      </c>
      <c r="E7826">
        <v>0</v>
      </c>
    </row>
    <row r="7827" spans="1:5" x14ac:dyDescent="0.35">
      <c r="A7827">
        <v>0</v>
      </c>
      <c r="B7827">
        <v>0</v>
      </c>
      <c r="C7827">
        <v>0</v>
      </c>
      <c r="D7827">
        <v>0</v>
      </c>
      <c r="E7827">
        <v>0</v>
      </c>
    </row>
    <row r="7828" spans="1:5" x14ac:dyDescent="0.35">
      <c r="A7828">
        <v>0</v>
      </c>
      <c r="B7828">
        <v>0</v>
      </c>
      <c r="C7828">
        <v>0</v>
      </c>
      <c r="D7828">
        <v>0</v>
      </c>
      <c r="E7828">
        <v>0</v>
      </c>
    </row>
    <row r="7829" spans="1:5" x14ac:dyDescent="0.35">
      <c r="A7829">
        <v>0</v>
      </c>
      <c r="B7829">
        <v>0</v>
      </c>
      <c r="C7829">
        <v>0</v>
      </c>
      <c r="D7829">
        <v>0</v>
      </c>
      <c r="E7829">
        <v>0</v>
      </c>
    </row>
    <row r="7830" spans="1:5" x14ac:dyDescent="0.35">
      <c r="A7830">
        <v>0</v>
      </c>
      <c r="B7830">
        <v>0</v>
      </c>
      <c r="C7830">
        <v>0</v>
      </c>
      <c r="D7830">
        <v>0</v>
      </c>
      <c r="E7830">
        <v>0</v>
      </c>
    </row>
    <row r="7831" spans="1:5" x14ac:dyDescent="0.35">
      <c r="A7831">
        <v>0</v>
      </c>
      <c r="B7831">
        <v>0</v>
      </c>
      <c r="C7831">
        <v>0</v>
      </c>
      <c r="D7831">
        <v>0</v>
      </c>
      <c r="E7831">
        <v>0</v>
      </c>
    </row>
    <row r="7832" spans="1:5" x14ac:dyDescent="0.35">
      <c r="A7832">
        <v>0</v>
      </c>
      <c r="B7832">
        <v>0</v>
      </c>
      <c r="C7832">
        <v>0</v>
      </c>
      <c r="D7832">
        <v>0</v>
      </c>
      <c r="E7832">
        <v>0</v>
      </c>
    </row>
    <row r="7833" spans="1:5" x14ac:dyDescent="0.35">
      <c r="A7833">
        <v>0</v>
      </c>
      <c r="B7833">
        <v>0</v>
      </c>
      <c r="C7833">
        <v>0</v>
      </c>
      <c r="D7833">
        <v>0</v>
      </c>
      <c r="E7833">
        <v>0</v>
      </c>
    </row>
    <row r="7834" spans="1:5" x14ac:dyDescent="0.35">
      <c r="A7834">
        <v>0</v>
      </c>
      <c r="B7834">
        <v>0</v>
      </c>
      <c r="C7834">
        <v>0</v>
      </c>
      <c r="D7834">
        <v>0</v>
      </c>
      <c r="E7834">
        <v>0</v>
      </c>
    </row>
    <row r="7835" spans="1:5" x14ac:dyDescent="0.35">
      <c r="A7835">
        <v>0</v>
      </c>
      <c r="B7835">
        <v>0</v>
      </c>
      <c r="C7835">
        <v>0</v>
      </c>
      <c r="D7835">
        <v>0</v>
      </c>
      <c r="E7835">
        <v>0</v>
      </c>
    </row>
    <row r="7836" spans="1:5" x14ac:dyDescent="0.35">
      <c r="A7836">
        <v>0</v>
      </c>
      <c r="B7836">
        <v>0</v>
      </c>
      <c r="C7836">
        <v>0</v>
      </c>
      <c r="D7836">
        <v>0</v>
      </c>
      <c r="E7836">
        <v>0</v>
      </c>
    </row>
    <row r="7837" spans="1:5" x14ac:dyDescent="0.35">
      <c r="A7837">
        <v>0</v>
      </c>
      <c r="B7837">
        <v>0</v>
      </c>
      <c r="C7837">
        <v>0</v>
      </c>
      <c r="D7837">
        <v>0</v>
      </c>
      <c r="E7837">
        <v>0</v>
      </c>
    </row>
    <row r="7838" spans="1:5" x14ac:dyDescent="0.35">
      <c r="A7838">
        <v>0</v>
      </c>
      <c r="B7838">
        <v>0</v>
      </c>
      <c r="C7838">
        <v>0</v>
      </c>
      <c r="D7838">
        <v>0</v>
      </c>
      <c r="E7838">
        <v>0</v>
      </c>
    </row>
    <row r="7839" spans="1:5" x14ac:dyDescent="0.35">
      <c r="A7839">
        <v>0</v>
      </c>
      <c r="B7839">
        <v>0</v>
      </c>
      <c r="C7839">
        <v>0</v>
      </c>
      <c r="D7839">
        <v>0</v>
      </c>
      <c r="E7839">
        <v>0</v>
      </c>
    </row>
    <row r="7840" spans="1:5" x14ac:dyDescent="0.35">
      <c r="A7840">
        <v>0</v>
      </c>
      <c r="B7840">
        <v>0</v>
      </c>
      <c r="C7840">
        <v>0</v>
      </c>
      <c r="D7840">
        <v>0</v>
      </c>
      <c r="E7840">
        <v>0</v>
      </c>
    </row>
    <row r="7841" spans="1:5" x14ac:dyDescent="0.35">
      <c r="A7841">
        <v>0</v>
      </c>
      <c r="B7841">
        <v>0</v>
      </c>
      <c r="C7841">
        <v>0</v>
      </c>
      <c r="D7841">
        <v>0</v>
      </c>
      <c r="E7841">
        <v>0</v>
      </c>
    </row>
    <row r="7842" spans="1:5" x14ac:dyDescent="0.35">
      <c r="A7842">
        <v>0</v>
      </c>
      <c r="B7842">
        <v>0</v>
      </c>
      <c r="C7842">
        <v>0</v>
      </c>
      <c r="D7842">
        <v>0</v>
      </c>
      <c r="E7842">
        <v>0</v>
      </c>
    </row>
    <row r="7843" spans="1:5" x14ac:dyDescent="0.35">
      <c r="A7843">
        <v>0</v>
      </c>
      <c r="B7843">
        <v>0</v>
      </c>
      <c r="C7843">
        <v>0</v>
      </c>
      <c r="D7843">
        <v>0</v>
      </c>
      <c r="E7843">
        <v>0</v>
      </c>
    </row>
    <row r="7844" spans="1:5" x14ac:dyDescent="0.35">
      <c r="A7844">
        <v>0</v>
      </c>
      <c r="B7844">
        <v>0</v>
      </c>
      <c r="C7844">
        <v>0</v>
      </c>
      <c r="D7844">
        <v>0</v>
      </c>
      <c r="E7844">
        <v>0</v>
      </c>
    </row>
    <row r="7845" spans="1:5" x14ac:dyDescent="0.35">
      <c r="A7845">
        <v>0</v>
      </c>
      <c r="B7845">
        <v>0</v>
      </c>
      <c r="C7845">
        <v>0</v>
      </c>
      <c r="D7845">
        <v>0</v>
      </c>
      <c r="E7845">
        <v>0</v>
      </c>
    </row>
    <row r="7846" spans="1:5" x14ac:dyDescent="0.35">
      <c r="A7846">
        <v>0</v>
      </c>
      <c r="B7846">
        <v>0</v>
      </c>
      <c r="C7846">
        <v>0</v>
      </c>
      <c r="D7846">
        <v>0</v>
      </c>
      <c r="E7846">
        <v>0</v>
      </c>
    </row>
    <row r="7847" spans="1:5" x14ac:dyDescent="0.35">
      <c r="A7847">
        <v>0</v>
      </c>
      <c r="B7847">
        <v>0</v>
      </c>
      <c r="C7847">
        <v>0</v>
      </c>
      <c r="D7847">
        <v>0</v>
      </c>
      <c r="E7847">
        <v>0</v>
      </c>
    </row>
    <row r="7848" spans="1:5" x14ac:dyDescent="0.35">
      <c r="A7848">
        <v>0</v>
      </c>
      <c r="B7848">
        <v>0</v>
      </c>
      <c r="C7848">
        <v>0</v>
      </c>
      <c r="D7848">
        <v>0</v>
      </c>
      <c r="E7848">
        <v>0</v>
      </c>
    </row>
    <row r="7849" spans="1:5" x14ac:dyDescent="0.35">
      <c r="A7849">
        <v>0</v>
      </c>
      <c r="B7849">
        <v>0</v>
      </c>
      <c r="C7849">
        <v>0</v>
      </c>
      <c r="D7849">
        <v>0</v>
      </c>
      <c r="E7849">
        <v>0</v>
      </c>
    </row>
    <row r="7850" spans="1:5" x14ac:dyDescent="0.35">
      <c r="A7850">
        <v>0</v>
      </c>
      <c r="B7850">
        <v>0</v>
      </c>
      <c r="C7850">
        <v>0</v>
      </c>
      <c r="D7850">
        <v>0</v>
      </c>
      <c r="E7850">
        <v>0</v>
      </c>
    </row>
    <row r="7851" spans="1:5" x14ac:dyDescent="0.35">
      <c r="A7851">
        <v>0</v>
      </c>
      <c r="B7851">
        <v>0</v>
      </c>
      <c r="C7851">
        <v>0</v>
      </c>
      <c r="D7851">
        <v>0</v>
      </c>
      <c r="E7851">
        <v>0</v>
      </c>
    </row>
    <row r="7852" spans="1:5" x14ac:dyDescent="0.35">
      <c r="A7852">
        <v>0</v>
      </c>
      <c r="B7852">
        <v>0</v>
      </c>
      <c r="C7852">
        <v>0</v>
      </c>
      <c r="D7852">
        <v>0</v>
      </c>
      <c r="E7852">
        <v>0</v>
      </c>
    </row>
    <row r="7853" spans="1:5" x14ac:dyDescent="0.35">
      <c r="A7853">
        <v>0</v>
      </c>
      <c r="B7853">
        <v>0</v>
      </c>
      <c r="C7853">
        <v>0</v>
      </c>
      <c r="D7853">
        <v>0</v>
      </c>
      <c r="E7853">
        <v>0</v>
      </c>
    </row>
    <row r="7854" spans="1:5" x14ac:dyDescent="0.35">
      <c r="A7854">
        <v>0</v>
      </c>
      <c r="B7854">
        <v>0</v>
      </c>
      <c r="C7854">
        <v>0</v>
      </c>
      <c r="D7854">
        <v>0</v>
      </c>
      <c r="E7854">
        <v>0</v>
      </c>
    </row>
    <row r="7855" spans="1:5" x14ac:dyDescent="0.35">
      <c r="A7855">
        <v>0</v>
      </c>
      <c r="B7855">
        <v>0</v>
      </c>
      <c r="C7855">
        <v>0</v>
      </c>
      <c r="D7855">
        <v>0</v>
      </c>
      <c r="E7855">
        <v>0</v>
      </c>
    </row>
    <row r="7856" spans="1:5" x14ac:dyDescent="0.35">
      <c r="A7856">
        <v>0</v>
      </c>
      <c r="B7856">
        <v>0</v>
      </c>
      <c r="C7856">
        <v>0</v>
      </c>
      <c r="D7856">
        <v>0</v>
      </c>
      <c r="E7856">
        <v>0</v>
      </c>
    </row>
    <row r="7857" spans="1:5" x14ac:dyDescent="0.35">
      <c r="A7857">
        <v>0</v>
      </c>
      <c r="B7857">
        <v>0</v>
      </c>
      <c r="C7857">
        <v>0</v>
      </c>
      <c r="D7857">
        <v>0</v>
      </c>
      <c r="E7857">
        <v>0</v>
      </c>
    </row>
    <row r="7858" spans="1:5" x14ac:dyDescent="0.35">
      <c r="A7858">
        <v>0</v>
      </c>
      <c r="B7858">
        <v>0</v>
      </c>
      <c r="C7858">
        <v>0</v>
      </c>
      <c r="D7858">
        <v>0</v>
      </c>
      <c r="E7858">
        <v>0</v>
      </c>
    </row>
    <row r="7859" spans="1:5" x14ac:dyDescent="0.35">
      <c r="A7859">
        <v>0</v>
      </c>
      <c r="B7859">
        <v>0</v>
      </c>
      <c r="C7859">
        <v>0</v>
      </c>
      <c r="D7859">
        <v>0</v>
      </c>
      <c r="E7859">
        <v>0</v>
      </c>
    </row>
    <row r="7860" spans="1:5" x14ac:dyDescent="0.35">
      <c r="A7860">
        <v>0</v>
      </c>
      <c r="B7860">
        <v>0</v>
      </c>
      <c r="C7860">
        <v>0</v>
      </c>
      <c r="D7860">
        <v>0</v>
      </c>
      <c r="E7860">
        <v>0</v>
      </c>
    </row>
    <row r="7861" spans="1:5" x14ac:dyDescent="0.35">
      <c r="A7861">
        <v>0</v>
      </c>
      <c r="B7861">
        <v>0</v>
      </c>
      <c r="C7861">
        <v>0</v>
      </c>
      <c r="D7861">
        <v>0</v>
      </c>
      <c r="E7861">
        <v>0</v>
      </c>
    </row>
    <row r="7862" spans="1:5" x14ac:dyDescent="0.35">
      <c r="A7862">
        <v>0</v>
      </c>
      <c r="B7862">
        <v>0</v>
      </c>
      <c r="C7862">
        <v>0</v>
      </c>
      <c r="D7862">
        <v>0</v>
      </c>
      <c r="E7862">
        <v>0</v>
      </c>
    </row>
    <row r="7863" spans="1:5" x14ac:dyDescent="0.35">
      <c r="A7863">
        <v>0</v>
      </c>
      <c r="B7863">
        <v>0</v>
      </c>
      <c r="C7863">
        <v>0</v>
      </c>
      <c r="D7863">
        <v>0</v>
      </c>
      <c r="E7863">
        <v>0</v>
      </c>
    </row>
    <row r="7864" spans="1:5" x14ac:dyDescent="0.35">
      <c r="A7864">
        <v>0</v>
      </c>
      <c r="B7864">
        <v>0</v>
      </c>
      <c r="C7864">
        <v>0</v>
      </c>
      <c r="D7864">
        <v>0</v>
      </c>
      <c r="E7864">
        <v>0</v>
      </c>
    </row>
    <row r="7865" spans="1:5" x14ac:dyDescent="0.35">
      <c r="A7865">
        <v>0</v>
      </c>
      <c r="B7865">
        <v>0</v>
      </c>
      <c r="C7865">
        <v>0</v>
      </c>
      <c r="D7865">
        <v>0</v>
      </c>
      <c r="E7865">
        <v>0</v>
      </c>
    </row>
    <row r="7866" spans="1:5" x14ac:dyDescent="0.35">
      <c r="A7866">
        <v>0</v>
      </c>
      <c r="B7866">
        <v>0</v>
      </c>
      <c r="C7866">
        <v>0</v>
      </c>
      <c r="D7866">
        <v>0</v>
      </c>
      <c r="E7866">
        <v>0</v>
      </c>
    </row>
    <row r="7867" spans="1:5" x14ac:dyDescent="0.35">
      <c r="A7867">
        <v>0</v>
      </c>
      <c r="B7867">
        <v>0</v>
      </c>
      <c r="C7867">
        <v>0</v>
      </c>
      <c r="D7867">
        <v>0</v>
      </c>
      <c r="E7867">
        <v>0</v>
      </c>
    </row>
    <row r="7868" spans="1:5" x14ac:dyDescent="0.35">
      <c r="A7868">
        <v>0</v>
      </c>
      <c r="B7868">
        <v>0</v>
      </c>
      <c r="C7868">
        <v>0</v>
      </c>
      <c r="D7868">
        <v>0</v>
      </c>
      <c r="E7868">
        <v>0</v>
      </c>
    </row>
    <row r="7869" spans="1:5" x14ac:dyDescent="0.35">
      <c r="A7869">
        <v>0</v>
      </c>
      <c r="B7869">
        <v>0</v>
      </c>
      <c r="C7869">
        <v>0</v>
      </c>
      <c r="D7869">
        <v>0</v>
      </c>
      <c r="E7869">
        <v>0</v>
      </c>
    </row>
    <row r="7870" spans="1:5" x14ac:dyDescent="0.35">
      <c r="A7870">
        <v>0</v>
      </c>
      <c r="B7870">
        <v>0</v>
      </c>
      <c r="C7870">
        <v>0</v>
      </c>
      <c r="D7870">
        <v>0</v>
      </c>
      <c r="E7870">
        <v>0</v>
      </c>
    </row>
    <row r="7871" spans="1:5" x14ac:dyDescent="0.35">
      <c r="A7871">
        <v>0</v>
      </c>
      <c r="B7871">
        <v>0</v>
      </c>
      <c r="C7871">
        <v>0</v>
      </c>
      <c r="D7871">
        <v>0</v>
      </c>
      <c r="E7871">
        <v>0</v>
      </c>
    </row>
    <row r="7872" spans="1:5" x14ac:dyDescent="0.35">
      <c r="A7872">
        <v>0</v>
      </c>
      <c r="B7872">
        <v>0</v>
      </c>
      <c r="C7872">
        <v>0</v>
      </c>
      <c r="D7872">
        <v>0</v>
      </c>
      <c r="E7872">
        <v>0</v>
      </c>
    </row>
    <row r="7873" spans="1:5" x14ac:dyDescent="0.35">
      <c r="A7873">
        <v>0</v>
      </c>
      <c r="B7873">
        <v>0</v>
      </c>
      <c r="C7873">
        <v>0</v>
      </c>
      <c r="D7873">
        <v>0</v>
      </c>
      <c r="E7873">
        <v>0</v>
      </c>
    </row>
    <row r="7874" spans="1:5" x14ac:dyDescent="0.35">
      <c r="A7874">
        <v>0</v>
      </c>
      <c r="B7874">
        <v>0</v>
      </c>
      <c r="C7874">
        <v>0</v>
      </c>
      <c r="D7874">
        <v>0</v>
      </c>
      <c r="E7874">
        <v>0</v>
      </c>
    </row>
    <row r="7875" spans="1:5" x14ac:dyDescent="0.35">
      <c r="A7875">
        <v>0</v>
      </c>
      <c r="B7875">
        <v>0</v>
      </c>
      <c r="C7875">
        <v>0</v>
      </c>
      <c r="D7875">
        <v>0</v>
      </c>
      <c r="E7875">
        <v>0</v>
      </c>
    </row>
    <row r="7876" spans="1:5" x14ac:dyDescent="0.35">
      <c r="A7876">
        <v>0</v>
      </c>
      <c r="B7876">
        <v>0</v>
      </c>
      <c r="C7876">
        <v>0</v>
      </c>
      <c r="D7876">
        <v>0</v>
      </c>
      <c r="E7876">
        <v>0</v>
      </c>
    </row>
    <row r="7877" spans="1:5" x14ac:dyDescent="0.35">
      <c r="A7877">
        <v>0</v>
      </c>
      <c r="B7877">
        <v>0</v>
      </c>
      <c r="C7877">
        <v>0</v>
      </c>
      <c r="D7877">
        <v>0</v>
      </c>
      <c r="E7877">
        <v>0</v>
      </c>
    </row>
    <row r="7878" spans="1:5" x14ac:dyDescent="0.35">
      <c r="A7878">
        <v>0</v>
      </c>
      <c r="B7878">
        <v>0</v>
      </c>
      <c r="C7878">
        <v>0</v>
      </c>
      <c r="D7878">
        <v>0</v>
      </c>
      <c r="E7878">
        <v>0</v>
      </c>
    </row>
    <row r="7879" spans="1:5" x14ac:dyDescent="0.35">
      <c r="A7879">
        <v>0</v>
      </c>
      <c r="B7879">
        <v>0</v>
      </c>
      <c r="C7879">
        <v>0</v>
      </c>
      <c r="D7879">
        <v>0</v>
      </c>
      <c r="E7879">
        <v>0</v>
      </c>
    </row>
    <row r="7880" spans="1:5" x14ac:dyDescent="0.35">
      <c r="A7880">
        <v>0</v>
      </c>
      <c r="B7880">
        <v>0</v>
      </c>
      <c r="C7880">
        <v>0</v>
      </c>
      <c r="D7880">
        <v>0</v>
      </c>
      <c r="E7880">
        <v>0</v>
      </c>
    </row>
    <row r="7881" spans="1:5" x14ac:dyDescent="0.35">
      <c r="A7881">
        <v>0</v>
      </c>
      <c r="B7881">
        <v>0</v>
      </c>
      <c r="C7881">
        <v>0</v>
      </c>
      <c r="D7881">
        <v>0</v>
      </c>
      <c r="E7881">
        <v>0</v>
      </c>
    </row>
    <row r="7882" spans="1:5" x14ac:dyDescent="0.35">
      <c r="A7882">
        <v>0</v>
      </c>
      <c r="B7882">
        <v>0</v>
      </c>
      <c r="C7882">
        <v>0</v>
      </c>
      <c r="D7882">
        <v>0</v>
      </c>
      <c r="E7882">
        <v>0</v>
      </c>
    </row>
    <row r="7883" spans="1:5" x14ac:dyDescent="0.35">
      <c r="A7883">
        <v>0</v>
      </c>
      <c r="B7883">
        <v>0</v>
      </c>
      <c r="C7883">
        <v>0</v>
      </c>
      <c r="D7883">
        <v>0</v>
      </c>
      <c r="E7883">
        <v>0</v>
      </c>
    </row>
    <row r="7884" spans="1:5" x14ac:dyDescent="0.35">
      <c r="A7884">
        <v>0</v>
      </c>
      <c r="B7884">
        <v>0</v>
      </c>
      <c r="C7884">
        <v>0</v>
      </c>
      <c r="D7884">
        <v>0</v>
      </c>
      <c r="E7884">
        <v>0</v>
      </c>
    </row>
    <row r="7885" spans="1:5" x14ac:dyDescent="0.35">
      <c r="A7885">
        <v>0</v>
      </c>
      <c r="B7885">
        <v>0</v>
      </c>
      <c r="C7885">
        <v>0</v>
      </c>
      <c r="D7885">
        <v>0</v>
      </c>
      <c r="E7885">
        <v>0</v>
      </c>
    </row>
    <row r="7886" spans="1:5" x14ac:dyDescent="0.35">
      <c r="A7886">
        <v>0</v>
      </c>
      <c r="B7886">
        <v>0</v>
      </c>
      <c r="C7886">
        <v>0</v>
      </c>
      <c r="D7886">
        <v>0</v>
      </c>
      <c r="E7886">
        <v>0</v>
      </c>
    </row>
    <row r="7887" spans="1:5" x14ac:dyDescent="0.35">
      <c r="A7887">
        <v>0</v>
      </c>
      <c r="B7887">
        <v>0</v>
      </c>
      <c r="C7887">
        <v>0</v>
      </c>
      <c r="D7887">
        <v>0</v>
      </c>
      <c r="E7887">
        <v>0</v>
      </c>
    </row>
    <row r="7888" spans="1:5" x14ac:dyDescent="0.35">
      <c r="A7888">
        <v>0</v>
      </c>
      <c r="B7888">
        <v>0</v>
      </c>
      <c r="C7888">
        <v>0</v>
      </c>
      <c r="D7888">
        <v>0</v>
      </c>
      <c r="E7888">
        <v>0</v>
      </c>
    </row>
    <row r="7889" spans="1:5" x14ac:dyDescent="0.35">
      <c r="A7889">
        <v>0</v>
      </c>
      <c r="B7889">
        <v>0</v>
      </c>
      <c r="C7889">
        <v>0</v>
      </c>
      <c r="D7889">
        <v>0</v>
      </c>
      <c r="E7889">
        <v>0</v>
      </c>
    </row>
    <row r="7890" spans="1:5" x14ac:dyDescent="0.35">
      <c r="A7890">
        <v>0</v>
      </c>
      <c r="B7890">
        <v>0</v>
      </c>
      <c r="C7890">
        <v>0</v>
      </c>
      <c r="D7890">
        <v>0</v>
      </c>
      <c r="E7890">
        <v>0</v>
      </c>
    </row>
    <row r="7891" spans="1:5" x14ac:dyDescent="0.35">
      <c r="A7891">
        <v>0</v>
      </c>
      <c r="B7891">
        <v>0</v>
      </c>
      <c r="C7891">
        <v>0</v>
      </c>
      <c r="D7891">
        <v>0</v>
      </c>
      <c r="E7891">
        <v>0</v>
      </c>
    </row>
    <row r="7892" spans="1:5" x14ac:dyDescent="0.35">
      <c r="A7892">
        <v>0</v>
      </c>
      <c r="B7892">
        <v>0</v>
      </c>
      <c r="C7892">
        <v>0</v>
      </c>
      <c r="D7892">
        <v>0</v>
      </c>
      <c r="E7892">
        <v>0</v>
      </c>
    </row>
    <row r="7893" spans="1:5" x14ac:dyDescent="0.35">
      <c r="A7893">
        <v>0</v>
      </c>
      <c r="B7893">
        <v>0</v>
      </c>
      <c r="C7893">
        <v>0</v>
      </c>
      <c r="D7893">
        <v>0</v>
      </c>
      <c r="E7893">
        <v>0</v>
      </c>
    </row>
    <row r="7894" spans="1:5" x14ac:dyDescent="0.35">
      <c r="A7894">
        <v>0</v>
      </c>
      <c r="B7894">
        <v>0</v>
      </c>
      <c r="C7894">
        <v>0</v>
      </c>
      <c r="D7894">
        <v>0</v>
      </c>
      <c r="E7894">
        <v>0</v>
      </c>
    </row>
    <row r="7895" spans="1:5" x14ac:dyDescent="0.35">
      <c r="A7895">
        <v>0</v>
      </c>
      <c r="B7895">
        <v>0</v>
      </c>
      <c r="C7895">
        <v>0</v>
      </c>
      <c r="D7895">
        <v>0</v>
      </c>
      <c r="E7895">
        <v>0</v>
      </c>
    </row>
    <row r="7896" spans="1:5" x14ac:dyDescent="0.35">
      <c r="A7896">
        <v>0</v>
      </c>
      <c r="B7896">
        <v>0</v>
      </c>
      <c r="C7896">
        <v>0</v>
      </c>
      <c r="D7896">
        <v>0</v>
      </c>
      <c r="E7896">
        <v>0</v>
      </c>
    </row>
    <row r="7897" spans="1:5" x14ac:dyDescent="0.35">
      <c r="A7897">
        <v>0</v>
      </c>
      <c r="B7897">
        <v>0</v>
      </c>
      <c r="C7897">
        <v>0</v>
      </c>
      <c r="D7897">
        <v>0</v>
      </c>
      <c r="E7897">
        <v>0</v>
      </c>
    </row>
    <row r="7898" spans="1:5" x14ac:dyDescent="0.35">
      <c r="A7898">
        <v>0</v>
      </c>
      <c r="B7898">
        <v>0</v>
      </c>
      <c r="C7898">
        <v>0</v>
      </c>
      <c r="D7898">
        <v>0</v>
      </c>
      <c r="E7898">
        <v>0</v>
      </c>
    </row>
    <row r="7899" spans="1:5" x14ac:dyDescent="0.35">
      <c r="A7899">
        <v>0</v>
      </c>
      <c r="B7899">
        <v>0</v>
      </c>
      <c r="C7899">
        <v>0</v>
      </c>
      <c r="D7899">
        <v>0</v>
      </c>
      <c r="E7899">
        <v>0</v>
      </c>
    </row>
    <row r="7900" spans="1:5" x14ac:dyDescent="0.35">
      <c r="A7900">
        <v>0</v>
      </c>
      <c r="B7900">
        <v>0</v>
      </c>
      <c r="C7900">
        <v>0</v>
      </c>
      <c r="D7900">
        <v>0</v>
      </c>
      <c r="E7900">
        <v>0</v>
      </c>
    </row>
    <row r="7901" spans="1:5" x14ac:dyDescent="0.35">
      <c r="A7901">
        <v>0</v>
      </c>
      <c r="B7901">
        <v>0</v>
      </c>
      <c r="C7901">
        <v>0</v>
      </c>
      <c r="D7901">
        <v>0</v>
      </c>
      <c r="E7901">
        <v>0</v>
      </c>
    </row>
    <row r="7902" spans="1:5" x14ac:dyDescent="0.35">
      <c r="A7902">
        <v>0</v>
      </c>
      <c r="B7902">
        <v>0</v>
      </c>
      <c r="C7902">
        <v>0</v>
      </c>
      <c r="D7902">
        <v>0</v>
      </c>
      <c r="E7902">
        <v>0</v>
      </c>
    </row>
    <row r="7903" spans="1:5" x14ac:dyDescent="0.35">
      <c r="A7903">
        <v>0</v>
      </c>
      <c r="B7903">
        <v>0</v>
      </c>
      <c r="C7903">
        <v>0</v>
      </c>
      <c r="D7903">
        <v>0</v>
      </c>
      <c r="E7903">
        <v>0</v>
      </c>
    </row>
    <row r="7904" spans="1:5" x14ac:dyDescent="0.35">
      <c r="A7904">
        <v>0</v>
      </c>
      <c r="B7904">
        <v>0</v>
      </c>
      <c r="C7904">
        <v>0</v>
      </c>
      <c r="D7904">
        <v>0</v>
      </c>
      <c r="E7904">
        <v>0</v>
      </c>
    </row>
    <row r="7905" spans="1:5" x14ac:dyDescent="0.35">
      <c r="A7905">
        <v>0</v>
      </c>
      <c r="B7905">
        <v>0</v>
      </c>
      <c r="C7905">
        <v>0</v>
      </c>
      <c r="D7905">
        <v>0</v>
      </c>
      <c r="E7905">
        <v>0</v>
      </c>
    </row>
    <row r="7906" spans="1:5" x14ac:dyDescent="0.35">
      <c r="A7906">
        <v>0</v>
      </c>
      <c r="B7906">
        <v>0</v>
      </c>
      <c r="C7906">
        <v>0</v>
      </c>
      <c r="D7906">
        <v>0</v>
      </c>
      <c r="E7906">
        <v>0</v>
      </c>
    </row>
    <row r="7907" spans="1:5" x14ac:dyDescent="0.35">
      <c r="A7907">
        <v>0</v>
      </c>
      <c r="B7907">
        <v>0</v>
      </c>
      <c r="C7907">
        <v>0</v>
      </c>
      <c r="D7907">
        <v>0</v>
      </c>
      <c r="E7907">
        <v>0</v>
      </c>
    </row>
    <row r="7908" spans="1:5" x14ac:dyDescent="0.35">
      <c r="A7908">
        <v>0</v>
      </c>
      <c r="B7908">
        <v>0</v>
      </c>
      <c r="C7908">
        <v>0</v>
      </c>
      <c r="D7908">
        <v>0</v>
      </c>
      <c r="E7908">
        <v>0</v>
      </c>
    </row>
    <row r="7909" spans="1:5" x14ac:dyDescent="0.35">
      <c r="A7909">
        <v>0</v>
      </c>
      <c r="B7909">
        <v>0</v>
      </c>
      <c r="C7909">
        <v>0</v>
      </c>
      <c r="D7909">
        <v>0</v>
      </c>
      <c r="E7909">
        <v>0</v>
      </c>
    </row>
    <row r="7910" spans="1:5" x14ac:dyDescent="0.35">
      <c r="A7910">
        <v>0</v>
      </c>
      <c r="B7910">
        <v>0</v>
      </c>
      <c r="C7910">
        <v>0</v>
      </c>
      <c r="D7910">
        <v>0</v>
      </c>
      <c r="E7910">
        <v>0</v>
      </c>
    </row>
    <row r="7911" spans="1:5" x14ac:dyDescent="0.35">
      <c r="A7911">
        <v>0</v>
      </c>
      <c r="B7911">
        <v>0</v>
      </c>
      <c r="C7911">
        <v>0</v>
      </c>
      <c r="D7911">
        <v>0</v>
      </c>
      <c r="E7911">
        <v>0</v>
      </c>
    </row>
    <row r="7912" spans="1:5" x14ac:dyDescent="0.35">
      <c r="A7912">
        <v>0</v>
      </c>
      <c r="B7912">
        <v>0</v>
      </c>
      <c r="C7912">
        <v>0</v>
      </c>
      <c r="D7912">
        <v>0</v>
      </c>
      <c r="E7912">
        <v>0</v>
      </c>
    </row>
    <row r="7913" spans="1:5" x14ac:dyDescent="0.35">
      <c r="A7913">
        <v>0</v>
      </c>
      <c r="B7913">
        <v>0</v>
      </c>
      <c r="C7913">
        <v>0</v>
      </c>
      <c r="D7913">
        <v>0</v>
      </c>
      <c r="E7913">
        <v>0</v>
      </c>
    </row>
    <row r="7914" spans="1:5" x14ac:dyDescent="0.35">
      <c r="A7914">
        <v>0</v>
      </c>
      <c r="B7914">
        <v>0</v>
      </c>
      <c r="C7914">
        <v>0</v>
      </c>
      <c r="D7914">
        <v>0</v>
      </c>
      <c r="E7914">
        <v>0</v>
      </c>
    </row>
    <row r="7915" spans="1:5" x14ac:dyDescent="0.35">
      <c r="A7915">
        <v>0</v>
      </c>
      <c r="B7915">
        <v>0</v>
      </c>
      <c r="C7915">
        <v>0</v>
      </c>
      <c r="D7915">
        <v>0</v>
      </c>
      <c r="E7915">
        <v>0</v>
      </c>
    </row>
    <row r="7916" spans="1:5" x14ac:dyDescent="0.35">
      <c r="A7916">
        <v>0</v>
      </c>
      <c r="B7916">
        <v>0</v>
      </c>
      <c r="C7916">
        <v>0</v>
      </c>
      <c r="D7916">
        <v>0</v>
      </c>
      <c r="E7916">
        <v>0</v>
      </c>
    </row>
    <row r="7917" spans="1:5" x14ac:dyDescent="0.35">
      <c r="A7917">
        <v>0</v>
      </c>
      <c r="B7917">
        <v>0</v>
      </c>
      <c r="C7917">
        <v>0</v>
      </c>
      <c r="D7917">
        <v>0</v>
      </c>
      <c r="E7917">
        <v>0</v>
      </c>
    </row>
    <row r="7918" spans="1:5" x14ac:dyDescent="0.35">
      <c r="A7918">
        <v>0</v>
      </c>
      <c r="B7918">
        <v>0</v>
      </c>
      <c r="C7918">
        <v>0</v>
      </c>
      <c r="D7918">
        <v>0</v>
      </c>
      <c r="E7918">
        <v>0</v>
      </c>
    </row>
    <row r="7919" spans="1:5" x14ac:dyDescent="0.35">
      <c r="A7919">
        <v>0</v>
      </c>
      <c r="B7919">
        <v>0</v>
      </c>
      <c r="C7919">
        <v>0</v>
      </c>
      <c r="D7919">
        <v>0</v>
      </c>
      <c r="E7919">
        <v>0</v>
      </c>
    </row>
    <row r="7920" spans="1:5" x14ac:dyDescent="0.35">
      <c r="A7920">
        <v>0</v>
      </c>
      <c r="B7920">
        <v>0</v>
      </c>
      <c r="C7920">
        <v>0</v>
      </c>
      <c r="D7920">
        <v>0</v>
      </c>
      <c r="E7920">
        <v>0</v>
      </c>
    </row>
    <row r="7921" spans="1:5" x14ac:dyDescent="0.35">
      <c r="A7921">
        <v>0</v>
      </c>
      <c r="B7921">
        <v>0</v>
      </c>
      <c r="C7921">
        <v>0</v>
      </c>
      <c r="D7921">
        <v>0</v>
      </c>
      <c r="E7921">
        <v>0</v>
      </c>
    </row>
    <row r="7922" spans="1:5" x14ac:dyDescent="0.35">
      <c r="A7922">
        <v>0</v>
      </c>
      <c r="B7922">
        <v>0</v>
      </c>
      <c r="C7922">
        <v>0</v>
      </c>
      <c r="D7922">
        <v>0</v>
      </c>
      <c r="E7922">
        <v>0</v>
      </c>
    </row>
    <row r="7923" spans="1:5" x14ac:dyDescent="0.35">
      <c r="A7923">
        <v>0</v>
      </c>
      <c r="B7923">
        <v>0</v>
      </c>
      <c r="C7923">
        <v>0</v>
      </c>
      <c r="D7923">
        <v>0</v>
      </c>
      <c r="E7923">
        <v>0</v>
      </c>
    </row>
    <row r="7924" spans="1:5" x14ac:dyDescent="0.35">
      <c r="A7924">
        <v>0</v>
      </c>
      <c r="B7924">
        <v>0</v>
      </c>
      <c r="C7924">
        <v>0</v>
      </c>
      <c r="D7924">
        <v>0</v>
      </c>
      <c r="E7924">
        <v>0</v>
      </c>
    </row>
    <row r="7925" spans="1:5" x14ac:dyDescent="0.35">
      <c r="A7925">
        <v>0</v>
      </c>
      <c r="B7925">
        <v>0</v>
      </c>
      <c r="C7925">
        <v>0</v>
      </c>
      <c r="D7925">
        <v>0</v>
      </c>
      <c r="E7925">
        <v>0</v>
      </c>
    </row>
    <row r="7926" spans="1:5" x14ac:dyDescent="0.35">
      <c r="A7926">
        <v>0</v>
      </c>
      <c r="B7926">
        <v>0</v>
      </c>
      <c r="C7926">
        <v>0</v>
      </c>
      <c r="D7926">
        <v>0</v>
      </c>
      <c r="E7926">
        <v>0</v>
      </c>
    </row>
    <row r="7927" spans="1:5" x14ac:dyDescent="0.35">
      <c r="A7927">
        <v>0</v>
      </c>
      <c r="B7927">
        <v>0</v>
      </c>
      <c r="C7927">
        <v>0</v>
      </c>
      <c r="D7927">
        <v>0</v>
      </c>
      <c r="E7927">
        <v>0</v>
      </c>
    </row>
    <row r="7928" spans="1:5" x14ac:dyDescent="0.35">
      <c r="A7928">
        <v>0</v>
      </c>
      <c r="B7928">
        <v>0</v>
      </c>
      <c r="C7928">
        <v>0</v>
      </c>
      <c r="D7928">
        <v>0</v>
      </c>
      <c r="E7928">
        <v>0</v>
      </c>
    </row>
    <row r="7929" spans="1:5" x14ac:dyDescent="0.35">
      <c r="A7929">
        <v>0</v>
      </c>
      <c r="B7929">
        <v>0</v>
      </c>
      <c r="C7929">
        <v>0</v>
      </c>
      <c r="D7929">
        <v>0</v>
      </c>
      <c r="E7929">
        <v>0</v>
      </c>
    </row>
    <row r="7930" spans="1:5" x14ac:dyDescent="0.35">
      <c r="A7930">
        <v>0</v>
      </c>
      <c r="B7930">
        <v>0</v>
      </c>
      <c r="C7930">
        <v>0</v>
      </c>
      <c r="D7930">
        <v>0</v>
      </c>
      <c r="E7930">
        <v>0</v>
      </c>
    </row>
    <row r="7931" spans="1:5" x14ac:dyDescent="0.35">
      <c r="A7931">
        <v>0</v>
      </c>
      <c r="B7931">
        <v>0</v>
      </c>
      <c r="C7931">
        <v>0</v>
      </c>
      <c r="D7931">
        <v>0</v>
      </c>
      <c r="E7931">
        <v>0</v>
      </c>
    </row>
    <row r="7932" spans="1:5" x14ac:dyDescent="0.35">
      <c r="A7932">
        <v>0</v>
      </c>
      <c r="B7932">
        <v>0</v>
      </c>
      <c r="C7932">
        <v>0</v>
      </c>
      <c r="D7932">
        <v>0</v>
      </c>
      <c r="E7932">
        <v>0</v>
      </c>
    </row>
    <row r="7933" spans="1:5" x14ac:dyDescent="0.35">
      <c r="A7933">
        <v>0</v>
      </c>
      <c r="B7933">
        <v>0</v>
      </c>
      <c r="C7933">
        <v>0</v>
      </c>
      <c r="D7933">
        <v>0</v>
      </c>
      <c r="E7933">
        <v>0</v>
      </c>
    </row>
    <row r="7934" spans="1:5" x14ac:dyDescent="0.35">
      <c r="A7934">
        <v>0</v>
      </c>
      <c r="B7934">
        <v>0</v>
      </c>
      <c r="C7934">
        <v>0</v>
      </c>
      <c r="D7934">
        <v>0</v>
      </c>
      <c r="E7934">
        <v>0</v>
      </c>
    </row>
    <row r="7935" spans="1:5" x14ac:dyDescent="0.35">
      <c r="A7935">
        <v>0</v>
      </c>
      <c r="B7935">
        <v>0</v>
      </c>
      <c r="C7935">
        <v>0</v>
      </c>
      <c r="D7935">
        <v>0</v>
      </c>
      <c r="E7935">
        <v>0</v>
      </c>
    </row>
    <row r="7936" spans="1:5" x14ac:dyDescent="0.35">
      <c r="A7936">
        <v>0</v>
      </c>
      <c r="B7936">
        <v>0</v>
      </c>
      <c r="C7936">
        <v>0</v>
      </c>
      <c r="D7936">
        <v>0</v>
      </c>
      <c r="E7936">
        <v>0</v>
      </c>
    </row>
    <row r="7937" spans="1:5" x14ac:dyDescent="0.35">
      <c r="A7937">
        <v>0</v>
      </c>
      <c r="B7937">
        <v>0</v>
      </c>
      <c r="C7937">
        <v>0</v>
      </c>
      <c r="D7937">
        <v>0</v>
      </c>
      <c r="E7937">
        <v>0</v>
      </c>
    </row>
    <row r="7938" spans="1:5" x14ac:dyDescent="0.35">
      <c r="A7938">
        <v>0</v>
      </c>
      <c r="B7938">
        <v>0</v>
      </c>
      <c r="C7938">
        <v>0</v>
      </c>
      <c r="D7938">
        <v>0</v>
      </c>
      <c r="E7938">
        <v>0</v>
      </c>
    </row>
    <row r="7939" spans="1:5" x14ac:dyDescent="0.35">
      <c r="A7939">
        <v>0</v>
      </c>
      <c r="B7939">
        <v>0</v>
      </c>
      <c r="C7939">
        <v>0</v>
      </c>
      <c r="D7939">
        <v>0</v>
      </c>
      <c r="E7939">
        <v>0</v>
      </c>
    </row>
    <row r="7940" spans="1:5" x14ac:dyDescent="0.35">
      <c r="A7940">
        <v>0</v>
      </c>
      <c r="B7940">
        <v>0</v>
      </c>
      <c r="C7940">
        <v>0</v>
      </c>
      <c r="D7940">
        <v>0</v>
      </c>
      <c r="E7940">
        <v>0</v>
      </c>
    </row>
    <row r="7941" spans="1:5" x14ac:dyDescent="0.35">
      <c r="A7941">
        <v>0</v>
      </c>
      <c r="B7941">
        <v>0</v>
      </c>
      <c r="C7941">
        <v>0</v>
      </c>
      <c r="D7941">
        <v>0</v>
      </c>
      <c r="E7941">
        <v>0</v>
      </c>
    </row>
    <row r="7942" spans="1:5" x14ac:dyDescent="0.35">
      <c r="A7942">
        <v>0</v>
      </c>
      <c r="B7942">
        <v>0</v>
      </c>
      <c r="C7942">
        <v>0</v>
      </c>
      <c r="D7942">
        <v>0</v>
      </c>
      <c r="E7942">
        <v>0</v>
      </c>
    </row>
    <row r="7943" spans="1:5" x14ac:dyDescent="0.35">
      <c r="A7943">
        <v>0</v>
      </c>
      <c r="B7943">
        <v>0</v>
      </c>
      <c r="C7943">
        <v>0</v>
      </c>
      <c r="D7943">
        <v>0</v>
      </c>
      <c r="E7943">
        <v>0</v>
      </c>
    </row>
    <row r="7944" spans="1:5" x14ac:dyDescent="0.35">
      <c r="A7944">
        <v>0</v>
      </c>
      <c r="B7944">
        <v>0</v>
      </c>
      <c r="C7944">
        <v>0</v>
      </c>
      <c r="D7944">
        <v>0</v>
      </c>
      <c r="E7944">
        <v>0</v>
      </c>
    </row>
    <row r="7945" spans="1:5" x14ac:dyDescent="0.35">
      <c r="A7945">
        <v>0</v>
      </c>
      <c r="B7945">
        <v>0</v>
      </c>
      <c r="C7945">
        <v>0</v>
      </c>
      <c r="D7945">
        <v>0</v>
      </c>
      <c r="E7945">
        <v>0</v>
      </c>
    </row>
    <row r="7946" spans="1:5" x14ac:dyDescent="0.35">
      <c r="A7946">
        <v>0</v>
      </c>
      <c r="B7946">
        <v>0</v>
      </c>
      <c r="C7946">
        <v>0</v>
      </c>
      <c r="D7946">
        <v>0</v>
      </c>
      <c r="E7946">
        <v>0</v>
      </c>
    </row>
    <row r="7947" spans="1:5" x14ac:dyDescent="0.35">
      <c r="A7947">
        <v>0</v>
      </c>
      <c r="B7947">
        <v>0</v>
      </c>
      <c r="C7947">
        <v>0</v>
      </c>
      <c r="D7947">
        <v>0</v>
      </c>
      <c r="E7947">
        <v>0</v>
      </c>
    </row>
    <row r="7948" spans="1:5" x14ac:dyDescent="0.35">
      <c r="A7948">
        <v>0</v>
      </c>
      <c r="B7948">
        <v>0</v>
      </c>
      <c r="C7948">
        <v>0</v>
      </c>
      <c r="D7948">
        <v>0</v>
      </c>
      <c r="E7948">
        <v>0</v>
      </c>
    </row>
    <row r="7949" spans="1:5" x14ac:dyDescent="0.35">
      <c r="A7949">
        <v>0</v>
      </c>
      <c r="B7949">
        <v>0</v>
      </c>
      <c r="C7949">
        <v>0</v>
      </c>
      <c r="D7949">
        <v>0</v>
      </c>
      <c r="E7949">
        <v>0</v>
      </c>
    </row>
    <row r="7950" spans="1:5" x14ac:dyDescent="0.35">
      <c r="A7950">
        <v>0</v>
      </c>
      <c r="B7950">
        <v>0</v>
      </c>
      <c r="C7950">
        <v>0</v>
      </c>
      <c r="D7950">
        <v>0</v>
      </c>
      <c r="E7950">
        <v>0</v>
      </c>
    </row>
    <row r="7951" spans="1:5" x14ac:dyDescent="0.35">
      <c r="A7951">
        <v>0</v>
      </c>
      <c r="B7951">
        <v>0</v>
      </c>
      <c r="C7951">
        <v>0</v>
      </c>
      <c r="D7951">
        <v>0</v>
      </c>
      <c r="E7951">
        <v>0</v>
      </c>
    </row>
    <row r="7952" spans="1:5" x14ac:dyDescent="0.35">
      <c r="A7952">
        <v>0</v>
      </c>
      <c r="B7952">
        <v>0</v>
      </c>
      <c r="C7952">
        <v>0</v>
      </c>
      <c r="D7952">
        <v>0</v>
      </c>
      <c r="E7952">
        <v>0</v>
      </c>
    </row>
    <row r="7953" spans="1:5" x14ac:dyDescent="0.35">
      <c r="A7953">
        <v>0</v>
      </c>
      <c r="B7953">
        <v>0</v>
      </c>
      <c r="C7953">
        <v>0</v>
      </c>
      <c r="D7953">
        <v>0</v>
      </c>
      <c r="E7953">
        <v>0</v>
      </c>
    </row>
    <row r="7954" spans="1:5" x14ac:dyDescent="0.35">
      <c r="A7954">
        <v>0</v>
      </c>
      <c r="B7954">
        <v>0</v>
      </c>
      <c r="C7954">
        <v>0</v>
      </c>
      <c r="D7954">
        <v>0</v>
      </c>
      <c r="E7954">
        <v>0</v>
      </c>
    </row>
    <row r="7955" spans="1:5" x14ac:dyDescent="0.35">
      <c r="A7955">
        <v>0</v>
      </c>
      <c r="B7955">
        <v>0</v>
      </c>
      <c r="C7955">
        <v>0</v>
      </c>
      <c r="D7955">
        <v>0</v>
      </c>
      <c r="E7955">
        <v>0</v>
      </c>
    </row>
    <row r="7956" spans="1:5" x14ac:dyDescent="0.35">
      <c r="A7956">
        <v>0</v>
      </c>
      <c r="B7956">
        <v>0</v>
      </c>
      <c r="C7956">
        <v>0</v>
      </c>
      <c r="D7956">
        <v>0</v>
      </c>
      <c r="E7956">
        <v>0</v>
      </c>
    </row>
    <row r="7957" spans="1:5" x14ac:dyDescent="0.35">
      <c r="A7957">
        <v>0</v>
      </c>
      <c r="B7957">
        <v>0</v>
      </c>
      <c r="C7957">
        <v>0</v>
      </c>
      <c r="D7957">
        <v>0</v>
      </c>
      <c r="E7957">
        <v>0</v>
      </c>
    </row>
    <row r="7958" spans="1:5" x14ac:dyDescent="0.35">
      <c r="A7958">
        <v>0</v>
      </c>
      <c r="B7958">
        <v>0</v>
      </c>
      <c r="C7958">
        <v>0</v>
      </c>
      <c r="D7958">
        <v>0</v>
      </c>
      <c r="E7958">
        <v>0</v>
      </c>
    </row>
    <row r="7959" spans="1:5" x14ac:dyDescent="0.35">
      <c r="A7959">
        <v>0</v>
      </c>
      <c r="B7959">
        <v>0</v>
      </c>
      <c r="C7959">
        <v>0</v>
      </c>
      <c r="D7959">
        <v>0</v>
      </c>
      <c r="E7959">
        <v>0</v>
      </c>
    </row>
    <row r="7960" spans="1:5" x14ac:dyDescent="0.35">
      <c r="A7960">
        <v>0</v>
      </c>
      <c r="B7960">
        <v>0</v>
      </c>
      <c r="C7960">
        <v>0</v>
      </c>
      <c r="D7960">
        <v>0</v>
      </c>
      <c r="E7960">
        <v>0</v>
      </c>
    </row>
    <row r="7961" spans="1:5" x14ac:dyDescent="0.35">
      <c r="A7961">
        <v>0</v>
      </c>
      <c r="B7961">
        <v>0</v>
      </c>
      <c r="C7961">
        <v>0</v>
      </c>
      <c r="D7961">
        <v>0</v>
      </c>
      <c r="E7961">
        <v>0</v>
      </c>
    </row>
    <row r="7962" spans="1:5" x14ac:dyDescent="0.35">
      <c r="A7962">
        <v>0</v>
      </c>
      <c r="B7962">
        <v>0</v>
      </c>
      <c r="C7962">
        <v>0</v>
      </c>
      <c r="D7962">
        <v>0</v>
      </c>
      <c r="E7962">
        <v>0</v>
      </c>
    </row>
    <row r="7963" spans="1:5" x14ac:dyDescent="0.35">
      <c r="A7963">
        <v>0</v>
      </c>
      <c r="B7963">
        <v>0</v>
      </c>
      <c r="C7963">
        <v>0</v>
      </c>
      <c r="D7963">
        <v>0</v>
      </c>
      <c r="E7963">
        <v>0</v>
      </c>
    </row>
    <row r="7964" spans="1:5" x14ac:dyDescent="0.35">
      <c r="A7964">
        <v>0</v>
      </c>
      <c r="B7964">
        <v>0</v>
      </c>
      <c r="C7964">
        <v>0</v>
      </c>
      <c r="D7964">
        <v>0</v>
      </c>
      <c r="E7964">
        <v>0</v>
      </c>
    </row>
    <row r="7965" spans="1:5" x14ac:dyDescent="0.35">
      <c r="A7965">
        <v>0</v>
      </c>
      <c r="B7965">
        <v>0</v>
      </c>
      <c r="C7965">
        <v>0</v>
      </c>
      <c r="D7965">
        <v>0</v>
      </c>
      <c r="E7965">
        <v>0</v>
      </c>
    </row>
    <row r="7966" spans="1:5" x14ac:dyDescent="0.35">
      <c r="A7966">
        <v>0</v>
      </c>
      <c r="B7966">
        <v>0</v>
      </c>
      <c r="C7966">
        <v>0</v>
      </c>
      <c r="D7966">
        <v>0</v>
      </c>
      <c r="E7966">
        <v>0</v>
      </c>
    </row>
    <row r="7967" spans="1:5" x14ac:dyDescent="0.35">
      <c r="A7967">
        <v>0</v>
      </c>
      <c r="B7967">
        <v>0</v>
      </c>
      <c r="C7967">
        <v>0</v>
      </c>
      <c r="D7967">
        <v>0</v>
      </c>
      <c r="E7967">
        <v>0</v>
      </c>
    </row>
    <row r="7968" spans="1:5" x14ac:dyDescent="0.35">
      <c r="A7968">
        <v>0</v>
      </c>
      <c r="B7968">
        <v>0</v>
      </c>
      <c r="C7968">
        <v>0</v>
      </c>
      <c r="D7968">
        <v>0</v>
      </c>
      <c r="E7968">
        <v>0</v>
      </c>
    </row>
    <row r="7969" spans="1:5" x14ac:dyDescent="0.35">
      <c r="A7969">
        <v>0</v>
      </c>
      <c r="B7969">
        <v>0</v>
      </c>
      <c r="C7969">
        <v>0</v>
      </c>
      <c r="D7969">
        <v>0</v>
      </c>
      <c r="E7969">
        <v>0</v>
      </c>
    </row>
    <row r="7970" spans="1:5" x14ac:dyDescent="0.35">
      <c r="A7970">
        <v>0</v>
      </c>
      <c r="B7970">
        <v>0</v>
      </c>
      <c r="C7970">
        <v>0</v>
      </c>
      <c r="D7970">
        <v>0</v>
      </c>
      <c r="E7970">
        <v>0</v>
      </c>
    </row>
    <row r="7971" spans="1:5" x14ac:dyDescent="0.35">
      <c r="A7971">
        <v>0</v>
      </c>
      <c r="B7971">
        <v>0</v>
      </c>
      <c r="C7971">
        <v>0</v>
      </c>
      <c r="D7971">
        <v>0</v>
      </c>
      <c r="E7971">
        <v>0</v>
      </c>
    </row>
    <row r="7972" spans="1:5" x14ac:dyDescent="0.35">
      <c r="A7972">
        <v>0</v>
      </c>
      <c r="B7972">
        <v>0</v>
      </c>
      <c r="C7972">
        <v>0</v>
      </c>
      <c r="D7972">
        <v>0</v>
      </c>
      <c r="E7972">
        <v>0</v>
      </c>
    </row>
    <row r="7973" spans="1:5" x14ac:dyDescent="0.35">
      <c r="A7973">
        <v>0</v>
      </c>
      <c r="B7973">
        <v>0</v>
      </c>
      <c r="C7973">
        <v>0</v>
      </c>
      <c r="D7973">
        <v>0</v>
      </c>
      <c r="E7973">
        <v>0</v>
      </c>
    </row>
    <row r="7974" spans="1:5" x14ac:dyDescent="0.35">
      <c r="A7974">
        <v>0</v>
      </c>
      <c r="B7974">
        <v>0</v>
      </c>
      <c r="C7974">
        <v>0</v>
      </c>
      <c r="D7974">
        <v>0</v>
      </c>
      <c r="E7974">
        <v>0</v>
      </c>
    </row>
    <row r="7975" spans="1:5" x14ac:dyDescent="0.35">
      <c r="A7975">
        <v>0</v>
      </c>
      <c r="B7975">
        <v>0</v>
      </c>
      <c r="C7975">
        <v>0</v>
      </c>
      <c r="D7975">
        <v>0</v>
      </c>
      <c r="E7975">
        <v>0</v>
      </c>
    </row>
    <row r="7976" spans="1:5" x14ac:dyDescent="0.35">
      <c r="A7976">
        <v>0</v>
      </c>
      <c r="B7976">
        <v>0</v>
      </c>
      <c r="C7976">
        <v>0</v>
      </c>
      <c r="D7976">
        <v>0</v>
      </c>
      <c r="E7976">
        <v>0</v>
      </c>
    </row>
    <row r="7977" spans="1:5" x14ac:dyDescent="0.35">
      <c r="A7977">
        <v>0</v>
      </c>
      <c r="B7977">
        <v>0</v>
      </c>
      <c r="C7977">
        <v>0</v>
      </c>
      <c r="D7977">
        <v>0</v>
      </c>
      <c r="E7977">
        <v>0</v>
      </c>
    </row>
    <row r="7978" spans="1:5" x14ac:dyDescent="0.35">
      <c r="A7978">
        <v>0</v>
      </c>
      <c r="B7978">
        <v>0</v>
      </c>
      <c r="C7978">
        <v>0</v>
      </c>
      <c r="D7978">
        <v>0</v>
      </c>
      <c r="E7978">
        <v>0</v>
      </c>
    </row>
    <row r="7979" spans="1:5" x14ac:dyDescent="0.35">
      <c r="A7979">
        <v>0</v>
      </c>
      <c r="B7979">
        <v>0</v>
      </c>
      <c r="C7979">
        <v>0</v>
      </c>
      <c r="D7979">
        <v>0</v>
      </c>
      <c r="E7979">
        <v>0</v>
      </c>
    </row>
    <row r="7980" spans="1:5" x14ac:dyDescent="0.35">
      <c r="A7980">
        <v>0</v>
      </c>
      <c r="B7980">
        <v>0</v>
      </c>
      <c r="C7980">
        <v>0</v>
      </c>
      <c r="D7980">
        <v>0</v>
      </c>
      <c r="E7980">
        <v>0</v>
      </c>
    </row>
    <row r="7981" spans="1:5" x14ac:dyDescent="0.35">
      <c r="A7981">
        <v>0</v>
      </c>
      <c r="B7981">
        <v>0</v>
      </c>
      <c r="C7981">
        <v>0</v>
      </c>
      <c r="D7981">
        <v>0</v>
      </c>
      <c r="E7981">
        <v>0</v>
      </c>
    </row>
    <row r="7982" spans="1:5" x14ac:dyDescent="0.35">
      <c r="A7982">
        <v>0</v>
      </c>
      <c r="B7982">
        <v>0</v>
      </c>
      <c r="C7982">
        <v>0</v>
      </c>
      <c r="D7982">
        <v>0</v>
      </c>
      <c r="E7982">
        <v>0</v>
      </c>
    </row>
    <row r="7983" spans="1:5" x14ac:dyDescent="0.35">
      <c r="A7983">
        <v>0</v>
      </c>
      <c r="B7983">
        <v>0</v>
      </c>
      <c r="C7983">
        <v>0</v>
      </c>
      <c r="D7983">
        <v>0</v>
      </c>
      <c r="E7983">
        <v>0</v>
      </c>
    </row>
    <row r="7984" spans="1:5" x14ac:dyDescent="0.35">
      <c r="A7984">
        <v>0</v>
      </c>
      <c r="B7984">
        <v>0</v>
      </c>
      <c r="C7984">
        <v>0</v>
      </c>
      <c r="D7984">
        <v>0</v>
      </c>
      <c r="E7984">
        <v>0</v>
      </c>
    </row>
    <row r="7985" spans="1:5" x14ac:dyDescent="0.35">
      <c r="A7985">
        <v>0</v>
      </c>
      <c r="B7985">
        <v>0</v>
      </c>
      <c r="C7985">
        <v>0</v>
      </c>
      <c r="D7985">
        <v>0</v>
      </c>
      <c r="E7985">
        <v>0</v>
      </c>
    </row>
    <row r="7986" spans="1:5" x14ac:dyDescent="0.35">
      <c r="A7986">
        <v>0</v>
      </c>
      <c r="B7986">
        <v>0</v>
      </c>
      <c r="C7986">
        <v>0</v>
      </c>
      <c r="D7986">
        <v>0</v>
      </c>
      <c r="E7986">
        <v>0</v>
      </c>
    </row>
    <row r="7987" spans="1:5" x14ac:dyDescent="0.35">
      <c r="A7987">
        <v>0</v>
      </c>
      <c r="B7987">
        <v>0</v>
      </c>
      <c r="C7987">
        <v>0</v>
      </c>
      <c r="D7987">
        <v>0</v>
      </c>
      <c r="E7987">
        <v>0</v>
      </c>
    </row>
    <row r="7988" spans="1:5" x14ac:dyDescent="0.35">
      <c r="A7988">
        <v>0</v>
      </c>
      <c r="B7988">
        <v>0</v>
      </c>
      <c r="C7988">
        <v>0</v>
      </c>
      <c r="D7988">
        <v>0</v>
      </c>
      <c r="E7988">
        <v>0</v>
      </c>
    </row>
    <row r="7989" spans="1:5" x14ac:dyDescent="0.35">
      <c r="A7989">
        <v>0</v>
      </c>
      <c r="B7989">
        <v>0</v>
      </c>
      <c r="C7989">
        <v>0</v>
      </c>
      <c r="D7989">
        <v>0</v>
      </c>
      <c r="E7989">
        <v>0</v>
      </c>
    </row>
    <row r="7990" spans="1:5" x14ac:dyDescent="0.35">
      <c r="A7990">
        <v>0</v>
      </c>
      <c r="B7990">
        <v>0</v>
      </c>
      <c r="C7990">
        <v>0</v>
      </c>
      <c r="D7990">
        <v>0</v>
      </c>
      <c r="E7990">
        <v>0</v>
      </c>
    </row>
    <row r="7991" spans="1:5" x14ac:dyDescent="0.35">
      <c r="A7991">
        <v>0</v>
      </c>
      <c r="B7991">
        <v>0</v>
      </c>
      <c r="C7991">
        <v>0</v>
      </c>
      <c r="D7991">
        <v>0</v>
      </c>
      <c r="E7991">
        <v>0</v>
      </c>
    </row>
    <row r="7992" spans="1:5" x14ac:dyDescent="0.35">
      <c r="A7992">
        <v>0</v>
      </c>
      <c r="B7992">
        <v>0</v>
      </c>
      <c r="C7992">
        <v>0</v>
      </c>
      <c r="D7992">
        <v>0</v>
      </c>
      <c r="E7992">
        <v>0</v>
      </c>
    </row>
    <row r="7993" spans="1:5" x14ac:dyDescent="0.35">
      <c r="A7993">
        <v>0</v>
      </c>
      <c r="B7993">
        <v>0</v>
      </c>
      <c r="C7993">
        <v>0</v>
      </c>
      <c r="D7993">
        <v>0</v>
      </c>
      <c r="E7993">
        <v>0</v>
      </c>
    </row>
    <row r="7994" spans="1:5" x14ac:dyDescent="0.35">
      <c r="A7994">
        <v>0</v>
      </c>
      <c r="B7994">
        <v>0</v>
      </c>
      <c r="C7994">
        <v>0</v>
      </c>
      <c r="D7994">
        <v>0</v>
      </c>
      <c r="E7994">
        <v>0</v>
      </c>
    </row>
    <row r="7995" spans="1:5" x14ac:dyDescent="0.35">
      <c r="A7995">
        <v>0</v>
      </c>
      <c r="B7995">
        <v>0</v>
      </c>
      <c r="C7995">
        <v>0</v>
      </c>
      <c r="D7995">
        <v>0</v>
      </c>
      <c r="E7995">
        <v>0</v>
      </c>
    </row>
    <row r="7996" spans="1:5" x14ac:dyDescent="0.35">
      <c r="A7996">
        <v>0</v>
      </c>
      <c r="B7996">
        <v>0</v>
      </c>
      <c r="C7996">
        <v>0</v>
      </c>
      <c r="D7996">
        <v>0</v>
      </c>
      <c r="E7996">
        <v>0</v>
      </c>
    </row>
    <row r="7997" spans="1:5" x14ac:dyDescent="0.35">
      <c r="A7997">
        <v>0</v>
      </c>
      <c r="B7997">
        <v>0</v>
      </c>
      <c r="C7997">
        <v>0</v>
      </c>
      <c r="D7997">
        <v>0</v>
      </c>
      <c r="E7997">
        <v>0</v>
      </c>
    </row>
    <row r="7998" spans="1:5" x14ac:dyDescent="0.35">
      <c r="A7998">
        <v>0</v>
      </c>
      <c r="B7998">
        <v>0</v>
      </c>
      <c r="C7998">
        <v>0</v>
      </c>
      <c r="D7998">
        <v>0</v>
      </c>
      <c r="E7998">
        <v>0</v>
      </c>
    </row>
    <row r="7999" spans="1:5" x14ac:dyDescent="0.35">
      <c r="A7999">
        <v>0</v>
      </c>
      <c r="B7999">
        <v>0</v>
      </c>
      <c r="C7999">
        <v>0</v>
      </c>
      <c r="D7999">
        <v>0</v>
      </c>
      <c r="E7999">
        <v>0</v>
      </c>
    </row>
    <row r="8000" spans="1:5" x14ac:dyDescent="0.35">
      <c r="A8000">
        <v>0</v>
      </c>
      <c r="B8000">
        <v>0</v>
      </c>
      <c r="C8000">
        <v>0</v>
      </c>
      <c r="D8000">
        <v>0</v>
      </c>
      <c r="E8000">
        <v>0</v>
      </c>
    </row>
    <row r="8001" spans="1:5" x14ac:dyDescent="0.35">
      <c r="A8001">
        <v>0</v>
      </c>
      <c r="B8001">
        <v>0</v>
      </c>
      <c r="C8001">
        <v>0</v>
      </c>
      <c r="D8001">
        <v>0</v>
      </c>
      <c r="E8001">
        <v>0</v>
      </c>
    </row>
    <row r="8002" spans="1:5" x14ac:dyDescent="0.35">
      <c r="A8002">
        <v>0</v>
      </c>
      <c r="B8002">
        <v>0</v>
      </c>
      <c r="C8002">
        <v>0</v>
      </c>
      <c r="D8002">
        <v>0</v>
      </c>
      <c r="E8002">
        <v>0</v>
      </c>
    </row>
    <row r="8003" spans="1:5" x14ac:dyDescent="0.35">
      <c r="A8003">
        <v>0</v>
      </c>
      <c r="B8003">
        <v>0</v>
      </c>
      <c r="C8003">
        <v>0</v>
      </c>
      <c r="D8003">
        <v>0</v>
      </c>
      <c r="E8003">
        <v>0</v>
      </c>
    </row>
    <row r="8004" spans="1:5" x14ac:dyDescent="0.35">
      <c r="A8004">
        <v>0</v>
      </c>
      <c r="B8004">
        <v>0</v>
      </c>
      <c r="C8004">
        <v>0</v>
      </c>
      <c r="D8004">
        <v>0</v>
      </c>
      <c r="E8004">
        <v>0</v>
      </c>
    </row>
    <row r="8005" spans="1:5" x14ac:dyDescent="0.35">
      <c r="A8005">
        <v>0</v>
      </c>
      <c r="B8005">
        <v>0</v>
      </c>
      <c r="C8005">
        <v>0</v>
      </c>
      <c r="D8005">
        <v>0</v>
      </c>
      <c r="E8005">
        <v>0</v>
      </c>
    </row>
    <row r="8006" spans="1:5" x14ac:dyDescent="0.35">
      <c r="A8006">
        <v>0</v>
      </c>
      <c r="B8006">
        <v>0</v>
      </c>
      <c r="C8006">
        <v>0</v>
      </c>
      <c r="D8006">
        <v>0</v>
      </c>
      <c r="E8006">
        <v>0</v>
      </c>
    </row>
    <row r="8007" spans="1:5" x14ac:dyDescent="0.35">
      <c r="A8007">
        <v>0</v>
      </c>
      <c r="B8007">
        <v>0</v>
      </c>
      <c r="C8007">
        <v>0</v>
      </c>
      <c r="D8007">
        <v>0</v>
      </c>
      <c r="E8007">
        <v>0</v>
      </c>
    </row>
    <row r="8008" spans="1:5" x14ac:dyDescent="0.35">
      <c r="A8008">
        <v>0</v>
      </c>
      <c r="B8008">
        <v>0</v>
      </c>
      <c r="C8008">
        <v>0</v>
      </c>
      <c r="D8008">
        <v>0</v>
      </c>
      <c r="E8008">
        <v>0</v>
      </c>
    </row>
    <row r="8009" spans="1:5" x14ac:dyDescent="0.35">
      <c r="A8009">
        <v>0</v>
      </c>
      <c r="B8009">
        <v>0</v>
      </c>
      <c r="C8009">
        <v>0</v>
      </c>
      <c r="D8009">
        <v>0</v>
      </c>
      <c r="E8009">
        <v>0</v>
      </c>
    </row>
    <row r="8010" spans="1:5" x14ac:dyDescent="0.35">
      <c r="A8010">
        <v>0</v>
      </c>
      <c r="B8010">
        <v>0</v>
      </c>
      <c r="C8010">
        <v>0</v>
      </c>
      <c r="D8010">
        <v>0</v>
      </c>
      <c r="E8010">
        <v>0</v>
      </c>
    </row>
    <row r="8011" spans="1:5" x14ac:dyDescent="0.35">
      <c r="A8011">
        <v>0</v>
      </c>
      <c r="B8011">
        <v>0</v>
      </c>
      <c r="C8011">
        <v>0</v>
      </c>
      <c r="D8011">
        <v>0</v>
      </c>
      <c r="E8011">
        <v>0</v>
      </c>
    </row>
    <row r="8012" spans="1:5" x14ac:dyDescent="0.35">
      <c r="A8012">
        <v>0</v>
      </c>
      <c r="B8012">
        <v>0</v>
      </c>
      <c r="C8012">
        <v>0</v>
      </c>
      <c r="D8012">
        <v>0</v>
      </c>
      <c r="E8012">
        <v>0</v>
      </c>
    </row>
    <row r="8013" spans="1:5" x14ac:dyDescent="0.35">
      <c r="A8013">
        <v>0</v>
      </c>
      <c r="B8013">
        <v>0</v>
      </c>
      <c r="C8013">
        <v>0</v>
      </c>
      <c r="D8013">
        <v>0</v>
      </c>
      <c r="E8013">
        <v>0</v>
      </c>
    </row>
    <row r="8014" spans="1:5" x14ac:dyDescent="0.35">
      <c r="A8014">
        <v>0</v>
      </c>
      <c r="B8014">
        <v>0</v>
      </c>
      <c r="C8014">
        <v>0</v>
      </c>
      <c r="D8014">
        <v>0</v>
      </c>
      <c r="E8014">
        <v>0</v>
      </c>
    </row>
    <row r="8015" spans="1:5" x14ac:dyDescent="0.35">
      <c r="A8015">
        <v>0</v>
      </c>
      <c r="B8015">
        <v>0</v>
      </c>
      <c r="C8015">
        <v>0</v>
      </c>
      <c r="D8015">
        <v>0</v>
      </c>
      <c r="E8015">
        <v>0</v>
      </c>
    </row>
    <row r="8016" spans="1:5" x14ac:dyDescent="0.35">
      <c r="A8016">
        <v>0</v>
      </c>
      <c r="B8016">
        <v>0</v>
      </c>
      <c r="C8016">
        <v>0</v>
      </c>
      <c r="D8016">
        <v>0</v>
      </c>
      <c r="E8016">
        <v>0</v>
      </c>
    </row>
    <row r="8017" spans="1:5" x14ac:dyDescent="0.35">
      <c r="A8017">
        <v>0</v>
      </c>
      <c r="B8017">
        <v>0</v>
      </c>
      <c r="C8017">
        <v>0</v>
      </c>
      <c r="D8017">
        <v>0</v>
      </c>
      <c r="E8017">
        <v>0</v>
      </c>
    </row>
    <row r="8018" spans="1:5" x14ac:dyDescent="0.35">
      <c r="A8018">
        <v>0</v>
      </c>
      <c r="B8018">
        <v>0</v>
      </c>
      <c r="C8018">
        <v>0</v>
      </c>
      <c r="D8018">
        <v>0</v>
      </c>
      <c r="E8018">
        <v>0</v>
      </c>
    </row>
    <row r="8019" spans="1:5" x14ac:dyDescent="0.35">
      <c r="A8019">
        <v>0</v>
      </c>
      <c r="B8019">
        <v>0</v>
      </c>
      <c r="C8019">
        <v>0</v>
      </c>
      <c r="D8019">
        <v>0</v>
      </c>
      <c r="E8019">
        <v>0</v>
      </c>
    </row>
    <row r="8020" spans="1:5" x14ac:dyDescent="0.35">
      <c r="A8020">
        <v>0</v>
      </c>
      <c r="B8020">
        <v>0</v>
      </c>
      <c r="C8020">
        <v>0</v>
      </c>
      <c r="D8020">
        <v>0</v>
      </c>
      <c r="E8020">
        <v>0</v>
      </c>
    </row>
    <row r="8021" spans="1:5" x14ac:dyDescent="0.35">
      <c r="A8021">
        <v>0</v>
      </c>
      <c r="B8021">
        <v>0</v>
      </c>
      <c r="C8021">
        <v>0</v>
      </c>
      <c r="D8021">
        <v>0</v>
      </c>
      <c r="E8021">
        <v>0</v>
      </c>
    </row>
    <row r="8022" spans="1:5" x14ac:dyDescent="0.35">
      <c r="A8022">
        <v>0</v>
      </c>
      <c r="B8022">
        <v>0</v>
      </c>
      <c r="C8022">
        <v>0</v>
      </c>
      <c r="D8022">
        <v>0</v>
      </c>
      <c r="E8022">
        <v>0</v>
      </c>
    </row>
    <row r="8023" spans="1:5" x14ac:dyDescent="0.35">
      <c r="A8023">
        <v>0</v>
      </c>
      <c r="B8023">
        <v>0</v>
      </c>
      <c r="C8023">
        <v>0</v>
      </c>
      <c r="D8023">
        <v>0</v>
      </c>
      <c r="E8023">
        <v>0</v>
      </c>
    </row>
    <row r="8024" spans="1:5" x14ac:dyDescent="0.35">
      <c r="A8024">
        <v>0</v>
      </c>
      <c r="B8024">
        <v>0</v>
      </c>
      <c r="C8024">
        <v>0</v>
      </c>
      <c r="D8024">
        <v>0</v>
      </c>
      <c r="E8024">
        <v>0</v>
      </c>
    </row>
    <row r="8025" spans="1:5" x14ac:dyDescent="0.35">
      <c r="A8025">
        <v>0</v>
      </c>
      <c r="B8025">
        <v>0</v>
      </c>
      <c r="C8025">
        <v>0</v>
      </c>
      <c r="D8025">
        <v>0</v>
      </c>
      <c r="E8025">
        <v>0</v>
      </c>
    </row>
    <row r="8026" spans="1:5" x14ac:dyDescent="0.35">
      <c r="A8026">
        <v>0</v>
      </c>
      <c r="B8026">
        <v>0</v>
      </c>
      <c r="C8026">
        <v>0</v>
      </c>
      <c r="D8026">
        <v>0</v>
      </c>
      <c r="E8026">
        <v>0</v>
      </c>
    </row>
    <row r="8027" spans="1:5" x14ac:dyDescent="0.35">
      <c r="A8027">
        <v>0</v>
      </c>
      <c r="B8027">
        <v>0</v>
      </c>
      <c r="C8027">
        <v>0</v>
      </c>
      <c r="D8027">
        <v>0</v>
      </c>
      <c r="E8027">
        <v>0</v>
      </c>
    </row>
    <row r="8028" spans="1:5" x14ac:dyDescent="0.35">
      <c r="A8028">
        <v>0</v>
      </c>
      <c r="B8028">
        <v>0</v>
      </c>
      <c r="C8028">
        <v>0</v>
      </c>
      <c r="D8028">
        <v>0</v>
      </c>
      <c r="E8028">
        <v>0</v>
      </c>
    </row>
    <row r="8029" spans="1:5" x14ac:dyDescent="0.35">
      <c r="A8029">
        <v>0</v>
      </c>
      <c r="B8029">
        <v>0</v>
      </c>
      <c r="C8029">
        <v>0</v>
      </c>
      <c r="D8029">
        <v>0</v>
      </c>
      <c r="E8029">
        <v>0</v>
      </c>
    </row>
    <row r="8030" spans="1:5" x14ac:dyDescent="0.35">
      <c r="A8030">
        <v>0</v>
      </c>
      <c r="B8030">
        <v>0</v>
      </c>
      <c r="C8030">
        <v>0</v>
      </c>
      <c r="D8030">
        <v>0</v>
      </c>
      <c r="E8030">
        <v>0</v>
      </c>
    </row>
    <row r="8031" spans="1:5" x14ac:dyDescent="0.35">
      <c r="A8031">
        <v>0</v>
      </c>
      <c r="B8031">
        <v>0</v>
      </c>
      <c r="C8031">
        <v>0</v>
      </c>
      <c r="D8031">
        <v>0</v>
      </c>
      <c r="E8031">
        <v>0</v>
      </c>
    </row>
    <row r="8032" spans="1:5" x14ac:dyDescent="0.35">
      <c r="A8032">
        <v>0</v>
      </c>
      <c r="B8032">
        <v>0</v>
      </c>
      <c r="C8032">
        <v>0</v>
      </c>
      <c r="D8032">
        <v>0</v>
      </c>
      <c r="E8032">
        <v>0</v>
      </c>
    </row>
    <row r="8033" spans="1:5" x14ac:dyDescent="0.35">
      <c r="A8033">
        <v>0</v>
      </c>
      <c r="B8033">
        <v>0</v>
      </c>
      <c r="C8033">
        <v>0</v>
      </c>
      <c r="D8033">
        <v>0</v>
      </c>
      <c r="E8033">
        <v>0</v>
      </c>
    </row>
    <row r="8034" spans="1:5" x14ac:dyDescent="0.35">
      <c r="A8034">
        <v>0</v>
      </c>
      <c r="B8034">
        <v>0</v>
      </c>
      <c r="C8034">
        <v>0</v>
      </c>
      <c r="D8034">
        <v>0</v>
      </c>
      <c r="E8034">
        <v>0</v>
      </c>
    </row>
    <row r="8035" spans="1:5" x14ac:dyDescent="0.35">
      <c r="A8035">
        <v>0</v>
      </c>
      <c r="B8035">
        <v>0</v>
      </c>
      <c r="C8035">
        <v>0</v>
      </c>
      <c r="D8035">
        <v>0</v>
      </c>
      <c r="E8035">
        <v>0</v>
      </c>
    </row>
    <row r="8036" spans="1:5" x14ac:dyDescent="0.35">
      <c r="A8036">
        <v>0</v>
      </c>
      <c r="B8036">
        <v>0</v>
      </c>
      <c r="C8036">
        <v>0</v>
      </c>
      <c r="D8036">
        <v>0</v>
      </c>
      <c r="E8036">
        <v>0</v>
      </c>
    </row>
    <row r="8037" spans="1:5" x14ac:dyDescent="0.35">
      <c r="A8037">
        <v>0</v>
      </c>
      <c r="B8037">
        <v>0</v>
      </c>
      <c r="C8037">
        <v>0</v>
      </c>
      <c r="D8037">
        <v>0</v>
      </c>
      <c r="E8037">
        <v>0</v>
      </c>
    </row>
    <row r="8038" spans="1:5" x14ac:dyDescent="0.35">
      <c r="A8038">
        <v>0</v>
      </c>
      <c r="B8038">
        <v>0</v>
      </c>
      <c r="C8038">
        <v>0</v>
      </c>
      <c r="D8038">
        <v>0</v>
      </c>
      <c r="E8038">
        <v>0</v>
      </c>
    </row>
    <row r="8039" spans="1:5" x14ac:dyDescent="0.35">
      <c r="A8039">
        <v>0</v>
      </c>
      <c r="B8039">
        <v>0</v>
      </c>
      <c r="C8039">
        <v>0</v>
      </c>
      <c r="D8039">
        <v>0</v>
      </c>
      <c r="E8039">
        <v>0</v>
      </c>
    </row>
    <row r="8040" spans="1:5" x14ac:dyDescent="0.35">
      <c r="A8040">
        <v>0</v>
      </c>
      <c r="B8040">
        <v>0</v>
      </c>
      <c r="C8040">
        <v>0</v>
      </c>
      <c r="D8040">
        <v>0</v>
      </c>
      <c r="E8040">
        <v>0</v>
      </c>
    </row>
    <row r="8041" spans="1:5" x14ac:dyDescent="0.35">
      <c r="A8041">
        <v>0</v>
      </c>
      <c r="B8041">
        <v>0</v>
      </c>
      <c r="C8041">
        <v>0</v>
      </c>
      <c r="D8041">
        <v>0</v>
      </c>
      <c r="E8041">
        <v>0</v>
      </c>
    </row>
    <row r="8042" spans="1:5" x14ac:dyDescent="0.35">
      <c r="A8042">
        <v>0</v>
      </c>
      <c r="B8042">
        <v>0</v>
      </c>
      <c r="C8042">
        <v>0</v>
      </c>
      <c r="D8042">
        <v>0</v>
      </c>
      <c r="E8042">
        <v>0</v>
      </c>
    </row>
    <row r="8043" spans="1:5" x14ac:dyDescent="0.35">
      <c r="A8043">
        <v>0</v>
      </c>
      <c r="B8043">
        <v>0</v>
      </c>
      <c r="C8043">
        <v>0</v>
      </c>
      <c r="D8043">
        <v>0</v>
      </c>
      <c r="E8043">
        <v>0</v>
      </c>
    </row>
    <row r="8044" spans="1:5" x14ac:dyDescent="0.35">
      <c r="A8044">
        <v>0</v>
      </c>
      <c r="B8044">
        <v>0</v>
      </c>
      <c r="C8044">
        <v>0</v>
      </c>
      <c r="D8044">
        <v>0</v>
      </c>
      <c r="E8044">
        <v>0</v>
      </c>
    </row>
    <row r="8045" spans="1:5" x14ac:dyDescent="0.35">
      <c r="A8045">
        <v>0</v>
      </c>
      <c r="B8045">
        <v>0</v>
      </c>
      <c r="C8045">
        <v>0</v>
      </c>
      <c r="D8045">
        <v>0</v>
      </c>
      <c r="E8045">
        <v>0</v>
      </c>
    </row>
    <row r="8046" spans="1:5" x14ac:dyDescent="0.35">
      <c r="A8046">
        <v>0</v>
      </c>
      <c r="B8046">
        <v>0</v>
      </c>
      <c r="C8046">
        <v>0</v>
      </c>
      <c r="D8046">
        <v>0</v>
      </c>
      <c r="E8046">
        <v>0</v>
      </c>
    </row>
    <row r="8047" spans="1:5" x14ac:dyDescent="0.35">
      <c r="A8047">
        <v>0</v>
      </c>
      <c r="B8047">
        <v>0</v>
      </c>
      <c r="C8047">
        <v>0</v>
      </c>
      <c r="D8047">
        <v>0</v>
      </c>
      <c r="E8047">
        <v>0</v>
      </c>
    </row>
    <row r="8048" spans="1:5" x14ac:dyDescent="0.35">
      <c r="A8048">
        <v>0</v>
      </c>
      <c r="B8048">
        <v>0</v>
      </c>
      <c r="C8048">
        <v>0</v>
      </c>
      <c r="D8048">
        <v>0</v>
      </c>
      <c r="E8048">
        <v>0</v>
      </c>
    </row>
    <row r="8049" spans="1:5" x14ac:dyDescent="0.35">
      <c r="A8049">
        <v>0</v>
      </c>
      <c r="B8049">
        <v>0</v>
      </c>
      <c r="C8049">
        <v>0</v>
      </c>
      <c r="D8049">
        <v>0</v>
      </c>
      <c r="E8049">
        <v>0</v>
      </c>
    </row>
    <row r="8050" spans="1:5" x14ac:dyDescent="0.35">
      <c r="A8050">
        <v>0</v>
      </c>
      <c r="B8050">
        <v>0</v>
      </c>
      <c r="C8050">
        <v>0</v>
      </c>
      <c r="D8050">
        <v>0</v>
      </c>
      <c r="E8050">
        <v>0</v>
      </c>
    </row>
    <row r="8051" spans="1:5" x14ac:dyDescent="0.35">
      <c r="A8051">
        <v>0</v>
      </c>
      <c r="B8051">
        <v>0</v>
      </c>
      <c r="C8051">
        <v>0</v>
      </c>
      <c r="D8051">
        <v>0</v>
      </c>
      <c r="E8051">
        <v>0</v>
      </c>
    </row>
    <row r="8052" spans="1:5" x14ac:dyDescent="0.35">
      <c r="A8052">
        <v>0</v>
      </c>
      <c r="B8052">
        <v>0</v>
      </c>
      <c r="C8052">
        <v>0</v>
      </c>
      <c r="D8052">
        <v>0</v>
      </c>
      <c r="E8052">
        <v>0</v>
      </c>
    </row>
    <row r="8053" spans="1:5" x14ac:dyDescent="0.35">
      <c r="A8053">
        <v>0</v>
      </c>
      <c r="B8053">
        <v>0</v>
      </c>
      <c r="C8053">
        <v>0</v>
      </c>
      <c r="D8053">
        <v>0</v>
      </c>
      <c r="E8053">
        <v>0</v>
      </c>
    </row>
    <row r="8054" spans="1:5" x14ac:dyDescent="0.35">
      <c r="A8054">
        <v>0</v>
      </c>
      <c r="B8054">
        <v>0</v>
      </c>
      <c r="C8054">
        <v>0</v>
      </c>
      <c r="D8054">
        <v>0</v>
      </c>
      <c r="E8054">
        <v>0</v>
      </c>
    </row>
    <row r="8055" spans="1:5" x14ac:dyDescent="0.35">
      <c r="A8055">
        <v>0</v>
      </c>
      <c r="B8055">
        <v>0</v>
      </c>
      <c r="C8055">
        <v>0</v>
      </c>
      <c r="D8055">
        <v>0</v>
      </c>
      <c r="E8055">
        <v>0</v>
      </c>
    </row>
    <row r="8056" spans="1:5" x14ac:dyDescent="0.35">
      <c r="A8056">
        <v>0</v>
      </c>
      <c r="B8056">
        <v>0</v>
      </c>
      <c r="C8056">
        <v>0</v>
      </c>
      <c r="D8056">
        <v>0</v>
      </c>
      <c r="E8056">
        <v>0</v>
      </c>
    </row>
    <row r="8057" spans="1:5" x14ac:dyDescent="0.35">
      <c r="A8057">
        <v>0</v>
      </c>
      <c r="B8057">
        <v>0</v>
      </c>
      <c r="C8057">
        <v>0</v>
      </c>
      <c r="D8057">
        <v>0</v>
      </c>
      <c r="E8057">
        <v>0</v>
      </c>
    </row>
    <row r="8058" spans="1:5" x14ac:dyDescent="0.35">
      <c r="A8058">
        <v>0</v>
      </c>
      <c r="B8058">
        <v>0</v>
      </c>
      <c r="C8058">
        <v>0</v>
      </c>
      <c r="D8058">
        <v>0</v>
      </c>
      <c r="E8058">
        <v>0</v>
      </c>
    </row>
    <row r="8059" spans="1:5" x14ac:dyDescent="0.35">
      <c r="A8059">
        <v>0</v>
      </c>
      <c r="B8059">
        <v>0</v>
      </c>
      <c r="C8059">
        <v>0</v>
      </c>
      <c r="D8059">
        <v>0</v>
      </c>
      <c r="E8059">
        <v>0</v>
      </c>
    </row>
    <row r="8060" spans="1:5" x14ac:dyDescent="0.35">
      <c r="A8060">
        <v>0</v>
      </c>
      <c r="B8060">
        <v>0</v>
      </c>
      <c r="C8060">
        <v>0</v>
      </c>
      <c r="D8060">
        <v>0</v>
      </c>
      <c r="E8060">
        <v>0</v>
      </c>
    </row>
    <row r="8061" spans="1:5" x14ac:dyDescent="0.35">
      <c r="A8061">
        <v>0</v>
      </c>
      <c r="B8061">
        <v>0</v>
      </c>
      <c r="C8061">
        <v>0</v>
      </c>
      <c r="D8061">
        <v>0</v>
      </c>
      <c r="E8061">
        <v>0</v>
      </c>
    </row>
    <row r="8062" spans="1:5" x14ac:dyDescent="0.35">
      <c r="A8062">
        <v>0</v>
      </c>
      <c r="B8062">
        <v>0</v>
      </c>
      <c r="C8062">
        <v>0</v>
      </c>
      <c r="D8062">
        <v>0</v>
      </c>
      <c r="E8062">
        <v>0</v>
      </c>
    </row>
    <row r="8063" spans="1:5" x14ac:dyDescent="0.35">
      <c r="A8063">
        <v>0</v>
      </c>
      <c r="B8063">
        <v>0</v>
      </c>
      <c r="C8063">
        <v>0</v>
      </c>
      <c r="D8063">
        <v>0</v>
      </c>
      <c r="E8063">
        <v>0</v>
      </c>
    </row>
    <row r="8064" spans="1:5" x14ac:dyDescent="0.35">
      <c r="A8064">
        <v>0</v>
      </c>
      <c r="B8064">
        <v>0</v>
      </c>
      <c r="C8064">
        <v>0</v>
      </c>
      <c r="D8064">
        <v>0</v>
      </c>
      <c r="E8064">
        <v>0</v>
      </c>
    </row>
    <row r="8065" spans="1:5" x14ac:dyDescent="0.35">
      <c r="A8065">
        <v>0</v>
      </c>
      <c r="B8065">
        <v>0</v>
      </c>
      <c r="C8065">
        <v>0</v>
      </c>
      <c r="D8065">
        <v>0</v>
      </c>
      <c r="E8065">
        <v>0</v>
      </c>
    </row>
    <row r="8066" spans="1:5" x14ac:dyDescent="0.35">
      <c r="A8066">
        <v>0</v>
      </c>
      <c r="B8066">
        <v>0</v>
      </c>
      <c r="C8066">
        <v>0</v>
      </c>
      <c r="D8066">
        <v>0</v>
      </c>
      <c r="E8066">
        <v>0</v>
      </c>
    </row>
    <row r="8067" spans="1:5" x14ac:dyDescent="0.35">
      <c r="A8067">
        <v>0</v>
      </c>
      <c r="B8067">
        <v>0</v>
      </c>
      <c r="C8067">
        <v>0</v>
      </c>
      <c r="D8067">
        <v>0</v>
      </c>
      <c r="E8067">
        <v>0</v>
      </c>
    </row>
    <row r="8068" spans="1:5" x14ac:dyDescent="0.35">
      <c r="A8068">
        <v>0</v>
      </c>
      <c r="B8068">
        <v>0</v>
      </c>
      <c r="C8068">
        <v>0</v>
      </c>
      <c r="D8068">
        <v>0</v>
      </c>
      <c r="E8068">
        <v>0</v>
      </c>
    </row>
    <row r="8069" spans="1:5" x14ac:dyDescent="0.35">
      <c r="A8069">
        <v>0</v>
      </c>
      <c r="B8069">
        <v>0</v>
      </c>
      <c r="C8069">
        <v>0</v>
      </c>
      <c r="D8069">
        <v>0</v>
      </c>
      <c r="E8069">
        <v>0</v>
      </c>
    </row>
    <row r="8070" spans="1:5" x14ac:dyDescent="0.35">
      <c r="A8070">
        <v>0</v>
      </c>
      <c r="B8070">
        <v>0</v>
      </c>
      <c r="C8070">
        <v>0</v>
      </c>
      <c r="D8070">
        <v>0</v>
      </c>
      <c r="E8070">
        <v>0</v>
      </c>
    </row>
    <row r="8071" spans="1:5" x14ac:dyDescent="0.35">
      <c r="A8071">
        <v>0</v>
      </c>
      <c r="B8071">
        <v>0</v>
      </c>
      <c r="C8071">
        <v>0</v>
      </c>
      <c r="D8071">
        <v>0</v>
      </c>
      <c r="E8071">
        <v>0</v>
      </c>
    </row>
    <row r="8072" spans="1:5" x14ac:dyDescent="0.35">
      <c r="A8072">
        <v>0</v>
      </c>
      <c r="B8072">
        <v>0</v>
      </c>
      <c r="C8072">
        <v>0</v>
      </c>
      <c r="D8072">
        <v>0</v>
      </c>
      <c r="E8072">
        <v>0</v>
      </c>
    </row>
    <row r="8073" spans="1:5" x14ac:dyDescent="0.35">
      <c r="A8073">
        <v>0</v>
      </c>
      <c r="B8073">
        <v>0</v>
      </c>
      <c r="C8073">
        <v>0</v>
      </c>
      <c r="D8073">
        <v>0</v>
      </c>
      <c r="E8073">
        <v>0</v>
      </c>
    </row>
    <row r="8074" spans="1:5" x14ac:dyDescent="0.35">
      <c r="A8074">
        <v>0</v>
      </c>
      <c r="B8074">
        <v>0</v>
      </c>
      <c r="C8074">
        <v>0</v>
      </c>
      <c r="D8074">
        <v>0</v>
      </c>
      <c r="E8074">
        <v>0</v>
      </c>
    </row>
    <row r="8075" spans="1:5" x14ac:dyDescent="0.35">
      <c r="A8075">
        <v>0</v>
      </c>
      <c r="B8075">
        <v>0</v>
      </c>
      <c r="C8075">
        <v>0</v>
      </c>
      <c r="D8075">
        <v>0</v>
      </c>
      <c r="E8075">
        <v>0</v>
      </c>
    </row>
    <row r="8076" spans="1:5" x14ac:dyDescent="0.35">
      <c r="A8076">
        <v>0</v>
      </c>
      <c r="B8076">
        <v>0</v>
      </c>
      <c r="C8076">
        <v>0</v>
      </c>
      <c r="D8076">
        <v>0</v>
      </c>
      <c r="E8076">
        <v>0</v>
      </c>
    </row>
    <row r="8077" spans="1:5" x14ac:dyDescent="0.35">
      <c r="A8077">
        <v>0</v>
      </c>
      <c r="B8077">
        <v>0</v>
      </c>
      <c r="C8077">
        <v>0</v>
      </c>
      <c r="D8077">
        <v>0</v>
      </c>
      <c r="E8077">
        <v>0</v>
      </c>
    </row>
    <row r="8078" spans="1:5" x14ac:dyDescent="0.35">
      <c r="A8078">
        <v>0</v>
      </c>
      <c r="B8078">
        <v>0</v>
      </c>
      <c r="C8078">
        <v>0</v>
      </c>
      <c r="D8078">
        <v>0</v>
      </c>
      <c r="E8078">
        <v>0</v>
      </c>
    </row>
    <row r="8079" spans="1:5" x14ac:dyDescent="0.35">
      <c r="A8079">
        <v>0</v>
      </c>
      <c r="B8079">
        <v>0</v>
      </c>
      <c r="C8079">
        <v>0</v>
      </c>
      <c r="D8079">
        <v>0</v>
      </c>
      <c r="E8079">
        <v>0</v>
      </c>
    </row>
    <row r="8080" spans="1:5" x14ac:dyDescent="0.35">
      <c r="A8080">
        <v>0</v>
      </c>
      <c r="B8080">
        <v>0</v>
      </c>
      <c r="C8080">
        <v>0</v>
      </c>
      <c r="D8080">
        <v>0</v>
      </c>
      <c r="E8080">
        <v>0</v>
      </c>
    </row>
    <row r="8081" spans="1:5" x14ac:dyDescent="0.35">
      <c r="A8081">
        <v>0</v>
      </c>
      <c r="B8081">
        <v>0</v>
      </c>
      <c r="C8081">
        <v>0</v>
      </c>
      <c r="D8081">
        <v>0</v>
      </c>
      <c r="E8081">
        <v>0</v>
      </c>
    </row>
    <row r="8082" spans="1:5" x14ac:dyDescent="0.35">
      <c r="A8082">
        <v>0</v>
      </c>
      <c r="B8082">
        <v>0</v>
      </c>
      <c r="C8082">
        <v>0</v>
      </c>
      <c r="D8082">
        <v>0</v>
      </c>
      <c r="E8082">
        <v>0</v>
      </c>
    </row>
    <row r="8083" spans="1:5" x14ac:dyDescent="0.35">
      <c r="A8083">
        <v>0</v>
      </c>
      <c r="B8083">
        <v>0</v>
      </c>
      <c r="C8083">
        <v>0</v>
      </c>
      <c r="D8083">
        <v>0</v>
      </c>
      <c r="E8083">
        <v>0</v>
      </c>
    </row>
    <row r="8084" spans="1:5" x14ac:dyDescent="0.35">
      <c r="A8084">
        <v>0</v>
      </c>
      <c r="B8084">
        <v>0</v>
      </c>
      <c r="C8084">
        <v>0</v>
      </c>
      <c r="D8084">
        <v>0</v>
      </c>
      <c r="E8084">
        <v>0</v>
      </c>
    </row>
    <row r="8085" spans="1:5" x14ac:dyDescent="0.35">
      <c r="A8085">
        <v>0</v>
      </c>
      <c r="B8085">
        <v>0</v>
      </c>
      <c r="C8085">
        <v>0</v>
      </c>
      <c r="D8085">
        <v>0</v>
      </c>
      <c r="E8085">
        <v>0</v>
      </c>
    </row>
    <row r="8086" spans="1:5" x14ac:dyDescent="0.35">
      <c r="A8086">
        <v>0</v>
      </c>
      <c r="B8086">
        <v>0</v>
      </c>
      <c r="C8086">
        <v>0</v>
      </c>
      <c r="D8086">
        <v>0</v>
      </c>
      <c r="E8086">
        <v>0</v>
      </c>
    </row>
    <row r="8087" spans="1:5" x14ac:dyDescent="0.35">
      <c r="A8087">
        <v>0</v>
      </c>
      <c r="B8087">
        <v>0</v>
      </c>
      <c r="C8087">
        <v>0</v>
      </c>
      <c r="D8087">
        <v>0</v>
      </c>
      <c r="E8087">
        <v>0</v>
      </c>
    </row>
    <row r="8088" spans="1:5" x14ac:dyDescent="0.35">
      <c r="A8088">
        <v>0</v>
      </c>
      <c r="B8088">
        <v>0</v>
      </c>
      <c r="C8088">
        <v>0</v>
      </c>
      <c r="D8088">
        <v>0</v>
      </c>
      <c r="E8088">
        <v>0</v>
      </c>
    </row>
    <row r="8089" spans="1:5" x14ac:dyDescent="0.35">
      <c r="A8089">
        <v>0</v>
      </c>
      <c r="B8089">
        <v>0</v>
      </c>
      <c r="C8089">
        <v>0</v>
      </c>
      <c r="D8089">
        <v>0</v>
      </c>
      <c r="E8089">
        <v>0</v>
      </c>
    </row>
    <row r="8090" spans="1:5" x14ac:dyDescent="0.35">
      <c r="A8090">
        <v>0</v>
      </c>
      <c r="B8090">
        <v>0</v>
      </c>
      <c r="C8090">
        <v>0</v>
      </c>
      <c r="D8090">
        <v>0</v>
      </c>
      <c r="E8090">
        <v>0</v>
      </c>
    </row>
    <row r="8091" spans="1:5" x14ac:dyDescent="0.35">
      <c r="A8091">
        <v>0</v>
      </c>
      <c r="B8091">
        <v>0</v>
      </c>
      <c r="C8091">
        <v>0</v>
      </c>
      <c r="D8091">
        <v>0</v>
      </c>
      <c r="E8091">
        <v>0</v>
      </c>
    </row>
    <row r="8092" spans="1:5" x14ac:dyDescent="0.35">
      <c r="A8092">
        <v>0</v>
      </c>
      <c r="B8092">
        <v>0</v>
      </c>
      <c r="C8092">
        <v>0</v>
      </c>
      <c r="D8092">
        <v>0</v>
      </c>
      <c r="E8092">
        <v>0</v>
      </c>
    </row>
    <row r="8093" spans="1:5" x14ac:dyDescent="0.35">
      <c r="A8093">
        <v>0</v>
      </c>
      <c r="B8093">
        <v>0</v>
      </c>
      <c r="C8093">
        <v>0</v>
      </c>
      <c r="D8093">
        <v>0</v>
      </c>
      <c r="E8093">
        <v>0</v>
      </c>
    </row>
    <row r="8094" spans="1:5" x14ac:dyDescent="0.35">
      <c r="A8094">
        <v>0</v>
      </c>
      <c r="B8094">
        <v>0</v>
      </c>
      <c r="C8094">
        <v>0</v>
      </c>
      <c r="D8094">
        <v>0</v>
      </c>
      <c r="E8094">
        <v>0</v>
      </c>
    </row>
    <row r="8095" spans="1:5" x14ac:dyDescent="0.35">
      <c r="A8095">
        <v>0</v>
      </c>
      <c r="B8095">
        <v>0</v>
      </c>
      <c r="C8095">
        <v>0</v>
      </c>
      <c r="D8095">
        <v>0</v>
      </c>
      <c r="E8095">
        <v>0</v>
      </c>
    </row>
    <row r="8096" spans="1:5" x14ac:dyDescent="0.35">
      <c r="A8096">
        <v>0</v>
      </c>
      <c r="B8096">
        <v>0</v>
      </c>
      <c r="C8096">
        <v>0</v>
      </c>
      <c r="D8096">
        <v>0</v>
      </c>
      <c r="E8096">
        <v>0</v>
      </c>
    </row>
    <row r="8097" spans="1:5" x14ac:dyDescent="0.35">
      <c r="A8097">
        <v>0</v>
      </c>
      <c r="B8097">
        <v>0</v>
      </c>
      <c r="C8097">
        <v>0</v>
      </c>
      <c r="D8097">
        <v>0</v>
      </c>
      <c r="E8097">
        <v>0</v>
      </c>
    </row>
    <row r="8098" spans="1:5" x14ac:dyDescent="0.35">
      <c r="A8098">
        <v>0</v>
      </c>
      <c r="B8098">
        <v>0</v>
      </c>
      <c r="C8098">
        <v>0</v>
      </c>
      <c r="D8098">
        <v>0</v>
      </c>
      <c r="E8098">
        <v>0</v>
      </c>
    </row>
    <row r="8099" spans="1:5" x14ac:dyDescent="0.35">
      <c r="A8099">
        <v>0</v>
      </c>
      <c r="B8099">
        <v>0</v>
      </c>
      <c r="C8099">
        <v>0</v>
      </c>
      <c r="D8099">
        <v>0</v>
      </c>
      <c r="E8099">
        <v>0</v>
      </c>
    </row>
    <row r="8100" spans="1:5" x14ac:dyDescent="0.35">
      <c r="A8100">
        <v>0</v>
      </c>
      <c r="B8100">
        <v>0</v>
      </c>
      <c r="C8100">
        <v>0</v>
      </c>
      <c r="D8100">
        <v>0</v>
      </c>
      <c r="E8100">
        <v>0</v>
      </c>
    </row>
    <row r="8101" spans="1:5" x14ac:dyDescent="0.35">
      <c r="A8101">
        <v>0</v>
      </c>
      <c r="B8101">
        <v>0</v>
      </c>
      <c r="C8101">
        <v>0</v>
      </c>
      <c r="D8101">
        <v>0</v>
      </c>
      <c r="E8101">
        <v>0</v>
      </c>
    </row>
    <row r="8102" spans="1:5" x14ac:dyDescent="0.35">
      <c r="A8102">
        <v>0</v>
      </c>
      <c r="B8102">
        <v>0</v>
      </c>
      <c r="C8102">
        <v>0</v>
      </c>
      <c r="D8102">
        <v>0</v>
      </c>
      <c r="E8102">
        <v>0</v>
      </c>
    </row>
    <row r="8103" spans="1:5" x14ac:dyDescent="0.35">
      <c r="A8103">
        <v>0</v>
      </c>
      <c r="B8103">
        <v>0</v>
      </c>
      <c r="C8103">
        <v>0</v>
      </c>
      <c r="D8103">
        <v>0</v>
      </c>
      <c r="E8103">
        <v>0</v>
      </c>
    </row>
    <row r="8104" spans="1:5" x14ac:dyDescent="0.35">
      <c r="A8104">
        <v>0</v>
      </c>
      <c r="B8104">
        <v>0</v>
      </c>
      <c r="C8104">
        <v>0</v>
      </c>
      <c r="D8104">
        <v>0</v>
      </c>
      <c r="E8104">
        <v>0</v>
      </c>
    </row>
    <row r="8105" spans="1:5" x14ac:dyDescent="0.35">
      <c r="A8105">
        <v>0</v>
      </c>
      <c r="B8105">
        <v>0</v>
      </c>
      <c r="C8105">
        <v>0</v>
      </c>
      <c r="D8105">
        <v>0</v>
      </c>
      <c r="E8105">
        <v>0</v>
      </c>
    </row>
    <row r="8106" spans="1:5" x14ac:dyDescent="0.35">
      <c r="A8106">
        <v>0</v>
      </c>
      <c r="B8106">
        <v>0</v>
      </c>
      <c r="C8106">
        <v>0</v>
      </c>
      <c r="D8106">
        <v>0</v>
      </c>
      <c r="E8106">
        <v>0</v>
      </c>
    </row>
    <row r="8107" spans="1:5" x14ac:dyDescent="0.35">
      <c r="A8107">
        <v>0</v>
      </c>
      <c r="B8107">
        <v>0</v>
      </c>
      <c r="C8107">
        <v>0</v>
      </c>
      <c r="D8107">
        <v>0</v>
      </c>
      <c r="E8107">
        <v>0</v>
      </c>
    </row>
    <row r="8108" spans="1:5" x14ac:dyDescent="0.35">
      <c r="A8108">
        <v>0</v>
      </c>
      <c r="B8108">
        <v>0</v>
      </c>
      <c r="C8108">
        <v>0</v>
      </c>
      <c r="D8108">
        <v>0</v>
      </c>
      <c r="E8108">
        <v>0</v>
      </c>
    </row>
    <row r="8109" spans="1:5" x14ac:dyDescent="0.35">
      <c r="A8109">
        <v>0</v>
      </c>
      <c r="B8109">
        <v>0</v>
      </c>
      <c r="C8109">
        <v>0</v>
      </c>
      <c r="D8109">
        <v>0</v>
      </c>
      <c r="E8109">
        <v>0</v>
      </c>
    </row>
    <row r="8110" spans="1:5" x14ac:dyDescent="0.35">
      <c r="A8110">
        <v>0</v>
      </c>
      <c r="B8110">
        <v>0</v>
      </c>
      <c r="C8110">
        <v>0</v>
      </c>
      <c r="D8110">
        <v>0</v>
      </c>
      <c r="E8110">
        <v>0</v>
      </c>
    </row>
    <row r="8111" spans="1:5" x14ac:dyDescent="0.35">
      <c r="A8111">
        <v>0</v>
      </c>
      <c r="B8111">
        <v>0</v>
      </c>
      <c r="C8111">
        <v>0</v>
      </c>
      <c r="D8111">
        <v>0</v>
      </c>
      <c r="E8111">
        <v>0</v>
      </c>
    </row>
    <row r="8112" spans="1:5" x14ac:dyDescent="0.35">
      <c r="A8112">
        <v>0</v>
      </c>
      <c r="B8112">
        <v>0</v>
      </c>
      <c r="C8112">
        <v>0</v>
      </c>
      <c r="D8112">
        <v>0</v>
      </c>
      <c r="E8112">
        <v>0</v>
      </c>
    </row>
    <row r="8113" spans="1:5" x14ac:dyDescent="0.35">
      <c r="A8113">
        <v>0</v>
      </c>
      <c r="B8113">
        <v>0</v>
      </c>
      <c r="C8113">
        <v>0</v>
      </c>
      <c r="D8113">
        <v>0</v>
      </c>
      <c r="E8113">
        <v>0</v>
      </c>
    </row>
    <row r="8114" spans="1:5" x14ac:dyDescent="0.35">
      <c r="A8114">
        <v>0</v>
      </c>
      <c r="B8114">
        <v>0</v>
      </c>
      <c r="C8114">
        <v>0</v>
      </c>
      <c r="D8114">
        <v>0</v>
      </c>
      <c r="E8114">
        <v>0</v>
      </c>
    </row>
    <row r="8115" spans="1:5" x14ac:dyDescent="0.35">
      <c r="A8115">
        <v>0</v>
      </c>
      <c r="B8115">
        <v>0</v>
      </c>
      <c r="C8115">
        <v>0</v>
      </c>
      <c r="D8115">
        <v>0</v>
      </c>
      <c r="E8115">
        <v>0</v>
      </c>
    </row>
    <row r="8116" spans="1:5" x14ac:dyDescent="0.35">
      <c r="A8116">
        <v>0</v>
      </c>
      <c r="B8116">
        <v>0</v>
      </c>
      <c r="C8116">
        <v>0</v>
      </c>
      <c r="D8116">
        <v>0</v>
      </c>
      <c r="E8116">
        <v>0</v>
      </c>
    </row>
    <row r="8117" spans="1:5" x14ac:dyDescent="0.35">
      <c r="A8117">
        <v>0</v>
      </c>
      <c r="B8117">
        <v>0</v>
      </c>
      <c r="C8117">
        <v>0</v>
      </c>
      <c r="D8117">
        <v>0</v>
      </c>
      <c r="E8117">
        <v>0</v>
      </c>
    </row>
    <row r="8118" spans="1:5" x14ac:dyDescent="0.35">
      <c r="A8118">
        <v>0</v>
      </c>
      <c r="B8118">
        <v>0</v>
      </c>
      <c r="C8118">
        <v>0</v>
      </c>
      <c r="D8118">
        <v>0</v>
      </c>
      <c r="E8118">
        <v>0</v>
      </c>
    </row>
    <row r="8119" spans="1:5" x14ac:dyDescent="0.35">
      <c r="A8119">
        <v>0</v>
      </c>
      <c r="B8119">
        <v>0</v>
      </c>
      <c r="C8119">
        <v>0</v>
      </c>
      <c r="D8119">
        <v>0</v>
      </c>
      <c r="E8119">
        <v>0</v>
      </c>
    </row>
    <row r="8120" spans="1:5" x14ac:dyDescent="0.35">
      <c r="A8120">
        <v>0</v>
      </c>
      <c r="B8120">
        <v>0</v>
      </c>
      <c r="C8120">
        <v>0</v>
      </c>
      <c r="D8120">
        <v>0</v>
      </c>
      <c r="E8120">
        <v>0</v>
      </c>
    </row>
    <row r="8121" spans="1:5" x14ac:dyDescent="0.35">
      <c r="A8121">
        <v>0</v>
      </c>
      <c r="B8121">
        <v>0</v>
      </c>
      <c r="C8121">
        <v>0</v>
      </c>
      <c r="D8121">
        <v>0</v>
      </c>
      <c r="E8121">
        <v>0</v>
      </c>
    </row>
    <row r="8122" spans="1:5" x14ac:dyDescent="0.35">
      <c r="A8122">
        <v>0</v>
      </c>
      <c r="B8122">
        <v>0</v>
      </c>
      <c r="C8122">
        <v>0</v>
      </c>
      <c r="D8122">
        <v>0</v>
      </c>
      <c r="E8122">
        <v>0</v>
      </c>
    </row>
    <row r="8123" spans="1:5" x14ac:dyDescent="0.35">
      <c r="A8123">
        <v>0</v>
      </c>
      <c r="B8123">
        <v>0</v>
      </c>
      <c r="C8123">
        <v>0</v>
      </c>
      <c r="D8123">
        <v>0</v>
      </c>
      <c r="E8123">
        <v>0</v>
      </c>
    </row>
    <row r="8124" spans="1:5" x14ac:dyDescent="0.35">
      <c r="A8124">
        <v>0</v>
      </c>
      <c r="B8124">
        <v>0</v>
      </c>
      <c r="C8124">
        <v>0</v>
      </c>
      <c r="D8124">
        <v>0</v>
      </c>
      <c r="E8124">
        <v>0</v>
      </c>
    </row>
    <row r="8125" spans="1:5" x14ac:dyDescent="0.35">
      <c r="A8125">
        <v>0</v>
      </c>
      <c r="B8125">
        <v>0</v>
      </c>
      <c r="C8125">
        <v>0</v>
      </c>
      <c r="D8125">
        <v>0</v>
      </c>
      <c r="E8125">
        <v>0</v>
      </c>
    </row>
    <row r="8126" spans="1:5" x14ac:dyDescent="0.35">
      <c r="A8126">
        <v>0</v>
      </c>
      <c r="B8126">
        <v>0</v>
      </c>
      <c r="C8126">
        <v>0</v>
      </c>
      <c r="D8126">
        <v>0</v>
      </c>
      <c r="E8126">
        <v>0</v>
      </c>
    </row>
    <row r="8127" spans="1:5" x14ac:dyDescent="0.35">
      <c r="A8127">
        <v>0</v>
      </c>
      <c r="B8127">
        <v>0</v>
      </c>
      <c r="C8127">
        <v>0</v>
      </c>
      <c r="D8127">
        <v>0</v>
      </c>
      <c r="E8127">
        <v>0</v>
      </c>
    </row>
    <row r="8128" spans="1:5" x14ac:dyDescent="0.35">
      <c r="A8128">
        <v>0</v>
      </c>
      <c r="B8128">
        <v>0</v>
      </c>
      <c r="C8128">
        <v>0</v>
      </c>
      <c r="D8128">
        <v>0</v>
      </c>
      <c r="E8128">
        <v>0</v>
      </c>
    </row>
    <row r="8129" spans="1:5" x14ac:dyDescent="0.35">
      <c r="A8129">
        <v>0</v>
      </c>
      <c r="B8129">
        <v>0</v>
      </c>
      <c r="C8129">
        <v>0</v>
      </c>
      <c r="D8129">
        <v>0</v>
      </c>
      <c r="E8129">
        <v>0</v>
      </c>
    </row>
    <row r="8130" spans="1:5" x14ac:dyDescent="0.35">
      <c r="A8130">
        <v>0</v>
      </c>
      <c r="B8130">
        <v>0</v>
      </c>
      <c r="C8130">
        <v>0</v>
      </c>
      <c r="D8130">
        <v>0</v>
      </c>
      <c r="E8130">
        <v>0</v>
      </c>
    </row>
    <row r="8131" spans="1:5" x14ac:dyDescent="0.35">
      <c r="A8131">
        <v>0</v>
      </c>
      <c r="B8131">
        <v>0</v>
      </c>
      <c r="C8131">
        <v>0</v>
      </c>
      <c r="D8131">
        <v>0</v>
      </c>
      <c r="E8131">
        <v>0</v>
      </c>
    </row>
    <row r="8132" spans="1:5" x14ac:dyDescent="0.35">
      <c r="A8132">
        <v>0</v>
      </c>
      <c r="B8132">
        <v>0</v>
      </c>
      <c r="C8132">
        <v>0</v>
      </c>
      <c r="D8132">
        <v>0</v>
      </c>
      <c r="E8132">
        <v>0</v>
      </c>
    </row>
    <row r="8133" spans="1:5" x14ac:dyDescent="0.35">
      <c r="A8133">
        <v>0</v>
      </c>
      <c r="B8133">
        <v>0</v>
      </c>
      <c r="C8133">
        <v>0</v>
      </c>
      <c r="D8133">
        <v>0</v>
      </c>
      <c r="E8133">
        <v>0</v>
      </c>
    </row>
    <row r="8134" spans="1:5" x14ac:dyDescent="0.35">
      <c r="A8134">
        <v>0</v>
      </c>
      <c r="B8134">
        <v>0</v>
      </c>
      <c r="C8134">
        <v>0</v>
      </c>
      <c r="D8134">
        <v>0</v>
      </c>
      <c r="E8134">
        <v>0</v>
      </c>
    </row>
    <row r="8135" spans="1:5" x14ac:dyDescent="0.35">
      <c r="A8135">
        <v>0</v>
      </c>
      <c r="B8135">
        <v>0</v>
      </c>
      <c r="C8135">
        <v>0</v>
      </c>
      <c r="D8135">
        <v>0</v>
      </c>
      <c r="E8135">
        <v>0</v>
      </c>
    </row>
    <row r="8136" spans="1:5" x14ac:dyDescent="0.35">
      <c r="A8136">
        <v>0</v>
      </c>
      <c r="B8136">
        <v>0</v>
      </c>
      <c r="C8136">
        <v>0</v>
      </c>
      <c r="D8136">
        <v>0</v>
      </c>
      <c r="E8136">
        <v>0</v>
      </c>
    </row>
    <row r="8137" spans="1:5" x14ac:dyDescent="0.35">
      <c r="A8137">
        <v>0</v>
      </c>
      <c r="B8137">
        <v>0</v>
      </c>
      <c r="C8137">
        <v>0</v>
      </c>
      <c r="D8137">
        <v>0</v>
      </c>
      <c r="E8137">
        <v>0</v>
      </c>
    </row>
    <row r="8138" spans="1:5" x14ac:dyDescent="0.35">
      <c r="A8138">
        <v>0</v>
      </c>
      <c r="B8138">
        <v>0</v>
      </c>
      <c r="C8138">
        <v>0</v>
      </c>
      <c r="D8138">
        <v>0</v>
      </c>
      <c r="E8138">
        <v>0</v>
      </c>
    </row>
    <row r="8139" spans="1:5" x14ac:dyDescent="0.35">
      <c r="A8139">
        <v>0</v>
      </c>
      <c r="B8139">
        <v>0</v>
      </c>
      <c r="C8139">
        <v>0</v>
      </c>
      <c r="D8139">
        <v>0</v>
      </c>
      <c r="E8139">
        <v>0</v>
      </c>
    </row>
    <row r="8140" spans="1:5" x14ac:dyDescent="0.35">
      <c r="A8140">
        <v>0</v>
      </c>
      <c r="B8140">
        <v>0</v>
      </c>
      <c r="C8140">
        <v>0</v>
      </c>
      <c r="D8140">
        <v>0</v>
      </c>
      <c r="E8140">
        <v>0</v>
      </c>
    </row>
    <row r="8141" spans="1:5" x14ac:dyDescent="0.35">
      <c r="A8141">
        <v>0</v>
      </c>
      <c r="B8141">
        <v>0</v>
      </c>
      <c r="C8141">
        <v>0</v>
      </c>
      <c r="D8141">
        <v>0</v>
      </c>
      <c r="E8141">
        <v>0</v>
      </c>
    </row>
    <row r="8142" spans="1:5" x14ac:dyDescent="0.35">
      <c r="A8142">
        <v>0</v>
      </c>
      <c r="B8142">
        <v>0</v>
      </c>
      <c r="C8142">
        <v>0</v>
      </c>
      <c r="D8142">
        <v>0</v>
      </c>
      <c r="E8142">
        <v>0</v>
      </c>
    </row>
    <row r="8143" spans="1:5" x14ac:dyDescent="0.35">
      <c r="A8143">
        <v>0</v>
      </c>
      <c r="B8143">
        <v>0</v>
      </c>
      <c r="C8143">
        <v>0</v>
      </c>
      <c r="D8143">
        <v>0</v>
      </c>
      <c r="E8143">
        <v>0</v>
      </c>
    </row>
    <row r="8144" spans="1:5" x14ac:dyDescent="0.35">
      <c r="A8144">
        <v>0</v>
      </c>
      <c r="B8144">
        <v>0</v>
      </c>
      <c r="C8144">
        <v>0</v>
      </c>
      <c r="D8144">
        <v>0</v>
      </c>
      <c r="E8144">
        <v>0</v>
      </c>
    </row>
    <row r="8145" spans="1:5" x14ac:dyDescent="0.35">
      <c r="A8145">
        <v>0</v>
      </c>
      <c r="B8145">
        <v>0</v>
      </c>
      <c r="C8145">
        <v>0</v>
      </c>
      <c r="D8145">
        <v>0</v>
      </c>
      <c r="E8145">
        <v>0</v>
      </c>
    </row>
    <row r="8146" spans="1:5" x14ac:dyDescent="0.35">
      <c r="A8146">
        <v>0</v>
      </c>
      <c r="B8146">
        <v>0</v>
      </c>
      <c r="C8146">
        <v>0</v>
      </c>
      <c r="D8146">
        <v>0</v>
      </c>
      <c r="E8146">
        <v>0</v>
      </c>
    </row>
    <row r="8147" spans="1:5" x14ac:dyDescent="0.35">
      <c r="A8147">
        <v>0</v>
      </c>
      <c r="B8147">
        <v>0</v>
      </c>
      <c r="C8147">
        <v>0</v>
      </c>
      <c r="D8147">
        <v>0</v>
      </c>
      <c r="E8147">
        <v>0</v>
      </c>
    </row>
    <row r="8148" spans="1:5" x14ac:dyDescent="0.35">
      <c r="A8148">
        <v>0</v>
      </c>
      <c r="B8148">
        <v>0</v>
      </c>
      <c r="C8148">
        <v>0</v>
      </c>
      <c r="D8148">
        <v>0</v>
      </c>
      <c r="E8148">
        <v>0</v>
      </c>
    </row>
    <row r="8149" spans="1:5" x14ac:dyDescent="0.35">
      <c r="A8149">
        <v>0</v>
      </c>
      <c r="B8149">
        <v>0</v>
      </c>
      <c r="C8149">
        <v>0</v>
      </c>
      <c r="D8149">
        <v>0</v>
      </c>
      <c r="E8149">
        <v>0</v>
      </c>
    </row>
    <row r="8150" spans="1:5" x14ac:dyDescent="0.35">
      <c r="A8150">
        <v>0</v>
      </c>
      <c r="B8150">
        <v>0</v>
      </c>
      <c r="C8150">
        <v>0</v>
      </c>
      <c r="D8150">
        <v>0</v>
      </c>
      <c r="E8150">
        <v>0</v>
      </c>
    </row>
    <row r="8151" spans="1:5" x14ac:dyDescent="0.35">
      <c r="A8151">
        <v>0</v>
      </c>
      <c r="B8151">
        <v>0</v>
      </c>
      <c r="C8151">
        <v>0</v>
      </c>
      <c r="D8151">
        <v>0</v>
      </c>
      <c r="E8151">
        <v>0</v>
      </c>
    </row>
    <row r="8152" spans="1:5" x14ac:dyDescent="0.35">
      <c r="A8152">
        <v>0</v>
      </c>
      <c r="B8152">
        <v>0</v>
      </c>
      <c r="C8152">
        <v>0</v>
      </c>
      <c r="D8152">
        <v>0</v>
      </c>
      <c r="E8152">
        <v>0</v>
      </c>
    </row>
    <row r="8153" spans="1:5" x14ac:dyDescent="0.35">
      <c r="A8153">
        <v>0</v>
      </c>
      <c r="B8153">
        <v>0</v>
      </c>
      <c r="C8153">
        <v>0</v>
      </c>
      <c r="D8153">
        <v>0</v>
      </c>
      <c r="E8153">
        <v>0</v>
      </c>
    </row>
    <row r="8154" spans="1:5" x14ac:dyDescent="0.35">
      <c r="A8154">
        <v>0</v>
      </c>
      <c r="B8154">
        <v>0</v>
      </c>
      <c r="C8154">
        <v>0</v>
      </c>
      <c r="D8154">
        <v>0</v>
      </c>
      <c r="E8154">
        <v>0</v>
      </c>
    </row>
    <row r="8155" spans="1:5" x14ac:dyDescent="0.35">
      <c r="A8155">
        <v>0</v>
      </c>
      <c r="B8155">
        <v>0</v>
      </c>
      <c r="C8155">
        <v>0</v>
      </c>
      <c r="D8155">
        <v>0</v>
      </c>
      <c r="E8155">
        <v>0</v>
      </c>
    </row>
    <row r="8156" spans="1:5" x14ac:dyDescent="0.35">
      <c r="A8156">
        <v>0</v>
      </c>
      <c r="B8156">
        <v>0</v>
      </c>
      <c r="C8156">
        <v>0</v>
      </c>
      <c r="D8156">
        <v>0</v>
      </c>
      <c r="E8156">
        <v>0</v>
      </c>
    </row>
    <row r="8157" spans="1:5" x14ac:dyDescent="0.35">
      <c r="A8157">
        <v>0</v>
      </c>
      <c r="B8157">
        <v>0</v>
      </c>
      <c r="C8157">
        <v>0</v>
      </c>
      <c r="D8157">
        <v>0</v>
      </c>
      <c r="E8157">
        <v>0</v>
      </c>
    </row>
    <row r="8158" spans="1:5" x14ac:dyDescent="0.35">
      <c r="A8158">
        <v>0</v>
      </c>
      <c r="B8158">
        <v>0</v>
      </c>
      <c r="C8158">
        <v>0</v>
      </c>
      <c r="D8158">
        <v>0</v>
      </c>
      <c r="E8158">
        <v>0</v>
      </c>
    </row>
    <row r="8159" spans="1:5" x14ac:dyDescent="0.35">
      <c r="A8159">
        <v>0</v>
      </c>
      <c r="B8159">
        <v>0</v>
      </c>
      <c r="C8159">
        <v>0</v>
      </c>
      <c r="D8159">
        <v>0</v>
      </c>
      <c r="E8159">
        <v>0</v>
      </c>
    </row>
    <row r="8160" spans="1:5" x14ac:dyDescent="0.35">
      <c r="A8160">
        <v>0</v>
      </c>
      <c r="B8160">
        <v>0</v>
      </c>
      <c r="C8160">
        <v>0</v>
      </c>
      <c r="D8160">
        <v>0</v>
      </c>
      <c r="E8160">
        <v>0</v>
      </c>
    </row>
    <row r="8161" spans="1:5" x14ac:dyDescent="0.35">
      <c r="A8161">
        <v>0</v>
      </c>
      <c r="B8161">
        <v>0</v>
      </c>
      <c r="C8161">
        <v>0</v>
      </c>
      <c r="D8161">
        <v>0</v>
      </c>
      <c r="E8161">
        <v>0</v>
      </c>
    </row>
    <row r="8162" spans="1:5" x14ac:dyDescent="0.35">
      <c r="A8162">
        <v>0</v>
      </c>
      <c r="B8162">
        <v>0</v>
      </c>
      <c r="C8162">
        <v>0</v>
      </c>
      <c r="D8162">
        <v>0</v>
      </c>
      <c r="E8162">
        <v>0</v>
      </c>
    </row>
    <row r="8163" spans="1:5" x14ac:dyDescent="0.35">
      <c r="A8163">
        <v>0</v>
      </c>
      <c r="B8163">
        <v>0</v>
      </c>
      <c r="C8163">
        <v>0</v>
      </c>
      <c r="D8163">
        <v>0</v>
      </c>
      <c r="E8163">
        <v>0</v>
      </c>
    </row>
    <row r="8164" spans="1:5" x14ac:dyDescent="0.35">
      <c r="A8164">
        <v>0</v>
      </c>
      <c r="B8164">
        <v>0</v>
      </c>
      <c r="C8164">
        <v>0</v>
      </c>
      <c r="D8164">
        <v>0</v>
      </c>
      <c r="E8164">
        <v>0</v>
      </c>
    </row>
    <row r="8165" spans="1:5" x14ac:dyDescent="0.35">
      <c r="A8165">
        <v>0</v>
      </c>
      <c r="B8165">
        <v>0</v>
      </c>
      <c r="C8165">
        <v>0</v>
      </c>
      <c r="D8165">
        <v>0</v>
      </c>
      <c r="E8165">
        <v>0</v>
      </c>
    </row>
    <row r="8166" spans="1:5" x14ac:dyDescent="0.35">
      <c r="A8166">
        <v>0</v>
      </c>
      <c r="B8166">
        <v>0</v>
      </c>
      <c r="C8166">
        <v>0</v>
      </c>
      <c r="D8166">
        <v>0</v>
      </c>
      <c r="E8166">
        <v>0</v>
      </c>
    </row>
    <row r="8167" spans="1:5" x14ac:dyDescent="0.35">
      <c r="A8167">
        <v>0</v>
      </c>
      <c r="B8167">
        <v>0</v>
      </c>
      <c r="C8167">
        <v>0</v>
      </c>
      <c r="D8167">
        <v>0</v>
      </c>
      <c r="E8167">
        <v>0</v>
      </c>
    </row>
    <row r="8168" spans="1:5" x14ac:dyDescent="0.35">
      <c r="A8168">
        <v>0</v>
      </c>
      <c r="B8168">
        <v>0</v>
      </c>
      <c r="C8168">
        <v>0</v>
      </c>
      <c r="D8168">
        <v>0</v>
      </c>
      <c r="E8168">
        <v>0</v>
      </c>
    </row>
    <row r="8169" spans="1:5" x14ac:dyDescent="0.35">
      <c r="A8169">
        <v>0</v>
      </c>
      <c r="B8169">
        <v>0</v>
      </c>
      <c r="C8169">
        <v>0</v>
      </c>
      <c r="D8169">
        <v>0</v>
      </c>
      <c r="E8169">
        <v>0</v>
      </c>
    </row>
    <row r="8170" spans="1:5" x14ac:dyDescent="0.35">
      <c r="A8170">
        <v>0</v>
      </c>
      <c r="B8170">
        <v>0</v>
      </c>
      <c r="C8170">
        <v>0</v>
      </c>
      <c r="D8170">
        <v>0</v>
      </c>
      <c r="E8170">
        <v>0</v>
      </c>
    </row>
    <row r="8171" spans="1:5" x14ac:dyDescent="0.35">
      <c r="A8171">
        <v>0</v>
      </c>
      <c r="B8171">
        <v>0</v>
      </c>
      <c r="C8171">
        <v>0</v>
      </c>
      <c r="D8171">
        <v>0</v>
      </c>
      <c r="E8171">
        <v>0</v>
      </c>
    </row>
    <row r="8172" spans="1:5" x14ac:dyDescent="0.35">
      <c r="A8172">
        <v>0</v>
      </c>
      <c r="B8172">
        <v>0</v>
      </c>
      <c r="C8172">
        <v>0</v>
      </c>
      <c r="D8172">
        <v>0</v>
      </c>
      <c r="E8172">
        <v>0</v>
      </c>
    </row>
    <row r="8173" spans="1:5" x14ac:dyDescent="0.35">
      <c r="A8173">
        <v>0</v>
      </c>
      <c r="B8173">
        <v>0</v>
      </c>
      <c r="C8173">
        <v>0</v>
      </c>
      <c r="D8173">
        <v>0</v>
      </c>
      <c r="E8173">
        <v>0</v>
      </c>
    </row>
    <row r="8174" spans="1:5" x14ac:dyDescent="0.35">
      <c r="A8174">
        <v>0</v>
      </c>
      <c r="B8174">
        <v>0</v>
      </c>
      <c r="C8174">
        <v>0</v>
      </c>
      <c r="D8174">
        <v>0</v>
      </c>
      <c r="E8174">
        <v>0</v>
      </c>
    </row>
    <row r="8175" spans="1:5" x14ac:dyDescent="0.35">
      <c r="A8175">
        <v>0</v>
      </c>
      <c r="B8175">
        <v>0</v>
      </c>
      <c r="C8175">
        <v>0</v>
      </c>
      <c r="D8175">
        <v>0</v>
      </c>
      <c r="E8175">
        <v>0</v>
      </c>
    </row>
    <row r="8176" spans="1:5" x14ac:dyDescent="0.35">
      <c r="A8176">
        <v>0</v>
      </c>
      <c r="B8176">
        <v>0</v>
      </c>
      <c r="C8176">
        <v>0</v>
      </c>
      <c r="D8176">
        <v>0</v>
      </c>
      <c r="E8176">
        <v>0</v>
      </c>
    </row>
    <row r="8177" spans="1:5" x14ac:dyDescent="0.35">
      <c r="A8177">
        <v>0</v>
      </c>
      <c r="B8177">
        <v>0</v>
      </c>
      <c r="C8177">
        <v>0</v>
      </c>
      <c r="D8177">
        <v>0</v>
      </c>
      <c r="E8177">
        <v>0</v>
      </c>
    </row>
    <row r="8178" spans="1:5" x14ac:dyDescent="0.35">
      <c r="A8178">
        <v>0</v>
      </c>
      <c r="B8178">
        <v>0</v>
      </c>
      <c r="C8178">
        <v>0</v>
      </c>
      <c r="D8178">
        <v>0</v>
      </c>
      <c r="E8178">
        <v>0</v>
      </c>
    </row>
    <row r="8179" spans="1:5" x14ac:dyDescent="0.35">
      <c r="A8179">
        <v>0</v>
      </c>
      <c r="B8179">
        <v>0</v>
      </c>
      <c r="C8179">
        <v>0</v>
      </c>
      <c r="D8179">
        <v>0</v>
      </c>
      <c r="E8179">
        <v>0</v>
      </c>
    </row>
    <row r="8180" spans="1:5" x14ac:dyDescent="0.35">
      <c r="A8180">
        <v>0</v>
      </c>
      <c r="B8180">
        <v>0</v>
      </c>
      <c r="C8180">
        <v>0</v>
      </c>
      <c r="D8180">
        <v>0</v>
      </c>
      <c r="E8180">
        <v>0</v>
      </c>
    </row>
    <row r="8181" spans="1:5" x14ac:dyDescent="0.35">
      <c r="A8181">
        <v>0</v>
      </c>
      <c r="B8181">
        <v>0</v>
      </c>
      <c r="C8181">
        <v>0</v>
      </c>
      <c r="D8181">
        <v>0</v>
      </c>
      <c r="E8181">
        <v>0</v>
      </c>
    </row>
    <row r="8182" spans="1:5" x14ac:dyDescent="0.35">
      <c r="A8182">
        <v>0</v>
      </c>
      <c r="B8182">
        <v>0</v>
      </c>
      <c r="C8182">
        <v>0</v>
      </c>
      <c r="D8182">
        <v>0</v>
      </c>
      <c r="E8182">
        <v>0</v>
      </c>
    </row>
    <row r="8183" spans="1:5" x14ac:dyDescent="0.35">
      <c r="A8183">
        <v>0</v>
      </c>
      <c r="B8183">
        <v>0</v>
      </c>
      <c r="C8183">
        <v>0</v>
      </c>
      <c r="D8183">
        <v>0</v>
      </c>
      <c r="E8183">
        <v>0</v>
      </c>
    </row>
    <row r="8184" spans="1:5" x14ac:dyDescent="0.35">
      <c r="A8184">
        <v>0</v>
      </c>
      <c r="B8184">
        <v>0</v>
      </c>
      <c r="C8184">
        <v>0</v>
      </c>
      <c r="D8184">
        <v>0</v>
      </c>
      <c r="E8184">
        <v>0</v>
      </c>
    </row>
    <row r="8185" spans="1:5" x14ac:dyDescent="0.35">
      <c r="A8185">
        <v>0</v>
      </c>
      <c r="B8185">
        <v>0</v>
      </c>
      <c r="C8185">
        <v>0</v>
      </c>
      <c r="D8185">
        <v>0</v>
      </c>
      <c r="E8185">
        <v>0</v>
      </c>
    </row>
    <row r="8186" spans="1:5" x14ac:dyDescent="0.35">
      <c r="A8186">
        <v>0</v>
      </c>
      <c r="B8186">
        <v>0</v>
      </c>
      <c r="C8186">
        <v>0</v>
      </c>
      <c r="D8186">
        <v>0</v>
      </c>
      <c r="E8186">
        <v>0</v>
      </c>
    </row>
    <row r="8187" spans="1:5" x14ac:dyDescent="0.35">
      <c r="A8187">
        <v>0</v>
      </c>
      <c r="B8187">
        <v>0</v>
      </c>
      <c r="C8187">
        <v>0</v>
      </c>
      <c r="D8187">
        <v>0</v>
      </c>
      <c r="E8187">
        <v>0</v>
      </c>
    </row>
    <row r="8188" spans="1:5" x14ac:dyDescent="0.35">
      <c r="A8188">
        <v>0</v>
      </c>
      <c r="B8188">
        <v>0</v>
      </c>
      <c r="C8188">
        <v>0</v>
      </c>
      <c r="D8188">
        <v>0</v>
      </c>
      <c r="E8188">
        <v>0</v>
      </c>
    </row>
    <row r="8189" spans="1:5" x14ac:dyDescent="0.35">
      <c r="A8189">
        <v>0</v>
      </c>
      <c r="B8189">
        <v>0</v>
      </c>
      <c r="C8189">
        <v>0</v>
      </c>
      <c r="D8189">
        <v>0</v>
      </c>
      <c r="E8189">
        <v>0</v>
      </c>
    </row>
    <row r="8190" spans="1:5" x14ac:dyDescent="0.35">
      <c r="A8190">
        <v>0</v>
      </c>
      <c r="B8190">
        <v>0</v>
      </c>
      <c r="C8190">
        <v>0</v>
      </c>
      <c r="D8190">
        <v>0</v>
      </c>
      <c r="E8190">
        <v>0</v>
      </c>
    </row>
    <row r="8191" spans="1:5" x14ac:dyDescent="0.35">
      <c r="A8191">
        <v>0</v>
      </c>
      <c r="B8191">
        <v>0</v>
      </c>
      <c r="C8191">
        <v>0</v>
      </c>
      <c r="D8191">
        <v>0</v>
      </c>
      <c r="E8191">
        <v>0</v>
      </c>
    </row>
    <row r="8192" spans="1:5" x14ac:dyDescent="0.35">
      <c r="A8192">
        <v>0</v>
      </c>
      <c r="B8192">
        <v>0</v>
      </c>
      <c r="C8192">
        <v>0</v>
      </c>
      <c r="D8192">
        <v>0</v>
      </c>
      <c r="E8192">
        <v>0</v>
      </c>
    </row>
    <row r="8193" spans="1:5" x14ac:dyDescent="0.35">
      <c r="A8193">
        <v>0</v>
      </c>
      <c r="B8193">
        <v>0</v>
      </c>
      <c r="C8193">
        <v>0</v>
      </c>
      <c r="D8193">
        <v>0</v>
      </c>
      <c r="E8193">
        <v>0</v>
      </c>
    </row>
    <row r="8194" spans="1:5" x14ac:dyDescent="0.35">
      <c r="A8194">
        <v>0</v>
      </c>
      <c r="B8194">
        <v>0</v>
      </c>
      <c r="C8194">
        <v>0</v>
      </c>
      <c r="D8194">
        <v>0</v>
      </c>
      <c r="E8194">
        <v>0</v>
      </c>
    </row>
    <row r="8195" spans="1:5" x14ac:dyDescent="0.35">
      <c r="A8195">
        <v>0</v>
      </c>
      <c r="B8195">
        <v>0</v>
      </c>
      <c r="C8195">
        <v>0</v>
      </c>
      <c r="D8195">
        <v>0</v>
      </c>
      <c r="E8195">
        <v>0</v>
      </c>
    </row>
    <row r="8196" spans="1:5" x14ac:dyDescent="0.35">
      <c r="A8196">
        <v>0</v>
      </c>
      <c r="B8196">
        <v>0</v>
      </c>
      <c r="C8196">
        <v>0</v>
      </c>
      <c r="D8196">
        <v>0</v>
      </c>
      <c r="E8196">
        <v>0</v>
      </c>
    </row>
    <row r="8197" spans="1:5" x14ac:dyDescent="0.35">
      <c r="A8197">
        <v>0</v>
      </c>
      <c r="B8197">
        <v>0</v>
      </c>
      <c r="C8197">
        <v>0</v>
      </c>
      <c r="D8197">
        <v>0</v>
      </c>
      <c r="E8197">
        <v>0</v>
      </c>
    </row>
    <row r="8198" spans="1:5" x14ac:dyDescent="0.35">
      <c r="A8198">
        <v>0</v>
      </c>
      <c r="B8198">
        <v>0</v>
      </c>
      <c r="C8198">
        <v>0</v>
      </c>
      <c r="D8198">
        <v>0</v>
      </c>
      <c r="E8198">
        <v>0</v>
      </c>
    </row>
    <row r="8199" spans="1:5" x14ac:dyDescent="0.35">
      <c r="A8199">
        <v>0</v>
      </c>
      <c r="B8199">
        <v>0</v>
      </c>
      <c r="C8199">
        <v>0</v>
      </c>
      <c r="D8199">
        <v>0</v>
      </c>
      <c r="E8199">
        <v>0</v>
      </c>
    </row>
    <row r="8200" spans="1:5" x14ac:dyDescent="0.35">
      <c r="A8200">
        <v>0</v>
      </c>
      <c r="B8200">
        <v>0</v>
      </c>
      <c r="C8200">
        <v>0</v>
      </c>
      <c r="D8200">
        <v>0</v>
      </c>
      <c r="E8200">
        <v>0</v>
      </c>
    </row>
    <row r="8201" spans="1:5" x14ac:dyDescent="0.35">
      <c r="A8201">
        <v>0</v>
      </c>
      <c r="B8201">
        <v>0</v>
      </c>
      <c r="C8201">
        <v>0</v>
      </c>
      <c r="D8201">
        <v>0</v>
      </c>
      <c r="E8201">
        <v>0</v>
      </c>
    </row>
    <row r="8202" spans="1:5" x14ac:dyDescent="0.35">
      <c r="A8202">
        <v>0</v>
      </c>
      <c r="B8202">
        <v>0</v>
      </c>
      <c r="C8202">
        <v>0</v>
      </c>
      <c r="D8202">
        <v>0</v>
      </c>
      <c r="E8202">
        <v>0</v>
      </c>
    </row>
    <row r="8203" spans="1:5" x14ac:dyDescent="0.35">
      <c r="A8203">
        <v>0</v>
      </c>
      <c r="B8203">
        <v>0</v>
      </c>
      <c r="C8203">
        <v>0</v>
      </c>
      <c r="D8203">
        <v>0</v>
      </c>
      <c r="E8203">
        <v>0</v>
      </c>
    </row>
    <row r="8204" spans="1:5" x14ac:dyDescent="0.35">
      <c r="A8204">
        <v>0</v>
      </c>
      <c r="B8204">
        <v>0</v>
      </c>
      <c r="C8204">
        <v>0</v>
      </c>
      <c r="D8204">
        <v>0</v>
      </c>
      <c r="E8204">
        <v>0</v>
      </c>
    </row>
    <row r="8205" spans="1:5" x14ac:dyDescent="0.35">
      <c r="A8205">
        <v>0</v>
      </c>
      <c r="B8205">
        <v>0</v>
      </c>
      <c r="C8205">
        <v>0</v>
      </c>
      <c r="D8205">
        <v>0</v>
      </c>
      <c r="E8205">
        <v>0</v>
      </c>
    </row>
    <row r="8206" spans="1:5" x14ac:dyDescent="0.35">
      <c r="A8206">
        <v>0</v>
      </c>
      <c r="B8206">
        <v>0</v>
      </c>
      <c r="C8206">
        <v>0</v>
      </c>
      <c r="D8206">
        <v>0</v>
      </c>
      <c r="E8206">
        <v>0</v>
      </c>
    </row>
    <row r="8207" spans="1:5" x14ac:dyDescent="0.35">
      <c r="A8207">
        <v>0</v>
      </c>
      <c r="B8207">
        <v>0</v>
      </c>
      <c r="C8207">
        <v>0</v>
      </c>
      <c r="D8207">
        <v>0</v>
      </c>
      <c r="E8207">
        <v>0</v>
      </c>
    </row>
    <row r="8208" spans="1:5" x14ac:dyDescent="0.35">
      <c r="A8208">
        <v>0</v>
      </c>
      <c r="B8208">
        <v>0</v>
      </c>
      <c r="C8208">
        <v>0</v>
      </c>
      <c r="D8208">
        <v>0</v>
      </c>
      <c r="E8208">
        <v>0</v>
      </c>
    </row>
    <row r="8209" spans="1:5" x14ac:dyDescent="0.35">
      <c r="A8209">
        <v>0</v>
      </c>
      <c r="B8209">
        <v>0</v>
      </c>
      <c r="C8209">
        <v>0</v>
      </c>
      <c r="D8209">
        <v>0</v>
      </c>
      <c r="E8209">
        <v>0</v>
      </c>
    </row>
    <row r="8210" spans="1:5" x14ac:dyDescent="0.35">
      <c r="A8210">
        <v>0</v>
      </c>
      <c r="B8210">
        <v>0</v>
      </c>
      <c r="C8210">
        <v>0</v>
      </c>
      <c r="D8210">
        <v>0</v>
      </c>
      <c r="E8210">
        <v>0</v>
      </c>
    </row>
    <row r="8211" spans="1:5" x14ac:dyDescent="0.35">
      <c r="A8211">
        <v>0</v>
      </c>
      <c r="B8211">
        <v>0</v>
      </c>
      <c r="C8211">
        <v>0</v>
      </c>
      <c r="D8211">
        <v>0</v>
      </c>
      <c r="E8211">
        <v>0</v>
      </c>
    </row>
    <row r="8212" spans="1:5" x14ac:dyDescent="0.35">
      <c r="A8212">
        <v>0</v>
      </c>
      <c r="B8212">
        <v>0</v>
      </c>
      <c r="C8212">
        <v>0</v>
      </c>
      <c r="D8212">
        <v>0</v>
      </c>
      <c r="E8212">
        <v>0</v>
      </c>
    </row>
    <row r="8213" spans="1:5" x14ac:dyDescent="0.35">
      <c r="A8213">
        <v>0</v>
      </c>
      <c r="B8213">
        <v>0</v>
      </c>
      <c r="C8213">
        <v>0</v>
      </c>
      <c r="D8213">
        <v>0</v>
      </c>
      <c r="E8213">
        <v>0</v>
      </c>
    </row>
    <row r="8214" spans="1:5" x14ac:dyDescent="0.35">
      <c r="A8214">
        <v>0</v>
      </c>
      <c r="B8214">
        <v>0</v>
      </c>
      <c r="C8214">
        <v>0</v>
      </c>
      <c r="D8214">
        <v>0</v>
      </c>
      <c r="E8214">
        <v>0</v>
      </c>
    </row>
    <row r="8215" spans="1:5" x14ac:dyDescent="0.35">
      <c r="A8215">
        <v>0</v>
      </c>
      <c r="B8215">
        <v>0</v>
      </c>
      <c r="C8215">
        <v>0</v>
      </c>
      <c r="D8215">
        <v>0</v>
      </c>
      <c r="E8215">
        <v>0</v>
      </c>
    </row>
    <row r="8216" spans="1:5" x14ac:dyDescent="0.35">
      <c r="A8216">
        <v>0</v>
      </c>
      <c r="B8216">
        <v>0</v>
      </c>
      <c r="C8216">
        <v>0</v>
      </c>
      <c r="D8216">
        <v>0</v>
      </c>
      <c r="E8216">
        <v>0</v>
      </c>
    </row>
    <row r="8217" spans="1:5" x14ac:dyDescent="0.35">
      <c r="A8217">
        <v>0</v>
      </c>
      <c r="B8217">
        <v>0</v>
      </c>
      <c r="C8217">
        <v>0</v>
      </c>
      <c r="D8217">
        <v>0</v>
      </c>
      <c r="E8217">
        <v>0</v>
      </c>
    </row>
    <row r="8218" spans="1:5" x14ac:dyDescent="0.35">
      <c r="A8218">
        <v>0</v>
      </c>
      <c r="B8218">
        <v>0</v>
      </c>
      <c r="C8218">
        <v>0</v>
      </c>
      <c r="D8218">
        <v>0</v>
      </c>
      <c r="E8218">
        <v>0</v>
      </c>
    </row>
    <row r="8219" spans="1:5" x14ac:dyDescent="0.35">
      <c r="A8219">
        <v>0</v>
      </c>
      <c r="B8219">
        <v>0</v>
      </c>
      <c r="C8219">
        <v>0</v>
      </c>
      <c r="D8219">
        <v>0</v>
      </c>
      <c r="E8219">
        <v>0</v>
      </c>
    </row>
    <row r="8220" spans="1:5" x14ac:dyDescent="0.35">
      <c r="A8220">
        <v>0</v>
      </c>
      <c r="B8220">
        <v>0</v>
      </c>
      <c r="C8220">
        <v>0</v>
      </c>
      <c r="D8220">
        <v>0</v>
      </c>
      <c r="E8220">
        <v>0</v>
      </c>
    </row>
    <row r="8221" spans="1:5" x14ac:dyDescent="0.35">
      <c r="A8221">
        <v>0</v>
      </c>
      <c r="B8221">
        <v>0</v>
      </c>
      <c r="C8221">
        <v>0</v>
      </c>
      <c r="D8221">
        <v>0</v>
      </c>
      <c r="E8221">
        <v>0</v>
      </c>
    </row>
    <row r="8222" spans="1:5" x14ac:dyDescent="0.35">
      <c r="A8222">
        <v>0</v>
      </c>
      <c r="B8222">
        <v>0</v>
      </c>
      <c r="C8222">
        <v>0</v>
      </c>
      <c r="D8222">
        <v>0</v>
      </c>
      <c r="E8222">
        <v>0</v>
      </c>
    </row>
    <row r="8223" spans="1:5" x14ac:dyDescent="0.35">
      <c r="A8223">
        <v>0</v>
      </c>
      <c r="B8223">
        <v>0</v>
      </c>
      <c r="C8223">
        <v>0</v>
      </c>
      <c r="D8223">
        <v>0</v>
      </c>
      <c r="E8223">
        <v>0</v>
      </c>
    </row>
    <row r="8224" spans="1:5" x14ac:dyDescent="0.35">
      <c r="A8224">
        <v>0</v>
      </c>
      <c r="B8224">
        <v>0</v>
      </c>
      <c r="C8224">
        <v>0</v>
      </c>
      <c r="D8224">
        <v>0</v>
      </c>
      <c r="E8224">
        <v>0</v>
      </c>
    </row>
    <row r="8225" spans="1:5" x14ac:dyDescent="0.35">
      <c r="A8225">
        <v>0</v>
      </c>
      <c r="B8225">
        <v>0</v>
      </c>
      <c r="C8225">
        <v>0</v>
      </c>
      <c r="D8225">
        <v>0</v>
      </c>
      <c r="E8225">
        <v>0</v>
      </c>
    </row>
    <row r="8226" spans="1:5" x14ac:dyDescent="0.35">
      <c r="A8226">
        <v>0</v>
      </c>
      <c r="B8226">
        <v>0</v>
      </c>
      <c r="C8226">
        <v>0</v>
      </c>
      <c r="D8226">
        <v>0</v>
      </c>
      <c r="E8226">
        <v>0</v>
      </c>
    </row>
    <row r="8227" spans="1:5" x14ac:dyDescent="0.35">
      <c r="A8227">
        <v>0</v>
      </c>
      <c r="B8227">
        <v>0</v>
      </c>
      <c r="C8227">
        <v>0</v>
      </c>
      <c r="D8227">
        <v>0</v>
      </c>
      <c r="E8227">
        <v>0</v>
      </c>
    </row>
    <row r="8228" spans="1:5" x14ac:dyDescent="0.35">
      <c r="A8228">
        <v>0</v>
      </c>
      <c r="B8228">
        <v>0</v>
      </c>
      <c r="C8228">
        <v>0</v>
      </c>
      <c r="D8228">
        <v>0</v>
      </c>
      <c r="E8228">
        <v>0</v>
      </c>
    </row>
    <row r="8229" spans="1:5" x14ac:dyDescent="0.35">
      <c r="A8229">
        <v>0</v>
      </c>
      <c r="B8229">
        <v>0</v>
      </c>
      <c r="C8229">
        <v>0</v>
      </c>
      <c r="D8229">
        <v>0</v>
      </c>
      <c r="E8229">
        <v>0</v>
      </c>
    </row>
    <row r="8230" spans="1:5" x14ac:dyDescent="0.35">
      <c r="A8230">
        <v>0</v>
      </c>
      <c r="B8230">
        <v>0</v>
      </c>
      <c r="C8230">
        <v>0</v>
      </c>
      <c r="D8230">
        <v>0</v>
      </c>
      <c r="E8230">
        <v>0</v>
      </c>
    </row>
    <row r="8231" spans="1:5" x14ac:dyDescent="0.35">
      <c r="A8231">
        <v>0</v>
      </c>
      <c r="B8231">
        <v>0</v>
      </c>
      <c r="C8231">
        <v>0</v>
      </c>
      <c r="D8231">
        <v>0</v>
      </c>
      <c r="E8231">
        <v>0</v>
      </c>
    </row>
    <row r="8232" spans="1:5" x14ac:dyDescent="0.35">
      <c r="A8232">
        <v>0</v>
      </c>
      <c r="B8232">
        <v>0</v>
      </c>
      <c r="C8232">
        <v>0</v>
      </c>
      <c r="D8232">
        <v>0</v>
      </c>
      <c r="E8232">
        <v>0</v>
      </c>
    </row>
    <row r="8233" spans="1:5" x14ac:dyDescent="0.35">
      <c r="A8233">
        <v>0</v>
      </c>
      <c r="B8233">
        <v>0</v>
      </c>
      <c r="C8233">
        <v>0</v>
      </c>
      <c r="D8233">
        <v>0</v>
      </c>
      <c r="E8233">
        <v>0</v>
      </c>
    </row>
    <row r="8234" spans="1:5" x14ac:dyDescent="0.35">
      <c r="A8234">
        <v>0</v>
      </c>
      <c r="B8234">
        <v>0</v>
      </c>
      <c r="C8234">
        <v>0</v>
      </c>
      <c r="D8234">
        <v>0</v>
      </c>
      <c r="E8234">
        <v>0</v>
      </c>
    </row>
    <row r="8235" spans="1:5" x14ac:dyDescent="0.35">
      <c r="A8235">
        <v>0</v>
      </c>
      <c r="B8235">
        <v>0</v>
      </c>
      <c r="C8235">
        <v>0</v>
      </c>
      <c r="D8235">
        <v>0</v>
      </c>
      <c r="E8235">
        <v>0</v>
      </c>
    </row>
    <row r="8236" spans="1:5" x14ac:dyDescent="0.35">
      <c r="A8236">
        <v>0</v>
      </c>
      <c r="B8236">
        <v>0</v>
      </c>
      <c r="C8236">
        <v>0</v>
      </c>
      <c r="D8236">
        <v>0</v>
      </c>
      <c r="E8236">
        <v>0</v>
      </c>
    </row>
    <row r="8237" spans="1:5" x14ac:dyDescent="0.35">
      <c r="A8237">
        <v>0</v>
      </c>
      <c r="B8237">
        <v>0</v>
      </c>
      <c r="C8237">
        <v>0</v>
      </c>
      <c r="D8237">
        <v>0</v>
      </c>
      <c r="E8237">
        <v>0</v>
      </c>
    </row>
    <row r="8238" spans="1:5" x14ac:dyDescent="0.35">
      <c r="A8238">
        <v>0</v>
      </c>
      <c r="B8238">
        <v>0</v>
      </c>
      <c r="C8238">
        <v>0</v>
      </c>
      <c r="D8238">
        <v>0</v>
      </c>
      <c r="E8238">
        <v>0</v>
      </c>
    </row>
    <row r="8239" spans="1:5" x14ac:dyDescent="0.35">
      <c r="A8239">
        <v>0</v>
      </c>
      <c r="B8239">
        <v>0</v>
      </c>
      <c r="C8239">
        <v>0</v>
      </c>
      <c r="D8239">
        <v>0</v>
      </c>
      <c r="E8239">
        <v>0</v>
      </c>
    </row>
    <row r="8240" spans="1:5" x14ac:dyDescent="0.35">
      <c r="A8240">
        <v>0</v>
      </c>
      <c r="B8240">
        <v>0</v>
      </c>
      <c r="C8240">
        <v>0</v>
      </c>
      <c r="D8240">
        <v>0</v>
      </c>
      <c r="E8240">
        <v>0</v>
      </c>
    </row>
    <row r="8241" spans="1:5" x14ac:dyDescent="0.35">
      <c r="A8241">
        <v>0</v>
      </c>
      <c r="B8241">
        <v>0</v>
      </c>
      <c r="C8241">
        <v>0</v>
      </c>
      <c r="D8241">
        <v>0</v>
      </c>
      <c r="E8241">
        <v>0</v>
      </c>
    </row>
    <row r="8242" spans="1:5" x14ac:dyDescent="0.35">
      <c r="A8242">
        <v>0</v>
      </c>
      <c r="B8242">
        <v>0</v>
      </c>
      <c r="C8242">
        <v>0</v>
      </c>
      <c r="D8242">
        <v>0</v>
      </c>
      <c r="E8242">
        <v>0</v>
      </c>
    </row>
    <row r="8243" spans="1:5" x14ac:dyDescent="0.35">
      <c r="A8243">
        <v>0</v>
      </c>
      <c r="B8243">
        <v>0</v>
      </c>
      <c r="C8243">
        <v>0</v>
      </c>
      <c r="D8243">
        <v>0</v>
      </c>
      <c r="E8243">
        <v>0</v>
      </c>
    </row>
    <row r="8244" spans="1:5" x14ac:dyDescent="0.35">
      <c r="A8244">
        <v>0</v>
      </c>
      <c r="B8244">
        <v>0</v>
      </c>
      <c r="C8244">
        <v>0</v>
      </c>
      <c r="D8244">
        <v>0</v>
      </c>
      <c r="E8244">
        <v>0</v>
      </c>
    </row>
    <row r="8245" spans="1:5" x14ac:dyDescent="0.35">
      <c r="A8245">
        <v>0</v>
      </c>
      <c r="B8245">
        <v>0</v>
      </c>
      <c r="C8245">
        <v>0</v>
      </c>
      <c r="D8245">
        <v>0</v>
      </c>
      <c r="E8245">
        <v>0</v>
      </c>
    </row>
    <row r="8246" spans="1:5" x14ac:dyDescent="0.35">
      <c r="A8246">
        <v>0</v>
      </c>
      <c r="B8246">
        <v>0</v>
      </c>
      <c r="C8246">
        <v>0</v>
      </c>
      <c r="D8246">
        <v>0</v>
      </c>
      <c r="E8246">
        <v>0</v>
      </c>
    </row>
    <row r="8247" spans="1:5" x14ac:dyDescent="0.35">
      <c r="A8247">
        <v>0</v>
      </c>
      <c r="B8247">
        <v>0</v>
      </c>
      <c r="C8247">
        <v>0</v>
      </c>
      <c r="D8247">
        <v>0</v>
      </c>
      <c r="E8247">
        <v>0</v>
      </c>
    </row>
    <row r="8248" spans="1:5" x14ac:dyDescent="0.35">
      <c r="A8248">
        <v>0</v>
      </c>
      <c r="B8248">
        <v>0</v>
      </c>
      <c r="C8248">
        <v>0</v>
      </c>
      <c r="D8248">
        <v>0</v>
      </c>
      <c r="E8248">
        <v>0</v>
      </c>
    </row>
    <row r="8249" spans="1:5" x14ac:dyDescent="0.35">
      <c r="A8249">
        <v>0</v>
      </c>
      <c r="B8249">
        <v>0</v>
      </c>
      <c r="C8249">
        <v>0</v>
      </c>
      <c r="D8249">
        <v>0</v>
      </c>
      <c r="E8249">
        <v>0</v>
      </c>
    </row>
    <row r="8250" spans="1:5" x14ac:dyDescent="0.35">
      <c r="A8250">
        <v>0</v>
      </c>
      <c r="B8250">
        <v>0</v>
      </c>
      <c r="C8250">
        <v>0</v>
      </c>
      <c r="D8250">
        <v>0</v>
      </c>
      <c r="E8250">
        <v>0</v>
      </c>
    </row>
    <row r="8251" spans="1:5" x14ac:dyDescent="0.35">
      <c r="A8251">
        <v>0</v>
      </c>
      <c r="B8251">
        <v>0</v>
      </c>
      <c r="C8251">
        <v>0</v>
      </c>
      <c r="D8251">
        <v>0</v>
      </c>
      <c r="E8251">
        <v>0</v>
      </c>
    </row>
    <row r="8252" spans="1:5" x14ac:dyDescent="0.35">
      <c r="A8252">
        <v>0</v>
      </c>
      <c r="B8252">
        <v>0</v>
      </c>
      <c r="C8252">
        <v>0</v>
      </c>
      <c r="D8252">
        <v>0</v>
      </c>
      <c r="E8252">
        <v>0</v>
      </c>
    </row>
    <row r="8253" spans="1:5" x14ac:dyDescent="0.35">
      <c r="A8253">
        <v>0</v>
      </c>
      <c r="B8253">
        <v>0</v>
      </c>
      <c r="C8253">
        <v>0</v>
      </c>
      <c r="D8253">
        <v>0</v>
      </c>
      <c r="E8253">
        <v>0</v>
      </c>
    </row>
    <row r="8254" spans="1:5" x14ac:dyDescent="0.35">
      <c r="A8254">
        <v>0</v>
      </c>
      <c r="B8254">
        <v>0</v>
      </c>
      <c r="C8254">
        <v>0</v>
      </c>
      <c r="D8254">
        <v>0</v>
      </c>
      <c r="E8254">
        <v>0</v>
      </c>
    </row>
    <row r="8255" spans="1:5" x14ac:dyDescent="0.35">
      <c r="A8255">
        <v>0</v>
      </c>
      <c r="B8255">
        <v>0</v>
      </c>
      <c r="C8255">
        <v>0</v>
      </c>
      <c r="D8255">
        <v>0</v>
      </c>
      <c r="E8255">
        <v>0</v>
      </c>
    </row>
    <row r="8256" spans="1:5" x14ac:dyDescent="0.35">
      <c r="A8256">
        <v>0</v>
      </c>
      <c r="B8256">
        <v>0</v>
      </c>
      <c r="C8256">
        <v>0</v>
      </c>
      <c r="D8256">
        <v>0</v>
      </c>
      <c r="E8256">
        <v>0</v>
      </c>
    </row>
    <row r="8257" spans="1:5" x14ac:dyDescent="0.35">
      <c r="A8257">
        <v>0</v>
      </c>
      <c r="B8257">
        <v>0</v>
      </c>
      <c r="C8257">
        <v>0</v>
      </c>
      <c r="D8257">
        <v>0</v>
      </c>
      <c r="E8257">
        <v>0</v>
      </c>
    </row>
    <row r="8258" spans="1:5" x14ac:dyDescent="0.35">
      <c r="A8258">
        <v>0</v>
      </c>
      <c r="B8258">
        <v>0</v>
      </c>
      <c r="C8258">
        <v>0</v>
      </c>
      <c r="D8258">
        <v>0</v>
      </c>
      <c r="E8258">
        <v>0</v>
      </c>
    </row>
    <row r="8259" spans="1:5" x14ac:dyDescent="0.35">
      <c r="A8259">
        <v>0</v>
      </c>
      <c r="B8259">
        <v>0</v>
      </c>
      <c r="C8259">
        <v>0</v>
      </c>
      <c r="D8259">
        <v>0</v>
      </c>
      <c r="E8259">
        <v>0</v>
      </c>
    </row>
    <row r="8260" spans="1:5" x14ac:dyDescent="0.35">
      <c r="A8260">
        <v>0</v>
      </c>
      <c r="B8260">
        <v>0</v>
      </c>
      <c r="C8260">
        <v>0</v>
      </c>
      <c r="D8260">
        <v>0</v>
      </c>
      <c r="E8260">
        <v>0</v>
      </c>
    </row>
    <row r="8261" spans="1:5" x14ac:dyDescent="0.35">
      <c r="A8261">
        <v>0</v>
      </c>
      <c r="B8261">
        <v>0</v>
      </c>
      <c r="C8261">
        <v>0</v>
      </c>
      <c r="D8261">
        <v>0</v>
      </c>
      <c r="E8261">
        <v>0</v>
      </c>
    </row>
    <row r="8262" spans="1:5" x14ac:dyDescent="0.35">
      <c r="A8262">
        <v>0</v>
      </c>
      <c r="B8262">
        <v>0</v>
      </c>
      <c r="C8262">
        <v>0</v>
      </c>
      <c r="D8262">
        <v>0</v>
      </c>
      <c r="E8262">
        <v>0</v>
      </c>
    </row>
    <row r="8263" spans="1:5" x14ac:dyDescent="0.35">
      <c r="A8263">
        <v>0</v>
      </c>
      <c r="B8263">
        <v>0</v>
      </c>
      <c r="C8263">
        <v>0</v>
      </c>
      <c r="D8263">
        <v>0</v>
      </c>
      <c r="E8263">
        <v>0</v>
      </c>
    </row>
    <row r="8264" spans="1:5" x14ac:dyDescent="0.35">
      <c r="A8264">
        <v>0</v>
      </c>
      <c r="B8264">
        <v>0</v>
      </c>
      <c r="C8264">
        <v>0</v>
      </c>
      <c r="D8264">
        <v>0</v>
      </c>
      <c r="E8264">
        <v>0</v>
      </c>
    </row>
    <row r="8265" spans="1:5" x14ac:dyDescent="0.35">
      <c r="A8265">
        <v>0</v>
      </c>
      <c r="B8265">
        <v>0</v>
      </c>
      <c r="C8265">
        <v>0</v>
      </c>
      <c r="D8265">
        <v>0</v>
      </c>
      <c r="E8265">
        <v>0</v>
      </c>
    </row>
    <row r="8266" spans="1:5" x14ac:dyDescent="0.35">
      <c r="A8266">
        <v>0</v>
      </c>
      <c r="B8266">
        <v>0</v>
      </c>
      <c r="C8266">
        <v>0</v>
      </c>
      <c r="D8266">
        <v>0</v>
      </c>
      <c r="E8266">
        <v>0</v>
      </c>
    </row>
    <row r="8267" spans="1:5" x14ac:dyDescent="0.35">
      <c r="A8267">
        <v>0</v>
      </c>
      <c r="B8267">
        <v>0</v>
      </c>
      <c r="C8267">
        <v>0</v>
      </c>
      <c r="D8267">
        <v>0</v>
      </c>
      <c r="E8267">
        <v>0</v>
      </c>
    </row>
    <row r="8268" spans="1:5" x14ac:dyDescent="0.35">
      <c r="A8268">
        <v>0</v>
      </c>
      <c r="B8268">
        <v>0</v>
      </c>
      <c r="C8268">
        <v>0</v>
      </c>
      <c r="D8268">
        <v>0</v>
      </c>
      <c r="E8268">
        <v>0</v>
      </c>
    </row>
    <row r="8269" spans="1:5" x14ac:dyDescent="0.35">
      <c r="A8269">
        <v>0</v>
      </c>
      <c r="B8269">
        <v>0</v>
      </c>
      <c r="C8269">
        <v>0</v>
      </c>
      <c r="D8269">
        <v>0</v>
      </c>
      <c r="E8269">
        <v>0</v>
      </c>
    </row>
    <row r="8270" spans="1:5" x14ac:dyDescent="0.35">
      <c r="A8270">
        <v>0</v>
      </c>
      <c r="B8270">
        <v>0</v>
      </c>
      <c r="C8270">
        <v>0</v>
      </c>
      <c r="D8270">
        <v>0</v>
      </c>
      <c r="E8270">
        <v>0</v>
      </c>
    </row>
    <row r="8271" spans="1:5" x14ac:dyDescent="0.35">
      <c r="A8271">
        <v>0</v>
      </c>
      <c r="B8271">
        <v>0</v>
      </c>
      <c r="C8271">
        <v>0</v>
      </c>
      <c r="D8271">
        <v>0</v>
      </c>
      <c r="E8271">
        <v>0</v>
      </c>
    </row>
    <row r="8272" spans="1:5" x14ac:dyDescent="0.35">
      <c r="A8272">
        <v>0</v>
      </c>
      <c r="B8272">
        <v>0</v>
      </c>
      <c r="C8272">
        <v>0</v>
      </c>
      <c r="D8272">
        <v>0</v>
      </c>
      <c r="E8272">
        <v>0</v>
      </c>
    </row>
    <row r="8273" spans="1:5" x14ac:dyDescent="0.35">
      <c r="A8273">
        <v>0</v>
      </c>
      <c r="B8273">
        <v>0</v>
      </c>
      <c r="C8273">
        <v>0</v>
      </c>
      <c r="D8273">
        <v>0</v>
      </c>
      <c r="E8273">
        <v>0</v>
      </c>
    </row>
    <row r="8274" spans="1:5" x14ac:dyDescent="0.35">
      <c r="A8274">
        <v>0</v>
      </c>
      <c r="B8274">
        <v>0</v>
      </c>
      <c r="C8274">
        <v>0</v>
      </c>
      <c r="D8274">
        <v>0</v>
      </c>
      <c r="E8274">
        <v>0</v>
      </c>
    </row>
    <row r="8275" spans="1:5" x14ac:dyDescent="0.35">
      <c r="A8275">
        <v>0</v>
      </c>
      <c r="B8275">
        <v>0</v>
      </c>
      <c r="C8275">
        <v>0</v>
      </c>
      <c r="D8275">
        <v>0</v>
      </c>
      <c r="E8275">
        <v>0</v>
      </c>
    </row>
    <row r="8276" spans="1:5" x14ac:dyDescent="0.35">
      <c r="A8276">
        <v>0</v>
      </c>
      <c r="B8276">
        <v>0</v>
      </c>
      <c r="C8276">
        <v>0</v>
      </c>
      <c r="D8276">
        <v>0</v>
      </c>
      <c r="E8276">
        <v>0</v>
      </c>
    </row>
    <row r="8277" spans="1:5" x14ac:dyDescent="0.35">
      <c r="A8277">
        <v>0</v>
      </c>
      <c r="B8277">
        <v>0</v>
      </c>
      <c r="C8277">
        <v>0</v>
      </c>
      <c r="D8277">
        <v>0</v>
      </c>
      <c r="E8277">
        <v>0</v>
      </c>
    </row>
    <row r="8278" spans="1:5" x14ac:dyDescent="0.35">
      <c r="A8278">
        <v>0</v>
      </c>
      <c r="B8278">
        <v>0</v>
      </c>
      <c r="C8278">
        <v>0</v>
      </c>
      <c r="D8278">
        <v>0</v>
      </c>
      <c r="E8278">
        <v>0</v>
      </c>
    </row>
    <row r="8279" spans="1:5" x14ac:dyDescent="0.35">
      <c r="A8279">
        <v>0</v>
      </c>
      <c r="B8279">
        <v>0</v>
      </c>
      <c r="C8279">
        <v>0</v>
      </c>
      <c r="D8279">
        <v>0</v>
      </c>
      <c r="E8279">
        <v>0</v>
      </c>
    </row>
    <row r="8280" spans="1:5" x14ac:dyDescent="0.35">
      <c r="A8280">
        <v>0</v>
      </c>
      <c r="B8280">
        <v>0</v>
      </c>
      <c r="C8280">
        <v>0</v>
      </c>
      <c r="D8280">
        <v>0</v>
      </c>
      <c r="E8280">
        <v>0</v>
      </c>
    </row>
    <row r="8281" spans="1:5" x14ac:dyDescent="0.35">
      <c r="A8281">
        <v>0</v>
      </c>
      <c r="B8281">
        <v>0</v>
      </c>
      <c r="C8281">
        <v>0</v>
      </c>
      <c r="D8281">
        <v>0</v>
      </c>
      <c r="E8281">
        <v>0</v>
      </c>
    </row>
    <row r="8282" spans="1:5" x14ac:dyDescent="0.35">
      <c r="A8282">
        <v>0</v>
      </c>
      <c r="B8282">
        <v>0</v>
      </c>
      <c r="C8282">
        <v>0</v>
      </c>
      <c r="D8282">
        <v>0</v>
      </c>
      <c r="E8282">
        <v>0</v>
      </c>
    </row>
    <row r="8283" spans="1:5" x14ac:dyDescent="0.35">
      <c r="A8283">
        <v>0</v>
      </c>
      <c r="B8283">
        <v>0</v>
      </c>
      <c r="C8283">
        <v>0</v>
      </c>
      <c r="D8283">
        <v>0</v>
      </c>
      <c r="E8283">
        <v>0</v>
      </c>
    </row>
    <row r="8284" spans="1:5" x14ac:dyDescent="0.35">
      <c r="A8284">
        <v>0</v>
      </c>
      <c r="B8284">
        <v>0</v>
      </c>
      <c r="C8284">
        <v>0</v>
      </c>
      <c r="D8284">
        <v>0</v>
      </c>
      <c r="E8284">
        <v>0</v>
      </c>
    </row>
    <row r="8285" spans="1:5" x14ac:dyDescent="0.35">
      <c r="A8285">
        <v>0</v>
      </c>
      <c r="B8285">
        <v>0</v>
      </c>
      <c r="C8285">
        <v>0</v>
      </c>
      <c r="D8285">
        <v>0</v>
      </c>
      <c r="E8285">
        <v>0</v>
      </c>
    </row>
    <row r="8286" spans="1:5" x14ac:dyDescent="0.35">
      <c r="A8286">
        <v>0</v>
      </c>
      <c r="B8286">
        <v>0</v>
      </c>
      <c r="C8286">
        <v>0</v>
      </c>
      <c r="D8286">
        <v>0</v>
      </c>
      <c r="E8286">
        <v>0</v>
      </c>
    </row>
    <row r="8287" spans="1:5" x14ac:dyDescent="0.35">
      <c r="A8287">
        <v>0</v>
      </c>
      <c r="B8287">
        <v>0</v>
      </c>
      <c r="C8287">
        <v>0</v>
      </c>
      <c r="D8287">
        <v>0</v>
      </c>
      <c r="E8287">
        <v>0</v>
      </c>
    </row>
    <row r="8288" spans="1:5" x14ac:dyDescent="0.35">
      <c r="A8288">
        <v>0</v>
      </c>
      <c r="B8288">
        <v>0</v>
      </c>
      <c r="C8288">
        <v>0</v>
      </c>
      <c r="D8288">
        <v>0</v>
      </c>
      <c r="E8288">
        <v>0</v>
      </c>
    </row>
    <row r="8289" spans="1:5" x14ac:dyDescent="0.35">
      <c r="A8289">
        <v>0</v>
      </c>
      <c r="B8289">
        <v>0</v>
      </c>
      <c r="C8289">
        <v>0</v>
      </c>
      <c r="D8289">
        <v>0</v>
      </c>
      <c r="E8289">
        <v>0</v>
      </c>
    </row>
    <row r="8290" spans="1:5" x14ac:dyDescent="0.35">
      <c r="A8290">
        <v>0</v>
      </c>
      <c r="B8290">
        <v>0</v>
      </c>
      <c r="C8290">
        <v>0</v>
      </c>
      <c r="D8290">
        <v>0</v>
      </c>
      <c r="E8290">
        <v>0</v>
      </c>
    </row>
    <row r="8291" spans="1:5" x14ac:dyDescent="0.35">
      <c r="A8291">
        <v>0</v>
      </c>
      <c r="B8291">
        <v>0</v>
      </c>
      <c r="C8291">
        <v>0</v>
      </c>
      <c r="D8291">
        <v>0</v>
      </c>
      <c r="E8291">
        <v>0</v>
      </c>
    </row>
    <row r="8292" spans="1:5" x14ac:dyDescent="0.35">
      <c r="A8292">
        <v>0</v>
      </c>
      <c r="B8292">
        <v>0</v>
      </c>
      <c r="C8292">
        <v>0</v>
      </c>
      <c r="D8292">
        <v>0</v>
      </c>
      <c r="E8292">
        <v>0</v>
      </c>
    </row>
    <row r="8293" spans="1:5" x14ac:dyDescent="0.35">
      <c r="A8293">
        <v>0</v>
      </c>
      <c r="B8293">
        <v>0</v>
      </c>
      <c r="C8293">
        <v>0</v>
      </c>
      <c r="D8293">
        <v>0</v>
      </c>
      <c r="E8293">
        <v>0</v>
      </c>
    </row>
    <row r="8294" spans="1:5" x14ac:dyDescent="0.35">
      <c r="A8294">
        <v>0</v>
      </c>
      <c r="B8294">
        <v>0</v>
      </c>
      <c r="C8294">
        <v>0</v>
      </c>
      <c r="D8294">
        <v>0</v>
      </c>
      <c r="E8294">
        <v>0</v>
      </c>
    </row>
    <row r="8295" spans="1:5" x14ac:dyDescent="0.35">
      <c r="A8295">
        <v>0</v>
      </c>
      <c r="B8295">
        <v>0</v>
      </c>
      <c r="C8295">
        <v>0</v>
      </c>
      <c r="D8295">
        <v>0</v>
      </c>
      <c r="E8295">
        <v>0</v>
      </c>
    </row>
    <row r="8296" spans="1:5" x14ac:dyDescent="0.35">
      <c r="A8296">
        <v>0</v>
      </c>
      <c r="B8296">
        <v>0</v>
      </c>
      <c r="C8296">
        <v>0</v>
      </c>
      <c r="D8296">
        <v>0</v>
      </c>
      <c r="E8296">
        <v>0</v>
      </c>
    </row>
    <row r="8297" spans="1:5" x14ac:dyDescent="0.35">
      <c r="A8297">
        <v>0</v>
      </c>
      <c r="B8297">
        <v>0</v>
      </c>
      <c r="C8297">
        <v>0</v>
      </c>
      <c r="D8297">
        <v>0</v>
      </c>
      <c r="E8297">
        <v>0</v>
      </c>
    </row>
    <row r="8298" spans="1:5" x14ac:dyDescent="0.35">
      <c r="A8298">
        <v>0</v>
      </c>
      <c r="B8298">
        <v>0</v>
      </c>
      <c r="C8298">
        <v>0</v>
      </c>
      <c r="D8298">
        <v>0</v>
      </c>
      <c r="E8298">
        <v>0</v>
      </c>
    </row>
    <row r="8299" spans="1:5" x14ac:dyDescent="0.35">
      <c r="A8299">
        <v>0</v>
      </c>
      <c r="B8299">
        <v>0</v>
      </c>
      <c r="C8299">
        <v>0</v>
      </c>
      <c r="D8299">
        <v>0</v>
      </c>
      <c r="E8299">
        <v>0</v>
      </c>
    </row>
    <row r="8300" spans="1:5" x14ac:dyDescent="0.35">
      <c r="A8300">
        <v>0</v>
      </c>
      <c r="B8300">
        <v>0</v>
      </c>
      <c r="C8300">
        <v>0</v>
      </c>
      <c r="D8300">
        <v>0</v>
      </c>
      <c r="E8300">
        <v>0</v>
      </c>
    </row>
    <row r="8301" spans="1:5" x14ac:dyDescent="0.35">
      <c r="A8301">
        <v>0</v>
      </c>
      <c r="B8301">
        <v>0</v>
      </c>
      <c r="C8301">
        <v>0</v>
      </c>
      <c r="D8301">
        <v>0</v>
      </c>
      <c r="E8301">
        <v>0</v>
      </c>
    </row>
    <row r="8302" spans="1:5" x14ac:dyDescent="0.35">
      <c r="A8302">
        <v>0</v>
      </c>
      <c r="B8302">
        <v>0</v>
      </c>
      <c r="C8302">
        <v>0</v>
      </c>
      <c r="D8302">
        <v>0</v>
      </c>
      <c r="E8302">
        <v>0</v>
      </c>
    </row>
    <row r="8303" spans="1:5" x14ac:dyDescent="0.35">
      <c r="A8303">
        <v>0</v>
      </c>
      <c r="B8303">
        <v>0</v>
      </c>
      <c r="C8303">
        <v>0</v>
      </c>
      <c r="D8303">
        <v>0</v>
      </c>
      <c r="E8303">
        <v>0</v>
      </c>
    </row>
    <row r="8304" spans="1:5" x14ac:dyDescent="0.35">
      <c r="A8304">
        <v>0</v>
      </c>
      <c r="B8304">
        <v>0</v>
      </c>
      <c r="C8304">
        <v>0</v>
      </c>
      <c r="D8304">
        <v>0</v>
      </c>
      <c r="E8304">
        <v>0</v>
      </c>
    </row>
    <row r="8305" spans="1:5" x14ac:dyDescent="0.35">
      <c r="A8305">
        <v>0</v>
      </c>
      <c r="B8305">
        <v>0</v>
      </c>
      <c r="C8305">
        <v>0</v>
      </c>
      <c r="D8305">
        <v>0</v>
      </c>
      <c r="E8305">
        <v>0</v>
      </c>
    </row>
    <row r="8306" spans="1:5" x14ac:dyDescent="0.35">
      <c r="A8306">
        <v>0</v>
      </c>
      <c r="B8306">
        <v>0</v>
      </c>
      <c r="C8306">
        <v>0</v>
      </c>
      <c r="D8306">
        <v>0</v>
      </c>
      <c r="E8306">
        <v>0</v>
      </c>
    </row>
    <row r="8307" spans="1:5" x14ac:dyDescent="0.35">
      <c r="A8307">
        <v>0</v>
      </c>
      <c r="B8307">
        <v>0</v>
      </c>
      <c r="C8307">
        <v>0</v>
      </c>
      <c r="D8307">
        <v>0</v>
      </c>
      <c r="E8307">
        <v>0</v>
      </c>
    </row>
    <row r="8308" spans="1:5" x14ac:dyDescent="0.35">
      <c r="A8308">
        <v>0</v>
      </c>
      <c r="B8308">
        <v>0</v>
      </c>
      <c r="C8308">
        <v>0</v>
      </c>
      <c r="D8308">
        <v>0</v>
      </c>
      <c r="E8308">
        <v>0</v>
      </c>
    </row>
    <row r="8309" spans="1:5" x14ac:dyDescent="0.35">
      <c r="A8309">
        <v>0</v>
      </c>
      <c r="B8309">
        <v>0</v>
      </c>
      <c r="C8309">
        <v>0</v>
      </c>
      <c r="D8309">
        <v>0</v>
      </c>
      <c r="E8309">
        <v>0</v>
      </c>
    </row>
    <row r="8310" spans="1:5" x14ac:dyDescent="0.35">
      <c r="A8310">
        <v>0</v>
      </c>
      <c r="B8310">
        <v>0</v>
      </c>
      <c r="C8310">
        <v>0</v>
      </c>
      <c r="D8310">
        <v>0</v>
      </c>
      <c r="E8310">
        <v>0</v>
      </c>
    </row>
    <row r="8311" spans="1:5" x14ac:dyDescent="0.35">
      <c r="A8311">
        <v>0</v>
      </c>
      <c r="B8311">
        <v>0</v>
      </c>
      <c r="C8311">
        <v>0</v>
      </c>
      <c r="D8311">
        <v>0</v>
      </c>
      <c r="E8311">
        <v>0</v>
      </c>
    </row>
    <row r="8312" spans="1:5" x14ac:dyDescent="0.35">
      <c r="A8312">
        <v>0</v>
      </c>
      <c r="B8312">
        <v>0</v>
      </c>
      <c r="C8312">
        <v>0</v>
      </c>
      <c r="D8312">
        <v>0</v>
      </c>
      <c r="E8312">
        <v>0</v>
      </c>
    </row>
    <row r="8313" spans="1:5" x14ac:dyDescent="0.35">
      <c r="A8313">
        <v>0</v>
      </c>
      <c r="B8313">
        <v>0</v>
      </c>
      <c r="C8313">
        <v>0</v>
      </c>
      <c r="D8313">
        <v>0</v>
      </c>
      <c r="E8313">
        <v>0</v>
      </c>
    </row>
    <row r="8314" spans="1:5" x14ac:dyDescent="0.35">
      <c r="A8314">
        <v>0</v>
      </c>
      <c r="B8314">
        <v>0</v>
      </c>
      <c r="C8314">
        <v>0</v>
      </c>
      <c r="D8314">
        <v>0</v>
      </c>
      <c r="E8314">
        <v>0</v>
      </c>
    </row>
    <row r="8315" spans="1:5" x14ac:dyDescent="0.35">
      <c r="A8315">
        <v>0</v>
      </c>
      <c r="B8315">
        <v>0</v>
      </c>
      <c r="C8315">
        <v>0</v>
      </c>
      <c r="D8315">
        <v>0</v>
      </c>
      <c r="E8315">
        <v>0</v>
      </c>
    </row>
    <row r="8316" spans="1:5" x14ac:dyDescent="0.35">
      <c r="A8316">
        <v>0</v>
      </c>
      <c r="B8316">
        <v>0</v>
      </c>
      <c r="C8316">
        <v>0</v>
      </c>
      <c r="D8316">
        <v>0</v>
      </c>
      <c r="E8316">
        <v>0</v>
      </c>
    </row>
    <row r="8317" spans="1:5" x14ac:dyDescent="0.35">
      <c r="A8317">
        <v>0</v>
      </c>
      <c r="B8317">
        <v>0</v>
      </c>
      <c r="C8317">
        <v>0</v>
      </c>
      <c r="D8317">
        <v>0</v>
      </c>
      <c r="E8317">
        <v>0</v>
      </c>
    </row>
    <row r="8318" spans="1:5" x14ac:dyDescent="0.35">
      <c r="A8318">
        <v>0</v>
      </c>
      <c r="B8318">
        <v>0</v>
      </c>
      <c r="C8318">
        <v>0</v>
      </c>
      <c r="D8318">
        <v>0</v>
      </c>
      <c r="E8318">
        <v>0</v>
      </c>
    </row>
    <row r="8319" spans="1:5" x14ac:dyDescent="0.35">
      <c r="A8319">
        <v>0</v>
      </c>
      <c r="B8319">
        <v>0</v>
      </c>
      <c r="C8319">
        <v>0</v>
      </c>
      <c r="D8319">
        <v>0</v>
      </c>
      <c r="E8319">
        <v>0</v>
      </c>
    </row>
    <row r="8320" spans="1:5" x14ac:dyDescent="0.35">
      <c r="A8320">
        <v>0</v>
      </c>
      <c r="B8320">
        <v>0</v>
      </c>
      <c r="C8320">
        <v>0</v>
      </c>
      <c r="D8320">
        <v>0</v>
      </c>
      <c r="E8320">
        <v>0</v>
      </c>
    </row>
    <row r="8321" spans="1:5" x14ac:dyDescent="0.35">
      <c r="A8321">
        <v>0</v>
      </c>
      <c r="B8321">
        <v>0</v>
      </c>
      <c r="C8321">
        <v>0</v>
      </c>
      <c r="D8321">
        <v>0</v>
      </c>
      <c r="E8321">
        <v>0</v>
      </c>
    </row>
    <row r="8322" spans="1:5" x14ac:dyDescent="0.35">
      <c r="A8322">
        <v>0</v>
      </c>
      <c r="B8322">
        <v>0</v>
      </c>
      <c r="C8322">
        <v>0</v>
      </c>
      <c r="D8322">
        <v>0</v>
      </c>
      <c r="E8322">
        <v>0</v>
      </c>
    </row>
    <row r="8323" spans="1:5" x14ac:dyDescent="0.35">
      <c r="A8323">
        <v>0</v>
      </c>
      <c r="B8323">
        <v>0</v>
      </c>
      <c r="C8323">
        <v>0</v>
      </c>
      <c r="D8323">
        <v>0</v>
      </c>
      <c r="E8323">
        <v>0</v>
      </c>
    </row>
    <row r="8324" spans="1:5" x14ac:dyDescent="0.35">
      <c r="A8324">
        <v>0</v>
      </c>
      <c r="B8324">
        <v>0</v>
      </c>
      <c r="C8324">
        <v>0</v>
      </c>
      <c r="D8324">
        <v>0</v>
      </c>
      <c r="E8324">
        <v>0</v>
      </c>
    </row>
    <row r="8325" spans="1:5" x14ac:dyDescent="0.35">
      <c r="A8325">
        <v>0</v>
      </c>
      <c r="B8325">
        <v>0</v>
      </c>
      <c r="C8325">
        <v>0</v>
      </c>
      <c r="D8325">
        <v>0</v>
      </c>
      <c r="E8325">
        <v>0</v>
      </c>
    </row>
    <row r="8326" spans="1:5" x14ac:dyDescent="0.35">
      <c r="A8326">
        <v>0</v>
      </c>
      <c r="B8326">
        <v>0</v>
      </c>
      <c r="C8326">
        <v>0</v>
      </c>
      <c r="D8326">
        <v>0</v>
      </c>
      <c r="E8326">
        <v>0</v>
      </c>
    </row>
    <row r="8327" spans="1:5" x14ac:dyDescent="0.35">
      <c r="A8327">
        <v>0</v>
      </c>
      <c r="B8327">
        <v>0</v>
      </c>
      <c r="C8327">
        <v>0</v>
      </c>
      <c r="D8327">
        <v>0</v>
      </c>
      <c r="E8327">
        <v>0</v>
      </c>
    </row>
    <row r="8328" spans="1:5" x14ac:dyDescent="0.35">
      <c r="A8328">
        <v>0</v>
      </c>
      <c r="B8328">
        <v>0</v>
      </c>
      <c r="C8328">
        <v>0</v>
      </c>
      <c r="D8328">
        <v>0</v>
      </c>
      <c r="E8328">
        <v>0</v>
      </c>
    </row>
    <row r="8329" spans="1:5" x14ac:dyDescent="0.35">
      <c r="A8329">
        <v>0</v>
      </c>
      <c r="B8329">
        <v>0</v>
      </c>
      <c r="C8329">
        <v>0</v>
      </c>
      <c r="D8329">
        <v>0</v>
      </c>
      <c r="E8329">
        <v>0</v>
      </c>
    </row>
    <row r="8330" spans="1:5" x14ac:dyDescent="0.35">
      <c r="A8330">
        <v>0</v>
      </c>
      <c r="B8330">
        <v>0</v>
      </c>
      <c r="C8330">
        <v>0</v>
      </c>
      <c r="D8330">
        <v>0</v>
      </c>
      <c r="E8330">
        <v>0</v>
      </c>
    </row>
    <row r="8331" spans="1:5" x14ac:dyDescent="0.35">
      <c r="A8331">
        <v>0</v>
      </c>
      <c r="B8331">
        <v>0</v>
      </c>
      <c r="C8331">
        <v>0</v>
      </c>
      <c r="D8331">
        <v>0</v>
      </c>
      <c r="E8331">
        <v>0</v>
      </c>
    </row>
    <row r="8332" spans="1:5" x14ac:dyDescent="0.35">
      <c r="A8332">
        <v>0</v>
      </c>
      <c r="B8332">
        <v>0</v>
      </c>
      <c r="C8332">
        <v>0</v>
      </c>
      <c r="D8332">
        <v>0</v>
      </c>
      <c r="E8332">
        <v>0</v>
      </c>
    </row>
    <row r="8333" spans="1:5" x14ac:dyDescent="0.35">
      <c r="A8333">
        <v>0</v>
      </c>
      <c r="B8333">
        <v>0</v>
      </c>
      <c r="C8333">
        <v>0</v>
      </c>
      <c r="D8333">
        <v>0</v>
      </c>
      <c r="E8333">
        <v>0</v>
      </c>
    </row>
    <row r="8334" spans="1:5" x14ac:dyDescent="0.35">
      <c r="A8334">
        <v>0</v>
      </c>
      <c r="B8334">
        <v>0</v>
      </c>
      <c r="C8334">
        <v>0</v>
      </c>
      <c r="D8334">
        <v>0</v>
      </c>
      <c r="E8334">
        <v>0</v>
      </c>
    </row>
    <row r="8335" spans="1:5" x14ac:dyDescent="0.35">
      <c r="A8335">
        <v>0</v>
      </c>
      <c r="B8335">
        <v>0</v>
      </c>
      <c r="C8335">
        <v>0</v>
      </c>
      <c r="D8335">
        <v>0</v>
      </c>
      <c r="E8335">
        <v>0</v>
      </c>
    </row>
    <row r="8336" spans="1:5" x14ac:dyDescent="0.35">
      <c r="A8336">
        <v>0</v>
      </c>
      <c r="B8336">
        <v>0</v>
      </c>
      <c r="C8336">
        <v>0</v>
      </c>
      <c r="D8336">
        <v>0</v>
      </c>
      <c r="E8336">
        <v>0</v>
      </c>
    </row>
    <row r="8337" spans="1:5" x14ac:dyDescent="0.35">
      <c r="A8337">
        <v>0</v>
      </c>
      <c r="B8337">
        <v>0</v>
      </c>
      <c r="C8337">
        <v>0</v>
      </c>
      <c r="D8337">
        <v>0</v>
      </c>
      <c r="E8337">
        <v>0</v>
      </c>
    </row>
    <row r="8338" spans="1:5" x14ac:dyDescent="0.35">
      <c r="A8338">
        <v>0</v>
      </c>
      <c r="B8338">
        <v>0</v>
      </c>
      <c r="C8338">
        <v>0</v>
      </c>
      <c r="D8338">
        <v>0</v>
      </c>
      <c r="E8338">
        <v>0</v>
      </c>
    </row>
    <row r="8339" spans="1:5" x14ac:dyDescent="0.35">
      <c r="A8339">
        <v>0</v>
      </c>
      <c r="B8339">
        <v>0</v>
      </c>
      <c r="C8339">
        <v>0</v>
      </c>
      <c r="D8339">
        <v>0</v>
      </c>
      <c r="E8339">
        <v>0</v>
      </c>
    </row>
    <row r="8340" spans="1:5" x14ac:dyDescent="0.35">
      <c r="A8340">
        <v>0</v>
      </c>
      <c r="B8340">
        <v>0</v>
      </c>
      <c r="C8340">
        <v>0</v>
      </c>
      <c r="D8340">
        <v>0</v>
      </c>
      <c r="E8340">
        <v>0</v>
      </c>
    </row>
    <row r="8341" spans="1:5" x14ac:dyDescent="0.35">
      <c r="A8341">
        <v>0</v>
      </c>
      <c r="B8341">
        <v>0</v>
      </c>
      <c r="C8341">
        <v>0</v>
      </c>
      <c r="D8341">
        <v>0</v>
      </c>
      <c r="E8341">
        <v>0</v>
      </c>
    </row>
    <row r="8342" spans="1:5" x14ac:dyDescent="0.35">
      <c r="A8342">
        <v>0</v>
      </c>
      <c r="B8342">
        <v>0</v>
      </c>
      <c r="C8342">
        <v>0</v>
      </c>
      <c r="D8342">
        <v>0</v>
      </c>
      <c r="E8342">
        <v>0</v>
      </c>
    </row>
    <row r="8343" spans="1:5" x14ac:dyDescent="0.35">
      <c r="A8343">
        <v>0</v>
      </c>
      <c r="B8343">
        <v>0</v>
      </c>
      <c r="C8343">
        <v>0</v>
      </c>
      <c r="D8343">
        <v>0</v>
      </c>
      <c r="E8343">
        <v>0</v>
      </c>
    </row>
    <row r="8344" spans="1:5" x14ac:dyDescent="0.35">
      <c r="A8344">
        <v>0</v>
      </c>
      <c r="B8344">
        <v>0</v>
      </c>
      <c r="C8344">
        <v>0</v>
      </c>
      <c r="D8344">
        <v>0</v>
      </c>
      <c r="E8344">
        <v>0</v>
      </c>
    </row>
    <row r="8345" spans="1:5" x14ac:dyDescent="0.35">
      <c r="A8345">
        <v>0</v>
      </c>
      <c r="B8345">
        <v>0</v>
      </c>
      <c r="C8345">
        <v>0</v>
      </c>
      <c r="D8345">
        <v>0</v>
      </c>
      <c r="E8345">
        <v>0</v>
      </c>
    </row>
    <row r="8346" spans="1:5" x14ac:dyDescent="0.35">
      <c r="A8346">
        <v>0</v>
      </c>
      <c r="B8346">
        <v>0</v>
      </c>
      <c r="C8346">
        <v>0</v>
      </c>
      <c r="D8346">
        <v>0</v>
      </c>
      <c r="E8346">
        <v>0</v>
      </c>
    </row>
    <row r="8347" spans="1:5" x14ac:dyDescent="0.35">
      <c r="A8347">
        <v>0</v>
      </c>
      <c r="B8347">
        <v>0</v>
      </c>
      <c r="C8347">
        <v>0</v>
      </c>
      <c r="D8347">
        <v>0</v>
      </c>
      <c r="E8347">
        <v>0</v>
      </c>
    </row>
    <row r="8348" spans="1:5" x14ac:dyDescent="0.35">
      <c r="A8348">
        <v>0</v>
      </c>
      <c r="B8348">
        <v>0</v>
      </c>
      <c r="C8348">
        <v>0</v>
      </c>
      <c r="D8348">
        <v>0</v>
      </c>
      <c r="E8348">
        <v>0</v>
      </c>
    </row>
    <row r="8349" spans="1:5" x14ac:dyDescent="0.35">
      <c r="A8349">
        <v>0</v>
      </c>
      <c r="B8349">
        <v>0</v>
      </c>
      <c r="C8349">
        <v>0</v>
      </c>
      <c r="D8349">
        <v>0</v>
      </c>
      <c r="E8349">
        <v>0</v>
      </c>
    </row>
    <row r="8350" spans="1:5" x14ac:dyDescent="0.35">
      <c r="A8350">
        <v>0</v>
      </c>
      <c r="B8350">
        <v>0</v>
      </c>
      <c r="C8350">
        <v>0</v>
      </c>
      <c r="D8350">
        <v>0</v>
      </c>
      <c r="E8350">
        <v>0</v>
      </c>
    </row>
    <row r="8351" spans="1:5" x14ac:dyDescent="0.35">
      <c r="A8351">
        <v>0</v>
      </c>
      <c r="B8351">
        <v>0</v>
      </c>
      <c r="C8351">
        <v>0</v>
      </c>
      <c r="D8351">
        <v>0</v>
      </c>
      <c r="E8351">
        <v>0</v>
      </c>
    </row>
    <row r="8352" spans="1:5" x14ac:dyDescent="0.35">
      <c r="A8352">
        <v>0</v>
      </c>
      <c r="B8352">
        <v>0</v>
      </c>
      <c r="C8352">
        <v>0</v>
      </c>
      <c r="D8352">
        <v>0</v>
      </c>
      <c r="E8352">
        <v>0</v>
      </c>
    </row>
    <row r="8353" spans="1:5" x14ac:dyDescent="0.35">
      <c r="A8353">
        <v>0</v>
      </c>
      <c r="B8353">
        <v>0</v>
      </c>
      <c r="C8353">
        <v>0</v>
      </c>
      <c r="D8353">
        <v>0</v>
      </c>
      <c r="E8353">
        <v>0</v>
      </c>
    </row>
    <row r="8354" spans="1:5" x14ac:dyDescent="0.35">
      <c r="A8354">
        <v>0</v>
      </c>
      <c r="B8354">
        <v>0</v>
      </c>
      <c r="C8354">
        <v>0</v>
      </c>
      <c r="D8354">
        <v>0</v>
      </c>
      <c r="E8354">
        <v>0</v>
      </c>
    </row>
    <row r="8355" spans="1:5" x14ac:dyDescent="0.35">
      <c r="A8355">
        <v>0</v>
      </c>
      <c r="B8355">
        <v>0</v>
      </c>
      <c r="C8355">
        <v>0</v>
      </c>
      <c r="D8355">
        <v>0</v>
      </c>
      <c r="E8355">
        <v>0</v>
      </c>
    </row>
    <row r="8356" spans="1:5" x14ac:dyDescent="0.35">
      <c r="A8356">
        <v>0</v>
      </c>
      <c r="B8356">
        <v>0</v>
      </c>
      <c r="C8356">
        <v>0</v>
      </c>
      <c r="D8356">
        <v>0</v>
      </c>
      <c r="E8356">
        <v>0</v>
      </c>
    </row>
    <row r="8357" spans="1:5" x14ac:dyDescent="0.35">
      <c r="A8357">
        <v>0</v>
      </c>
      <c r="B8357">
        <v>0</v>
      </c>
      <c r="C8357">
        <v>0</v>
      </c>
      <c r="D8357">
        <v>0</v>
      </c>
      <c r="E8357">
        <v>0</v>
      </c>
    </row>
    <row r="8358" spans="1:5" x14ac:dyDescent="0.35">
      <c r="A8358">
        <v>0</v>
      </c>
      <c r="B8358">
        <v>0</v>
      </c>
      <c r="C8358">
        <v>0</v>
      </c>
      <c r="D8358">
        <v>0</v>
      </c>
      <c r="E8358">
        <v>0</v>
      </c>
    </row>
    <row r="8359" spans="1:5" x14ac:dyDescent="0.35">
      <c r="A8359">
        <v>0</v>
      </c>
      <c r="B8359">
        <v>0</v>
      </c>
      <c r="C8359">
        <v>0</v>
      </c>
      <c r="D8359">
        <v>0</v>
      </c>
      <c r="E8359">
        <v>0</v>
      </c>
    </row>
    <row r="8360" spans="1:5" x14ac:dyDescent="0.35">
      <c r="A8360">
        <v>0</v>
      </c>
      <c r="B8360">
        <v>0</v>
      </c>
      <c r="C8360">
        <v>0</v>
      </c>
      <c r="D8360">
        <v>0</v>
      </c>
      <c r="E8360">
        <v>0</v>
      </c>
    </row>
    <row r="8361" spans="1:5" x14ac:dyDescent="0.35">
      <c r="A8361">
        <v>0</v>
      </c>
      <c r="B8361">
        <v>0</v>
      </c>
      <c r="C8361">
        <v>0</v>
      </c>
      <c r="D8361">
        <v>0</v>
      </c>
      <c r="E8361">
        <v>0</v>
      </c>
    </row>
    <row r="8362" spans="1:5" x14ac:dyDescent="0.35">
      <c r="A8362">
        <v>0</v>
      </c>
      <c r="B8362">
        <v>0</v>
      </c>
      <c r="C8362">
        <v>0</v>
      </c>
      <c r="D8362">
        <v>0</v>
      </c>
      <c r="E8362">
        <v>0</v>
      </c>
    </row>
    <row r="8363" spans="1:5" x14ac:dyDescent="0.35">
      <c r="A8363">
        <v>0</v>
      </c>
      <c r="B8363">
        <v>0</v>
      </c>
      <c r="C8363">
        <v>0</v>
      </c>
      <c r="D8363">
        <v>0</v>
      </c>
      <c r="E8363">
        <v>0</v>
      </c>
    </row>
    <row r="8364" spans="1:5" x14ac:dyDescent="0.35">
      <c r="A8364">
        <v>0</v>
      </c>
      <c r="B8364">
        <v>0</v>
      </c>
      <c r="C8364">
        <v>0</v>
      </c>
      <c r="D8364">
        <v>0</v>
      </c>
      <c r="E8364">
        <v>0</v>
      </c>
    </row>
    <row r="8365" spans="1:5" x14ac:dyDescent="0.35">
      <c r="A8365">
        <v>0</v>
      </c>
      <c r="B8365">
        <v>0</v>
      </c>
      <c r="C8365">
        <v>0</v>
      </c>
      <c r="D8365">
        <v>0</v>
      </c>
      <c r="E8365">
        <v>0</v>
      </c>
    </row>
    <row r="8366" spans="1:5" x14ac:dyDescent="0.35">
      <c r="A8366">
        <v>0</v>
      </c>
      <c r="B8366">
        <v>0</v>
      </c>
      <c r="C8366">
        <v>0</v>
      </c>
      <c r="D8366">
        <v>0</v>
      </c>
      <c r="E8366">
        <v>0</v>
      </c>
    </row>
    <row r="8367" spans="1:5" x14ac:dyDescent="0.35">
      <c r="A8367">
        <v>0</v>
      </c>
      <c r="B8367">
        <v>0</v>
      </c>
      <c r="C8367">
        <v>0</v>
      </c>
      <c r="D8367">
        <v>0</v>
      </c>
      <c r="E8367">
        <v>0</v>
      </c>
    </row>
    <row r="8368" spans="1:5" x14ac:dyDescent="0.35">
      <c r="A8368">
        <v>0</v>
      </c>
      <c r="B8368">
        <v>0</v>
      </c>
      <c r="C8368">
        <v>0</v>
      </c>
      <c r="D8368">
        <v>0</v>
      </c>
      <c r="E8368">
        <v>0</v>
      </c>
    </row>
    <row r="8369" spans="1:5" x14ac:dyDescent="0.35">
      <c r="A8369">
        <v>0</v>
      </c>
      <c r="B8369">
        <v>0</v>
      </c>
      <c r="C8369">
        <v>0</v>
      </c>
      <c r="D8369">
        <v>0</v>
      </c>
      <c r="E8369">
        <v>0</v>
      </c>
    </row>
    <row r="8370" spans="1:5" x14ac:dyDescent="0.35">
      <c r="A8370">
        <v>0</v>
      </c>
      <c r="B8370">
        <v>0</v>
      </c>
      <c r="C8370">
        <v>0</v>
      </c>
      <c r="D8370">
        <v>0</v>
      </c>
      <c r="E8370">
        <v>0</v>
      </c>
    </row>
    <row r="8371" spans="1:5" x14ac:dyDescent="0.35">
      <c r="A8371">
        <v>0</v>
      </c>
      <c r="B8371">
        <v>0</v>
      </c>
      <c r="C8371">
        <v>0</v>
      </c>
      <c r="D8371">
        <v>0</v>
      </c>
      <c r="E8371">
        <v>0</v>
      </c>
    </row>
    <row r="8372" spans="1:5" x14ac:dyDescent="0.35">
      <c r="A8372">
        <v>0</v>
      </c>
      <c r="B8372">
        <v>0</v>
      </c>
      <c r="C8372">
        <v>0</v>
      </c>
      <c r="D8372">
        <v>0</v>
      </c>
      <c r="E8372">
        <v>0</v>
      </c>
    </row>
    <row r="8373" spans="1:5" x14ac:dyDescent="0.35">
      <c r="A8373">
        <v>0</v>
      </c>
      <c r="B8373">
        <v>0</v>
      </c>
      <c r="C8373">
        <v>0</v>
      </c>
      <c r="D8373">
        <v>0</v>
      </c>
      <c r="E8373">
        <v>0</v>
      </c>
    </row>
    <row r="8374" spans="1:5" x14ac:dyDescent="0.35">
      <c r="A8374">
        <v>0</v>
      </c>
      <c r="B8374">
        <v>0</v>
      </c>
      <c r="C8374">
        <v>0</v>
      </c>
      <c r="D8374">
        <v>0</v>
      </c>
      <c r="E8374">
        <v>0</v>
      </c>
    </row>
    <row r="8375" spans="1:5" x14ac:dyDescent="0.35">
      <c r="A8375">
        <v>0</v>
      </c>
      <c r="B8375">
        <v>0</v>
      </c>
      <c r="C8375">
        <v>0</v>
      </c>
      <c r="D8375">
        <v>0</v>
      </c>
      <c r="E8375">
        <v>0</v>
      </c>
    </row>
    <row r="8376" spans="1:5" x14ac:dyDescent="0.35">
      <c r="A8376">
        <v>0</v>
      </c>
      <c r="B8376">
        <v>0</v>
      </c>
      <c r="C8376">
        <v>0</v>
      </c>
      <c r="D8376">
        <v>0</v>
      </c>
      <c r="E8376">
        <v>0</v>
      </c>
    </row>
    <row r="8377" spans="1:5" x14ac:dyDescent="0.35">
      <c r="A8377">
        <v>0</v>
      </c>
      <c r="B8377">
        <v>0</v>
      </c>
      <c r="C8377">
        <v>0</v>
      </c>
      <c r="D8377">
        <v>0</v>
      </c>
      <c r="E8377">
        <v>0</v>
      </c>
    </row>
    <row r="8378" spans="1:5" x14ac:dyDescent="0.35">
      <c r="A8378">
        <v>0</v>
      </c>
      <c r="B8378">
        <v>0</v>
      </c>
      <c r="C8378">
        <v>0</v>
      </c>
      <c r="D8378">
        <v>0</v>
      </c>
      <c r="E8378">
        <v>0</v>
      </c>
    </row>
    <row r="8379" spans="1:5" x14ac:dyDescent="0.35">
      <c r="A8379">
        <v>0</v>
      </c>
      <c r="B8379">
        <v>0</v>
      </c>
      <c r="C8379">
        <v>0</v>
      </c>
      <c r="D8379">
        <v>0</v>
      </c>
      <c r="E8379">
        <v>0</v>
      </c>
    </row>
    <row r="8380" spans="1:5" x14ac:dyDescent="0.35">
      <c r="A8380">
        <v>0</v>
      </c>
      <c r="B8380">
        <v>0</v>
      </c>
      <c r="C8380">
        <v>0</v>
      </c>
      <c r="D8380">
        <v>0</v>
      </c>
      <c r="E8380">
        <v>0</v>
      </c>
    </row>
    <row r="8381" spans="1:5" x14ac:dyDescent="0.35">
      <c r="A8381">
        <v>0</v>
      </c>
      <c r="B8381">
        <v>0</v>
      </c>
      <c r="C8381">
        <v>0</v>
      </c>
      <c r="D8381">
        <v>0</v>
      </c>
      <c r="E8381">
        <v>0</v>
      </c>
    </row>
    <row r="8382" spans="1:5" x14ac:dyDescent="0.35">
      <c r="A8382">
        <v>0</v>
      </c>
      <c r="B8382">
        <v>0</v>
      </c>
      <c r="C8382">
        <v>0</v>
      </c>
      <c r="D8382">
        <v>0</v>
      </c>
      <c r="E8382">
        <v>0</v>
      </c>
    </row>
    <row r="8383" spans="1:5" x14ac:dyDescent="0.35">
      <c r="A8383">
        <v>0</v>
      </c>
      <c r="B8383">
        <v>0</v>
      </c>
      <c r="C8383">
        <v>0</v>
      </c>
      <c r="D8383">
        <v>0</v>
      </c>
      <c r="E8383">
        <v>0</v>
      </c>
    </row>
    <row r="8384" spans="1:5" x14ac:dyDescent="0.35">
      <c r="A8384">
        <v>0</v>
      </c>
      <c r="B8384">
        <v>0</v>
      </c>
      <c r="C8384">
        <v>0</v>
      </c>
      <c r="D8384">
        <v>0</v>
      </c>
      <c r="E8384">
        <v>0</v>
      </c>
    </row>
    <row r="8385" spans="1:5" x14ac:dyDescent="0.35">
      <c r="A8385">
        <v>0</v>
      </c>
      <c r="B8385">
        <v>0</v>
      </c>
      <c r="C8385">
        <v>0</v>
      </c>
      <c r="D8385">
        <v>0</v>
      </c>
      <c r="E8385">
        <v>0</v>
      </c>
    </row>
    <row r="8386" spans="1:5" x14ac:dyDescent="0.35">
      <c r="A8386">
        <v>0</v>
      </c>
      <c r="B8386">
        <v>0</v>
      </c>
      <c r="C8386">
        <v>0</v>
      </c>
      <c r="D8386">
        <v>0</v>
      </c>
      <c r="E8386">
        <v>0</v>
      </c>
    </row>
    <row r="8387" spans="1:5" x14ac:dyDescent="0.35">
      <c r="A8387">
        <v>0</v>
      </c>
      <c r="B8387">
        <v>0</v>
      </c>
      <c r="C8387">
        <v>0</v>
      </c>
      <c r="D8387">
        <v>0</v>
      </c>
      <c r="E8387">
        <v>0</v>
      </c>
    </row>
    <row r="8388" spans="1:5" x14ac:dyDescent="0.35">
      <c r="A8388">
        <v>0</v>
      </c>
      <c r="B8388">
        <v>0</v>
      </c>
      <c r="C8388">
        <v>0</v>
      </c>
      <c r="D8388">
        <v>0</v>
      </c>
      <c r="E8388">
        <v>0</v>
      </c>
    </row>
    <row r="8389" spans="1:5" x14ac:dyDescent="0.35">
      <c r="A8389">
        <v>0</v>
      </c>
      <c r="B8389">
        <v>0</v>
      </c>
      <c r="C8389">
        <v>0</v>
      </c>
      <c r="D8389">
        <v>0</v>
      </c>
      <c r="E8389">
        <v>0</v>
      </c>
    </row>
    <row r="8390" spans="1:5" x14ac:dyDescent="0.35">
      <c r="A8390">
        <v>0</v>
      </c>
      <c r="B8390">
        <v>0</v>
      </c>
      <c r="C8390">
        <v>0</v>
      </c>
      <c r="D8390">
        <v>0</v>
      </c>
      <c r="E8390">
        <v>0</v>
      </c>
    </row>
    <row r="8391" spans="1:5" x14ac:dyDescent="0.35">
      <c r="A8391">
        <v>0</v>
      </c>
      <c r="B8391">
        <v>0</v>
      </c>
      <c r="C8391">
        <v>0</v>
      </c>
      <c r="D8391">
        <v>0</v>
      </c>
      <c r="E8391">
        <v>0</v>
      </c>
    </row>
    <row r="8392" spans="1:5" x14ac:dyDescent="0.35">
      <c r="A8392">
        <v>0</v>
      </c>
      <c r="B8392">
        <v>0</v>
      </c>
      <c r="C8392">
        <v>0</v>
      </c>
      <c r="D8392">
        <v>0</v>
      </c>
      <c r="E8392">
        <v>0</v>
      </c>
    </row>
    <row r="8393" spans="1:5" x14ac:dyDescent="0.35">
      <c r="A8393">
        <v>0</v>
      </c>
      <c r="B8393">
        <v>0</v>
      </c>
      <c r="C8393">
        <v>0</v>
      </c>
      <c r="D8393">
        <v>0</v>
      </c>
      <c r="E8393">
        <v>0</v>
      </c>
    </row>
    <row r="8394" spans="1:5" x14ac:dyDescent="0.35">
      <c r="A8394">
        <v>0</v>
      </c>
      <c r="B8394">
        <v>0</v>
      </c>
      <c r="C8394">
        <v>0</v>
      </c>
      <c r="D8394">
        <v>0</v>
      </c>
      <c r="E8394">
        <v>0</v>
      </c>
    </row>
    <row r="8395" spans="1:5" x14ac:dyDescent="0.35">
      <c r="A8395">
        <v>0</v>
      </c>
      <c r="B8395">
        <v>0</v>
      </c>
      <c r="C8395">
        <v>0</v>
      </c>
      <c r="D8395">
        <v>0</v>
      </c>
      <c r="E8395">
        <v>0</v>
      </c>
    </row>
    <row r="8396" spans="1:5" x14ac:dyDescent="0.35">
      <c r="A8396">
        <v>0</v>
      </c>
      <c r="B8396">
        <v>0</v>
      </c>
      <c r="C8396">
        <v>0</v>
      </c>
      <c r="D8396">
        <v>0</v>
      </c>
      <c r="E8396">
        <v>0</v>
      </c>
    </row>
    <row r="8397" spans="1:5" x14ac:dyDescent="0.35">
      <c r="A8397">
        <v>0</v>
      </c>
      <c r="B8397">
        <v>0</v>
      </c>
      <c r="C8397">
        <v>0</v>
      </c>
      <c r="D8397">
        <v>0</v>
      </c>
      <c r="E8397">
        <v>0</v>
      </c>
    </row>
    <row r="8398" spans="1:5" x14ac:dyDescent="0.35">
      <c r="A8398">
        <v>0</v>
      </c>
      <c r="B8398">
        <v>0</v>
      </c>
      <c r="C8398">
        <v>0</v>
      </c>
      <c r="D8398">
        <v>0</v>
      </c>
      <c r="E8398">
        <v>0</v>
      </c>
    </row>
    <row r="8399" spans="1:5" x14ac:dyDescent="0.35">
      <c r="A8399">
        <v>0</v>
      </c>
      <c r="B8399">
        <v>0</v>
      </c>
      <c r="C8399">
        <v>0</v>
      </c>
      <c r="D8399">
        <v>0</v>
      </c>
      <c r="E8399">
        <v>0</v>
      </c>
    </row>
    <row r="8400" spans="1:5" x14ac:dyDescent="0.35">
      <c r="A8400">
        <v>0</v>
      </c>
      <c r="B8400">
        <v>0</v>
      </c>
      <c r="C8400">
        <v>0</v>
      </c>
      <c r="D8400">
        <v>0</v>
      </c>
      <c r="E8400">
        <v>0</v>
      </c>
    </row>
    <row r="8401" spans="1:5" x14ac:dyDescent="0.35">
      <c r="A8401">
        <v>0</v>
      </c>
      <c r="B8401">
        <v>0</v>
      </c>
      <c r="C8401">
        <v>0</v>
      </c>
      <c r="D8401">
        <v>0</v>
      </c>
      <c r="E8401">
        <v>0</v>
      </c>
    </row>
    <row r="8402" spans="1:5" x14ac:dyDescent="0.35">
      <c r="A8402">
        <v>0</v>
      </c>
      <c r="B8402">
        <v>0</v>
      </c>
      <c r="C8402">
        <v>0</v>
      </c>
      <c r="D8402">
        <v>0</v>
      </c>
      <c r="E8402">
        <v>0</v>
      </c>
    </row>
    <row r="8403" spans="1:5" x14ac:dyDescent="0.35">
      <c r="A8403">
        <v>0</v>
      </c>
      <c r="B8403">
        <v>0</v>
      </c>
      <c r="C8403">
        <v>0</v>
      </c>
      <c r="D8403">
        <v>0</v>
      </c>
      <c r="E8403">
        <v>0</v>
      </c>
    </row>
    <row r="8404" spans="1:5" x14ac:dyDescent="0.35">
      <c r="A8404">
        <v>0</v>
      </c>
      <c r="B8404">
        <v>0</v>
      </c>
      <c r="C8404">
        <v>0</v>
      </c>
      <c r="D8404">
        <v>0</v>
      </c>
      <c r="E8404">
        <v>0</v>
      </c>
    </row>
    <row r="8405" spans="1:5" x14ac:dyDescent="0.35">
      <c r="A8405">
        <v>0</v>
      </c>
      <c r="B8405">
        <v>0</v>
      </c>
      <c r="C8405">
        <v>0</v>
      </c>
      <c r="D8405">
        <v>0</v>
      </c>
      <c r="E8405">
        <v>0</v>
      </c>
    </row>
    <row r="8406" spans="1:5" x14ac:dyDescent="0.35">
      <c r="A8406">
        <v>0</v>
      </c>
      <c r="B8406">
        <v>0</v>
      </c>
      <c r="C8406">
        <v>0</v>
      </c>
      <c r="D8406">
        <v>0</v>
      </c>
      <c r="E8406">
        <v>0</v>
      </c>
    </row>
    <row r="8407" spans="1:5" x14ac:dyDescent="0.35">
      <c r="A8407">
        <v>0</v>
      </c>
      <c r="B8407">
        <v>0</v>
      </c>
      <c r="C8407">
        <v>0</v>
      </c>
      <c r="D8407">
        <v>0</v>
      </c>
      <c r="E8407">
        <v>0</v>
      </c>
    </row>
    <row r="8408" spans="1:5" x14ac:dyDescent="0.35">
      <c r="A8408">
        <v>0</v>
      </c>
      <c r="B8408">
        <v>0</v>
      </c>
      <c r="C8408">
        <v>0</v>
      </c>
      <c r="D8408">
        <v>0</v>
      </c>
      <c r="E8408">
        <v>0</v>
      </c>
    </row>
    <row r="8409" spans="1:5" x14ac:dyDescent="0.35">
      <c r="A8409">
        <v>0</v>
      </c>
      <c r="B8409">
        <v>0</v>
      </c>
      <c r="C8409">
        <v>0</v>
      </c>
      <c r="D8409">
        <v>0</v>
      </c>
      <c r="E8409">
        <v>0</v>
      </c>
    </row>
    <row r="8410" spans="1:5" x14ac:dyDescent="0.35">
      <c r="A8410">
        <v>0</v>
      </c>
      <c r="B8410">
        <v>0</v>
      </c>
      <c r="C8410">
        <v>0</v>
      </c>
      <c r="D8410">
        <v>0</v>
      </c>
      <c r="E8410">
        <v>0</v>
      </c>
    </row>
    <row r="8411" spans="1:5" x14ac:dyDescent="0.35">
      <c r="A8411">
        <v>0</v>
      </c>
      <c r="B8411">
        <v>0</v>
      </c>
      <c r="C8411">
        <v>0</v>
      </c>
      <c r="D8411">
        <v>0</v>
      </c>
      <c r="E8411">
        <v>0</v>
      </c>
    </row>
    <row r="8412" spans="1:5" x14ac:dyDescent="0.35">
      <c r="A8412">
        <v>0</v>
      </c>
      <c r="B8412">
        <v>0</v>
      </c>
      <c r="C8412">
        <v>0</v>
      </c>
      <c r="D8412">
        <v>0</v>
      </c>
      <c r="E8412">
        <v>0</v>
      </c>
    </row>
    <row r="8413" spans="1:5" x14ac:dyDescent="0.35">
      <c r="A8413">
        <v>0</v>
      </c>
      <c r="B8413">
        <v>0</v>
      </c>
      <c r="C8413">
        <v>0</v>
      </c>
      <c r="D8413">
        <v>0</v>
      </c>
      <c r="E8413">
        <v>0</v>
      </c>
    </row>
    <row r="8414" spans="1:5" x14ac:dyDescent="0.35">
      <c r="A8414">
        <v>0</v>
      </c>
      <c r="B8414">
        <v>0</v>
      </c>
      <c r="C8414">
        <v>0</v>
      </c>
      <c r="D8414">
        <v>0</v>
      </c>
      <c r="E8414">
        <v>0</v>
      </c>
    </row>
    <row r="8415" spans="1:5" x14ac:dyDescent="0.35">
      <c r="A8415">
        <v>0</v>
      </c>
      <c r="B8415">
        <v>0</v>
      </c>
      <c r="C8415">
        <v>0</v>
      </c>
      <c r="D8415">
        <v>0</v>
      </c>
      <c r="E8415">
        <v>0</v>
      </c>
    </row>
    <row r="8416" spans="1:5" x14ac:dyDescent="0.35">
      <c r="A8416">
        <v>0</v>
      </c>
      <c r="B8416">
        <v>0</v>
      </c>
      <c r="C8416">
        <v>0</v>
      </c>
      <c r="D8416">
        <v>0</v>
      </c>
      <c r="E8416">
        <v>0</v>
      </c>
    </row>
    <row r="8417" spans="1:5" x14ac:dyDescent="0.35">
      <c r="A8417">
        <v>0</v>
      </c>
      <c r="B8417">
        <v>0</v>
      </c>
      <c r="C8417">
        <v>0</v>
      </c>
      <c r="D8417">
        <v>0</v>
      </c>
      <c r="E8417">
        <v>0</v>
      </c>
    </row>
    <row r="8418" spans="1:5" x14ac:dyDescent="0.35">
      <c r="A8418">
        <v>0</v>
      </c>
      <c r="B8418">
        <v>0</v>
      </c>
      <c r="C8418">
        <v>0</v>
      </c>
      <c r="D8418">
        <v>0</v>
      </c>
      <c r="E8418">
        <v>0</v>
      </c>
    </row>
    <row r="8419" spans="1:5" x14ac:dyDescent="0.35">
      <c r="A8419">
        <v>0</v>
      </c>
      <c r="B8419">
        <v>0</v>
      </c>
      <c r="C8419">
        <v>0</v>
      </c>
      <c r="D8419">
        <v>0</v>
      </c>
      <c r="E8419">
        <v>0</v>
      </c>
    </row>
    <row r="8420" spans="1:5" x14ac:dyDescent="0.35">
      <c r="A8420">
        <v>0</v>
      </c>
      <c r="B8420">
        <v>0</v>
      </c>
      <c r="C8420">
        <v>0</v>
      </c>
      <c r="D8420">
        <v>0</v>
      </c>
      <c r="E8420">
        <v>0</v>
      </c>
    </row>
    <row r="8421" spans="1:5" x14ac:dyDescent="0.35">
      <c r="A8421">
        <v>0</v>
      </c>
      <c r="B8421">
        <v>0</v>
      </c>
      <c r="C8421">
        <v>0</v>
      </c>
      <c r="D8421">
        <v>0</v>
      </c>
      <c r="E8421">
        <v>0</v>
      </c>
    </row>
    <row r="8422" spans="1:5" x14ac:dyDescent="0.35">
      <c r="A8422">
        <v>0</v>
      </c>
      <c r="B8422">
        <v>0</v>
      </c>
      <c r="C8422">
        <v>0</v>
      </c>
      <c r="D8422">
        <v>0</v>
      </c>
      <c r="E8422">
        <v>0</v>
      </c>
    </row>
    <row r="8423" spans="1:5" x14ac:dyDescent="0.35">
      <c r="A8423">
        <v>0</v>
      </c>
      <c r="B8423">
        <v>0</v>
      </c>
      <c r="C8423">
        <v>0</v>
      </c>
      <c r="D8423">
        <v>0</v>
      </c>
      <c r="E8423">
        <v>0</v>
      </c>
    </row>
    <row r="8424" spans="1:5" x14ac:dyDescent="0.35">
      <c r="A8424">
        <v>0</v>
      </c>
      <c r="B8424">
        <v>0</v>
      </c>
      <c r="C8424">
        <v>0</v>
      </c>
      <c r="D8424">
        <v>0</v>
      </c>
      <c r="E8424">
        <v>0</v>
      </c>
    </row>
    <row r="8425" spans="1:5" x14ac:dyDescent="0.35">
      <c r="A8425">
        <v>0</v>
      </c>
      <c r="B8425">
        <v>0</v>
      </c>
      <c r="C8425">
        <v>0</v>
      </c>
      <c r="D8425">
        <v>0</v>
      </c>
      <c r="E8425">
        <v>0</v>
      </c>
    </row>
    <row r="8426" spans="1:5" x14ac:dyDescent="0.35">
      <c r="A8426">
        <v>0</v>
      </c>
      <c r="B8426">
        <v>0</v>
      </c>
      <c r="C8426">
        <v>0</v>
      </c>
      <c r="D8426">
        <v>0</v>
      </c>
      <c r="E8426">
        <v>0</v>
      </c>
    </row>
    <row r="8427" spans="1:5" x14ac:dyDescent="0.35">
      <c r="A8427">
        <v>0</v>
      </c>
      <c r="B8427">
        <v>0</v>
      </c>
      <c r="C8427">
        <v>0</v>
      </c>
      <c r="D8427">
        <v>0</v>
      </c>
      <c r="E8427">
        <v>0</v>
      </c>
    </row>
    <row r="8428" spans="1:5" x14ac:dyDescent="0.35">
      <c r="A8428">
        <v>0</v>
      </c>
      <c r="B8428">
        <v>0</v>
      </c>
      <c r="C8428">
        <v>0</v>
      </c>
      <c r="D8428">
        <v>0</v>
      </c>
      <c r="E8428">
        <v>0</v>
      </c>
    </row>
    <row r="8429" spans="1:5" x14ac:dyDescent="0.35">
      <c r="A8429">
        <v>0</v>
      </c>
      <c r="B8429">
        <v>0</v>
      </c>
      <c r="C8429">
        <v>0</v>
      </c>
      <c r="D8429">
        <v>0</v>
      </c>
      <c r="E8429">
        <v>0</v>
      </c>
    </row>
    <row r="8430" spans="1:5" x14ac:dyDescent="0.35">
      <c r="A8430">
        <v>0</v>
      </c>
      <c r="B8430">
        <v>0</v>
      </c>
      <c r="C8430">
        <v>0</v>
      </c>
      <c r="D8430">
        <v>0</v>
      </c>
      <c r="E8430">
        <v>0</v>
      </c>
    </row>
    <row r="8431" spans="1:5" x14ac:dyDescent="0.35">
      <c r="A8431">
        <v>0</v>
      </c>
      <c r="B8431">
        <v>0</v>
      </c>
      <c r="C8431">
        <v>0</v>
      </c>
      <c r="D8431">
        <v>0</v>
      </c>
      <c r="E8431">
        <v>0</v>
      </c>
    </row>
    <row r="8432" spans="1:5" x14ac:dyDescent="0.35">
      <c r="A8432">
        <v>0</v>
      </c>
      <c r="B8432">
        <v>0</v>
      </c>
      <c r="C8432">
        <v>0</v>
      </c>
      <c r="D8432">
        <v>0</v>
      </c>
      <c r="E8432">
        <v>0</v>
      </c>
    </row>
    <row r="8433" spans="1:5" x14ac:dyDescent="0.35">
      <c r="A8433">
        <v>0</v>
      </c>
      <c r="B8433">
        <v>0</v>
      </c>
      <c r="C8433">
        <v>0</v>
      </c>
      <c r="D8433">
        <v>0</v>
      </c>
      <c r="E8433">
        <v>0</v>
      </c>
    </row>
    <row r="8434" spans="1:5" x14ac:dyDescent="0.35">
      <c r="A8434">
        <v>0</v>
      </c>
      <c r="B8434">
        <v>0</v>
      </c>
      <c r="C8434">
        <v>0</v>
      </c>
      <c r="D8434">
        <v>0</v>
      </c>
      <c r="E8434">
        <v>0</v>
      </c>
    </row>
    <row r="8435" spans="1:5" x14ac:dyDescent="0.35">
      <c r="A8435">
        <v>0</v>
      </c>
      <c r="B8435">
        <v>0</v>
      </c>
      <c r="C8435">
        <v>0</v>
      </c>
      <c r="D8435">
        <v>0</v>
      </c>
      <c r="E8435">
        <v>0</v>
      </c>
    </row>
    <row r="8436" spans="1:5" x14ac:dyDescent="0.35">
      <c r="A8436">
        <v>0</v>
      </c>
      <c r="B8436">
        <v>0</v>
      </c>
      <c r="C8436">
        <v>0</v>
      </c>
      <c r="D8436">
        <v>0</v>
      </c>
      <c r="E8436">
        <v>0</v>
      </c>
    </row>
    <row r="8437" spans="1:5" x14ac:dyDescent="0.35">
      <c r="A8437">
        <v>0</v>
      </c>
      <c r="B8437">
        <v>0</v>
      </c>
      <c r="C8437">
        <v>0</v>
      </c>
      <c r="D8437">
        <v>0</v>
      </c>
      <c r="E8437">
        <v>0</v>
      </c>
    </row>
    <row r="8438" spans="1:5" x14ac:dyDescent="0.35">
      <c r="A8438">
        <v>0</v>
      </c>
      <c r="B8438">
        <v>0</v>
      </c>
      <c r="C8438">
        <v>0</v>
      </c>
      <c r="D8438">
        <v>0</v>
      </c>
      <c r="E8438">
        <v>0</v>
      </c>
    </row>
    <row r="8439" spans="1:5" x14ac:dyDescent="0.35">
      <c r="A8439">
        <v>0</v>
      </c>
      <c r="B8439">
        <v>0</v>
      </c>
      <c r="C8439">
        <v>0</v>
      </c>
      <c r="D8439">
        <v>0</v>
      </c>
      <c r="E8439">
        <v>0</v>
      </c>
    </row>
    <row r="8440" spans="1:5" x14ac:dyDescent="0.35">
      <c r="A8440">
        <v>0</v>
      </c>
      <c r="B8440">
        <v>0</v>
      </c>
      <c r="C8440">
        <v>0</v>
      </c>
      <c r="D8440">
        <v>0</v>
      </c>
      <c r="E8440">
        <v>0</v>
      </c>
    </row>
    <row r="8441" spans="1:5" x14ac:dyDescent="0.35">
      <c r="A8441">
        <v>0</v>
      </c>
      <c r="B8441">
        <v>0</v>
      </c>
      <c r="C8441">
        <v>0</v>
      </c>
      <c r="D8441">
        <v>0</v>
      </c>
      <c r="E8441">
        <v>0</v>
      </c>
    </row>
    <row r="8442" spans="1:5" x14ac:dyDescent="0.35">
      <c r="A8442">
        <v>0</v>
      </c>
      <c r="B8442">
        <v>0</v>
      </c>
      <c r="C8442">
        <v>0</v>
      </c>
      <c r="D8442">
        <v>0</v>
      </c>
      <c r="E8442">
        <v>0</v>
      </c>
    </row>
    <row r="8443" spans="1:5" x14ac:dyDescent="0.35">
      <c r="A8443">
        <v>0</v>
      </c>
      <c r="B8443">
        <v>0</v>
      </c>
      <c r="C8443">
        <v>0</v>
      </c>
      <c r="D8443">
        <v>0</v>
      </c>
      <c r="E8443">
        <v>0</v>
      </c>
    </row>
    <row r="8444" spans="1:5" x14ac:dyDescent="0.35">
      <c r="A8444">
        <v>0</v>
      </c>
      <c r="B8444">
        <v>0</v>
      </c>
      <c r="C8444">
        <v>0</v>
      </c>
      <c r="D8444">
        <v>0</v>
      </c>
      <c r="E8444">
        <v>0</v>
      </c>
    </row>
    <row r="8445" spans="1:5" x14ac:dyDescent="0.35">
      <c r="A8445">
        <v>0</v>
      </c>
      <c r="B8445">
        <v>0</v>
      </c>
      <c r="C8445">
        <v>0</v>
      </c>
      <c r="D8445">
        <v>0</v>
      </c>
      <c r="E8445">
        <v>0</v>
      </c>
    </row>
    <row r="8446" spans="1:5" x14ac:dyDescent="0.35">
      <c r="A8446">
        <v>0</v>
      </c>
      <c r="B8446">
        <v>0</v>
      </c>
      <c r="C8446">
        <v>0</v>
      </c>
      <c r="D8446">
        <v>0</v>
      </c>
      <c r="E8446">
        <v>0</v>
      </c>
    </row>
    <row r="8447" spans="1:5" x14ac:dyDescent="0.35">
      <c r="A8447">
        <v>0</v>
      </c>
      <c r="B8447">
        <v>0</v>
      </c>
      <c r="C8447">
        <v>0</v>
      </c>
      <c r="D8447">
        <v>0</v>
      </c>
      <c r="E8447">
        <v>0</v>
      </c>
    </row>
    <row r="8448" spans="1:5" x14ac:dyDescent="0.35">
      <c r="A8448">
        <v>0</v>
      </c>
      <c r="B8448">
        <v>0</v>
      </c>
      <c r="C8448">
        <v>0</v>
      </c>
      <c r="D8448">
        <v>0</v>
      </c>
      <c r="E8448">
        <v>0</v>
      </c>
    </row>
    <row r="8449" spans="1:5" x14ac:dyDescent="0.35">
      <c r="A8449">
        <v>0</v>
      </c>
      <c r="B8449">
        <v>0</v>
      </c>
      <c r="C8449">
        <v>0</v>
      </c>
      <c r="D8449">
        <v>0</v>
      </c>
      <c r="E8449">
        <v>0</v>
      </c>
    </row>
    <row r="8450" spans="1:5" x14ac:dyDescent="0.35">
      <c r="A8450">
        <v>0</v>
      </c>
      <c r="B8450">
        <v>0</v>
      </c>
      <c r="C8450">
        <v>0</v>
      </c>
      <c r="D8450">
        <v>0</v>
      </c>
      <c r="E8450">
        <v>0</v>
      </c>
    </row>
    <row r="8451" spans="1:5" x14ac:dyDescent="0.35">
      <c r="A8451">
        <v>0</v>
      </c>
      <c r="B8451">
        <v>0</v>
      </c>
      <c r="C8451">
        <v>0</v>
      </c>
      <c r="D8451">
        <v>0</v>
      </c>
      <c r="E8451">
        <v>0</v>
      </c>
    </row>
    <row r="8452" spans="1:5" x14ac:dyDescent="0.35">
      <c r="A8452">
        <v>0</v>
      </c>
      <c r="B8452">
        <v>0</v>
      </c>
      <c r="C8452">
        <v>0</v>
      </c>
      <c r="D8452">
        <v>0</v>
      </c>
      <c r="E8452">
        <v>0</v>
      </c>
    </row>
    <row r="8453" spans="1:5" x14ac:dyDescent="0.35">
      <c r="A8453">
        <v>0</v>
      </c>
      <c r="B8453">
        <v>0</v>
      </c>
      <c r="C8453">
        <v>0</v>
      </c>
      <c r="D8453">
        <v>0</v>
      </c>
      <c r="E8453">
        <v>0</v>
      </c>
    </row>
    <row r="8454" spans="1:5" x14ac:dyDescent="0.35">
      <c r="A8454">
        <v>0</v>
      </c>
      <c r="B8454">
        <v>0</v>
      </c>
      <c r="C8454">
        <v>0</v>
      </c>
      <c r="D8454">
        <v>0</v>
      </c>
      <c r="E8454">
        <v>0</v>
      </c>
    </row>
    <row r="8455" spans="1:5" x14ac:dyDescent="0.35">
      <c r="A8455">
        <v>0</v>
      </c>
      <c r="B8455">
        <v>0</v>
      </c>
      <c r="C8455">
        <v>0</v>
      </c>
      <c r="D8455">
        <v>0</v>
      </c>
      <c r="E8455">
        <v>0</v>
      </c>
    </row>
    <row r="8456" spans="1:5" x14ac:dyDescent="0.35">
      <c r="A8456">
        <v>0</v>
      </c>
      <c r="B8456">
        <v>0</v>
      </c>
      <c r="C8456">
        <v>0</v>
      </c>
      <c r="D8456">
        <v>0</v>
      </c>
      <c r="E8456">
        <v>0</v>
      </c>
    </row>
    <row r="8457" spans="1:5" x14ac:dyDescent="0.35">
      <c r="A8457">
        <v>0</v>
      </c>
      <c r="B8457">
        <v>0</v>
      </c>
      <c r="C8457">
        <v>0</v>
      </c>
      <c r="D8457">
        <v>0</v>
      </c>
      <c r="E8457">
        <v>0</v>
      </c>
    </row>
    <row r="8458" spans="1:5" x14ac:dyDescent="0.35">
      <c r="A8458">
        <v>0</v>
      </c>
      <c r="B8458">
        <v>0</v>
      </c>
      <c r="C8458">
        <v>0</v>
      </c>
      <c r="D8458">
        <v>0</v>
      </c>
      <c r="E8458">
        <v>0</v>
      </c>
    </row>
    <row r="8459" spans="1:5" x14ac:dyDescent="0.35">
      <c r="A8459">
        <v>0</v>
      </c>
      <c r="B8459">
        <v>0</v>
      </c>
      <c r="C8459">
        <v>0</v>
      </c>
      <c r="D8459">
        <v>0</v>
      </c>
      <c r="E8459">
        <v>0</v>
      </c>
    </row>
    <row r="8460" spans="1:5" x14ac:dyDescent="0.35">
      <c r="A8460">
        <v>0</v>
      </c>
      <c r="B8460">
        <v>0</v>
      </c>
      <c r="C8460">
        <v>0</v>
      </c>
      <c r="D8460">
        <v>0</v>
      </c>
      <c r="E8460">
        <v>0</v>
      </c>
    </row>
    <row r="8461" spans="1:5" x14ac:dyDescent="0.35">
      <c r="A8461">
        <v>0</v>
      </c>
      <c r="B8461">
        <v>0</v>
      </c>
      <c r="C8461">
        <v>0</v>
      </c>
      <c r="D8461">
        <v>0</v>
      </c>
      <c r="E8461">
        <v>0</v>
      </c>
    </row>
    <row r="8462" spans="1:5" x14ac:dyDescent="0.35">
      <c r="A8462">
        <v>0</v>
      </c>
      <c r="B8462">
        <v>0</v>
      </c>
      <c r="C8462">
        <v>0</v>
      </c>
      <c r="D8462">
        <v>0</v>
      </c>
      <c r="E8462">
        <v>0</v>
      </c>
    </row>
    <row r="8463" spans="1:5" x14ac:dyDescent="0.35">
      <c r="A8463">
        <v>0</v>
      </c>
      <c r="B8463">
        <v>0</v>
      </c>
      <c r="C8463">
        <v>0</v>
      </c>
      <c r="D8463">
        <v>0</v>
      </c>
      <c r="E8463">
        <v>0</v>
      </c>
    </row>
    <row r="8464" spans="1:5" x14ac:dyDescent="0.35">
      <c r="A8464">
        <v>0</v>
      </c>
      <c r="B8464">
        <v>0</v>
      </c>
      <c r="C8464">
        <v>0</v>
      </c>
      <c r="D8464">
        <v>0</v>
      </c>
      <c r="E8464">
        <v>0</v>
      </c>
    </row>
    <row r="8465" spans="1:5" x14ac:dyDescent="0.35">
      <c r="A8465">
        <v>0</v>
      </c>
      <c r="B8465">
        <v>0</v>
      </c>
      <c r="C8465">
        <v>0</v>
      </c>
      <c r="D8465">
        <v>0</v>
      </c>
      <c r="E8465">
        <v>0</v>
      </c>
    </row>
    <row r="8466" spans="1:5" x14ac:dyDescent="0.35">
      <c r="A8466">
        <v>0</v>
      </c>
      <c r="B8466">
        <v>0</v>
      </c>
      <c r="C8466">
        <v>0</v>
      </c>
      <c r="D8466">
        <v>0</v>
      </c>
      <c r="E8466">
        <v>0</v>
      </c>
    </row>
    <row r="8467" spans="1:5" x14ac:dyDescent="0.35">
      <c r="A8467">
        <v>0</v>
      </c>
      <c r="B8467">
        <v>0</v>
      </c>
      <c r="C8467">
        <v>0</v>
      </c>
      <c r="D8467">
        <v>0</v>
      </c>
      <c r="E8467">
        <v>0</v>
      </c>
    </row>
    <row r="8468" spans="1:5" x14ac:dyDescent="0.35">
      <c r="A8468">
        <v>0</v>
      </c>
      <c r="B8468">
        <v>0</v>
      </c>
      <c r="C8468">
        <v>0</v>
      </c>
      <c r="D8468">
        <v>0</v>
      </c>
      <c r="E8468">
        <v>0</v>
      </c>
    </row>
    <row r="8469" spans="1:5" x14ac:dyDescent="0.35">
      <c r="A8469">
        <v>0</v>
      </c>
      <c r="B8469">
        <v>0</v>
      </c>
      <c r="C8469">
        <v>0</v>
      </c>
      <c r="D8469">
        <v>0</v>
      </c>
      <c r="E8469">
        <v>0</v>
      </c>
    </row>
    <row r="8470" spans="1:5" x14ac:dyDescent="0.35">
      <c r="A8470">
        <v>0</v>
      </c>
      <c r="B8470">
        <v>0</v>
      </c>
      <c r="C8470">
        <v>0</v>
      </c>
      <c r="D8470">
        <v>0</v>
      </c>
      <c r="E8470">
        <v>0</v>
      </c>
    </row>
    <row r="8471" spans="1:5" x14ac:dyDescent="0.35">
      <c r="A8471">
        <v>0</v>
      </c>
      <c r="B8471">
        <v>0</v>
      </c>
      <c r="C8471">
        <v>0</v>
      </c>
      <c r="D8471">
        <v>0</v>
      </c>
      <c r="E8471">
        <v>0</v>
      </c>
    </row>
    <row r="8472" spans="1:5" x14ac:dyDescent="0.35">
      <c r="A8472">
        <v>0</v>
      </c>
      <c r="B8472">
        <v>0</v>
      </c>
      <c r="C8472">
        <v>0</v>
      </c>
      <c r="D8472">
        <v>0</v>
      </c>
      <c r="E8472">
        <v>0</v>
      </c>
    </row>
    <row r="8473" spans="1:5" x14ac:dyDescent="0.35">
      <c r="A8473">
        <v>0</v>
      </c>
      <c r="B8473">
        <v>0</v>
      </c>
      <c r="C8473">
        <v>0</v>
      </c>
      <c r="D8473">
        <v>0</v>
      </c>
      <c r="E8473">
        <v>0</v>
      </c>
    </row>
    <row r="8474" spans="1:5" x14ac:dyDescent="0.35">
      <c r="A8474">
        <v>0</v>
      </c>
      <c r="B8474">
        <v>0</v>
      </c>
      <c r="C8474">
        <v>0</v>
      </c>
      <c r="D8474">
        <v>0</v>
      </c>
      <c r="E8474">
        <v>0</v>
      </c>
    </row>
    <row r="8475" spans="1:5" x14ac:dyDescent="0.35">
      <c r="A8475">
        <v>0</v>
      </c>
      <c r="B8475">
        <v>0</v>
      </c>
      <c r="C8475">
        <v>0</v>
      </c>
      <c r="D8475">
        <v>0</v>
      </c>
      <c r="E8475">
        <v>0</v>
      </c>
    </row>
    <row r="8476" spans="1:5" x14ac:dyDescent="0.35">
      <c r="A8476">
        <v>0</v>
      </c>
      <c r="B8476">
        <v>0</v>
      </c>
      <c r="C8476">
        <v>0</v>
      </c>
      <c r="D8476">
        <v>0</v>
      </c>
      <c r="E8476">
        <v>0</v>
      </c>
    </row>
    <row r="8477" spans="1:5" x14ac:dyDescent="0.35">
      <c r="A8477">
        <v>0</v>
      </c>
      <c r="B8477">
        <v>0</v>
      </c>
      <c r="C8477">
        <v>0</v>
      </c>
      <c r="D8477">
        <v>0</v>
      </c>
      <c r="E8477">
        <v>0</v>
      </c>
    </row>
    <row r="8478" spans="1:5" x14ac:dyDescent="0.35">
      <c r="A8478">
        <v>0</v>
      </c>
      <c r="B8478">
        <v>0</v>
      </c>
      <c r="C8478">
        <v>0</v>
      </c>
      <c r="D8478">
        <v>0</v>
      </c>
      <c r="E8478">
        <v>0</v>
      </c>
    </row>
    <row r="8479" spans="1:5" x14ac:dyDescent="0.35">
      <c r="A8479">
        <v>0</v>
      </c>
      <c r="B8479">
        <v>0</v>
      </c>
      <c r="C8479">
        <v>0</v>
      </c>
      <c r="D8479">
        <v>0</v>
      </c>
      <c r="E8479">
        <v>0</v>
      </c>
    </row>
    <row r="8480" spans="1:5" x14ac:dyDescent="0.35">
      <c r="A8480">
        <v>0</v>
      </c>
      <c r="B8480">
        <v>0</v>
      </c>
      <c r="C8480">
        <v>0</v>
      </c>
      <c r="D8480">
        <v>0</v>
      </c>
      <c r="E8480">
        <v>0</v>
      </c>
    </row>
    <row r="8481" spans="1:5" x14ac:dyDescent="0.35">
      <c r="A8481">
        <v>0</v>
      </c>
      <c r="B8481">
        <v>0</v>
      </c>
      <c r="C8481">
        <v>0</v>
      </c>
      <c r="D8481">
        <v>0</v>
      </c>
      <c r="E8481">
        <v>0</v>
      </c>
    </row>
    <row r="8482" spans="1:5" x14ac:dyDescent="0.35">
      <c r="A8482">
        <v>0</v>
      </c>
      <c r="B8482">
        <v>0</v>
      </c>
      <c r="C8482">
        <v>0</v>
      </c>
      <c r="D8482">
        <v>0</v>
      </c>
      <c r="E8482">
        <v>0</v>
      </c>
    </row>
    <row r="8483" spans="1:5" x14ac:dyDescent="0.35">
      <c r="A8483">
        <v>0</v>
      </c>
      <c r="B8483">
        <v>0</v>
      </c>
      <c r="C8483">
        <v>0</v>
      </c>
      <c r="D8483">
        <v>0</v>
      </c>
      <c r="E8483">
        <v>0</v>
      </c>
    </row>
    <row r="8484" spans="1:5" x14ac:dyDescent="0.35">
      <c r="A8484">
        <v>0</v>
      </c>
      <c r="B8484">
        <v>0</v>
      </c>
      <c r="C8484">
        <v>0</v>
      </c>
      <c r="D8484">
        <v>0</v>
      </c>
      <c r="E8484">
        <v>0</v>
      </c>
    </row>
    <row r="8485" spans="1:5" x14ac:dyDescent="0.35">
      <c r="A8485">
        <v>0</v>
      </c>
      <c r="B8485">
        <v>0</v>
      </c>
      <c r="C8485">
        <v>0</v>
      </c>
      <c r="D8485">
        <v>0</v>
      </c>
      <c r="E8485">
        <v>0</v>
      </c>
    </row>
    <row r="8486" spans="1:5" x14ac:dyDescent="0.35">
      <c r="A8486">
        <v>0</v>
      </c>
      <c r="B8486">
        <v>0</v>
      </c>
      <c r="C8486">
        <v>0</v>
      </c>
      <c r="D8486">
        <v>0</v>
      </c>
      <c r="E8486">
        <v>0</v>
      </c>
    </row>
    <row r="8487" spans="1:5" x14ac:dyDescent="0.35">
      <c r="A8487">
        <v>0</v>
      </c>
      <c r="B8487">
        <v>0</v>
      </c>
      <c r="C8487">
        <v>0</v>
      </c>
      <c r="D8487">
        <v>0</v>
      </c>
      <c r="E8487">
        <v>0</v>
      </c>
    </row>
    <row r="8488" spans="1:5" x14ac:dyDescent="0.35">
      <c r="A8488">
        <v>0</v>
      </c>
      <c r="B8488">
        <v>0</v>
      </c>
      <c r="C8488">
        <v>0</v>
      </c>
      <c r="D8488">
        <v>0</v>
      </c>
      <c r="E8488">
        <v>0</v>
      </c>
    </row>
    <row r="8489" spans="1:5" x14ac:dyDescent="0.35">
      <c r="A8489">
        <v>0</v>
      </c>
      <c r="B8489">
        <v>0</v>
      </c>
      <c r="C8489">
        <v>0</v>
      </c>
      <c r="D8489">
        <v>0</v>
      </c>
      <c r="E8489">
        <v>0</v>
      </c>
    </row>
    <row r="8490" spans="1:5" x14ac:dyDescent="0.35">
      <c r="A8490">
        <v>0</v>
      </c>
      <c r="B8490">
        <v>0</v>
      </c>
      <c r="C8490">
        <v>0</v>
      </c>
      <c r="D8490">
        <v>0</v>
      </c>
      <c r="E8490">
        <v>0</v>
      </c>
    </row>
    <row r="8491" spans="1:5" x14ac:dyDescent="0.35">
      <c r="A8491">
        <v>0</v>
      </c>
      <c r="B8491">
        <v>0</v>
      </c>
      <c r="C8491">
        <v>0</v>
      </c>
      <c r="D8491">
        <v>0</v>
      </c>
      <c r="E8491">
        <v>0</v>
      </c>
    </row>
    <row r="8492" spans="1:5" x14ac:dyDescent="0.35">
      <c r="A8492">
        <v>0</v>
      </c>
      <c r="B8492">
        <v>0</v>
      </c>
      <c r="C8492">
        <v>0</v>
      </c>
      <c r="D8492">
        <v>0</v>
      </c>
      <c r="E8492">
        <v>0</v>
      </c>
    </row>
    <row r="8493" spans="1:5" x14ac:dyDescent="0.35">
      <c r="A8493">
        <v>0</v>
      </c>
      <c r="B8493">
        <v>0</v>
      </c>
      <c r="C8493">
        <v>0</v>
      </c>
      <c r="D8493">
        <v>0</v>
      </c>
      <c r="E8493">
        <v>0</v>
      </c>
    </row>
    <row r="8494" spans="1:5" x14ac:dyDescent="0.35">
      <c r="A8494">
        <v>0</v>
      </c>
      <c r="B8494">
        <v>0</v>
      </c>
      <c r="C8494">
        <v>0</v>
      </c>
      <c r="D8494">
        <v>0</v>
      </c>
      <c r="E8494">
        <v>0</v>
      </c>
    </row>
    <row r="8495" spans="1:5" x14ac:dyDescent="0.35">
      <c r="A8495">
        <v>0</v>
      </c>
      <c r="B8495">
        <v>0</v>
      </c>
      <c r="C8495">
        <v>0</v>
      </c>
      <c r="D8495">
        <v>0</v>
      </c>
      <c r="E8495">
        <v>0</v>
      </c>
    </row>
    <row r="8496" spans="1:5" x14ac:dyDescent="0.35">
      <c r="A8496">
        <v>0</v>
      </c>
      <c r="B8496">
        <v>0</v>
      </c>
      <c r="C8496">
        <v>0</v>
      </c>
      <c r="D8496">
        <v>0</v>
      </c>
      <c r="E8496">
        <v>0</v>
      </c>
    </row>
    <row r="8497" spans="1:5" x14ac:dyDescent="0.35">
      <c r="A8497">
        <v>0</v>
      </c>
      <c r="B8497">
        <v>0</v>
      </c>
      <c r="C8497">
        <v>0</v>
      </c>
      <c r="D8497">
        <v>0</v>
      </c>
      <c r="E8497">
        <v>0</v>
      </c>
    </row>
    <row r="8498" spans="1:5" x14ac:dyDescent="0.35">
      <c r="A8498">
        <v>0</v>
      </c>
      <c r="B8498">
        <v>0</v>
      </c>
      <c r="C8498">
        <v>0</v>
      </c>
      <c r="D8498">
        <v>0</v>
      </c>
      <c r="E8498">
        <v>0</v>
      </c>
    </row>
    <row r="8499" spans="1:5" x14ac:dyDescent="0.35">
      <c r="A8499">
        <v>0</v>
      </c>
      <c r="B8499">
        <v>0</v>
      </c>
      <c r="C8499">
        <v>0</v>
      </c>
      <c r="D8499">
        <v>0</v>
      </c>
      <c r="E8499">
        <v>0</v>
      </c>
    </row>
    <row r="8500" spans="1:5" x14ac:dyDescent="0.35">
      <c r="A8500">
        <v>0</v>
      </c>
      <c r="B8500">
        <v>0</v>
      </c>
      <c r="C8500">
        <v>0</v>
      </c>
      <c r="D8500">
        <v>0</v>
      </c>
      <c r="E8500">
        <v>0</v>
      </c>
    </row>
    <row r="8501" spans="1:5" x14ac:dyDescent="0.35">
      <c r="A8501">
        <v>0</v>
      </c>
      <c r="B8501">
        <v>0</v>
      </c>
      <c r="C8501">
        <v>0</v>
      </c>
      <c r="D8501">
        <v>0</v>
      </c>
      <c r="E8501">
        <v>0</v>
      </c>
    </row>
    <row r="8502" spans="1:5" x14ac:dyDescent="0.35">
      <c r="A8502">
        <v>0</v>
      </c>
      <c r="B8502">
        <v>0</v>
      </c>
      <c r="C8502">
        <v>0</v>
      </c>
      <c r="D8502">
        <v>0</v>
      </c>
      <c r="E8502">
        <v>0</v>
      </c>
    </row>
    <row r="8503" spans="1:5" x14ac:dyDescent="0.35">
      <c r="A8503">
        <v>0</v>
      </c>
      <c r="B8503">
        <v>0</v>
      </c>
      <c r="C8503">
        <v>0</v>
      </c>
      <c r="D8503">
        <v>0</v>
      </c>
      <c r="E8503">
        <v>0</v>
      </c>
    </row>
    <row r="8504" spans="1:5" x14ac:dyDescent="0.35">
      <c r="A8504">
        <v>0</v>
      </c>
      <c r="B8504">
        <v>0</v>
      </c>
      <c r="C8504">
        <v>0</v>
      </c>
      <c r="D8504">
        <v>0</v>
      </c>
      <c r="E8504">
        <v>0</v>
      </c>
    </row>
    <row r="8505" spans="1:5" x14ac:dyDescent="0.35">
      <c r="A8505">
        <v>0</v>
      </c>
      <c r="B8505">
        <v>0</v>
      </c>
      <c r="C8505">
        <v>0</v>
      </c>
      <c r="D8505">
        <v>0</v>
      </c>
      <c r="E8505">
        <v>0</v>
      </c>
    </row>
    <row r="8506" spans="1:5" x14ac:dyDescent="0.35">
      <c r="A8506">
        <v>0</v>
      </c>
      <c r="B8506">
        <v>0</v>
      </c>
      <c r="C8506">
        <v>0</v>
      </c>
      <c r="D8506">
        <v>0</v>
      </c>
      <c r="E8506">
        <v>0</v>
      </c>
    </row>
    <row r="8507" spans="1:5" x14ac:dyDescent="0.35">
      <c r="A8507">
        <v>0</v>
      </c>
      <c r="B8507">
        <v>0</v>
      </c>
      <c r="C8507">
        <v>0</v>
      </c>
      <c r="D8507">
        <v>0</v>
      </c>
      <c r="E8507">
        <v>0</v>
      </c>
    </row>
    <row r="8508" spans="1:5" x14ac:dyDescent="0.35">
      <c r="A8508">
        <v>0</v>
      </c>
      <c r="B8508">
        <v>0</v>
      </c>
      <c r="C8508">
        <v>0</v>
      </c>
      <c r="D8508">
        <v>0</v>
      </c>
      <c r="E8508">
        <v>0</v>
      </c>
    </row>
    <row r="8509" spans="1:5" x14ac:dyDescent="0.35">
      <c r="A8509">
        <v>0</v>
      </c>
      <c r="B8509">
        <v>0</v>
      </c>
      <c r="C8509">
        <v>0</v>
      </c>
      <c r="D8509">
        <v>0</v>
      </c>
      <c r="E8509">
        <v>0</v>
      </c>
    </row>
    <row r="8510" spans="1:5" x14ac:dyDescent="0.35">
      <c r="A8510">
        <v>0</v>
      </c>
      <c r="B8510">
        <v>0</v>
      </c>
      <c r="C8510">
        <v>0</v>
      </c>
      <c r="D8510">
        <v>0</v>
      </c>
      <c r="E8510">
        <v>0</v>
      </c>
    </row>
    <row r="8511" spans="1:5" x14ac:dyDescent="0.35">
      <c r="A8511">
        <v>0</v>
      </c>
      <c r="B8511">
        <v>0</v>
      </c>
      <c r="C8511">
        <v>0</v>
      </c>
      <c r="D8511">
        <v>0</v>
      </c>
      <c r="E8511">
        <v>0</v>
      </c>
    </row>
    <row r="8512" spans="1:5" x14ac:dyDescent="0.35">
      <c r="A8512">
        <v>0</v>
      </c>
      <c r="B8512">
        <v>0</v>
      </c>
      <c r="C8512">
        <v>0</v>
      </c>
      <c r="D8512">
        <v>0</v>
      </c>
      <c r="E8512">
        <v>0</v>
      </c>
    </row>
    <row r="8513" spans="1:5" x14ac:dyDescent="0.35">
      <c r="A8513">
        <v>0</v>
      </c>
      <c r="B8513">
        <v>0</v>
      </c>
      <c r="C8513">
        <v>0</v>
      </c>
      <c r="D8513">
        <v>0</v>
      </c>
      <c r="E8513">
        <v>0</v>
      </c>
    </row>
    <row r="8514" spans="1:5" x14ac:dyDescent="0.35">
      <c r="A8514">
        <v>0</v>
      </c>
      <c r="B8514">
        <v>0</v>
      </c>
      <c r="C8514">
        <v>0</v>
      </c>
      <c r="D8514">
        <v>0</v>
      </c>
      <c r="E8514">
        <v>0</v>
      </c>
    </row>
    <row r="8515" spans="1:5" x14ac:dyDescent="0.35">
      <c r="A8515">
        <v>0</v>
      </c>
      <c r="B8515">
        <v>0</v>
      </c>
      <c r="C8515">
        <v>0</v>
      </c>
      <c r="D8515">
        <v>0</v>
      </c>
      <c r="E8515">
        <v>0</v>
      </c>
    </row>
    <row r="8516" spans="1:5" x14ac:dyDescent="0.35">
      <c r="A8516">
        <v>0</v>
      </c>
      <c r="B8516">
        <v>0</v>
      </c>
      <c r="C8516">
        <v>0</v>
      </c>
      <c r="D8516">
        <v>0</v>
      </c>
      <c r="E8516">
        <v>0</v>
      </c>
    </row>
    <row r="8517" spans="1:5" x14ac:dyDescent="0.35">
      <c r="A8517">
        <v>0</v>
      </c>
      <c r="B8517">
        <v>0</v>
      </c>
      <c r="C8517">
        <v>0</v>
      </c>
      <c r="D8517">
        <v>0</v>
      </c>
      <c r="E8517">
        <v>0</v>
      </c>
    </row>
    <row r="8518" spans="1:5" x14ac:dyDescent="0.35">
      <c r="A8518">
        <v>0</v>
      </c>
      <c r="B8518">
        <v>0</v>
      </c>
      <c r="C8518">
        <v>0</v>
      </c>
      <c r="D8518">
        <v>0</v>
      </c>
      <c r="E8518">
        <v>0</v>
      </c>
    </row>
    <row r="8519" spans="1:5" x14ac:dyDescent="0.35">
      <c r="A8519">
        <v>0</v>
      </c>
      <c r="B8519">
        <v>0</v>
      </c>
      <c r="C8519">
        <v>0</v>
      </c>
      <c r="D8519">
        <v>0</v>
      </c>
      <c r="E8519">
        <v>0</v>
      </c>
    </row>
    <row r="8520" spans="1:5" x14ac:dyDescent="0.35">
      <c r="A8520">
        <v>0</v>
      </c>
      <c r="B8520">
        <v>0</v>
      </c>
      <c r="C8520">
        <v>0</v>
      </c>
      <c r="D8520">
        <v>0</v>
      </c>
      <c r="E8520">
        <v>0</v>
      </c>
    </row>
    <row r="8521" spans="1:5" x14ac:dyDescent="0.35">
      <c r="A8521">
        <v>0</v>
      </c>
      <c r="B8521">
        <v>0</v>
      </c>
      <c r="C8521">
        <v>0</v>
      </c>
      <c r="D8521">
        <v>0</v>
      </c>
      <c r="E8521">
        <v>0</v>
      </c>
    </row>
    <row r="8522" spans="1:5" x14ac:dyDescent="0.35">
      <c r="A8522">
        <v>0</v>
      </c>
      <c r="B8522">
        <v>0</v>
      </c>
      <c r="C8522">
        <v>0</v>
      </c>
      <c r="D8522">
        <v>0</v>
      </c>
      <c r="E8522">
        <v>0</v>
      </c>
    </row>
    <row r="8523" spans="1:5" x14ac:dyDescent="0.35">
      <c r="A8523">
        <v>0</v>
      </c>
      <c r="B8523">
        <v>0</v>
      </c>
      <c r="C8523">
        <v>0</v>
      </c>
      <c r="D8523">
        <v>0</v>
      </c>
      <c r="E8523">
        <v>0</v>
      </c>
    </row>
    <row r="8524" spans="1:5" x14ac:dyDescent="0.35">
      <c r="A8524">
        <v>0</v>
      </c>
      <c r="B8524">
        <v>0</v>
      </c>
      <c r="C8524">
        <v>0</v>
      </c>
      <c r="D8524">
        <v>0</v>
      </c>
      <c r="E8524">
        <v>0</v>
      </c>
    </row>
    <row r="8525" spans="1:5" x14ac:dyDescent="0.35">
      <c r="A8525">
        <v>0</v>
      </c>
      <c r="B8525">
        <v>0</v>
      </c>
      <c r="C8525">
        <v>0</v>
      </c>
      <c r="D8525">
        <v>0</v>
      </c>
      <c r="E8525">
        <v>0</v>
      </c>
    </row>
    <row r="8526" spans="1:5" x14ac:dyDescent="0.35">
      <c r="A8526">
        <v>0</v>
      </c>
      <c r="B8526">
        <v>0</v>
      </c>
      <c r="C8526">
        <v>0</v>
      </c>
      <c r="D8526">
        <v>0</v>
      </c>
      <c r="E8526">
        <v>0</v>
      </c>
    </row>
    <row r="8527" spans="1:5" x14ac:dyDescent="0.35">
      <c r="A8527">
        <v>0</v>
      </c>
      <c r="B8527">
        <v>0</v>
      </c>
      <c r="C8527">
        <v>0</v>
      </c>
      <c r="D8527">
        <v>0</v>
      </c>
      <c r="E8527">
        <v>0</v>
      </c>
    </row>
    <row r="8528" spans="1:5" x14ac:dyDescent="0.35">
      <c r="A8528">
        <v>0</v>
      </c>
      <c r="B8528">
        <v>0</v>
      </c>
      <c r="C8528">
        <v>0</v>
      </c>
      <c r="D8528">
        <v>0</v>
      </c>
      <c r="E8528">
        <v>0</v>
      </c>
    </row>
    <row r="8529" spans="1:5" x14ac:dyDescent="0.35">
      <c r="A8529">
        <v>0</v>
      </c>
      <c r="B8529">
        <v>0</v>
      </c>
      <c r="C8529">
        <v>0</v>
      </c>
      <c r="D8529">
        <v>0</v>
      </c>
      <c r="E8529">
        <v>0</v>
      </c>
    </row>
    <row r="8530" spans="1:5" x14ac:dyDescent="0.35">
      <c r="A8530">
        <v>0</v>
      </c>
      <c r="B8530">
        <v>0</v>
      </c>
      <c r="C8530">
        <v>0</v>
      </c>
      <c r="D8530">
        <v>0</v>
      </c>
      <c r="E8530">
        <v>0</v>
      </c>
    </row>
    <row r="8531" spans="1:5" x14ac:dyDescent="0.35">
      <c r="A8531">
        <v>0</v>
      </c>
      <c r="B8531">
        <v>0</v>
      </c>
      <c r="C8531">
        <v>0</v>
      </c>
      <c r="D8531">
        <v>0</v>
      </c>
      <c r="E8531">
        <v>0</v>
      </c>
    </row>
    <row r="8532" spans="1:5" x14ac:dyDescent="0.35">
      <c r="A8532">
        <v>0</v>
      </c>
      <c r="B8532">
        <v>0</v>
      </c>
      <c r="C8532">
        <v>0</v>
      </c>
      <c r="D8532">
        <v>0</v>
      </c>
      <c r="E8532">
        <v>0</v>
      </c>
    </row>
    <row r="8533" spans="1:5" x14ac:dyDescent="0.35">
      <c r="A8533">
        <v>0</v>
      </c>
      <c r="B8533">
        <v>0</v>
      </c>
      <c r="C8533">
        <v>0</v>
      </c>
      <c r="D8533">
        <v>0</v>
      </c>
      <c r="E8533">
        <v>0</v>
      </c>
    </row>
    <row r="8534" spans="1:5" x14ac:dyDescent="0.35">
      <c r="A8534">
        <v>0</v>
      </c>
      <c r="B8534">
        <v>0</v>
      </c>
      <c r="C8534">
        <v>0</v>
      </c>
      <c r="D8534">
        <v>0</v>
      </c>
      <c r="E8534">
        <v>0</v>
      </c>
    </row>
    <row r="8535" spans="1:5" x14ac:dyDescent="0.35">
      <c r="A8535">
        <v>0</v>
      </c>
      <c r="B8535">
        <v>0</v>
      </c>
      <c r="C8535">
        <v>0</v>
      </c>
      <c r="D8535">
        <v>0</v>
      </c>
      <c r="E8535">
        <v>0</v>
      </c>
    </row>
    <row r="8536" spans="1:5" x14ac:dyDescent="0.35">
      <c r="A8536">
        <v>0</v>
      </c>
      <c r="B8536">
        <v>0</v>
      </c>
      <c r="C8536">
        <v>0</v>
      </c>
      <c r="D8536">
        <v>0</v>
      </c>
      <c r="E8536">
        <v>0</v>
      </c>
    </row>
    <row r="8537" spans="1:5" x14ac:dyDescent="0.35">
      <c r="A8537">
        <v>0</v>
      </c>
      <c r="B8537">
        <v>0</v>
      </c>
      <c r="C8537">
        <v>0</v>
      </c>
      <c r="D8537">
        <v>0</v>
      </c>
      <c r="E8537">
        <v>0</v>
      </c>
    </row>
    <row r="8538" spans="1:5" x14ac:dyDescent="0.35">
      <c r="A8538">
        <v>0</v>
      </c>
      <c r="B8538">
        <v>0</v>
      </c>
      <c r="C8538">
        <v>0</v>
      </c>
      <c r="D8538">
        <v>0</v>
      </c>
      <c r="E8538">
        <v>0</v>
      </c>
    </row>
    <row r="8539" spans="1:5" x14ac:dyDescent="0.35">
      <c r="A8539">
        <v>0</v>
      </c>
      <c r="B8539">
        <v>0</v>
      </c>
      <c r="C8539">
        <v>0</v>
      </c>
      <c r="D8539">
        <v>0</v>
      </c>
      <c r="E8539">
        <v>0</v>
      </c>
    </row>
    <row r="8540" spans="1:5" x14ac:dyDescent="0.35">
      <c r="A8540">
        <v>0</v>
      </c>
      <c r="B8540">
        <v>0</v>
      </c>
      <c r="C8540">
        <v>0</v>
      </c>
      <c r="D8540">
        <v>0</v>
      </c>
      <c r="E8540">
        <v>0</v>
      </c>
    </row>
    <row r="8541" spans="1:5" x14ac:dyDescent="0.35">
      <c r="A8541">
        <v>0</v>
      </c>
      <c r="B8541">
        <v>0</v>
      </c>
      <c r="C8541">
        <v>0</v>
      </c>
      <c r="D8541">
        <v>0</v>
      </c>
      <c r="E8541">
        <v>0</v>
      </c>
    </row>
    <row r="8542" spans="1:5" x14ac:dyDescent="0.35">
      <c r="A8542">
        <v>0</v>
      </c>
      <c r="B8542">
        <v>0</v>
      </c>
      <c r="C8542">
        <v>0</v>
      </c>
      <c r="D8542">
        <v>0</v>
      </c>
      <c r="E8542">
        <v>0</v>
      </c>
    </row>
    <row r="8543" spans="1:5" x14ac:dyDescent="0.35">
      <c r="A8543">
        <v>0</v>
      </c>
      <c r="B8543">
        <v>0</v>
      </c>
      <c r="C8543">
        <v>0</v>
      </c>
      <c r="D8543">
        <v>0</v>
      </c>
      <c r="E8543">
        <v>0</v>
      </c>
    </row>
    <row r="8544" spans="1:5" x14ac:dyDescent="0.35">
      <c r="A8544">
        <v>0</v>
      </c>
      <c r="B8544">
        <v>0</v>
      </c>
      <c r="C8544">
        <v>0</v>
      </c>
      <c r="D8544">
        <v>0</v>
      </c>
      <c r="E8544">
        <v>0</v>
      </c>
    </row>
    <row r="8545" spans="1:5" x14ac:dyDescent="0.35">
      <c r="A8545">
        <v>0</v>
      </c>
      <c r="B8545">
        <v>0</v>
      </c>
      <c r="C8545">
        <v>0</v>
      </c>
      <c r="D8545">
        <v>0</v>
      </c>
      <c r="E8545">
        <v>0</v>
      </c>
    </row>
    <row r="8546" spans="1:5" x14ac:dyDescent="0.35">
      <c r="A8546">
        <v>0</v>
      </c>
      <c r="B8546">
        <v>0</v>
      </c>
      <c r="C8546">
        <v>0</v>
      </c>
      <c r="D8546">
        <v>0</v>
      </c>
      <c r="E8546">
        <v>0</v>
      </c>
    </row>
    <row r="8547" spans="1:5" x14ac:dyDescent="0.35">
      <c r="A8547">
        <v>0</v>
      </c>
      <c r="B8547">
        <v>0</v>
      </c>
      <c r="C8547">
        <v>0</v>
      </c>
      <c r="D8547">
        <v>0</v>
      </c>
      <c r="E8547">
        <v>0</v>
      </c>
    </row>
    <row r="8548" spans="1:5" x14ac:dyDescent="0.35">
      <c r="A8548">
        <v>0</v>
      </c>
      <c r="B8548">
        <v>0</v>
      </c>
      <c r="C8548">
        <v>0</v>
      </c>
      <c r="D8548">
        <v>0</v>
      </c>
      <c r="E8548">
        <v>0</v>
      </c>
    </row>
    <row r="8549" spans="1:5" x14ac:dyDescent="0.35">
      <c r="A8549">
        <v>0</v>
      </c>
      <c r="B8549">
        <v>0</v>
      </c>
      <c r="C8549">
        <v>0</v>
      </c>
      <c r="D8549">
        <v>0</v>
      </c>
      <c r="E8549">
        <v>0</v>
      </c>
    </row>
    <row r="8550" spans="1:5" x14ac:dyDescent="0.35">
      <c r="A8550">
        <v>0</v>
      </c>
      <c r="B8550">
        <v>0</v>
      </c>
      <c r="C8550">
        <v>0</v>
      </c>
      <c r="D8550">
        <v>0</v>
      </c>
      <c r="E8550">
        <v>0</v>
      </c>
    </row>
    <row r="8551" spans="1:5" x14ac:dyDescent="0.35">
      <c r="A8551">
        <v>0</v>
      </c>
      <c r="B8551">
        <v>0</v>
      </c>
      <c r="C8551">
        <v>0</v>
      </c>
      <c r="D8551">
        <v>0</v>
      </c>
      <c r="E8551">
        <v>0</v>
      </c>
    </row>
    <row r="8552" spans="1:5" x14ac:dyDescent="0.35">
      <c r="A8552">
        <v>0</v>
      </c>
      <c r="B8552">
        <v>0</v>
      </c>
      <c r="C8552">
        <v>0</v>
      </c>
      <c r="D8552">
        <v>0</v>
      </c>
      <c r="E8552">
        <v>0</v>
      </c>
    </row>
    <row r="8553" spans="1:5" x14ac:dyDescent="0.35">
      <c r="A8553">
        <v>0</v>
      </c>
      <c r="B8553">
        <v>0</v>
      </c>
      <c r="C8553">
        <v>0</v>
      </c>
      <c r="D8553">
        <v>0</v>
      </c>
      <c r="E8553">
        <v>0</v>
      </c>
    </row>
    <row r="8554" spans="1:5" x14ac:dyDescent="0.35">
      <c r="A8554">
        <v>0</v>
      </c>
      <c r="B8554">
        <v>0</v>
      </c>
      <c r="C8554">
        <v>0</v>
      </c>
      <c r="D8554">
        <v>0</v>
      </c>
      <c r="E8554">
        <v>0</v>
      </c>
    </row>
    <row r="8555" spans="1:5" x14ac:dyDescent="0.35">
      <c r="A8555">
        <v>0</v>
      </c>
      <c r="B8555">
        <v>0</v>
      </c>
      <c r="C8555">
        <v>0</v>
      </c>
      <c r="D8555">
        <v>0</v>
      </c>
      <c r="E8555">
        <v>0</v>
      </c>
    </row>
    <row r="8556" spans="1:5" x14ac:dyDescent="0.35">
      <c r="A8556">
        <v>0</v>
      </c>
      <c r="B8556">
        <v>0</v>
      </c>
      <c r="C8556">
        <v>0</v>
      </c>
      <c r="D8556">
        <v>0</v>
      </c>
      <c r="E8556">
        <v>0</v>
      </c>
    </row>
    <row r="8557" spans="1:5" x14ac:dyDescent="0.35">
      <c r="A8557">
        <v>0</v>
      </c>
      <c r="B8557">
        <v>0</v>
      </c>
      <c r="C8557">
        <v>0</v>
      </c>
      <c r="D8557">
        <v>0</v>
      </c>
      <c r="E8557">
        <v>0</v>
      </c>
    </row>
    <row r="8558" spans="1:5" x14ac:dyDescent="0.35">
      <c r="A8558">
        <v>0</v>
      </c>
      <c r="B8558">
        <v>0</v>
      </c>
      <c r="C8558">
        <v>0</v>
      </c>
      <c r="D8558">
        <v>0</v>
      </c>
      <c r="E8558">
        <v>0</v>
      </c>
    </row>
    <row r="8559" spans="1:5" x14ac:dyDescent="0.35">
      <c r="A8559">
        <v>0</v>
      </c>
      <c r="B8559">
        <v>0</v>
      </c>
      <c r="C8559">
        <v>0</v>
      </c>
      <c r="D8559">
        <v>0</v>
      </c>
      <c r="E8559">
        <v>0</v>
      </c>
    </row>
    <row r="8560" spans="1:5" x14ac:dyDescent="0.35">
      <c r="A8560">
        <v>0</v>
      </c>
      <c r="B8560">
        <v>0</v>
      </c>
      <c r="C8560">
        <v>0</v>
      </c>
      <c r="D8560">
        <v>0</v>
      </c>
      <c r="E8560">
        <v>0</v>
      </c>
    </row>
    <row r="8561" spans="1:5" x14ac:dyDescent="0.35">
      <c r="A8561">
        <v>0</v>
      </c>
      <c r="B8561">
        <v>0</v>
      </c>
      <c r="C8561">
        <v>0</v>
      </c>
      <c r="D8561">
        <v>0</v>
      </c>
      <c r="E8561">
        <v>0</v>
      </c>
    </row>
    <row r="8562" spans="1:5" x14ac:dyDescent="0.35">
      <c r="A8562">
        <v>0</v>
      </c>
      <c r="B8562">
        <v>0</v>
      </c>
      <c r="C8562">
        <v>0</v>
      </c>
      <c r="D8562">
        <v>0</v>
      </c>
      <c r="E8562">
        <v>0</v>
      </c>
    </row>
    <row r="8563" spans="1:5" x14ac:dyDescent="0.35">
      <c r="A8563">
        <v>0</v>
      </c>
      <c r="B8563">
        <v>0</v>
      </c>
      <c r="C8563">
        <v>0</v>
      </c>
      <c r="D8563">
        <v>0</v>
      </c>
      <c r="E8563">
        <v>0</v>
      </c>
    </row>
    <row r="8564" spans="1:5" x14ac:dyDescent="0.35">
      <c r="A8564">
        <v>0</v>
      </c>
      <c r="B8564">
        <v>0</v>
      </c>
      <c r="C8564">
        <v>0</v>
      </c>
      <c r="D8564">
        <v>0</v>
      </c>
      <c r="E8564">
        <v>0</v>
      </c>
    </row>
    <row r="8565" spans="1:5" x14ac:dyDescent="0.35">
      <c r="A8565">
        <v>0</v>
      </c>
      <c r="B8565">
        <v>0</v>
      </c>
      <c r="C8565">
        <v>0</v>
      </c>
      <c r="D8565">
        <v>0</v>
      </c>
      <c r="E8565">
        <v>0</v>
      </c>
    </row>
    <row r="8566" spans="1:5" x14ac:dyDescent="0.35">
      <c r="A8566">
        <v>0</v>
      </c>
      <c r="B8566">
        <v>0</v>
      </c>
      <c r="C8566">
        <v>0</v>
      </c>
      <c r="D8566">
        <v>0</v>
      </c>
      <c r="E8566">
        <v>0</v>
      </c>
    </row>
    <row r="8567" spans="1:5" x14ac:dyDescent="0.35">
      <c r="A8567">
        <v>0</v>
      </c>
      <c r="B8567">
        <v>0</v>
      </c>
      <c r="C8567">
        <v>0</v>
      </c>
      <c r="D8567">
        <v>0</v>
      </c>
      <c r="E8567">
        <v>0</v>
      </c>
    </row>
    <row r="8568" spans="1:5" x14ac:dyDescent="0.35">
      <c r="A8568">
        <v>0</v>
      </c>
      <c r="B8568">
        <v>0</v>
      </c>
      <c r="C8568">
        <v>0</v>
      </c>
      <c r="D8568">
        <v>0</v>
      </c>
      <c r="E8568">
        <v>0</v>
      </c>
    </row>
    <row r="8569" spans="1:5" x14ac:dyDescent="0.35">
      <c r="A8569">
        <v>0</v>
      </c>
      <c r="B8569">
        <v>0</v>
      </c>
      <c r="C8569">
        <v>0</v>
      </c>
      <c r="D8569">
        <v>0</v>
      </c>
      <c r="E8569">
        <v>0</v>
      </c>
    </row>
    <row r="8570" spans="1:5" x14ac:dyDescent="0.35">
      <c r="A8570">
        <v>0</v>
      </c>
      <c r="B8570">
        <v>0</v>
      </c>
      <c r="C8570">
        <v>0</v>
      </c>
      <c r="D8570">
        <v>0</v>
      </c>
      <c r="E8570">
        <v>0</v>
      </c>
    </row>
    <row r="8571" spans="1:5" x14ac:dyDescent="0.35">
      <c r="A8571">
        <v>0</v>
      </c>
      <c r="B8571">
        <v>0</v>
      </c>
      <c r="C8571">
        <v>0</v>
      </c>
      <c r="D8571">
        <v>0</v>
      </c>
      <c r="E8571">
        <v>0</v>
      </c>
    </row>
    <row r="8572" spans="1:5" x14ac:dyDescent="0.35">
      <c r="A8572">
        <v>0</v>
      </c>
      <c r="B8572">
        <v>0</v>
      </c>
      <c r="C8572">
        <v>0</v>
      </c>
      <c r="D8572">
        <v>0</v>
      </c>
      <c r="E8572">
        <v>0</v>
      </c>
    </row>
    <row r="8573" spans="1:5" x14ac:dyDescent="0.35">
      <c r="A8573">
        <v>0</v>
      </c>
      <c r="B8573">
        <v>0</v>
      </c>
      <c r="C8573">
        <v>0</v>
      </c>
      <c r="D8573">
        <v>0</v>
      </c>
      <c r="E8573">
        <v>0</v>
      </c>
    </row>
    <row r="8574" spans="1:5" x14ac:dyDescent="0.35">
      <c r="A8574">
        <v>0</v>
      </c>
      <c r="B8574">
        <v>0</v>
      </c>
      <c r="C8574">
        <v>0</v>
      </c>
      <c r="D8574">
        <v>0</v>
      </c>
      <c r="E8574">
        <v>0</v>
      </c>
    </row>
    <row r="8575" spans="1:5" x14ac:dyDescent="0.35">
      <c r="A8575">
        <v>0</v>
      </c>
      <c r="B8575">
        <v>0</v>
      </c>
      <c r="C8575">
        <v>0</v>
      </c>
      <c r="D8575">
        <v>0</v>
      </c>
      <c r="E8575">
        <v>0</v>
      </c>
    </row>
    <row r="8576" spans="1:5" x14ac:dyDescent="0.35">
      <c r="A8576">
        <v>0</v>
      </c>
      <c r="B8576">
        <v>0</v>
      </c>
      <c r="C8576">
        <v>0</v>
      </c>
      <c r="D8576">
        <v>0</v>
      </c>
      <c r="E8576">
        <v>0</v>
      </c>
    </row>
    <row r="8577" spans="1:5" x14ac:dyDescent="0.35">
      <c r="A8577">
        <v>0</v>
      </c>
      <c r="B8577">
        <v>0</v>
      </c>
      <c r="C8577">
        <v>0</v>
      </c>
      <c r="D8577">
        <v>0</v>
      </c>
      <c r="E8577">
        <v>0</v>
      </c>
    </row>
    <row r="8578" spans="1:5" x14ac:dyDescent="0.35">
      <c r="A8578">
        <v>0</v>
      </c>
      <c r="B8578">
        <v>0</v>
      </c>
      <c r="C8578">
        <v>0</v>
      </c>
      <c r="D8578">
        <v>0</v>
      </c>
      <c r="E8578">
        <v>0</v>
      </c>
    </row>
    <row r="8579" spans="1:5" x14ac:dyDescent="0.35">
      <c r="A8579">
        <v>0</v>
      </c>
      <c r="B8579">
        <v>0</v>
      </c>
      <c r="C8579">
        <v>0</v>
      </c>
      <c r="D8579">
        <v>0</v>
      </c>
      <c r="E8579">
        <v>0</v>
      </c>
    </row>
    <row r="8580" spans="1:5" x14ac:dyDescent="0.35">
      <c r="A8580">
        <v>0</v>
      </c>
      <c r="B8580">
        <v>0</v>
      </c>
      <c r="C8580">
        <v>0</v>
      </c>
      <c r="D8580">
        <v>0</v>
      </c>
      <c r="E8580">
        <v>0</v>
      </c>
    </row>
    <row r="8581" spans="1:5" x14ac:dyDescent="0.35">
      <c r="A8581">
        <v>0</v>
      </c>
      <c r="B8581">
        <v>0</v>
      </c>
      <c r="C8581">
        <v>0</v>
      </c>
      <c r="D8581">
        <v>0</v>
      </c>
      <c r="E8581">
        <v>0</v>
      </c>
    </row>
    <row r="8582" spans="1:5" x14ac:dyDescent="0.35">
      <c r="A8582">
        <v>0</v>
      </c>
      <c r="B8582">
        <v>0</v>
      </c>
      <c r="C8582">
        <v>0</v>
      </c>
      <c r="D8582">
        <v>0</v>
      </c>
      <c r="E8582">
        <v>0</v>
      </c>
    </row>
    <row r="8583" spans="1:5" x14ac:dyDescent="0.35">
      <c r="A8583">
        <v>0</v>
      </c>
      <c r="B8583">
        <v>0</v>
      </c>
      <c r="C8583">
        <v>0</v>
      </c>
      <c r="D8583">
        <v>0</v>
      </c>
      <c r="E8583">
        <v>0</v>
      </c>
    </row>
    <row r="8584" spans="1:5" x14ac:dyDescent="0.35">
      <c r="A8584">
        <v>0</v>
      </c>
      <c r="B8584">
        <v>0</v>
      </c>
      <c r="C8584">
        <v>0</v>
      </c>
      <c r="D8584">
        <v>0</v>
      </c>
      <c r="E8584">
        <v>0</v>
      </c>
    </row>
    <row r="8585" spans="1:5" x14ac:dyDescent="0.35">
      <c r="A8585">
        <v>0</v>
      </c>
      <c r="B8585">
        <v>0</v>
      </c>
      <c r="C8585">
        <v>0</v>
      </c>
      <c r="D8585">
        <v>0</v>
      </c>
      <c r="E8585">
        <v>0</v>
      </c>
    </row>
    <row r="8586" spans="1:5" x14ac:dyDescent="0.35">
      <c r="A8586">
        <v>0</v>
      </c>
      <c r="B8586">
        <v>0</v>
      </c>
      <c r="C8586">
        <v>0</v>
      </c>
      <c r="D8586">
        <v>0</v>
      </c>
      <c r="E8586">
        <v>0</v>
      </c>
    </row>
    <row r="8587" spans="1:5" x14ac:dyDescent="0.35">
      <c r="A8587">
        <v>0</v>
      </c>
      <c r="B8587">
        <v>0</v>
      </c>
      <c r="C8587">
        <v>0</v>
      </c>
      <c r="D8587">
        <v>0</v>
      </c>
      <c r="E8587">
        <v>0</v>
      </c>
    </row>
    <row r="8588" spans="1:5" x14ac:dyDescent="0.35">
      <c r="A8588">
        <v>0</v>
      </c>
      <c r="B8588">
        <v>0</v>
      </c>
      <c r="C8588">
        <v>0</v>
      </c>
      <c r="D8588">
        <v>0</v>
      </c>
      <c r="E8588">
        <v>0</v>
      </c>
    </row>
    <row r="8589" spans="1:5" x14ac:dyDescent="0.35">
      <c r="A8589">
        <v>0</v>
      </c>
      <c r="B8589">
        <v>0</v>
      </c>
      <c r="C8589">
        <v>0</v>
      </c>
      <c r="D8589">
        <v>0</v>
      </c>
      <c r="E8589">
        <v>0</v>
      </c>
    </row>
    <row r="8590" spans="1:5" x14ac:dyDescent="0.35">
      <c r="A8590">
        <v>0</v>
      </c>
      <c r="B8590">
        <v>0</v>
      </c>
      <c r="C8590">
        <v>0</v>
      </c>
      <c r="D8590">
        <v>0</v>
      </c>
      <c r="E8590">
        <v>0</v>
      </c>
    </row>
    <row r="8591" spans="1:5" x14ac:dyDescent="0.35">
      <c r="A8591">
        <v>0</v>
      </c>
      <c r="B8591">
        <v>0</v>
      </c>
      <c r="C8591">
        <v>0</v>
      </c>
      <c r="D8591">
        <v>0</v>
      </c>
      <c r="E8591">
        <v>0</v>
      </c>
    </row>
    <row r="8592" spans="1:5" x14ac:dyDescent="0.35">
      <c r="A8592">
        <v>0</v>
      </c>
      <c r="B8592">
        <v>0</v>
      </c>
      <c r="C8592">
        <v>0</v>
      </c>
      <c r="D8592">
        <v>0</v>
      </c>
      <c r="E8592">
        <v>0</v>
      </c>
    </row>
    <row r="8593" spans="1:5" x14ac:dyDescent="0.35">
      <c r="A8593">
        <v>0</v>
      </c>
      <c r="B8593">
        <v>0</v>
      </c>
      <c r="C8593">
        <v>0</v>
      </c>
      <c r="D8593">
        <v>0</v>
      </c>
      <c r="E8593">
        <v>0</v>
      </c>
    </row>
    <row r="8594" spans="1:5" x14ac:dyDescent="0.35">
      <c r="A8594">
        <v>0</v>
      </c>
      <c r="B8594">
        <v>0</v>
      </c>
      <c r="C8594">
        <v>0</v>
      </c>
      <c r="D8594">
        <v>0</v>
      </c>
      <c r="E8594">
        <v>0</v>
      </c>
    </row>
    <row r="8595" spans="1:5" x14ac:dyDescent="0.35">
      <c r="A8595">
        <v>0</v>
      </c>
      <c r="B8595">
        <v>0</v>
      </c>
      <c r="C8595">
        <v>0</v>
      </c>
      <c r="D8595">
        <v>0</v>
      </c>
      <c r="E8595">
        <v>0</v>
      </c>
    </row>
    <row r="8596" spans="1:5" x14ac:dyDescent="0.35">
      <c r="A8596">
        <v>0</v>
      </c>
      <c r="B8596">
        <v>0</v>
      </c>
      <c r="C8596">
        <v>0</v>
      </c>
      <c r="D8596">
        <v>0</v>
      </c>
      <c r="E8596">
        <v>0</v>
      </c>
    </row>
    <row r="8597" spans="1:5" x14ac:dyDescent="0.35">
      <c r="A8597">
        <v>0</v>
      </c>
      <c r="B8597">
        <v>0</v>
      </c>
      <c r="C8597">
        <v>0</v>
      </c>
      <c r="D8597">
        <v>0</v>
      </c>
      <c r="E8597">
        <v>0</v>
      </c>
    </row>
    <row r="8598" spans="1:5" x14ac:dyDescent="0.35">
      <c r="A8598">
        <v>0</v>
      </c>
      <c r="B8598">
        <v>0</v>
      </c>
      <c r="C8598">
        <v>0</v>
      </c>
      <c r="D8598">
        <v>0</v>
      </c>
      <c r="E8598">
        <v>0</v>
      </c>
    </row>
    <row r="8599" spans="1:5" x14ac:dyDescent="0.35">
      <c r="A8599">
        <v>0</v>
      </c>
      <c r="B8599">
        <v>0</v>
      </c>
      <c r="C8599">
        <v>0</v>
      </c>
      <c r="D8599">
        <v>0</v>
      </c>
      <c r="E8599">
        <v>0</v>
      </c>
    </row>
    <row r="8600" spans="1:5" x14ac:dyDescent="0.35">
      <c r="A8600">
        <v>0</v>
      </c>
      <c r="B8600">
        <v>0</v>
      </c>
      <c r="C8600">
        <v>0</v>
      </c>
      <c r="D8600">
        <v>0</v>
      </c>
      <c r="E8600">
        <v>0</v>
      </c>
    </row>
    <row r="8601" spans="1:5" x14ac:dyDescent="0.35">
      <c r="A8601">
        <v>0</v>
      </c>
      <c r="B8601">
        <v>0</v>
      </c>
      <c r="C8601">
        <v>0</v>
      </c>
      <c r="D8601">
        <v>0</v>
      </c>
      <c r="E8601">
        <v>0</v>
      </c>
    </row>
    <row r="8602" spans="1:5" x14ac:dyDescent="0.35">
      <c r="A8602">
        <v>0</v>
      </c>
      <c r="B8602">
        <v>0</v>
      </c>
      <c r="C8602">
        <v>0</v>
      </c>
      <c r="D8602">
        <v>0</v>
      </c>
      <c r="E8602">
        <v>0</v>
      </c>
    </row>
    <row r="8603" spans="1:5" x14ac:dyDescent="0.35">
      <c r="A8603">
        <v>0</v>
      </c>
      <c r="B8603">
        <v>0</v>
      </c>
      <c r="C8603">
        <v>0</v>
      </c>
      <c r="D8603">
        <v>0</v>
      </c>
      <c r="E8603">
        <v>0</v>
      </c>
    </row>
    <row r="8604" spans="1:5" x14ac:dyDescent="0.35">
      <c r="A8604">
        <v>0</v>
      </c>
      <c r="B8604">
        <v>0</v>
      </c>
      <c r="C8604">
        <v>0</v>
      </c>
      <c r="D8604">
        <v>0</v>
      </c>
      <c r="E8604">
        <v>0</v>
      </c>
    </row>
    <row r="8605" spans="1:5" x14ac:dyDescent="0.35">
      <c r="A8605">
        <v>0</v>
      </c>
      <c r="B8605">
        <v>0</v>
      </c>
      <c r="C8605">
        <v>0</v>
      </c>
      <c r="D8605">
        <v>0</v>
      </c>
      <c r="E8605">
        <v>0</v>
      </c>
    </row>
    <row r="8606" spans="1:5" x14ac:dyDescent="0.35">
      <c r="A8606">
        <v>0</v>
      </c>
      <c r="B8606">
        <v>0</v>
      </c>
      <c r="C8606">
        <v>0</v>
      </c>
      <c r="D8606">
        <v>0</v>
      </c>
      <c r="E8606">
        <v>0</v>
      </c>
    </row>
    <row r="8607" spans="1:5" x14ac:dyDescent="0.35">
      <c r="A8607">
        <v>0</v>
      </c>
      <c r="B8607">
        <v>0</v>
      </c>
      <c r="C8607">
        <v>0</v>
      </c>
      <c r="D8607">
        <v>0</v>
      </c>
      <c r="E8607">
        <v>0</v>
      </c>
    </row>
    <row r="8608" spans="1:5" x14ac:dyDescent="0.35">
      <c r="A8608">
        <v>0</v>
      </c>
      <c r="B8608">
        <v>0</v>
      </c>
      <c r="C8608">
        <v>0</v>
      </c>
      <c r="D8608">
        <v>0</v>
      </c>
      <c r="E8608">
        <v>0</v>
      </c>
    </row>
    <row r="8609" spans="1:5" x14ac:dyDescent="0.35">
      <c r="A8609">
        <v>0</v>
      </c>
      <c r="B8609">
        <v>0</v>
      </c>
      <c r="C8609">
        <v>0</v>
      </c>
      <c r="D8609">
        <v>0</v>
      </c>
      <c r="E8609">
        <v>0</v>
      </c>
    </row>
    <row r="8610" spans="1:5" x14ac:dyDescent="0.35">
      <c r="A8610">
        <v>0</v>
      </c>
      <c r="B8610">
        <v>0</v>
      </c>
      <c r="C8610">
        <v>0</v>
      </c>
      <c r="D8610">
        <v>0</v>
      </c>
      <c r="E8610">
        <v>0</v>
      </c>
    </row>
    <row r="8611" spans="1:5" x14ac:dyDescent="0.35">
      <c r="A8611">
        <v>0</v>
      </c>
      <c r="B8611">
        <v>0</v>
      </c>
      <c r="C8611">
        <v>0</v>
      </c>
      <c r="D8611">
        <v>0</v>
      </c>
      <c r="E8611">
        <v>0</v>
      </c>
    </row>
    <row r="8612" spans="1:5" x14ac:dyDescent="0.35">
      <c r="A8612">
        <v>0</v>
      </c>
      <c r="B8612">
        <v>0</v>
      </c>
      <c r="C8612">
        <v>0</v>
      </c>
      <c r="D8612">
        <v>0</v>
      </c>
      <c r="E8612">
        <v>0</v>
      </c>
    </row>
    <row r="8613" spans="1:5" x14ac:dyDescent="0.35">
      <c r="A8613">
        <v>0</v>
      </c>
      <c r="B8613">
        <v>0</v>
      </c>
      <c r="C8613">
        <v>0</v>
      </c>
      <c r="D8613">
        <v>0</v>
      </c>
      <c r="E8613">
        <v>0</v>
      </c>
    </row>
    <row r="8614" spans="1:5" x14ac:dyDescent="0.35">
      <c r="A8614">
        <v>0</v>
      </c>
      <c r="B8614">
        <v>0</v>
      </c>
      <c r="C8614">
        <v>0</v>
      </c>
      <c r="D8614">
        <v>0</v>
      </c>
      <c r="E8614">
        <v>0</v>
      </c>
    </row>
    <row r="8615" spans="1:5" x14ac:dyDescent="0.35">
      <c r="A8615">
        <v>0</v>
      </c>
      <c r="B8615">
        <v>0</v>
      </c>
      <c r="C8615">
        <v>0</v>
      </c>
      <c r="D8615">
        <v>0</v>
      </c>
      <c r="E8615">
        <v>0</v>
      </c>
    </row>
    <row r="8616" spans="1:5" x14ac:dyDescent="0.35">
      <c r="A8616">
        <v>0</v>
      </c>
      <c r="B8616">
        <v>0</v>
      </c>
      <c r="C8616">
        <v>0</v>
      </c>
      <c r="D8616">
        <v>0</v>
      </c>
      <c r="E8616">
        <v>0</v>
      </c>
    </row>
    <row r="8617" spans="1:5" x14ac:dyDescent="0.35">
      <c r="A8617">
        <v>0</v>
      </c>
      <c r="B8617">
        <v>0</v>
      </c>
      <c r="C8617">
        <v>0</v>
      </c>
      <c r="D8617">
        <v>0</v>
      </c>
      <c r="E8617">
        <v>0</v>
      </c>
    </row>
    <row r="8618" spans="1:5" x14ac:dyDescent="0.35">
      <c r="A8618">
        <v>0</v>
      </c>
      <c r="B8618">
        <v>0</v>
      </c>
      <c r="C8618">
        <v>0</v>
      </c>
      <c r="D8618">
        <v>0</v>
      </c>
      <c r="E8618">
        <v>0</v>
      </c>
    </row>
    <row r="8619" spans="1:5" x14ac:dyDescent="0.35">
      <c r="A8619">
        <v>0</v>
      </c>
      <c r="B8619">
        <v>0</v>
      </c>
      <c r="C8619">
        <v>0</v>
      </c>
      <c r="D8619">
        <v>0</v>
      </c>
      <c r="E8619">
        <v>0</v>
      </c>
    </row>
    <row r="8620" spans="1:5" x14ac:dyDescent="0.35">
      <c r="A8620">
        <v>0</v>
      </c>
      <c r="B8620">
        <v>0</v>
      </c>
      <c r="C8620">
        <v>0</v>
      </c>
      <c r="D8620">
        <v>0</v>
      </c>
      <c r="E8620">
        <v>0</v>
      </c>
    </row>
    <row r="8621" spans="1:5" x14ac:dyDescent="0.35">
      <c r="A8621">
        <v>0</v>
      </c>
      <c r="B8621">
        <v>0</v>
      </c>
      <c r="C8621">
        <v>0</v>
      </c>
      <c r="D8621">
        <v>0</v>
      </c>
      <c r="E8621">
        <v>0</v>
      </c>
    </row>
    <row r="8622" spans="1:5" x14ac:dyDescent="0.35">
      <c r="A8622">
        <v>0</v>
      </c>
      <c r="B8622">
        <v>0</v>
      </c>
      <c r="C8622">
        <v>0</v>
      </c>
      <c r="D8622">
        <v>0</v>
      </c>
      <c r="E8622">
        <v>0</v>
      </c>
    </row>
    <row r="8623" spans="1:5" x14ac:dyDescent="0.35">
      <c r="A8623">
        <v>0</v>
      </c>
      <c r="B8623">
        <v>0</v>
      </c>
      <c r="C8623">
        <v>0</v>
      </c>
      <c r="D8623">
        <v>0</v>
      </c>
      <c r="E8623">
        <v>0</v>
      </c>
    </row>
    <row r="8624" spans="1:5" x14ac:dyDescent="0.35">
      <c r="A8624">
        <v>0</v>
      </c>
      <c r="B8624">
        <v>0</v>
      </c>
      <c r="C8624">
        <v>0</v>
      </c>
      <c r="D8624">
        <v>0</v>
      </c>
      <c r="E8624">
        <v>0</v>
      </c>
    </row>
    <row r="8625" spans="1:5" x14ac:dyDescent="0.35">
      <c r="A8625">
        <v>0</v>
      </c>
      <c r="B8625">
        <v>0</v>
      </c>
      <c r="C8625">
        <v>0</v>
      </c>
      <c r="D8625">
        <v>0</v>
      </c>
      <c r="E8625">
        <v>0</v>
      </c>
    </row>
    <row r="8626" spans="1:5" x14ac:dyDescent="0.35">
      <c r="A8626">
        <v>0</v>
      </c>
      <c r="B8626">
        <v>0</v>
      </c>
      <c r="C8626">
        <v>0</v>
      </c>
      <c r="D8626">
        <v>0</v>
      </c>
      <c r="E8626">
        <v>0</v>
      </c>
    </row>
    <row r="8627" spans="1:5" x14ac:dyDescent="0.35">
      <c r="A8627">
        <v>0</v>
      </c>
      <c r="B8627">
        <v>0</v>
      </c>
      <c r="C8627">
        <v>0</v>
      </c>
      <c r="D8627">
        <v>0</v>
      </c>
      <c r="E8627">
        <v>0</v>
      </c>
    </row>
    <row r="8628" spans="1:5" x14ac:dyDescent="0.35">
      <c r="A8628">
        <v>0</v>
      </c>
      <c r="B8628">
        <v>0</v>
      </c>
      <c r="C8628">
        <v>0</v>
      </c>
      <c r="D8628">
        <v>0</v>
      </c>
      <c r="E8628">
        <v>0</v>
      </c>
    </row>
    <row r="8629" spans="1:5" x14ac:dyDescent="0.35">
      <c r="A8629">
        <v>0</v>
      </c>
      <c r="B8629">
        <v>0</v>
      </c>
      <c r="C8629">
        <v>0</v>
      </c>
      <c r="D8629">
        <v>0</v>
      </c>
      <c r="E8629">
        <v>0</v>
      </c>
    </row>
    <row r="8630" spans="1:5" x14ac:dyDescent="0.35">
      <c r="A8630">
        <v>0</v>
      </c>
      <c r="B8630">
        <v>0</v>
      </c>
      <c r="C8630">
        <v>0</v>
      </c>
      <c r="D8630">
        <v>0</v>
      </c>
      <c r="E8630">
        <v>0</v>
      </c>
    </row>
    <row r="8631" spans="1:5" x14ac:dyDescent="0.35">
      <c r="A8631">
        <v>0</v>
      </c>
      <c r="B8631">
        <v>0</v>
      </c>
      <c r="C8631">
        <v>0</v>
      </c>
      <c r="D8631">
        <v>0</v>
      </c>
      <c r="E8631">
        <v>0</v>
      </c>
    </row>
    <row r="8632" spans="1:5" x14ac:dyDescent="0.35">
      <c r="A8632">
        <v>0</v>
      </c>
      <c r="B8632">
        <v>0</v>
      </c>
      <c r="C8632">
        <v>0</v>
      </c>
      <c r="D8632">
        <v>0</v>
      </c>
      <c r="E8632">
        <v>0</v>
      </c>
    </row>
    <row r="8633" spans="1:5" x14ac:dyDescent="0.35">
      <c r="A8633">
        <v>0</v>
      </c>
      <c r="B8633">
        <v>0</v>
      </c>
      <c r="C8633">
        <v>0</v>
      </c>
      <c r="D8633">
        <v>0</v>
      </c>
      <c r="E8633">
        <v>0</v>
      </c>
    </row>
    <row r="8634" spans="1:5" x14ac:dyDescent="0.35">
      <c r="A8634">
        <v>0</v>
      </c>
      <c r="B8634">
        <v>0</v>
      </c>
      <c r="C8634">
        <v>0</v>
      </c>
      <c r="D8634">
        <v>0</v>
      </c>
      <c r="E8634">
        <v>0</v>
      </c>
    </row>
    <row r="8635" spans="1:5" x14ac:dyDescent="0.35">
      <c r="A8635">
        <v>0</v>
      </c>
      <c r="B8635">
        <v>0</v>
      </c>
      <c r="C8635">
        <v>0</v>
      </c>
      <c r="D8635">
        <v>0</v>
      </c>
      <c r="E8635">
        <v>0</v>
      </c>
    </row>
    <row r="8636" spans="1:5" x14ac:dyDescent="0.35">
      <c r="A8636">
        <v>0</v>
      </c>
      <c r="B8636">
        <v>0</v>
      </c>
      <c r="C8636">
        <v>0</v>
      </c>
      <c r="D8636">
        <v>0</v>
      </c>
      <c r="E8636">
        <v>0</v>
      </c>
    </row>
    <row r="8637" spans="1:5" x14ac:dyDescent="0.35">
      <c r="A8637">
        <v>0</v>
      </c>
      <c r="B8637">
        <v>0</v>
      </c>
      <c r="C8637">
        <v>0</v>
      </c>
      <c r="D8637">
        <v>0</v>
      </c>
      <c r="E8637">
        <v>0</v>
      </c>
    </row>
    <row r="8638" spans="1:5" x14ac:dyDescent="0.35">
      <c r="A8638">
        <v>0</v>
      </c>
      <c r="B8638">
        <v>0</v>
      </c>
      <c r="C8638">
        <v>0</v>
      </c>
      <c r="D8638">
        <v>0</v>
      </c>
      <c r="E8638">
        <v>0</v>
      </c>
    </row>
    <row r="8639" spans="1:5" x14ac:dyDescent="0.35">
      <c r="A8639">
        <v>0</v>
      </c>
      <c r="B8639">
        <v>0</v>
      </c>
      <c r="C8639">
        <v>0</v>
      </c>
      <c r="D8639">
        <v>0</v>
      </c>
      <c r="E8639">
        <v>0</v>
      </c>
    </row>
    <row r="8640" spans="1:5" x14ac:dyDescent="0.35">
      <c r="A8640">
        <v>0</v>
      </c>
      <c r="B8640">
        <v>0</v>
      </c>
      <c r="C8640">
        <v>0</v>
      </c>
      <c r="D8640">
        <v>0</v>
      </c>
      <c r="E8640">
        <v>0</v>
      </c>
    </row>
    <row r="8641" spans="1:5" x14ac:dyDescent="0.35">
      <c r="A8641">
        <v>0</v>
      </c>
      <c r="B8641">
        <v>0</v>
      </c>
      <c r="C8641">
        <v>0</v>
      </c>
      <c r="D8641">
        <v>0</v>
      </c>
      <c r="E8641">
        <v>0</v>
      </c>
    </row>
    <row r="8642" spans="1:5" x14ac:dyDescent="0.35">
      <c r="A8642">
        <v>0</v>
      </c>
      <c r="B8642">
        <v>0</v>
      </c>
      <c r="C8642">
        <v>0</v>
      </c>
      <c r="D8642">
        <v>0</v>
      </c>
      <c r="E8642">
        <v>0</v>
      </c>
    </row>
    <row r="8643" spans="1:5" x14ac:dyDescent="0.35">
      <c r="A8643">
        <v>0</v>
      </c>
      <c r="B8643">
        <v>0</v>
      </c>
      <c r="C8643">
        <v>0</v>
      </c>
      <c r="D8643">
        <v>0</v>
      </c>
      <c r="E8643">
        <v>0</v>
      </c>
    </row>
    <row r="8644" spans="1:5" x14ac:dyDescent="0.35">
      <c r="A8644">
        <v>0</v>
      </c>
      <c r="B8644">
        <v>0</v>
      </c>
      <c r="C8644">
        <v>0</v>
      </c>
      <c r="D8644">
        <v>0</v>
      </c>
      <c r="E8644">
        <v>0</v>
      </c>
    </row>
    <row r="8645" spans="1:5" x14ac:dyDescent="0.35">
      <c r="A8645">
        <v>0</v>
      </c>
      <c r="B8645">
        <v>0</v>
      </c>
      <c r="C8645">
        <v>0</v>
      </c>
      <c r="D8645">
        <v>0</v>
      </c>
      <c r="E8645">
        <v>0</v>
      </c>
    </row>
    <row r="8646" spans="1:5" x14ac:dyDescent="0.35">
      <c r="A8646">
        <v>0</v>
      </c>
      <c r="B8646">
        <v>0</v>
      </c>
      <c r="C8646">
        <v>0</v>
      </c>
      <c r="D8646">
        <v>0</v>
      </c>
      <c r="E8646">
        <v>0</v>
      </c>
    </row>
    <row r="8647" spans="1:5" x14ac:dyDescent="0.35">
      <c r="A8647">
        <v>0</v>
      </c>
      <c r="B8647">
        <v>0</v>
      </c>
      <c r="C8647">
        <v>0</v>
      </c>
      <c r="D8647">
        <v>0</v>
      </c>
      <c r="E8647">
        <v>0</v>
      </c>
    </row>
    <row r="8648" spans="1:5" x14ac:dyDescent="0.35">
      <c r="A8648">
        <v>0</v>
      </c>
      <c r="B8648">
        <v>0</v>
      </c>
      <c r="C8648">
        <v>0</v>
      </c>
      <c r="D8648">
        <v>0</v>
      </c>
      <c r="E8648">
        <v>0</v>
      </c>
    </row>
    <row r="8649" spans="1:5" x14ac:dyDescent="0.35">
      <c r="A8649">
        <v>0</v>
      </c>
      <c r="B8649">
        <v>0</v>
      </c>
      <c r="C8649">
        <v>0</v>
      </c>
      <c r="D8649">
        <v>0</v>
      </c>
      <c r="E8649">
        <v>0</v>
      </c>
    </row>
    <row r="8650" spans="1:5" x14ac:dyDescent="0.35">
      <c r="A8650">
        <v>0</v>
      </c>
      <c r="B8650">
        <v>0</v>
      </c>
      <c r="C8650">
        <v>0</v>
      </c>
      <c r="D8650">
        <v>0</v>
      </c>
      <c r="E8650">
        <v>0</v>
      </c>
    </row>
    <row r="8651" spans="1:5" x14ac:dyDescent="0.35">
      <c r="A8651">
        <v>0</v>
      </c>
      <c r="B8651">
        <v>0</v>
      </c>
      <c r="C8651">
        <v>0</v>
      </c>
      <c r="D8651">
        <v>0</v>
      </c>
      <c r="E8651">
        <v>0</v>
      </c>
    </row>
    <row r="8652" spans="1:5" x14ac:dyDescent="0.35">
      <c r="A8652">
        <v>0</v>
      </c>
      <c r="B8652">
        <v>0</v>
      </c>
      <c r="C8652">
        <v>0</v>
      </c>
      <c r="D8652">
        <v>0</v>
      </c>
      <c r="E8652">
        <v>0</v>
      </c>
    </row>
    <row r="8653" spans="1:5" x14ac:dyDescent="0.35">
      <c r="A8653">
        <v>0</v>
      </c>
      <c r="B8653">
        <v>0</v>
      </c>
      <c r="C8653">
        <v>0</v>
      </c>
      <c r="D8653">
        <v>0</v>
      </c>
      <c r="E8653">
        <v>0</v>
      </c>
    </row>
    <row r="8654" spans="1:5" x14ac:dyDescent="0.35">
      <c r="A8654">
        <v>0</v>
      </c>
      <c r="B8654">
        <v>0</v>
      </c>
      <c r="C8654">
        <v>0</v>
      </c>
      <c r="D8654">
        <v>0</v>
      </c>
      <c r="E8654">
        <v>0</v>
      </c>
    </row>
    <row r="8655" spans="1:5" x14ac:dyDescent="0.35">
      <c r="A8655">
        <v>0</v>
      </c>
      <c r="B8655">
        <v>0</v>
      </c>
      <c r="C8655">
        <v>0</v>
      </c>
      <c r="D8655">
        <v>0</v>
      </c>
      <c r="E8655">
        <v>0</v>
      </c>
    </row>
    <row r="8656" spans="1:5" x14ac:dyDescent="0.35">
      <c r="A8656">
        <v>0</v>
      </c>
      <c r="B8656">
        <v>0</v>
      </c>
      <c r="C8656">
        <v>0</v>
      </c>
      <c r="D8656">
        <v>0</v>
      </c>
      <c r="E8656">
        <v>0</v>
      </c>
    </row>
    <row r="8657" spans="1:5" x14ac:dyDescent="0.35">
      <c r="A8657">
        <v>0</v>
      </c>
      <c r="B8657">
        <v>0</v>
      </c>
      <c r="C8657">
        <v>0</v>
      </c>
      <c r="D8657">
        <v>0</v>
      </c>
      <c r="E8657">
        <v>0</v>
      </c>
    </row>
    <row r="8658" spans="1:5" x14ac:dyDescent="0.35">
      <c r="A8658">
        <v>0</v>
      </c>
      <c r="B8658">
        <v>0</v>
      </c>
      <c r="C8658">
        <v>0</v>
      </c>
      <c r="D8658">
        <v>0</v>
      </c>
      <c r="E8658">
        <v>0</v>
      </c>
    </row>
    <row r="8659" spans="1:5" x14ac:dyDescent="0.35">
      <c r="A8659">
        <v>0</v>
      </c>
      <c r="B8659">
        <v>0</v>
      </c>
      <c r="C8659">
        <v>0</v>
      </c>
      <c r="D8659">
        <v>0</v>
      </c>
      <c r="E8659">
        <v>0</v>
      </c>
    </row>
    <row r="8660" spans="1:5" x14ac:dyDescent="0.35">
      <c r="A8660">
        <v>0</v>
      </c>
      <c r="B8660">
        <v>0</v>
      </c>
      <c r="C8660">
        <v>0</v>
      </c>
      <c r="D8660">
        <v>0</v>
      </c>
      <c r="E8660">
        <v>0</v>
      </c>
    </row>
    <row r="8661" spans="1:5" x14ac:dyDescent="0.35">
      <c r="A8661">
        <v>0</v>
      </c>
      <c r="B8661">
        <v>0</v>
      </c>
      <c r="C8661">
        <v>0</v>
      </c>
      <c r="D8661">
        <v>0</v>
      </c>
      <c r="E8661">
        <v>0</v>
      </c>
    </row>
    <row r="8662" spans="1:5" x14ac:dyDescent="0.35">
      <c r="A8662">
        <v>0</v>
      </c>
      <c r="B8662">
        <v>0</v>
      </c>
      <c r="C8662">
        <v>0</v>
      </c>
      <c r="D8662">
        <v>0</v>
      </c>
      <c r="E8662">
        <v>0</v>
      </c>
    </row>
    <row r="8663" spans="1:5" x14ac:dyDescent="0.35">
      <c r="A8663">
        <v>0</v>
      </c>
      <c r="B8663">
        <v>0</v>
      </c>
      <c r="C8663">
        <v>0</v>
      </c>
      <c r="D8663">
        <v>0</v>
      </c>
      <c r="E8663">
        <v>0</v>
      </c>
    </row>
    <row r="8664" spans="1:5" x14ac:dyDescent="0.35">
      <c r="A8664">
        <v>0</v>
      </c>
      <c r="B8664">
        <v>0</v>
      </c>
      <c r="C8664">
        <v>0</v>
      </c>
      <c r="D8664">
        <v>0</v>
      </c>
      <c r="E8664">
        <v>0</v>
      </c>
    </row>
    <row r="8665" spans="1:5" x14ac:dyDescent="0.35">
      <c r="A8665">
        <v>0</v>
      </c>
      <c r="B8665">
        <v>0</v>
      </c>
      <c r="C8665">
        <v>0</v>
      </c>
      <c r="D8665">
        <v>0</v>
      </c>
      <c r="E8665">
        <v>0</v>
      </c>
    </row>
    <row r="8666" spans="1:5" x14ac:dyDescent="0.35">
      <c r="A8666">
        <v>0</v>
      </c>
      <c r="B8666">
        <v>0</v>
      </c>
      <c r="C8666">
        <v>0</v>
      </c>
      <c r="D8666">
        <v>0</v>
      </c>
      <c r="E8666">
        <v>0</v>
      </c>
    </row>
    <row r="8667" spans="1:5" x14ac:dyDescent="0.35">
      <c r="A8667">
        <v>0</v>
      </c>
      <c r="B8667">
        <v>0</v>
      </c>
      <c r="C8667">
        <v>0</v>
      </c>
      <c r="D8667">
        <v>0</v>
      </c>
      <c r="E8667">
        <v>0</v>
      </c>
    </row>
    <row r="8668" spans="1:5" x14ac:dyDescent="0.35">
      <c r="A8668">
        <v>0</v>
      </c>
      <c r="B8668">
        <v>0</v>
      </c>
      <c r="C8668">
        <v>0</v>
      </c>
      <c r="D8668">
        <v>0</v>
      </c>
      <c r="E8668">
        <v>0</v>
      </c>
    </row>
    <row r="8669" spans="1:5" x14ac:dyDescent="0.35">
      <c r="A8669">
        <v>0</v>
      </c>
      <c r="B8669">
        <v>0</v>
      </c>
      <c r="C8669">
        <v>0</v>
      </c>
      <c r="D8669">
        <v>0</v>
      </c>
      <c r="E8669">
        <v>0</v>
      </c>
    </row>
    <row r="8670" spans="1:5" x14ac:dyDescent="0.35">
      <c r="A8670">
        <v>0</v>
      </c>
      <c r="B8670">
        <v>0</v>
      </c>
      <c r="C8670">
        <v>0</v>
      </c>
      <c r="D8670">
        <v>0</v>
      </c>
      <c r="E8670">
        <v>0</v>
      </c>
    </row>
    <row r="8671" spans="1:5" x14ac:dyDescent="0.35">
      <c r="A8671">
        <v>0</v>
      </c>
      <c r="B8671">
        <v>0</v>
      </c>
      <c r="C8671">
        <v>0</v>
      </c>
      <c r="D8671">
        <v>0</v>
      </c>
      <c r="E8671">
        <v>0</v>
      </c>
    </row>
    <row r="8672" spans="1:5" x14ac:dyDescent="0.35">
      <c r="A8672">
        <v>0</v>
      </c>
      <c r="B8672">
        <v>0</v>
      </c>
      <c r="C8672">
        <v>0</v>
      </c>
      <c r="D8672">
        <v>0</v>
      </c>
      <c r="E8672">
        <v>0</v>
      </c>
    </row>
    <row r="8673" spans="1:5" x14ac:dyDescent="0.35">
      <c r="A8673">
        <v>0</v>
      </c>
      <c r="B8673">
        <v>0</v>
      </c>
      <c r="C8673">
        <v>0</v>
      </c>
      <c r="D8673">
        <v>0</v>
      </c>
      <c r="E8673">
        <v>0</v>
      </c>
    </row>
    <row r="8674" spans="1:5" x14ac:dyDescent="0.35">
      <c r="A8674">
        <v>0</v>
      </c>
      <c r="B8674">
        <v>0</v>
      </c>
      <c r="C8674">
        <v>0</v>
      </c>
      <c r="D8674">
        <v>0</v>
      </c>
      <c r="E8674">
        <v>0</v>
      </c>
    </row>
    <row r="8675" spans="1:5" x14ac:dyDescent="0.35">
      <c r="A8675">
        <v>0</v>
      </c>
      <c r="B8675">
        <v>0</v>
      </c>
      <c r="C8675">
        <v>0</v>
      </c>
      <c r="D8675">
        <v>0</v>
      </c>
      <c r="E8675">
        <v>0</v>
      </c>
    </row>
    <row r="8676" spans="1:5" x14ac:dyDescent="0.35">
      <c r="A8676">
        <v>0</v>
      </c>
      <c r="B8676">
        <v>0</v>
      </c>
      <c r="C8676">
        <v>0</v>
      </c>
      <c r="D8676">
        <v>0</v>
      </c>
      <c r="E8676">
        <v>0</v>
      </c>
    </row>
    <row r="8677" spans="1:5" x14ac:dyDescent="0.35">
      <c r="A8677">
        <v>0</v>
      </c>
      <c r="B8677">
        <v>0</v>
      </c>
      <c r="C8677">
        <v>0</v>
      </c>
      <c r="D8677">
        <v>0</v>
      </c>
      <c r="E8677">
        <v>0</v>
      </c>
    </row>
    <row r="8678" spans="1:5" x14ac:dyDescent="0.35">
      <c r="A8678">
        <v>0</v>
      </c>
      <c r="B8678">
        <v>0</v>
      </c>
      <c r="C8678">
        <v>0</v>
      </c>
      <c r="D8678">
        <v>0</v>
      </c>
      <c r="E8678">
        <v>0</v>
      </c>
    </row>
    <row r="8679" spans="1:5" x14ac:dyDescent="0.35">
      <c r="A8679">
        <v>0</v>
      </c>
      <c r="B8679">
        <v>0</v>
      </c>
      <c r="C8679">
        <v>0</v>
      </c>
      <c r="D8679">
        <v>0</v>
      </c>
      <c r="E8679">
        <v>0</v>
      </c>
    </row>
    <row r="8680" spans="1:5" x14ac:dyDescent="0.35">
      <c r="A8680">
        <v>0</v>
      </c>
      <c r="B8680">
        <v>0</v>
      </c>
      <c r="C8680">
        <v>0</v>
      </c>
      <c r="D8680">
        <v>0</v>
      </c>
      <c r="E8680">
        <v>0</v>
      </c>
    </row>
    <row r="8681" spans="1:5" x14ac:dyDescent="0.35">
      <c r="A8681">
        <v>0</v>
      </c>
      <c r="B8681">
        <v>0</v>
      </c>
      <c r="C8681">
        <v>0</v>
      </c>
      <c r="D8681">
        <v>0</v>
      </c>
      <c r="E8681">
        <v>0</v>
      </c>
    </row>
    <row r="8682" spans="1:5" x14ac:dyDescent="0.35">
      <c r="A8682">
        <v>0</v>
      </c>
      <c r="B8682">
        <v>0</v>
      </c>
      <c r="C8682">
        <v>0</v>
      </c>
      <c r="D8682">
        <v>0</v>
      </c>
      <c r="E8682">
        <v>0</v>
      </c>
    </row>
    <row r="8683" spans="1:5" x14ac:dyDescent="0.35">
      <c r="A8683">
        <v>0</v>
      </c>
      <c r="B8683">
        <v>0</v>
      </c>
      <c r="C8683">
        <v>0</v>
      </c>
      <c r="D8683">
        <v>0</v>
      </c>
      <c r="E8683">
        <v>0</v>
      </c>
    </row>
    <row r="8684" spans="1:5" x14ac:dyDescent="0.35">
      <c r="A8684">
        <v>0</v>
      </c>
      <c r="B8684">
        <v>0</v>
      </c>
      <c r="C8684">
        <v>0</v>
      </c>
      <c r="D8684">
        <v>0</v>
      </c>
      <c r="E8684">
        <v>0</v>
      </c>
    </row>
    <row r="8685" spans="1:5" x14ac:dyDescent="0.35">
      <c r="A8685">
        <v>0</v>
      </c>
      <c r="B8685">
        <v>0</v>
      </c>
      <c r="C8685">
        <v>0</v>
      </c>
      <c r="D8685">
        <v>0</v>
      </c>
      <c r="E8685">
        <v>0</v>
      </c>
    </row>
    <row r="8686" spans="1:5" x14ac:dyDescent="0.35">
      <c r="A8686">
        <v>0</v>
      </c>
      <c r="B8686">
        <v>0</v>
      </c>
      <c r="C8686">
        <v>0</v>
      </c>
      <c r="D8686">
        <v>0</v>
      </c>
      <c r="E8686">
        <v>0</v>
      </c>
    </row>
    <row r="8687" spans="1:5" x14ac:dyDescent="0.35">
      <c r="A8687">
        <v>0</v>
      </c>
      <c r="B8687">
        <v>0</v>
      </c>
      <c r="C8687">
        <v>0</v>
      </c>
      <c r="D8687">
        <v>0</v>
      </c>
      <c r="E8687">
        <v>0</v>
      </c>
    </row>
    <row r="8688" spans="1:5" x14ac:dyDescent="0.35">
      <c r="A8688">
        <v>0</v>
      </c>
      <c r="B8688">
        <v>0</v>
      </c>
      <c r="C8688">
        <v>0</v>
      </c>
      <c r="D8688">
        <v>0</v>
      </c>
      <c r="E8688">
        <v>0</v>
      </c>
    </row>
    <row r="8689" spans="1:5" x14ac:dyDescent="0.35">
      <c r="A8689">
        <v>0</v>
      </c>
      <c r="B8689">
        <v>0</v>
      </c>
      <c r="C8689">
        <v>0</v>
      </c>
      <c r="D8689">
        <v>0</v>
      </c>
      <c r="E8689">
        <v>0</v>
      </c>
    </row>
    <row r="8690" spans="1:5" x14ac:dyDescent="0.35">
      <c r="A8690">
        <v>0</v>
      </c>
      <c r="B8690">
        <v>0</v>
      </c>
      <c r="C8690">
        <v>0</v>
      </c>
      <c r="D8690">
        <v>0</v>
      </c>
      <c r="E8690">
        <v>0</v>
      </c>
    </row>
    <row r="8691" spans="1:5" x14ac:dyDescent="0.35">
      <c r="A8691">
        <v>0</v>
      </c>
      <c r="B8691">
        <v>0</v>
      </c>
      <c r="C8691">
        <v>0</v>
      </c>
      <c r="D8691">
        <v>0</v>
      </c>
      <c r="E8691">
        <v>0</v>
      </c>
    </row>
    <row r="8692" spans="1:5" x14ac:dyDescent="0.35">
      <c r="A8692">
        <v>0</v>
      </c>
      <c r="B8692">
        <v>0</v>
      </c>
      <c r="C8692">
        <v>0</v>
      </c>
      <c r="D8692">
        <v>0</v>
      </c>
      <c r="E8692">
        <v>0</v>
      </c>
    </row>
    <row r="8693" spans="1:5" x14ac:dyDescent="0.35">
      <c r="A8693">
        <v>0</v>
      </c>
      <c r="B8693">
        <v>0</v>
      </c>
      <c r="C8693">
        <v>0</v>
      </c>
      <c r="D8693">
        <v>0</v>
      </c>
      <c r="E8693">
        <v>0</v>
      </c>
    </row>
    <row r="8694" spans="1:5" x14ac:dyDescent="0.35">
      <c r="A8694">
        <v>0</v>
      </c>
      <c r="B8694">
        <v>0</v>
      </c>
      <c r="C8694">
        <v>0</v>
      </c>
      <c r="D8694">
        <v>0</v>
      </c>
      <c r="E8694">
        <v>0</v>
      </c>
    </row>
    <row r="8695" spans="1:5" x14ac:dyDescent="0.35">
      <c r="A8695">
        <v>0</v>
      </c>
      <c r="B8695">
        <v>0</v>
      </c>
      <c r="C8695">
        <v>0</v>
      </c>
      <c r="D8695">
        <v>0</v>
      </c>
      <c r="E8695">
        <v>0</v>
      </c>
    </row>
    <row r="8696" spans="1:5" x14ac:dyDescent="0.35">
      <c r="A8696">
        <v>0</v>
      </c>
      <c r="B8696">
        <v>0</v>
      </c>
      <c r="C8696">
        <v>0</v>
      </c>
      <c r="D8696">
        <v>0</v>
      </c>
      <c r="E8696">
        <v>0</v>
      </c>
    </row>
    <row r="8697" spans="1:5" x14ac:dyDescent="0.35">
      <c r="A8697">
        <v>0</v>
      </c>
      <c r="B8697">
        <v>0</v>
      </c>
      <c r="C8697">
        <v>0</v>
      </c>
      <c r="D8697">
        <v>0</v>
      </c>
      <c r="E8697">
        <v>0</v>
      </c>
    </row>
    <row r="8698" spans="1:5" x14ac:dyDescent="0.35">
      <c r="A8698">
        <v>0</v>
      </c>
      <c r="B8698">
        <v>0</v>
      </c>
      <c r="C8698">
        <v>0</v>
      </c>
      <c r="D8698">
        <v>0</v>
      </c>
      <c r="E8698">
        <v>0</v>
      </c>
    </row>
    <row r="8699" spans="1:5" x14ac:dyDescent="0.35">
      <c r="A8699">
        <v>0</v>
      </c>
      <c r="B8699">
        <v>0</v>
      </c>
      <c r="C8699">
        <v>0</v>
      </c>
      <c r="D8699">
        <v>0</v>
      </c>
      <c r="E8699">
        <v>0</v>
      </c>
    </row>
    <row r="8700" spans="1:5" x14ac:dyDescent="0.35">
      <c r="A8700">
        <v>0</v>
      </c>
      <c r="B8700">
        <v>0</v>
      </c>
      <c r="C8700">
        <v>0</v>
      </c>
      <c r="D8700">
        <v>0</v>
      </c>
      <c r="E8700">
        <v>0</v>
      </c>
    </row>
    <row r="8701" spans="1:5" x14ac:dyDescent="0.35">
      <c r="A8701">
        <v>0</v>
      </c>
      <c r="B8701">
        <v>0</v>
      </c>
      <c r="C8701">
        <v>0</v>
      </c>
      <c r="D8701">
        <v>0</v>
      </c>
      <c r="E8701">
        <v>0</v>
      </c>
    </row>
    <row r="8702" spans="1:5" x14ac:dyDescent="0.35">
      <c r="A8702">
        <v>0</v>
      </c>
      <c r="B8702">
        <v>0</v>
      </c>
      <c r="C8702">
        <v>0</v>
      </c>
      <c r="D8702">
        <v>0</v>
      </c>
      <c r="E8702">
        <v>0</v>
      </c>
    </row>
    <row r="8703" spans="1:5" x14ac:dyDescent="0.35">
      <c r="A8703">
        <v>0</v>
      </c>
      <c r="B8703">
        <v>0</v>
      </c>
      <c r="C8703">
        <v>0</v>
      </c>
      <c r="D8703">
        <v>0</v>
      </c>
      <c r="E8703">
        <v>0</v>
      </c>
    </row>
    <row r="8704" spans="1:5" x14ac:dyDescent="0.35">
      <c r="A8704">
        <v>0</v>
      </c>
      <c r="B8704">
        <v>0</v>
      </c>
      <c r="C8704">
        <v>0</v>
      </c>
      <c r="D8704">
        <v>0</v>
      </c>
      <c r="E8704">
        <v>0</v>
      </c>
    </row>
    <row r="8705" spans="1:5" x14ac:dyDescent="0.35">
      <c r="A8705">
        <v>0</v>
      </c>
      <c r="B8705">
        <v>0</v>
      </c>
      <c r="C8705">
        <v>0</v>
      </c>
      <c r="D8705">
        <v>0</v>
      </c>
      <c r="E8705">
        <v>0</v>
      </c>
    </row>
    <row r="8706" spans="1:5" x14ac:dyDescent="0.35">
      <c r="A8706">
        <v>0</v>
      </c>
      <c r="B8706">
        <v>0</v>
      </c>
      <c r="C8706">
        <v>0</v>
      </c>
      <c r="D8706">
        <v>0</v>
      </c>
      <c r="E8706">
        <v>0</v>
      </c>
    </row>
    <row r="8707" spans="1:5" x14ac:dyDescent="0.35">
      <c r="A8707">
        <v>0</v>
      </c>
      <c r="B8707">
        <v>0</v>
      </c>
      <c r="C8707">
        <v>0</v>
      </c>
      <c r="D8707">
        <v>0</v>
      </c>
      <c r="E8707">
        <v>0</v>
      </c>
    </row>
    <row r="8708" spans="1:5" x14ac:dyDescent="0.35">
      <c r="A8708">
        <v>0</v>
      </c>
      <c r="B8708">
        <v>0</v>
      </c>
      <c r="C8708">
        <v>0</v>
      </c>
      <c r="D8708">
        <v>0</v>
      </c>
      <c r="E8708">
        <v>0</v>
      </c>
    </row>
    <row r="8709" spans="1:5" x14ac:dyDescent="0.35">
      <c r="A8709">
        <v>0</v>
      </c>
      <c r="B8709">
        <v>0</v>
      </c>
      <c r="C8709">
        <v>0</v>
      </c>
      <c r="D8709">
        <v>0</v>
      </c>
      <c r="E8709">
        <v>0</v>
      </c>
    </row>
    <row r="8710" spans="1:5" x14ac:dyDescent="0.35">
      <c r="A8710">
        <v>0</v>
      </c>
      <c r="B8710">
        <v>0</v>
      </c>
      <c r="C8710">
        <v>0</v>
      </c>
      <c r="D8710">
        <v>0</v>
      </c>
      <c r="E8710">
        <v>0</v>
      </c>
    </row>
    <row r="8711" spans="1:5" x14ac:dyDescent="0.35">
      <c r="A8711">
        <v>0</v>
      </c>
      <c r="B8711">
        <v>0</v>
      </c>
      <c r="C8711">
        <v>0</v>
      </c>
      <c r="D8711">
        <v>0</v>
      </c>
      <c r="E8711">
        <v>0</v>
      </c>
    </row>
    <row r="8712" spans="1:5" x14ac:dyDescent="0.35">
      <c r="A8712">
        <v>0</v>
      </c>
      <c r="B8712">
        <v>0</v>
      </c>
      <c r="C8712">
        <v>0</v>
      </c>
      <c r="D8712">
        <v>0</v>
      </c>
      <c r="E8712">
        <v>0</v>
      </c>
    </row>
    <row r="8713" spans="1:5" x14ac:dyDescent="0.35">
      <c r="A8713">
        <v>0</v>
      </c>
      <c r="B8713">
        <v>0</v>
      </c>
      <c r="C8713">
        <v>0</v>
      </c>
      <c r="D8713">
        <v>0</v>
      </c>
      <c r="E8713">
        <v>0</v>
      </c>
    </row>
    <row r="8714" spans="1:5" x14ac:dyDescent="0.35">
      <c r="A8714">
        <v>0</v>
      </c>
      <c r="B8714">
        <v>0</v>
      </c>
      <c r="C8714">
        <v>0</v>
      </c>
      <c r="D8714">
        <v>0</v>
      </c>
      <c r="E8714">
        <v>0</v>
      </c>
    </row>
    <row r="8715" spans="1:5" x14ac:dyDescent="0.35">
      <c r="A8715">
        <v>0</v>
      </c>
      <c r="B8715">
        <v>0</v>
      </c>
      <c r="C8715">
        <v>0</v>
      </c>
      <c r="D8715">
        <v>0</v>
      </c>
      <c r="E8715">
        <v>0</v>
      </c>
    </row>
    <row r="8716" spans="1:5" x14ac:dyDescent="0.35">
      <c r="A8716">
        <v>0</v>
      </c>
      <c r="B8716">
        <v>0</v>
      </c>
      <c r="C8716">
        <v>0</v>
      </c>
      <c r="D8716">
        <v>0</v>
      </c>
      <c r="E8716">
        <v>0</v>
      </c>
    </row>
    <row r="8717" spans="1:5" x14ac:dyDescent="0.35">
      <c r="A8717">
        <v>0</v>
      </c>
      <c r="B8717">
        <v>0</v>
      </c>
      <c r="C8717">
        <v>0</v>
      </c>
      <c r="D8717">
        <v>0</v>
      </c>
      <c r="E8717">
        <v>0</v>
      </c>
    </row>
    <row r="8718" spans="1:5" x14ac:dyDescent="0.35">
      <c r="A8718">
        <v>0</v>
      </c>
      <c r="B8718">
        <v>0</v>
      </c>
      <c r="C8718">
        <v>0</v>
      </c>
      <c r="D8718">
        <v>0</v>
      </c>
      <c r="E8718">
        <v>0</v>
      </c>
    </row>
    <row r="8719" spans="1:5" x14ac:dyDescent="0.35">
      <c r="A8719">
        <v>0</v>
      </c>
      <c r="B8719">
        <v>0</v>
      </c>
      <c r="C8719">
        <v>0</v>
      </c>
      <c r="D8719">
        <v>0</v>
      </c>
      <c r="E8719">
        <v>0</v>
      </c>
    </row>
    <row r="8720" spans="1:5" x14ac:dyDescent="0.35">
      <c r="A8720">
        <v>0</v>
      </c>
      <c r="B8720">
        <v>0</v>
      </c>
      <c r="C8720">
        <v>0</v>
      </c>
      <c r="D8720">
        <v>0</v>
      </c>
      <c r="E8720">
        <v>0</v>
      </c>
    </row>
    <row r="8721" spans="1:5" x14ac:dyDescent="0.35">
      <c r="A8721">
        <v>0</v>
      </c>
      <c r="B8721">
        <v>0</v>
      </c>
      <c r="C8721">
        <v>0</v>
      </c>
      <c r="D8721">
        <v>0</v>
      </c>
      <c r="E8721">
        <v>0</v>
      </c>
    </row>
    <row r="8722" spans="1:5" x14ac:dyDescent="0.35">
      <c r="A8722">
        <v>0</v>
      </c>
      <c r="B8722">
        <v>0</v>
      </c>
      <c r="C8722">
        <v>0</v>
      </c>
      <c r="D8722">
        <v>0</v>
      </c>
      <c r="E8722">
        <v>0</v>
      </c>
    </row>
    <row r="8723" spans="1:5" x14ac:dyDescent="0.35">
      <c r="A8723">
        <v>0</v>
      </c>
      <c r="B8723">
        <v>0</v>
      </c>
      <c r="C8723">
        <v>0</v>
      </c>
      <c r="D8723">
        <v>0</v>
      </c>
      <c r="E8723">
        <v>0</v>
      </c>
    </row>
    <row r="8724" spans="1:5" x14ac:dyDescent="0.35">
      <c r="A8724">
        <v>0</v>
      </c>
      <c r="B8724">
        <v>0</v>
      </c>
      <c r="C8724">
        <v>0</v>
      </c>
      <c r="D8724">
        <v>0</v>
      </c>
      <c r="E8724">
        <v>0</v>
      </c>
    </row>
    <row r="8725" spans="1:5" x14ac:dyDescent="0.35">
      <c r="A8725">
        <v>0</v>
      </c>
      <c r="B8725">
        <v>0</v>
      </c>
      <c r="C8725">
        <v>0</v>
      </c>
      <c r="D8725">
        <v>0</v>
      </c>
      <c r="E8725">
        <v>0</v>
      </c>
    </row>
    <row r="8726" spans="1:5" x14ac:dyDescent="0.35">
      <c r="A8726">
        <v>0</v>
      </c>
      <c r="B8726">
        <v>0</v>
      </c>
      <c r="C8726">
        <v>0</v>
      </c>
      <c r="D8726">
        <v>0</v>
      </c>
      <c r="E8726">
        <v>0</v>
      </c>
    </row>
    <row r="8727" spans="1:5" x14ac:dyDescent="0.35">
      <c r="A8727">
        <v>0</v>
      </c>
      <c r="B8727">
        <v>0</v>
      </c>
      <c r="C8727">
        <v>0</v>
      </c>
      <c r="D8727">
        <v>0</v>
      </c>
      <c r="E8727">
        <v>0</v>
      </c>
    </row>
    <row r="8728" spans="1:5" x14ac:dyDescent="0.35">
      <c r="A8728">
        <v>0</v>
      </c>
      <c r="B8728">
        <v>0</v>
      </c>
      <c r="C8728">
        <v>0</v>
      </c>
      <c r="D8728">
        <v>0</v>
      </c>
      <c r="E8728">
        <v>0</v>
      </c>
    </row>
    <row r="8729" spans="1:5" x14ac:dyDescent="0.35">
      <c r="A8729">
        <v>0</v>
      </c>
      <c r="B8729">
        <v>0</v>
      </c>
      <c r="C8729">
        <v>0</v>
      </c>
      <c r="D8729">
        <v>0</v>
      </c>
      <c r="E8729">
        <v>0</v>
      </c>
    </row>
    <row r="8730" spans="1:5" x14ac:dyDescent="0.35">
      <c r="A8730">
        <v>0</v>
      </c>
      <c r="B8730">
        <v>0</v>
      </c>
      <c r="C8730">
        <v>0</v>
      </c>
      <c r="D8730">
        <v>0</v>
      </c>
      <c r="E8730">
        <v>0</v>
      </c>
    </row>
    <row r="8731" spans="1:5" x14ac:dyDescent="0.35">
      <c r="A8731">
        <v>0</v>
      </c>
      <c r="B8731">
        <v>0</v>
      </c>
      <c r="C8731">
        <v>0</v>
      </c>
      <c r="D8731">
        <v>0</v>
      </c>
      <c r="E8731">
        <v>0</v>
      </c>
    </row>
    <row r="8732" spans="1:5" x14ac:dyDescent="0.35">
      <c r="A8732">
        <v>0</v>
      </c>
      <c r="B8732">
        <v>0</v>
      </c>
      <c r="C8732">
        <v>0</v>
      </c>
      <c r="D8732">
        <v>0</v>
      </c>
      <c r="E8732">
        <v>0</v>
      </c>
    </row>
    <row r="8733" spans="1:5" x14ac:dyDescent="0.35">
      <c r="A8733">
        <v>0</v>
      </c>
      <c r="B8733">
        <v>0</v>
      </c>
      <c r="C8733">
        <v>0</v>
      </c>
      <c r="D8733">
        <v>0</v>
      </c>
      <c r="E8733">
        <v>0</v>
      </c>
    </row>
    <row r="8734" spans="1:5" x14ac:dyDescent="0.35">
      <c r="A8734">
        <v>0</v>
      </c>
      <c r="B8734">
        <v>0</v>
      </c>
      <c r="C8734">
        <v>0</v>
      </c>
      <c r="D8734">
        <v>0</v>
      </c>
      <c r="E8734">
        <v>0</v>
      </c>
    </row>
    <row r="8735" spans="1:5" x14ac:dyDescent="0.35">
      <c r="A8735">
        <v>0</v>
      </c>
      <c r="B8735">
        <v>0</v>
      </c>
      <c r="C8735">
        <v>0</v>
      </c>
      <c r="D8735">
        <v>0</v>
      </c>
      <c r="E8735">
        <v>0</v>
      </c>
    </row>
    <row r="8736" spans="1:5" x14ac:dyDescent="0.35">
      <c r="A8736">
        <v>0</v>
      </c>
      <c r="B8736">
        <v>0</v>
      </c>
      <c r="C8736">
        <v>0</v>
      </c>
      <c r="D8736">
        <v>0</v>
      </c>
      <c r="E8736">
        <v>0</v>
      </c>
    </row>
    <row r="8737" spans="1:5" x14ac:dyDescent="0.35">
      <c r="A8737">
        <v>0</v>
      </c>
      <c r="B8737">
        <v>0</v>
      </c>
      <c r="C8737">
        <v>0</v>
      </c>
      <c r="D8737">
        <v>0</v>
      </c>
      <c r="E8737">
        <v>0</v>
      </c>
    </row>
    <row r="8738" spans="1:5" x14ac:dyDescent="0.35">
      <c r="A8738">
        <v>0</v>
      </c>
      <c r="B8738">
        <v>0</v>
      </c>
      <c r="C8738">
        <v>0</v>
      </c>
      <c r="D8738">
        <v>0</v>
      </c>
      <c r="E8738">
        <v>0</v>
      </c>
    </row>
    <row r="8739" spans="1:5" x14ac:dyDescent="0.35">
      <c r="A8739">
        <v>0</v>
      </c>
      <c r="B8739">
        <v>0</v>
      </c>
      <c r="C8739">
        <v>0</v>
      </c>
      <c r="D8739">
        <v>0</v>
      </c>
      <c r="E8739">
        <v>0</v>
      </c>
    </row>
    <row r="8740" spans="1:5" x14ac:dyDescent="0.35">
      <c r="A8740">
        <v>0</v>
      </c>
      <c r="B8740">
        <v>0</v>
      </c>
      <c r="C8740">
        <v>0</v>
      </c>
      <c r="D8740">
        <v>0</v>
      </c>
      <c r="E8740">
        <v>0</v>
      </c>
    </row>
    <row r="8741" spans="1:5" x14ac:dyDescent="0.35">
      <c r="A8741">
        <v>0</v>
      </c>
      <c r="B8741">
        <v>0</v>
      </c>
      <c r="C8741">
        <v>0</v>
      </c>
      <c r="D8741">
        <v>0</v>
      </c>
      <c r="E8741">
        <v>0</v>
      </c>
    </row>
    <row r="8742" spans="1:5" x14ac:dyDescent="0.35">
      <c r="A8742">
        <v>0</v>
      </c>
      <c r="B8742">
        <v>0</v>
      </c>
      <c r="C8742">
        <v>0</v>
      </c>
      <c r="D8742">
        <v>0</v>
      </c>
      <c r="E8742">
        <v>0</v>
      </c>
    </row>
    <row r="8743" spans="1:5" x14ac:dyDescent="0.35">
      <c r="A8743">
        <v>0</v>
      </c>
      <c r="B8743">
        <v>0</v>
      </c>
      <c r="C8743">
        <v>0</v>
      </c>
      <c r="D8743">
        <v>0</v>
      </c>
      <c r="E8743">
        <v>0</v>
      </c>
    </row>
    <row r="8744" spans="1:5" x14ac:dyDescent="0.35">
      <c r="A8744">
        <v>0</v>
      </c>
      <c r="B8744">
        <v>0</v>
      </c>
      <c r="C8744">
        <v>0</v>
      </c>
      <c r="D8744">
        <v>0</v>
      </c>
      <c r="E8744">
        <v>0</v>
      </c>
    </row>
    <row r="8745" spans="1:5" x14ac:dyDescent="0.35">
      <c r="A8745">
        <v>0</v>
      </c>
      <c r="B8745">
        <v>0</v>
      </c>
      <c r="C8745">
        <v>0</v>
      </c>
      <c r="D8745">
        <v>0</v>
      </c>
      <c r="E8745">
        <v>0</v>
      </c>
    </row>
    <row r="8746" spans="1:5" x14ac:dyDescent="0.35">
      <c r="A8746">
        <v>0</v>
      </c>
      <c r="B8746">
        <v>0</v>
      </c>
      <c r="C8746">
        <v>0</v>
      </c>
      <c r="D8746">
        <v>0</v>
      </c>
      <c r="E8746">
        <v>0</v>
      </c>
    </row>
    <row r="8747" spans="1:5" x14ac:dyDescent="0.35">
      <c r="A8747">
        <v>0</v>
      </c>
      <c r="B8747">
        <v>0</v>
      </c>
      <c r="C8747">
        <v>0</v>
      </c>
      <c r="D8747">
        <v>0</v>
      </c>
      <c r="E8747">
        <v>0</v>
      </c>
    </row>
    <row r="8748" spans="1:5" x14ac:dyDescent="0.35">
      <c r="A8748">
        <v>0</v>
      </c>
      <c r="B8748">
        <v>0</v>
      </c>
      <c r="C8748">
        <v>0</v>
      </c>
      <c r="D8748">
        <v>0</v>
      </c>
      <c r="E8748">
        <v>0</v>
      </c>
    </row>
    <row r="8749" spans="1:5" x14ac:dyDescent="0.35">
      <c r="A8749">
        <v>0</v>
      </c>
      <c r="B8749">
        <v>0</v>
      </c>
      <c r="C8749">
        <v>0</v>
      </c>
      <c r="D8749">
        <v>0</v>
      </c>
      <c r="E8749">
        <v>0</v>
      </c>
    </row>
    <row r="8750" spans="1:5" x14ac:dyDescent="0.35">
      <c r="A8750">
        <v>0</v>
      </c>
      <c r="B8750">
        <v>0</v>
      </c>
      <c r="C8750">
        <v>0</v>
      </c>
      <c r="D8750">
        <v>0</v>
      </c>
      <c r="E8750">
        <v>0</v>
      </c>
    </row>
    <row r="8751" spans="1:5" x14ac:dyDescent="0.35">
      <c r="A8751">
        <v>0</v>
      </c>
      <c r="B8751">
        <v>0</v>
      </c>
      <c r="C8751">
        <v>0</v>
      </c>
      <c r="D8751">
        <v>0</v>
      </c>
      <c r="E8751">
        <v>0</v>
      </c>
    </row>
    <row r="8752" spans="1:5" x14ac:dyDescent="0.35">
      <c r="A8752">
        <v>0</v>
      </c>
      <c r="B8752">
        <v>0</v>
      </c>
      <c r="C8752">
        <v>0</v>
      </c>
      <c r="D8752">
        <v>0</v>
      </c>
      <c r="E8752">
        <v>0</v>
      </c>
    </row>
    <row r="8753" spans="1:5" x14ac:dyDescent="0.35">
      <c r="A8753">
        <v>0</v>
      </c>
      <c r="B8753">
        <v>0</v>
      </c>
      <c r="C8753">
        <v>0</v>
      </c>
      <c r="D8753">
        <v>0</v>
      </c>
      <c r="E8753">
        <v>0</v>
      </c>
    </row>
    <row r="8754" spans="1:5" x14ac:dyDescent="0.35">
      <c r="A8754">
        <v>0</v>
      </c>
      <c r="B8754">
        <v>0</v>
      </c>
      <c r="C8754">
        <v>0</v>
      </c>
      <c r="D8754">
        <v>0</v>
      </c>
      <c r="E8754">
        <v>0</v>
      </c>
    </row>
    <row r="8755" spans="1:5" x14ac:dyDescent="0.35">
      <c r="A8755">
        <v>0</v>
      </c>
      <c r="B8755">
        <v>0</v>
      </c>
      <c r="C8755">
        <v>0</v>
      </c>
      <c r="D8755">
        <v>0</v>
      </c>
      <c r="E8755">
        <v>0</v>
      </c>
    </row>
    <row r="8756" spans="1:5" x14ac:dyDescent="0.35">
      <c r="A8756">
        <v>0</v>
      </c>
      <c r="B8756">
        <v>0</v>
      </c>
      <c r="C8756">
        <v>0</v>
      </c>
      <c r="D8756">
        <v>0</v>
      </c>
      <c r="E8756">
        <v>0</v>
      </c>
    </row>
    <row r="8757" spans="1:5" x14ac:dyDescent="0.35">
      <c r="A8757">
        <v>0</v>
      </c>
      <c r="B8757">
        <v>0</v>
      </c>
      <c r="C8757">
        <v>0</v>
      </c>
      <c r="D8757">
        <v>0</v>
      </c>
      <c r="E8757">
        <v>0</v>
      </c>
    </row>
    <row r="8758" spans="1:5" x14ac:dyDescent="0.35">
      <c r="A8758">
        <v>0</v>
      </c>
      <c r="B8758">
        <v>0</v>
      </c>
      <c r="C8758">
        <v>0</v>
      </c>
      <c r="D8758">
        <v>0</v>
      </c>
      <c r="E8758">
        <v>0</v>
      </c>
    </row>
    <row r="8759" spans="1:5" x14ac:dyDescent="0.35">
      <c r="A8759">
        <v>0</v>
      </c>
      <c r="B8759">
        <v>0</v>
      </c>
      <c r="C8759">
        <v>0</v>
      </c>
      <c r="D8759">
        <v>0</v>
      </c>
      <c r="E8759">
        <v>0</v>
      </c>
    </row>
    <row r="8760" spans="1:5" x14ac:dyDescent="0.35">
      <c r="A8760">
        <v>0</v>
      </c>
      <c r="B8760">
        <v>0</v>
      </c>
      <c r="C8760">
        <v>0</v>
      </c>
      <c r="D8760">
        <v>0</v>
      </c>
      <c r="E8760">
        <v>0</v>
      </c>
    </row>
    <row r="8761" spans="1:5" x14ac:dyDescent="0.35">
      <c r="A8761">
        <v>0</v>
      </c>
      <c r="B8761">
        <v>0</v>
      </c>
      <c r="C8761">
        <v>0</v>
      </c>
      <c r="D8761">
        <v>0</v>
      </c>
      <c r="E8761">
        <v>0</v>
      </c>
    </row>
    <row r="8762" spans="1:5" x14ac:dyDescent="0.35">
      <c r="A8762">
        <v>0</v>
      </c>
      <c r="B8762">
        <v>0</v>
      </c>
      <c r="C8762">
        <v>0</v>
      </c>
      <c r="D8762">
        <v>0</v>
      </c>
      <c r="E8762">
        <v>0</v>
      </c>
    </row>
    <row r="8763" spans="1:5" x14ac:dyDescent="0.35">
      <c r="A8763">
        <v>0</v>
      </c>
      <c r="B8763">
        <v>0</v>
      </c>
      <c r="C8763">
        <v>0</v>
      </c>
      <c r="D8763">
        <v>0</v>
      </c>
      <c r="E8763">
        <v>0</v>
      </c>
    </row>
    <row r="8764" spans="1:5" x14ac:dyDescent="0.35">
      <c r="A8764">
        <v>0</v>
      </c>
      <c r="B8764">
        <v>0</v>
      </c>
      <c r="C8764">
        <v>0</v>
      </c>
      <c r="D8764">
        <v>0</v>
      </c>
      <c r="E8764">
        <v>0</v>
      </c>
    </row>
    <row r="8765" spans="1:5" x14ac:dyDescent="0.35">
      <c r="A8765">
        <v>0</v>
      </c>
      <c r="B8765">
        <v>0</v>
      </c>
      <c r="C8765">
        <v>0</v>
      </c>
      <c r="D8765">
        <v>0</v>
      </c>
      <c r="E8765">
        <v>0</v>
      </c>
    </row>
    <row r="8766" spans="1:5" x14ac:dyDescent="0.35">
      <c r="A8766">
        <v>0</v>
      </c>
      <c r="B8766">
        <v>0</v>
      </c>
      <c r="C8766">
        <v>0</v>
      </c>
      <c r="D8766">
        <v>0</v>
      </c>
      <c r="E8766">
        <v>0</v>
      </c>
    </row>
    <row r="8767" spans="1:5" x14ac:dyDescent="0.35">
      <c r="A8767">
        <v>0</v>
      </c>
      <c r="B8767">
        <v>0</v>
      </c>
      <c r="C8767">
        <v>0</v>
      </c>
      <c r="D8767">
        <v>0</v>
      </c>
      <c r="E8767">
        <v>0</v>
      </c>
    </row>
    <row r="8768" spans="1:5" x14ac:dyDescent="0.35">
      <c r="A8768">
        <v>0</v>
      </c>
      <c r="B8768">
        <v>0</v>
      </c>
      <c r="C8768">
        <v>0</v>
      </c>
      <c r="D8768">
        <v>0</v>
      </c>
      <c r="E8768">
        <v>0</v>
      </c>
    </row>
    <row r="8769" spans="1:5" x14ac:dyDescent="0.35">
      <c r="A8769">
        <v>0</v>
      </c>
      <c r="B8769">
        <v>0</v>
      </c>
      <c r="C8769">
        <v>0</v>
      </c>
      <c r="D8769">
        <v>0</v>
      </c>
      <c r="E8769">
        <v>0</v>
      </c>
    </row>
    <row r="8770" spans="1:5" x14ac:dyDescent="0.35">
      <c r="A8770">
        <v>0</v>
      </c>
      <c r="B8770">
        <v>0</v>
      </c>
      <c r="C8770">
        <v>0</v>
      </c>
      <c r="D8770">
        <v>0</v>
      </c>
      <c r="E8770">
        <v>0</v>
      </c>
    </row>
    <row r="8771" spans="1:5" x14ac:dyDescent="0.35">
      <c r="A8771">
        <v>0</v>
      </c>
      <c r="B8771">
        <v>0</v>
      </c>
      <c r="C8771">
        <v>0</v>
      </c>
      <c r="D8771">
        <v>0</v>
      </c>
      <c r="E8771">
        <v>0</v>
      </c>
    </row>
    <row r="8772" spans="1:5" x14ac:dyDescent="0.35">
      <c r="A8772">
        <v>0</v>
      </c>
      <c r="B8772">
        <v>0</v>
      </c>
      <c r="C8772">
        <v>0</v>
      </c>
      <c r="D8772">
        <v>0</v>
      </c>
      <c r="E8772">
        <v>0</v>
      </c>
    </row>
    <row r="8773" spans="1:5" x14ac:dyDescent="0.35">
      <c r="A8773">
        <v>0</v>
      </c>
      <c r="B8773">
        <v>0</v>
      </c>
      <c r="C8773">
        <v>0</v>
      </c>
      <c r="D8773">
        <v>0</v>
      </c>
      <c r="E8773">
        <v>0</v>
      </c>
    </row>
    <row r="8774" spans="1:5" x14ac:dyDescent="0.35">
      <c r="A8774">
        <v>0</v>
      </c>
      <c r="B8774">
        <v>0</v>
      </c>
      <c r="C8774">
        <v>0</v>
      </c>
      <c r="D8774">
        <v>0</v>
      </c>
      <c r="E8774">
        <v>0</v>
      </c>
    </row>
    <row r="8775" spans="1:5" x14ac:dyDescent="0.35">
      <c r="A8775">
        <v>0</v>
      </c>
      <c r="B8775">
        <v>0</v>
      </c>
      <c r="C8775">
        <v>0</v>
      </c>
      <c r="D8775">
        <v>0</v>
      </c>
      <c r="E8775">
        <v>0</v>
      </c>
    </row>
    <row r="8776" spans="1:5" x14ac:dyDescent="0.35">
      <c r="A8776">
        <v>0</v>
      </c>
      <c r="B8776">
        <v>0</v>
      </c>
      <c r="C8776">
        <v>0</v>
      </c>
      <c r="D8776">
        <v>0</v>
      </c>
      <c r="E8776">
        <v>0</v>
      </c>
    </row>
    <row r="8777" spans="1:5" x14ac:dyDescent="0.35">
      <c r="A8777">
        <v>0</v>
      </c>
      <c r="B8777">
        <v>0</v>
      </c>
      <c r="C8777">
        <v>0</v>
      </c>
      <c r="D8777">
        <v>0</v>
      </c>
      <c r="E8777">
        <v>0</v>
      </c>
    </row>
    <row r="8778" spans="1:5" x14ac:dyDescent="0.35">
      <c r="A8778">
        <v>0</v>
      </c>
      <c r="B8778">
        <v>0</v>
      </c>
      <c r="C8778">
        <v>0</v>
      </c>
      <c r="D8778">
        <v>0</v>
      </c>
      <c r="E8778">
        <v>0</v>
      </c>
    </row>
    <row r="8779" spans="1:5" x14ac:dyDescent="0.35">
      <c r="A8779">
        <v>0</v>
      </c>
      <c r="B8779">
        <v>0</v>
      </c>
      <c r="C8779">
        <v>0</v>
      </c>
      <c r="D8779">
        <v>0</v>
      </c>
      <c r="E8779">
        <v>0</v>
      </c>
    </row>
    <row r="8780" spans="1:5" x14ac:dyDescent="0.35">
      <c r="A8780">
        <v>0</v>
      </c>
      <c r="B8780">
        <v>0</v>
      </c>
      <c r="C8780">
        <v>0</v>
      </c>
      <c r="D8780">
        <v>0</v>
      </c>
      <c r="E8780">
        <v>0</v>
      </c>
    </row>
    <row r="8781" spans="1:5" x14ac:dyDescent="0.35">
      <c r="A8781">
        <v>0</v>
      </c>
      <c r="B8781">
        <v>0</v>
      </c>
      <c r="C8781">
        <v>0</v>
      </c>
      <c r="D8781">
        <v>0</v>
      </c>
      <c r="E8781">
        <v>0</v>
      </c>
    </row>
    <row r="8782" spans="1:5" x14ac:dyDescent="0.35">
      <c r="A8782">
        <v>0</v>
      </c>
      <c r="B8782">
        <v>0</v>
      </c>
      <c r="C8782">
        <v>0</v>
      </c>
      <c r="D8782">
        <v>0</v>
      </c>
      <c r="E8782">
        <v>0</v>
      </c>
    </row>
    <row r="8783" spans="1:5" x14ac:dyDescent="0.35">
      <c r="A8783">
        <v>0</v>
      </c>
      <c r="B8783">
        <v>0</v>
      </c>
      <c r="C8783">
        <v>0</v>
      </c>
      <c r="D8783">
        <v>0</v>
      </c>
      <c r="E8783">
        <v>0</v>
      </c>
    </row>
    <row r="8784" spans="1:5" x14ac:dyDescent="0.35">
      <c r="A8784">
        <v>0</v>
      </c>
      <c r="B8784">
        <v>0</v>
      </c>
      <c r="C8784">
        <v>0</v>
      </c>
      <c r="D8784">
        <v>0</v>
      </c>
      <c r="E8784">
        <v>0</v>
      </c>
    </row>
    <row r="8785" spans="1:5" x14ac:dyDescent="0.35">
      <c r="A8785">
        <v>0</v>
      </c>
      <c r="B8785">
        <v>0</v>
      </c>
      <c r="C8785">
        <v>0</v>
      </c>
      <c r="D8785">
        <v>0</v>
      </c>
      <c r="E8785">
        <v>0</v>
      </c>
    </row>
    <row r="8786" spans="1:5" x14ac:dyDescent="0.35">
      <c r="A8786">
        <v>0</v>
      </c>
      <c r="B8786">
        <v>0</v>
      </c>
      <c r="C8786">
        <v>0</v>
      </c>
      <c r="D8786">
        <v>0</v>
      </c>
      <c r="E8786">
        <v>0</v>
      </c>
    </row>
    <row r="8787" spans="1:5" x14ac:dyDescent="0.35">
      <c r="A8787">
        <v>0</v>
      </c>
      <c r="B8787">
        <v>0</v>
      </c>
      <c r="C8787">
        <v>0</v>
      </c>
      <c r="D8787">
        <v>0</v>
      </c>
      <c r="E8787">
        <v>0</v>
      </c>
    </row>
    <row r="8788" spans="1:5" x14ac:dyDescent="0.35">
      <c r="A8788">
        <v>0</v>
      </c>
      <c r="B8788">
        <v>0</v>
      </c>
      <c r="C8788">
        <v>0</v>
      </c>
      <c r="D8788">
        <v>0</v>
      </c>
      <c r="E8788">
        <v>0</v>
      </c>
    </row>
    <row r="8789" spans="1:5" x14ac:dyDescent="0.35">
      <c r="A8789">
        <v>0</v>
      </c>
      <c r="B8789">
        <v>0</v>
      </c>
      <c r="C8789">
        <v>0</v>
      </c>
      <c r="D8789">
        <v>0</v>
      </c>
      <c r="E8789">
        <v>0</v>
      </c>
    </row>
    <row r="8790" spans="1:5" x14ac:dyDescent="0.35">
      <c r="A8790">
        <v>0</v>
      </c>
      <c r="B8790">
        <v>0</v>
      </c>
      <c r="C8790">
        <v>0</v>
      </c>
      <c r="D8790">
        <v>0</v>
      </c>
      <c r="E8790">
        <v>0</v>
      </c>
    </row>
    <row r="8791" spans="1:5" x14ac:dyDescent="0.35">
      <c r="A8791">
        <v>0</v>
      </c>
      <c r="B8791">
        <v>0</v>
      </c>
      <c r="C8791">
        <v>0</v>
      </c>
      <c r="D8791">
        <v>0</v>
      </c>
      <c r="E8791">
        <v>0</v>
      </c>
    </row>
    <row r="8792" spans="1:5" x14ac:dyDescent="0.35">
      <c r="A8792">
        <v>0</v>
      </c>
      <c r="B8792">
        <v>0</v>
      </c>
      <c r="C8792">
        <v>0</v>
      </c>
      <c r="D8792">
        <v>0</v>
      </c>
      <c r="E8792">
        <v>0</v>
      </c>
    </row>
    <row r="8793" spans="1:5" x14ac:dyDescent="0.35">
      <c r="A8793">
        <v>0</v>
      </c>
      <c r="B8793">
        <v>0</v>
      </c>
      <c r="C8793">
        <v>0</v>
      </c>
      <c r="D8793">
        <v>0</v>
      </c>
      <c r="E8793">
        <v>0</v>
      </c>
    </row>
    <row r="8794" spans="1:5" x14ac:dyDescent="0.35">
      <c r="A8794">
        <v>0</v>
      </c>
      <c r="B8794">
        <v>0</v>
      </c>
      <c r="C8794">
        <v>0</v>
      </c>
      <c r="D8794">
        <v>0</v>
      </c>
      <c r="E8794">
        <v>0</v>
      </c>
    </row>
    <row r="8795" spans="1:5" x14ac:dyDescent="0.35">
      <c r="A8795">
        <v>0</v>
      </c>
      <c r="B8795">
        <v>0</v>
      </c>
      <c r="C8795">
        <v>0</v>
      </c>
      <c r="D8795">
        <v>0</v>
      </c>
      <c r="E8795">
        <v>0</v>
      </c>
    </row>
    <row r="8796" spans="1:5" x14ac:dyDescent="0.35">
      <c r="A8796">
        <v>0</v>
      </c>
      <c r="B8796">
        <v>0</v>
      </c>
      <c r="C8796">
        <v>0</v>
      </c>
      <c r="D8796">
        <v>0</v>
      </c>
      <c r="E8796">
        <v>0</v>
      </c>
    </row>
    <row r="8797" spans="1:5" x14ac:dyDescent="0.35">
      <c r="A8797">
        <v>0</v>
      </c>
      <c r="B8797">
        <v>0</v>
      </c>
      <c r="C8797">
        <v>0</v>
      </c>
      <c r="D8797">
        <v>0</v>
      </c>
      <c r="E8797">
        <v>0</v>
      </c>
    </row>
    <row r="8798" spans="1:5" x14ac:dyDescent="0.35">
      <c r="A8798">
        <v>0</v>
      </c>
      <c r="B8798">
        <v>0</v>
      </c>
      <c r="C8798">
        <v>0</v>
      </c>
      <c r="D8798">
        <v>0</v>
      </c>
      <c r="E8798">
        <v>0</v>
      </c>
    </row>
    <row r="8799" spans="1:5" x14ac:dyDescent="0.35">
      <c r="A8799">
        <v>0</v>
      </c>
      <c r="B8799">
        <v>0</v>
      </c>
      <c r="C8799">
        <v>0</v>
      </c>
      <c r="D8799">
        <v>0</v>
      </c>
      <c r="E8799">
        <v>0</v>
      </c>
    </row>
    <row r="8800" spans="1:5" x14ac:dyDescent="0.35">
      <c r="A8800">
        <v>0</v>
      </c>
      <c r="B8800">
        <v>0</v>
      </c>
      <c r="C8800">
        <v>0</v>
      </c>
      <c r="D8800">
        <v>0</v>
      </c>
      <c r="E8800">
        <v>0</v>
      </c>
    </row>
    <row r="8801" spans="1:5" x14ac:dyDescent="0.35">
      <c r="A8801">
        <v>0</v>
      </c>
      <c r="B8801">
        <v>0</v>
      </c>
      <c r="C8801">
        <v>0</v>
      </c>
      <c r="D8801">
        <v>0</v>
      </c>
      <c r="E8801">
        <v>0</v>
      </c>
    </row>
    <row r="8802" spans="1:5" x14ac:dyDescent="0.35">
      <c r="A8802">
        <v>0</v>
      </c>
      <c r="B8802">
        <v>0</v>
      </c>
      <c r="C8802">
        <v>0</v>
      </c>
      <c r="D8802">
        <v>0</v>
      </c>
      <c r="E8802">
        <v>0</v>
      </c>
    </row>
    <row r="8803" spans="1:5" x14ac:dyDescent="0.35">
      <c r="A8803">
        <v>0</v>
      </c>
      <c r="B8803">
        <v>0</v>
      </c>
      <c r="C8803">
        <v>0</v>
      </c>
      <c r="D8803">
        <v>0</v>
      </c>
      <c r="E8803">
        <v>0</v>
      </c>
    </row>
    <row r="8804" spans="1:5" x14ac:dyDescent="0.35">
      <c r="A8804">
        <v>0</v>
      </c>
      <c r="B8804">
        <v>0</v>
      </c>
      <c r="C8804">
        <v>0</v>
      </c>
      <c r="D8804">
        <v>0</v>
      </c>
      <c r="E8804">
        <v>0</v>
      </c>
    </row>
    <row r="8805" spans="1:5" x14ac:dyDescent="0.35">
      <c r="A8805">
        <v>0</v>
      </c>
      <c r="B8805">
        <v>0</v>
      </c>
      <c r="C8805">
        <v>0</v>
      </c>
      <c r="D8805">
        <v>0</v>
      </c>
      <c r="E8805">
        <v>0</v>
      </c>
    </row>
    <row r="8806" spans="1:5" x14ac:dyDescent="0.35">
      <c r="A8806">
        <v>0</v>
      </c>
      <c r="B8806">
        <v>0</v>
      </c>
      <c r="C8806">
        <v>0</v>
      </c>
      <c r="D8806">
        <v>0</v>
      </c>
      <c r="E8806">
        <v>0</v>
      </c>
    </row>
    <row r="8807" spans="1:5" x14ac:dyDescent="0.35">
      <c r="A8807">
        <v>0</v>
      </c>
      <c r="B8807">
        <v>0</v>
      </c>
      <c r="C8807">
        <v>0</v>
      </c>
      <c r="D8807">
        <v>0</v>
      </c>
      <c r="E8807">
        <v>0</v>
      </c>
    </row>
    <row r="8808" spans="1:5" x14ac:dyDescent="0.35">
      <c r="A8808">
        <v>0</v>
      </c>
      <c r="B8808">
        <v>0</v>
      </c>
      <c r="C8808">
        <v>0</v>
      </c>
      <c r="D8808">
        <v>0</v>
      </c>
      <c r="E8808">
        <v>0</v>
      </c>
    </row>
    <row r="8809" spans="1:5" x14ac:dyDescent="0.35">
      <c r="A8809">
        <v>0</v>
      </c>
      <c r="B8809">
        <v>0</v>
      </c>
      <c r="C8809">
        <v>0</v>
      </c>
      <c r="D8809">
        <v>0</v>
      </c>
      <c r="E8809">
        <v>0</v>
      </c>
    </row>
    <row r="8810" spans="1:5" x14ac:dyDescent="0.35">
      <c r="A8810">
        <v>0</v>
      </c>
      <c r="B8810">
        <v>0</v>
      </c>
      <c r="C8810">
        <v>0</v>
      </c>
      <c r="D8810">
        <v>0</v>
      </c>
      <c r="E8810">
        <v>0</v>
      </c>
    </row>
    <row r="8811" spans="1:5" x14ac:dyDescent="0.35">
      <c r="A8811">
        <v>0</v>
      </c>
      <c r="B8811">
        <v>0</v>
      </c>
      <c r="C8811">
        <v>0</v>
      </c>
      <c r="D8811">
        <v>0</v>
      </c>
      <c r="E8811">
        <v>0</v>
      </c>
    </row>
    <row r="8812" spans="1:5" x14ac:dyDescent="0.35">
      <c r="A8812">
        <v>0</v>
      </c>
      <c r="B8812">
        <v>0</v>
      </c>
      <c r="C8812">
        <v>0</v>
      </c>
      <c r="D8812">
        <v>0</v>
      </c>
      <c r="E8812">
        <v>0</v>
      </c>
    </row>
    <row r="8813" spans="1:5" x14ac:dyDescent="0.35">
      <c r="A8813">
        <v>0</v>
      </c>
      <c r="B8813">
        <v>0</v>
      </c>
      <c r="C8813">
        <v>0</v>
      </c>
      <c r="D8813">
        <v>0</v>
      </c>
      <c r="E8813">
        <v>0</v>
      </c>
    </row>
    <row r="8814" spans="1:5" x14ac:dyDescent="0.35">
      <c r="A8814">
        <v>0</v>
      </c>
      <c r="B8814">
        <v>0</v>
      </c>
      <c r="C8814">
        <v>0</v>
      </c>
      <c r="D8814">
        <v>0</v>
      </c>
      <c r="E8814">
        <v>0</v>
      </c>
    </row>
    <row r="8815" spans="1:5" x14ac:dyDescent="0.35">
      <c r="A8815">
        <v>0</v>
      </c>
      <c r="B8815">
        <v>0</v>
      </c>
      <c r="C8815">
        <v>0</v>
      </c>
      <c r="D8815">
        <v>0</v>
      </c>
      <c r="E8815">
        <v>0</v>
      </c>
    </row>
    <row r="8816" spans="1:5" x14ac:dyDescent="0.35">
      <c r="A8816">
        <v>0</v>
      </c>
      <c r="B8816">
        <v>0</v>
      </c>
      <c r="C8816">
        <v>0</v>
      </c>
      <c r="D8816">
        <v>0</v>
      </c>
      <c r="E8816">
        <v>0</v>
      </c>
    </row>
    <row r="8817" spans="1:5" x14ac:dyDescent="0.35">
      <c r="A8817">
        <v>0</v>
      </c>
      <c r="B8817">
        <v>0</v>
      </c>
      <c r="C8817">
        <v>0</v>
      </c>
      <c r="D8817">
        <v>0</v>
      </c>
      <c r="E8817">
        <v>0</v>
      </c>
    </row>
    <row r="8818" spans="1:5" x14ac:dyDescent="0.35">
      <c r="A8818">
        <v>0</v>
      </c>
      <c r="B8818">
        <v>0</v>
      </c>
      <c r="C8818">
        <v>0</v>
      </c>
      <c r="D8818">
        <v>0</v>
      </c>
      <c r="E8818">
        <v>0</v>
      </c>
    </row>
    <row r="8819" spans="1:5" x14ac:dyDescent="0.35">
      <c r="A8819">
        <v>0</v>
      </c>
      <c r="B8819">
        <v>0</v>
      </c>
      <c r="C8819">
        <v>0</v>
      </c>
      <c r="D8819">
        <v>0</v>
      </c>
      <c r="E8819">
        <v>0</v>
      </c>
    </row>
    <row r="8820" spans="1:5" x14ac:dyDescent="0.35">
      <c r="A8820">
        <v>0</v>
      </c>
      <c r="B8820">
        <v>0</v>
      </c>
      <c r="C8820">
        <v>0</v>
      </c>
      <c r="D8820">
        <v>0</v>
      </c>
      <c r="E8820">
        <v>0</v>
      </c>
    </row>
    <row r="8821" spans="1:5" x14ac:dyDescent="0.35">
      <c r="A8821">
        <v>0</v>
      </c>
      <c r="B8821">
        <v>0</v>
      </c>
      <c r="C8821">
        <v>0</v>
      </c>
      <c r="D8821">
        <v>0</v>
      </c>
      <c r="E8821">
        <v>0</v>
      </c>
    </row>
    <row r="8822" spans="1:5" x14ac:dyDescent="0.35">
      <c r="A8822">
        <v>0</v>
      </c>
      <c r="B8822">
        <v>0</v>
      </c>
      <c r="C8822">
        <v>0</v>
      </c>
      <c r="D8822">
        <v>0</v>
      </c>
      <c r="E8822">
        <v>0</v>
      </c>
    </row>
    <row r="8823" spans="1:5" x14ac:dyDescent="0.35">
      <c r="A8823">
        <v>0</v>
      </c>
      <c r="B8823">
        <v>0</v>
      </c>
      <c r="C8823">
        <v>0</v>
      </c>
      <c r="D8823">
        <v>0</v>
      </c>
      <c r="E8823">
        <v>0</v>
      </c>
    </row>
    <row r="8824" spans="1:5" x14ac:dyDescent="0.35">
      <c r="A8824">
        <v>0</v>
      </c>
      <c r="B8824">
        <v>0</v>
      </c>
      <c r="C8824">
        <v>0</v>
      </c>
      <c r="D8824">
        <v>0</v>
      </c>
      <c r="E8824">
        <v>0</v>
      </c>
    </row>
    <row r="8825" spans="1:5" x14ac:dyDescent="0.35">
      <c r="A8825">
        <v>0</v>
      </c>
      <c r="B8825">
        <v>0</v>
      </c>
      <c r="C8825">
        <v>0</v>
      </c>
      <c r="D8825">
        <v>0</v>
      </c>
      <c r="E8825">
        <v>0</v>
      </c>
    </row>
    <row r="8826" spans="1:5" x14ac:dyDescent="0.35">
      <c r="A8826">
        <v>0</v>
      </c>
      <c r="B8826">
        <v>0</v>
      </c>
      <c r="C8826">
        <v>0</v>
      </c>
      <c r="D8826">
        <v>0</v>
      </c>
      <c r="E8826">
        <v>0</v>
      </c>
    </row>
    <row r="8827" spans="1:5" x14ac:dyDescent="0.35">
      <c r="A8827">
        <v>0</v>
      </c>
      <c r="B8827">
        <v>0</v>
      </c>
      <c r="C8827">
        <v>0</v>
      </c>
      <c r="D8827">
        <v>0</v>
      </c>
      <c r="E8827">
        <v>0</v>
      </c>
    </row>
    <row r="8828" spans="1:5" x14ac:dyDescent="0.35">
      <c r="A8828">
        <v>0</v>
      </c>
      <c r="B8828">
        <v>0</v>
      </c>
      <c r="C8828">
        <v>0</v>
      </c>
      <c r="D8828">
        <v>0</v>
      </c>
      <c r="E8828">
        <v>0</v>
      </c>
    </row>
    <row r="8829" spans="1:5" x14ac:dyDescent="0.35">
      <c r="A8829">
        <v>0</v>
      </c>
      <c r="B8829">
        <v>0</v>
      </c>
      <c r="C8829">
        <v>0</v>
      </c>
      <c r="D8829">
        <v>0</v>
      </c>
      <c r="E8829">
        <v>0</v>
      </c>
    </row>
    <row r="8830" spans="1:5" x14ac:dyDescent="0.35">
      <c r="A8830">
        <v>0</v>
      </c>
      <c r="B8830">
        <v>0</v>
      </c>
      <c r="C8830">
        <v>0</v>
      </c>
      <c r="D8830">
        <v>0</v>
      </c>
      <c r="E8830">
        <v>0</v>
      </c>
    </row>
    <row r="8831" spans="1:5" x14ac:dyDescent="0.35">
      <c r="A8831">
        <v>0</v>
      </c>
      <c r="B8831">
        <v>0</v>
      </c>
      <c r="C8831">
        <v>0</v>
      </c>
      <c r="D8831">
        <v>0</v>
      </c>
      <c r="E8831">
        <v>0</v>
      </c>
    </row>
    <row r="8832" spans="1:5" x14ac:dyDescent="0.35">
      <c r="A8832">
        <v>0</v>
      </c>
      <c r="B8832">
        <v>0</v>
      </c>
      <c r="C8832">
        <v>0</v>
      </c>
      <c r="D8832">
        <v>0</v>
      </c>
      <c r="E8832">
        <v>0</v>
      </c>
    </row>
    <row r="8833" spans="1:5" x14ac:dyDescent="0.35">
      <c r="A8833">
        <v>0</v>
      </c>
      <c r="B8833">
        <v>0</v>
      </c>
      <c r="C8833">
        <v>0</v>
      </c>
      <c r="D8833">
        <v>0</v>
      </c>
      <c r="E8833">
        <v>0</v>
      </c>
    </row>
    <row r="8834" spans="1:5" x14ac:dyDescent="0.35">
      <c r="A8834">
        <v>0</v>
      </c>
      <c r="B8834">
        <v>0</v>
      </c>
      <c r="C8834">
        <v>0</v>
      </c>
      <c r="D8834">
        <v>0</v>
      </c>
      <c r="E8834">
        <v>0</v>
      </c>
    </row>
    <row r="8835" spans="1:5" x14ac:dyDescent="0.35">
      <c r="A8835">
        <v>0</v>
      </c>
      <c r="B8835">
        <v>0</v>
      </c>
      <c r="C8835">
        <v>0</v>
      </c>
      <c r="D8835">
        <v>0</v>
      </c>
      <c r="E8835">
        <v>0</v>
      </c>
    </row>
    <row r="8836" spans="1:5" x14ac:dyDescent="0.35">
      <c r="A8836">
        <v>0</v>
      </c>
      <c r="B8836">
        <v>0</v>
      </c>
      <c r="C8836">
        <v>0</v>
      </c>
      <c r="D8836">
        <v>0</v>
      </c>
      <c r="E8836">
        <v>0</v>
      </c>
    </row>
    <row r="8837" spans="1:5" x14ac:dyDescent="0.35">
      <c r="A8837">
        <v>0</v>
      </c>
      <c r="B8837">
        <v>0</v>
      </c>
      <c r="C8837">
        <v>0</v>
      </c>
      <c r="D8837">
        <v>0</v>
      </c>
      <c r="E8837">
        <v>0</v>
      </c>
    </row>
    <row r="8838" spans="1:5" x14ac:dyDescent="0.35">
      <c r="A8838">
        <v>0</v>
      </c>
      <c r="B8838">
        <v>0</v>
      </c>
      <c r="C8838">
        <v>0</v>
      </c>
      <c r="D8838">
        <v>0</v>
      </c>
      <c r="E8838">
        <v>0</v>
      </c>
    </row>
    <row r="8839" spans="1:5" x14ac:dyDescent="0.35">
      <c r="A8839">
        <v>0</v>
      </c>
      <c r="B8839">
        <v>0</v>
      </c>
      <c r="C8839">
        <v>0</v>
      </c>
      <c r="D8839">
        <v>0</v>
      </c>
      <c r="E8839">
        <v>0</v>
      </c>
    </row>
    <row r="8840" spans="1:5" x14ac:dyDescent="0.35">
      <c r="A8840">
        <v>0</v>
      </c>
      <c r="B8840">
        <v>0</v>
      </c>
      <c r="C8840">
        <v>0</v>
      </c>
      <c r="D8840">
        <v>0</v>
      </c>
      <c r="E8840">
        <v>0</v>
      </c>
    </row>
    <row r="8841" spans="1:5" x14ac:dyDescent="0.35">
      <c r="A8841">
        <v>0</v>
      </c>
      <c r="B8841">
        <v>0</v>
      </c>
      <c r="C8841">
        <v>0</v>
      </c>
      <c r="D8841">
        <v>0</v>
      </c>
      <c r="E8841">
        <v>0</v>
      </c>
    </row>
    <row r="8842" spans="1:5" x14ac:dyDescent="0.35">
      <c r="A8842">
        <v>0</v>
      </c>
      <c r="B8842">
        <v>0</v>
      </c>
      <c r="C8842">
        <v>0</v>
      </c>
      <c r="D8842">
        <v>0</v>
      </c>
      <c r="E8842">
        <v>0</v>
      </c>
    </row>
    <row r="8843" spans="1:5" x14ac:dyDescent="0.35">
      <c r="A8843">
        <v>0</v>
      </c>
      <c r="B8843">
        <v>0</v>
      </c>
      <c r="C8843">
        <v>0</v>
      </c>
      <c r="D8843">
        <v>0</v>
      </c>
      <c r="E8843">
        <v>0</v>
      </c>
    </row>
    <row r="8844" spans="1:5" x14ac:dyDescent="0.35">
      <c r="A8844">
        <v>0</v>
      </c>
      <c r="B8844">
        <v>0</v>
      </c>
      <c r="C8844">
        <v>0</v>
      </c>
      <c r="D8844">
        <v>0</v>
      </c>
      <c r="E8844">
        <v>0</v>
      </c>
    </row>
    <row r="8845" spans="1:5" x14ac:dyDescent="0.35">
      <c r="A8845">
        <v>0</v>
      </c>
      <c r="B8845">
        <v>0</v>
      </c>
      <c r="C8845">
        <v>0</v>
      </c>
      <c r="D8845">
        <v>0</v>
      </c>
      <c r="E8845">
        <v>0</v>
      </c>
    </row>
    <row r="8846" spans="1:5" x14ac:dyDescent="0.35">
      <c r="A8846">
        <v>0</v>
      </c>
      <c r="B8846">
        <v>0</v>
      </c>
      <c r="C8846">
        <v>0</v>
      </c>
      <c r="D8846">
        <v>0</v>
      </c>
      <c r="E8846">
        <v>0</v>
      </c>
    </row>
    <row r="8847" spans="1:5" x14ac:dyDescent="0.35">
      <c r="A8847">
        <v>0</v>
      </c>
      <c r="B8847">
        <v>0</v>
      </c>
      <c r="C8847">
        <v>0</v>
      </c>
      <c r="D8847">
        <v>0</v>
      </c>
      <c r="E8847">
        <v>0</v>
      </c>
    </row>
    <row r="8848" spans="1:5" x14ac:dyDescent="0.35">
      <c r="A8848">
        <v>0</v>
      </c>
      <c r="B8848">
        <v>0</v>
      </c>
      <c r="C8848">
        <v>0</v>
      </c>
      <c r="D8848">
        <v>0</v>
      </c>
      <c r="E8848">
        <v>0</v>
      </c>
    </row>
    <row r="8849" spans="1:5" x14ac:dyDescent="0.35">
      <c r="A8849">
        <v>0</v>
      </c>
      <c r="B8849">
        <v>0</v>
      </c>
      <c r="C8849">
        <v>0</v>
      </c>
      <c r="D8849">
        <v>0</v>
      </c>
      <c r="E8849">
        <v>0</v>
      </c>
    </row>
    <row r="8850" spans="1:5" x14ac:dyDescent="0.35">
      <c r="A8850">
        <v>0</v>
      </c>
      <c r="B8850">
        <v>0</v>
      </c>
      <c r="C8850">
        <v>0</v>
      </c>
      <c r="D8850">
        <v>0</v>
      </c>
      <c r="E8850">
        <v>0</v>
      </c>
    </row>
    <row r="8851" spans="1:5" x14ac:dyDescent="0.35">
      <c r="A8851">
        <v>0</v>
      </c>
      <c r="B8851">
        <v>0</v>
      </c>
      <c r="C8851">
        <v>0</v>
      </c>
      <c r="D8851">
        <v>0</v>
      </c>
      <c r="E8851">
        <v>0</v>
      </c>
    </row>
    <row r="8852" spans="1:5" x14ac:dyDescent="0.35">
      <c r="A8852">
        <v>0</v>
      </c>
      <c r="B8852">
        <v>0</v>
      </c>
      <c r="C8852">
        <v>0</v>
      </c>
      <c r="D8852">
        <v>0</v>
      </c>
      <c r="E8852">
        <v>0</v>
      </c>
    </row>
    <row r="8853" spans="1:5" x14ac:dyDescent="0.35">
      <c r="A8853">
        <v>0</v>
      </c>
      <c r="B8853">
        <v>0</v>
      </c>
      <c r="C8853">
        <v>0</v>
      </c>
      <c r="D8853">
        <v>0</v>
      </c>
      <c r="E8853">
        <v>0</v>
      </c>
    </row>
    <row r="8854" spans="1:5" x14ac:dyDescent="0.35">
      <c r="A8854">
        <v>0</v>
      </c>
      <c r="B8854">
        <v>0</v>
      </c>
      <c r="C8854">
        <v>0</v>
      </c>
      <c r="D8854">
        <v>0</v>
      </c>
      <c r="E8854">
        <v>0</v>
      </c>
    </row>
    <row r="8855" spans="1:5" x14ac:dyDescent="0.35">
      <c r="A8855">
        <v>0</v>
      </c>
      <c r="B8855">
        <v>0</v>
      </c>
      <c r="C8855">
        <v>0</v>
      </c>
      <c r="D8855">
        <v>0</v>
      </c>
      <c r="E8855">
        <v>0</v>
      </c>
    </row>
    <row r="8856" spans="1:5" x14ac:dyDescent="0.35">
      <c r="A8856">
        <v>0</v>
      </c>
      <c r="B8856">
        <v>0</v>
      </c>
      <c r="C8856">
        <v>0</v>
      </c>
      <c r="D8856">
        <v>0</v>
      </c>
      <c r="E8856">
        <v>0</v>
      </c>
    </row>
    <row r="8857" spans="1:5" x14ac:dyDescent="0.35">
      <c r="A8857">
        <v>0</v>
      </c>
      <c r="B8857">
        <v>0</v>
      </c>
      <c r="C8857">
        <v>0</v>
      </c>
      <c r="D8857">
        <v>0</v>
      </c>
      <c r="E8857">
        <v>0</v>
      </c>
    </row>
    <row r="8858" spans="1:5" x14ac:dyDescent="0.35">
      <c r="A8858">
        <v>0</v>
      </c>
      <c r="B8858">
        <v>0</v>
      </c>
      <c r="C8858">
        <v>0</v>
      </c>
      <c r="D8858">
        <v>0</v>
      </c>
      <c r="E8858">
        <v>0</v>
      </c>
    </row>
    <row r="8859" spans="1:5" x14ac:dyDescent="0.35">
      <c r="A8859">
        <v>0</v>
      </c>
      <c r="B8859">
        <v>0</v>
      </c>
      <c r="C8859">
        <v>0</v>
      </c>
      <c r="D8859">
        <v>0</v>
      </c>
      <c r="E8859">
        <v>0</v>
      </c>
    </row>
    <row r="8860" spans="1:5" x14ac:dyDescent="0.35">
      <c r="A8860">
        <v>0</v>
      </c>
      <c r="B8860">
        <v>0</v>
      </c>
      <c r="C8860">
        <v>0</v>
      </c>
      <c r="D8860">
        <v>0</v>
      </c>
      <c r="E8860">
        <v>0</v>
      </c>
    </row>
    <row r="8861" spans="1:5" x14ac:dyDescent="0.35">
      <c r="A8861">
        <v>0</v>
      </c>
      <c r="B8861">
        <v>0</v>
      </c>
      <c r="C8861">
        <v>0</v>
      </c>
      <c r="D8861">
        <v>0</v>
      </c>
      <c r="E8861">
        <v>0</v>
      </c>
    </row>
    <row r="8862" spans="1:5" x14ac:dyDescent="0.35">
      <c r="A8862">
        <v>0</v>
      </c>
      <c r="B8862">
        <v>0</v>
      </c>
      <c r="C8862">
        <v>0</v>
      </c>
      <c r="D8862">
        <v>0</v>
      </c>
      <c r="E8862">
        <v>0</v>
      </c>
    </row>
    <row r="8863" spans="1:5" x14ac:dyDescent="0.35">
      <c r="A8863">
        <v>0</v>
      </c>
      <c r="B8863">
        <v>0</v>
      </c>
      <c r="C8863">
        <v>0</v>
      </c>
      <c r="D8863">
        <v>0</v>
      </c>
      <c r="E8863">
        <v>0</v>
      </c>
    </row>
    <row r="8864" spans="1:5" x14ac:dyDescent="0.35">
      <c r="A8864">
        <v>0</v>
      </c>
      <c r="B8864">
        <v>0</v>
      </c>
      <c r="C8864">
        <v>0</v>
      </c>
      <c r="D8864">
        <v>0</v>
      </c>
      <c r="E8864">
        <v>0</v>
      </c>
    </row>
    <row r="8865" spans="1:5" x14ac:dyDescent="0.35">
      <c r="A8865">
        <v>0</v>
      </c>
      <c r="B8865">
        <v>0</v>
      </c>
      <c r="C8865">
        <v>0</v>
      </c>
      <c r="D8865">
        <v>0</v>
      </c>
      <c r="E8865">
        <v>0</v>
      </c>
    </row>
    <row r="8866" spans="1:5" x14ac:dyDescent="0.35">
      <c r="A8866">
        <v>0</v>
      </c>
      <c r="B8866">
        <v>0</v>
      </c>
      <c r="C8866">
        <v>0</v>
      </c>
      <c r="D8866">
        <v>0</v>
      </c>
      <c r="E8866">
        <v>0</v>
      </c>
    </row>
    <row r="8867" spans="1:5" x14ac:dyDescent="0.35">
      <c r="A8867">
        <v>0</v>
      </c>
      <c r="B8867">
        <v>0</v>
      </c>
      <c r="C8867">
        <v>0</v>
      </c>
      <c r="D8867">
        <v>0</v>
      </c>
      <c r="E8867">
        <v>0</v>
      </c>
    </row>
    <row r="8868" spans="1:5" x14ac:dyDescent="0.35">
      <c r="A8868">
        <v>0</v>
      </c>
      <c r="B8868">
        <v>0</v>
      </c>
      <c r="C8868">
        <v>0</v>
      </c>
      <c r="D8868">
        <v>0</v>
      </c>
      <c r="E8868">
        <v>0</v>
      </c>
    </row>
    <row r="8869" spans="1:5" x14ac:dyDescent="0.35">
      <c r="A8869">
        <v>0</v>
      </c>
      <c r="B8869">
        <v>0</v>
      </c>
      <c r="C8869">
        <v>0</v>
      </c>
      <c r="D8869">
        <v>0</v>
      </c>
      <c r="E8869">
        <v>0</v>
      </c>
    </row>
    <row r="8870" spans="1:5" x14ac:dyDescent="0.35">
      <c r="A8870">
        <v>0</v>
      </c>
      <c r="B8870">
        <v>0</v>
      </c>
      <c r="C8870">
        <v>0</v>
      </c>
      <c r="D8870">
        <v>0</v>
      </c>
      <c r="E8870">
        <v>0</v>
      </c>
    </row>
    <row r="8871" spans="1:5" x14ac:dyDescent="0.35">
      <c r="A8871">
        <v>0</v>
      </c>
      <c r="B8871">
        <v>0</v>
      </c>
      <c r="C8871">
        <v>0</v>
      </c>
      <c r="D8871">
        <v>0</v>
      </c>
      <c r="E8871">
        <v>0</v>
      </c>
    </row>
    <row r="8872" spans="1:5" x14ac:dyDescent="0.35">
      <c r="A8872">
        <v>0</v>
      </c>
      <c r="B8872">
        <v>0</v>
      </c>
      <c r="C8872">
        <v>0</v>
      </c>
      <c r="D8872">
        <v>0</v>
      </c>
      <c r="E8872">
        <v>0</v>
      </c>
    </row>
    <row r="8873" spans="1:5" x14ac:dyDescent="0.35">
      <c r="A8873">
        <v>0</v>
      </c>
      <c r="B8873">
        <v>0</v>
      </c>
      <c r="C8873">
        <v>0</v>
      </c>
      <c r="D8873">
        <v>0</v>
      </c>
      <c r="E8873">
        <v>0</v>
      </c>
    </row>
    <row r="8874" spans="1:5" x14ac:dyDescent="0.35">
      <c r="A8874">
        <v>0</v>
      </c>
      <c r="B8874">
        <v>0</v>
      </c>
      <c r="C8874">
        <v>0</v>
      </c>
      <c r="D8874">
        <v>0</v>
      </c>
      <c r="E8874">
        <v>0</v>
      </c>
    </row>
    <row r="8875" spans="1:5" x14ac:dyDescent="0.35">
      <c r="A8875">
        <v>0</v>
      </c>
      <c r="B8875">
        <v>0</v>
      </c>
      <c r="C8875">
        <v>0</v>
      </c>
      <c r="D8875">
        <v>0</v>
      </c>
      <c r="E8875">
        <v>0</v>
      </c>
    </row>
    <row r="8876" spans="1:5" x14ac:dyDescent="0.35">
      <c r="A8876">
        <v>0</v>
      </c>
      <c r="B8876">
        <v>0</v>
      </c>
      <c r="C8876">
        <v>0</v>
      </c>
      <c r="D8876">
        <v>0</v>
      </c>
      <c r="E8876">
        <v>0</v>
      </c>
    </row>
    <row r="8877" spans="1:5" x14ac:dyDescent="0.35">
      <c r="A8877">
        <v>0</v>
      </c>
      <c r="B8877">
        <v>0</v>
      </c>
      <c r="C8877">
        <v>0</v>
      </c>
      <c r="D8877">
        <v>0</v>
      </c>
      <c r="E8877">
        <v>0</v>
      </c>
    </row>
    <row r="8878" spans="1:5" x14ac:dyDescent="0.35">
      <c r="A8878">
        <v>0</v>
      </c>
      <c r="B8878">
        <v>0</v>
      </c>
      <c r="C8878">
        <v>0</v>
      </c>
      <c r="D8878">
        <v>0</v>
      </c>
      <c r="E8878">
        <v>0</v>
      </c>
    </row>
    <row r="8879" spans="1:5" x14ac:dyDescent="0.35">
      <c r="A8879">
        <v>0</v>
      </c>
      <c r="B8879">
        <v>0</v>
      </c>
      <c r="C8879">
        <v>0</v>
      </c>
      <c r="D8879">
        <v>0</v>
      </c>
      <c r="E8879">
        <v>0</v>
      </c>
    </row>
    <row r="8880" spans="1:5" x14ac:dyDescent="0.35">
      <c r="A8880">
        <v>0</v>
      </c>
      <c r="B8880">
        <v>0</v>
      </c>
      <c r="C8880">
        <v>0</v>
      </c>
      <c r="D8880">
        <v>0</v>
      </c>
      <c r="E8880">
        <v>0</v>
      </c>
    </row>
    <row r="8881" spans="1:5" x14ac:dyDescent="0.35">
      <c r="A8881">
        <v>0</v>
      </c>
      <c r="B8881">
        <v>0</v>
      </c>
      <c r="C8881">
        <v>0</v>
      </c>
      <c r="D8881">
        <v>0</v>
      </c>
      <c r="E8881">
        <v>0</v>
      </c>
    </row>
    <row r="8882" spans="1:5" x14ac:dyDescent="0.35">
      <c r="A8882">
        <v>0</v>
      </c>
      <c r="B8882">
        <v>0</v>
      </c>
      <c r="C8882">
        <v>0</v>
      </c>
      <c r="D8882">
        <v>0</v>
      </c>
      <c r="E8882">
        <v>0</v>
      </c>
    </row>
    <row r="8883" spans="1:5" x14ac:dyDescent="0.35">
      <c r="A8883">
        <v>0</v>
      </c>
      <c r="B8883">
        <v>0</v>
      </c>
      <c r="C8883">
        <v>0</v>
      </c>
      <c r="D8883">
        <v>0</v>
      </c>
      <c r="E8883">
        <v>0</v>
      </c>
    </row>
    <row r="8884" spans="1:5" x14ac:dyDescent="0.35">
      <c r="A8884">
        <v>0</v>
      </c>
      <c r="B8884">
        <v>0</v>
      </c>
      <c r="C8884">
        <v>0</v>
      </c>
      <c r="D8884">
        <v>0</v>
      </c>
      <c r="E8884">
        <v>0</v>
      </c>
    </row>
    <row r="8885" spans="1:5" x14ac:dyDescent="0.35">
      <c r="A8885">
        <v>0</v>
      </c>
      <c r="B8885">
        <v>0</v>
      </c>
      <c r="C8885">
        <v>0</v>
      </c>
      <c r="D8885">
        <v>0</v>
      </c>
      <c r="E8885">
        <v>0</v>
      </c>
    </row>
    <row r="8886" spans="1:5" x14ac:dyDescent="0.35">
      <c r="A8886">
        <v>0</v>
      </c>
      <c r="B8886">
        <v>0</v>
      </c>
      <c r="C8886">
        <v>0</v>
      </c>
      <c r="D8886">
        <v>0</v>
      </c>
      <c r="E8886">
        <v>0</v>
      </c>
    </row>
    <row r="8887" spans="1:5" x14ac:dyDescent="0.35">
      <c r="A8887">
        <v>0</v>
      </c>
      <c r="B8887">
        <v>0</v>
      </c>
      <c r="C8887">
        <v>0</v>
      </c>
      <c r="D8887">
        <v>0</v>
      </c>
      <c r="E8887">
        <v>0</v>
      </c>
    </row>
    <row r="8888" spans="1:5" x14ac:dyDescent="0.35">
      <c r="A8888">
        <v>0</v>
      </c>
      <c r="B8888">
        <v>0</v>
      </c>
      <c r="C8888">
        <v>0</v>
      </c>
      <c r="D8888">
        <v>0</v>
      </c>
      <c r="E8888">
        <v>0</v>
      </c>
    </row>
    <row r="8889" spans="1:5" x14ac:dyDescent="0.35">
      <c r="A8889">
        <v>0</v>
      </c>
      <c r="B8889">
        <v>0</v>
      </c>
      <c r="C8889">
        <v>0</v>
      </c>
      <c r="D8889">
        <v>0</v>
      </c>
      <c r="E8889">
        <v>0</v>
      </c>
    </row>
    <row r="8890" spans="1:5" x14ac:dyDescent="0.35">
      <c r="A8890">
        <v>0</v>
      </c>
      <c r="B8890">
        <v>0</v>
      </c>
      <c r="C8890">
        <v>0</v>
      </c>
      <c r="D8890">
        <v>0</v>
      </c>
      <c r="E8890">
        <v>0</v>
      </c>
    </row>
    <row r="8891" spans="1:5" x14ac:dyDescent="0.35">
      <c r="A8891">
        <v>0</v>
      </c>
      <c r="B8891">
        <v>0</v>
      </c>
      <c r="C8891">
        <v>0</v>
      </c>
      <c r="D8891">
        <v>0</v>
      </c>
      <c r="E8891">
        <v>0</v>
      </c>
    </row>
    <row r="8892" spans="1:5" x14ac:dyDescent="0.35">
      <c r="A8892">
        <v>0</v>
      </c>
      <c r="B8892">
        <v>0</v>
      </c>
      <c r="C8892">
        <v>0</v>
      </c>
      <c r="D8892">
        <v>0</v>
      </c>
      <c r="E8892">
        <v>0</v>
      </c>
    </row>
    <row r="8893" spans="1:5" x14ac:dyDescent="0.35">
      <c r="A8893">
        <v>0</v>
      </c>
      <c r="B8893">
        <v>0</v>
      </c>
      <c r="C8893">
        <v>0</v>
      </c>
      <c r="D8893">
        <v>0</v>
      </c>
      <c r="E8893">
        <v>0</v>
      </c>
    </row>
    <row r="8894" spans="1:5" x14ac:dyDescent="0.35">
      <c r="A8894">
        <v>0</v>
      </c>
      <c r="B8894">
        <v>0</v>
      </c>
      <c r="C8894">
        <v>0</v>
      </c>
      <c r="D8894">
        <v>0</v>
      </c>
      <c r="E8894">
        <v>0</v>
      </c>
    </row>
    <row r="8895" spans="1:5" x14ac:dyDescent="0.35">
      <c r="A8895">
        <v>0</v>
      </c>
      <c r="B8895">
        <v>0</v>
      </c>
      <c r="C8895">
        <v>0</v>
      </c>
      <c r="D8895">
        <v>0</v>
      </c>
      <c r="E8895">
        <v>0</v>
      </c>
    </row>
    <row r="8896" spans="1:5" x14ac:dyDescent="0.35">
      <c r="A8896">
        <v>0</v>
      </c>
      <c r="B8896">
        <v>0</v>
      </c>
      <c r="C8896">
        <v>0</v>
      </c>
      <c r="D8896">
        <v>0</v>
      </c>
      <c r="E8896">
        <v>0</v>
      </c>
    </row>
    <row r="8897" spans="1:5" x14ac:dyDescent="0.35">
      <c r="A8897">
        <v>0</v>
      </c>
      <c r="B8897">
        <v>0</v>
      </c>
      <c r="C8897">
        <v>0</v>
      </c>
      <c r="D8897">
        <v>0</v>
      </c>
      <c r="E8897">
        <v>0</v>
      </c>
    </row>
    <row r="8898" spans="1:5" x14ac:dyDescent="0.35">
      <c r="A8898">
        <v>0</v>
      </c>
      <c r="B8898">
        <v>0</v>
      </c>
      <c r="C8898">
        <v>0</v>
      </c>
      <c r="D8898">
        <v>0</v>
      </c>
      <c r="E8898">
        <v>0</v>
      </c>
    </row>
    <row r="8899" spans="1:5" x14ac:dyDescent="0.35">
      <c r="A8899">
        <v>0</v>
      </c>
      <c r="B8899">
        <v>0</v>
      </c>
      <c r="C8899">
        <v>0</v>
      </c>
      <c r="D8899">
        <v>0</v>
      </c>
      <c r="E8899">
        <v>0</v>
      </c>
    </row>
    <row r="8900" spans="1:5" x14ac:dyDescent="0.35">
      <c r="A8900">
        <v>0</v>
      </c>
      <c r="B8900">
        <v>0</v>
      </c>
      <c r="C8900">
        <v>0</v>
      </c>
      <c r="D8900">
        <v>0</v>
      </c>
      <c r="E8900">
        <v>0</v>
      </c>
    </row>
    <row r="8901" spans="1:5" x14ac:dyDescent="0.35">
      <c r="A8901">
        <v>0</v>
      </c>
      <c r="B8901">
        <v>0</v>
      </c>
      <c r="C8901">
        <v>0</v>
      </c>
      <c r="D8901">
        <v>0</v>
      </c>
      <c r="E8901">
        <v>0</v>
      </c>
    </row>
    <row r="8902" spans="1:5" x14ac:dyDescent="0.35">
      <c r="A8902">
        <v>0</v>
      </c>
      <c r="B8902">
        <v>0</v>
      </c>
      <c r="C8902">
        <v>0</v>
      </c>
      <c r="D8902">
        <v>0</v>
      </c>
      <c r="E8902">
        <v>0</v>
      </c>
    </row>
    <row r="8903" spans="1:5" x14ac:dyDescent="0.35">
      <c r="A8903">
        <v>0</v>
      </c>
      <c r="B8903">
        <v>0</v>
      </c>
      <c r="C8903">
        <v>0</v>
      </c>
      <c r="D8903">
        <v>0</v>
      </c>
      <c r="E8903">
        <v>0</v>
      </c>
    </row>
    <row r="8904" spans="1:5" x14ac:dyDescent="0.35">
      <c r="A8904">
        <v>0</v>
      </c>
      <c r="B8904">
        <v>0</v>
      </c>
      <c r="C8904">
        <v>0</v>
      </c>
      <c r="D8904">
        <v>0</v>
      </c>
      <c r="E8904">
        <v>0</v>
      </c>
    </row>
    <row r="8905" spans="1:5" x14ac:dyDescent="0.35">
      <c r="A8905">
        <v>0</v>
      </c>
      <c r="B8905">
        <v>0</v>
      </c>
      <c r="C8905">
        <v>0</v>
      </c>
      <c r="D8905">
        <v>0</v>
      </c>
      <c r="E8905">
        <v>0</v>
      </c>
    </row>
    <row r="8906" spans="1:5" x14ac:dyDescent="0.35">
      <c r="A8906">
        <v>0</v>
      </c>
      <c r="B8906">
        <v>0</v>
      </c>
      <c r="C8906">
        <v>0</v>
      </c>
      <c r="D8906">
        <v>0</v>
      </c>
      <c r="E8906">
        <v>0</v>
      </c>
    </row>
    <row r="8907" spans="1:5" x14ac:dyDescent="0.35">
      <c r="A8907">
        <v>0</v>
      </c>
      <c r="B8907">
        <v>0</v>
      </c>
      <c r="C8907">
        <v>0</v>
      </c>
      <c r="D8907">
        <v>0</v>
      </c>
      <c r="E8907">
        <v>0</v>
      </c>
    </row>
    <row r="8908" spans="1:5" x14ac:dyDescent="0.35">
      <c r="A8908">
        <v>0</v>
      </c>
      <c r="B8908">
        <v>0</v>
      </c>
      <c r="C8908">
        <v>0</v>
      </c>
      <c r="D8908">
        <v>0</v>
      </c>
      <c r="E8908">
        <v>0</v>
      </c>
    </row>
    <row r="8909" spans="1:5" x14ac:dyDescent="0.35">
      <c r="A8909">
        <v>0</v>
      </c>
      <c r="B8909">
        <v>0</v>
      </c>
      <c r="C8909">
        <v>0</v>
      </c>
      <c r="D8909">
        <v>0</v>
      </c>
      <c r="E8909">
        <v>0</v>
      </c>
    </row>
    <row r="8910" spans="1:5" x14ac:dyDescent="0.35">
      <c r="A8910">
        <v>0</v>
      </c>
      <c r="B8910">
        <v>0</v>
      </c>
      <c r="C8910">
        <v>0</v>
      </c>
      <c r="D8910">
        <v>0</v>
      </c>
      <c r="E8910">
        <v>0</v>
      </c>
    </row>
    <row r="8911" spans="1:5" x14ac:dyDescent="0.35">
      <c r="A8911">
        <v>0</v>
      </c>
      <c r="B8911">
        <v>0</v>
      </c>
      <c r="C8911">
        <v>0</v>
      </c>
      <c r="D8911">
        <v>0</v>
      </c>
      <c r="E8911">
        <v>0</v>
      </c>
    </row>
    <row r="8912" spans="1:5" x14ac:dyDescent="0.35">
      <c r="A8912">
        <v>0</v>
      </c>
      <c r="B8912">
        <v>0</v>
      </c>
      <c r="C8912">
        <v>0</v>
      </c>
      <c r="D8912">
        <v>0</v>
      </c>
      <c r="E8912">
        <v>0</v>
      </c>
    </row>
    <row r="8913" spans="1:5" x14ac:dyDescent="0.35">
      <c r="A8913">
        <v>0</v>
      </c>
      <c r="B8913">
        <v>0</v>
      </c>
      <c r="C8913">
        <v>0</v>
      </c>
      <c r="D8913">
        <v>0</v>
      </c>
      <c r="E8913">
        <v>0</v>
      </c>
    </row>
    <row r="8914" spans="1:5" x14ac:dyDescent="0.35">
      <c r="A8914">
        <v>0</v>
      </c>
      <c r="B8914">
        <v>0</v>
      </c>
      <c r="C8914">
        <v>0</v>
      </c>
      <c r="D8914">
        <v>0</v>
      </c>
      <c r="E8914">
        <v>0</v>
      </c>
    </row>
    <row r="8915" spans="1:5" x14ac:dyDescent="0.35">
      <c r="A8915">
        <v>0</v>
      </c>
      <c r="B8915">
        <v>0</v>
      </c>
      <c r="C8915">
        <v>0</v>
      </c>
      <c r="D8915">
        <v>0</v>
      </c>
      <c r="E8915">
        <v>0</v>
      </c>
    </row>
    <row r="8916" spans="1:5" x14ac:dyDescent="0.35">
      <c r="A8916">
        <v>0</v>
      </c>
      <c r="B8916">
        <v>0</v>
      </c>
      <c r="C8916">
        <v>0</v>
      </c>
      <c r="D8916">
        <v>0</v>
      </c>
      <c r="E8916">
        <v>0</v>
      </c>
    </row>
    <row r="8917" spans="1:5" x14ac:dyDescent="0.35">
      <c r="A8917">
        <v>0</v>
      </c>
      <c r="B8917">
        <v>0</v>
      </c>
      <c r="C8917">
        <v>0</v>
      </c>
      <c r="D8917">
        <v>0</v>
      </c>
      <c r="E8917">
        <v>0</v>
      </c>
    </row>
    <row r="8918" spans="1:5" x14ac:dyDescent="0.35">
      <c r="A8918">
        <v>0</v>
      </c>
      <c r="B8918">
        <v>0</v>
      </c>
      <c r="C8918">
        <v>0</v>
      </c>
      <c r="D8918">
        <v>0</v>
      </c>
      <c r="E8918">
        <v>0</v>
      </c>
    </row>
    <row r="8919" spans="1:5" x14ac:dyDescent="0.35">
      <c r="A8919">
        <v>0</v>
      </c>
      <c r="B8919">
        <v>0</v>
      </c>
      <c r="C8919">
        <v>0</v>
      </c>
      <c r="D8919">
        <v>0</v>
      </c>
      <c r="E8919">
        <v>0</v>
      </c>
    </row>
    <row r="8920" spans="1:5" x14ac:dyDescent="0.35">
      <c r="A8920">
        <v>0</v>
      </c>
      <c r="B8920">
        <v>0</v>
      </c>
      <c r="C8920">
        <v>0</v>
      </c>
      <c r="D8920">
        <v>0</v>
      </c>
      <c r="E8920">
        <v>0</v>
      </c>
    </row>
    <row r="8921" spans="1:5" x14ac:dyDescent="0.35">
      <c r="A8921">
        <v>0</v>
      </c>
      <c r="B8921">
        <v>0</v>
      </c>
      <c r="C8921">
        <v>0</v>
      </c>
      <c r="D8921">
        <v>0</v>
      </c>
      <c r="E8921">
        <v>0</v>
      </c>
    </row>
    <row r="8922" spans="1:5" x14ac:dyDescent="0.35">
      <c r="A8922">
        <v>0</v>
      </c>
      <c r="B8922">
        <v>0</v>
      </c>
      <c r="C8922">
        <v>0</v>
      </c>
      <c r="D8922">
        <v>0</v>
      </c>
      <c r="E8922">
        <v>0</v>
      </c>
    </row>
    <row r="8923" spans="1:5" x14ac:dyDescent="0.35">
      <c r="A8923">
        <v>0</v>
      </c>
      <c r="B8923">
        <v>0</v>
      </c>
      <c r="C8923">
        <v>0</v>
      </c>
      <c r="D8923">
        <v>0</v>
      </c>
      <c r="E8923">
        <v>0</v>
      </c>
    </row>
    <row r="8924" spans="1:5" x14ac:dyDescent="0.35">
      <c r="A8924">
        <v>0</v>
      </c>
      <c r="B8924">
        <v>0</v>
      </c>
      <c r="C8924">
        <v>0</v>
      </c>
      <c r="D8924">
        <v>0</v>
      </c>
      <c r="E8924">
        <v>0</v>
      </c>
    </row>
    <row r="8925" spans="1:5" x14ac:dyDescent="0.35">
      <c r="A8925">
        <v>0</v>
      </c>
      <c r="B8925">
        <v>0</v>
      </c>
      <c r="C8925">
        <v>0</v>
      </c>
      <c r="D8925">
        <v>0</v>
      </c>
      <c r="E8925">
        <v>0</v>
      </c>
    </row>
    <row r="8926" spans="1:5" x14ac:dyDescent="0.35">
      <c r="A8926">
        <v>0</v>
      </c>
      <c r="B8926">
        <v>0</v>
      </c>
      <c r="C8926">
        <v>0</v>
      </c>
      <c r="D8926">
        <v>0</v>
      </c>
      <c r="E8926">
        <v>0</v>
      </c>
    </row>
    <row r="8927" spans="1:5" x14ac:dyDescent="0.35">
      <c r="A8927">
        <v>0</v>
      </c>
      <c r="B8927">
        <v>0</v>
      </c>
      <c r="C8927">
        <v>0</v>
      </c>
      <c r="D8927">
        <v>0</v>
      </c>
      <c r="E8927">
        <v>0</v>
      </c>
    </row>
    <row r="8928" spans="1:5" x14ac:dyDescent="0.35">
      <c r="A8928">
        <v>0</v>
      </c>
      <c r="B8928">
        <v>0</v>
      </c>
      <c r="C8928">
        <v>0</v>
      </c>
      <c r="D8928">
        <v>0</v>
      </c>
      <c r="E8928">
        <v>0</v>
      </c>
    </row>
    <row r="8929" spans="1:5" x14ac:dyDescent="0.35">
      <c r="A8929">
        <v>0</v>
      </c>
      <c r="B8929">
        <v>0</v>
      </c>
      <c r="C8929">
        <v>0</v>
      </c>
      <c r="D8929">
        <v>0</v>
      </c>
      <c r="E8929">
        <v>0</v>
      </c>
    </row>
    <row r="8930" spans="1:5" x14ac:dyDescent="0.35">
      <c r="A8930">
        <v>0</v>
      </c>
      <c r="B8930">
        <v>0</v>
      </c>
      <c r="C8930">
        <v>0</v>
      </c>
      <c r="D8930">
        <v>0</v>
      </c>
      <c r="E8930">
        <v>0</v>
      </c>
    </row>
    <row r="8931" spans="1:5" x14ac:dyDescent="0.35">
      <c r="A8931">
        <v>0</v>
      </c>
      <c r="B8931">
        <v>0</v>
      </c>
      <c r="C8931">
        <v>0</v>
      </c>
      <c r="D8931">
        <v>0</v>
      </c>
      <c r="E8931">
        <v>0</v>
      </c>
    </row>
    <row r="8932" spans="1:5" x14ac:dyDescent="0.35">
      <c r="A8932">
        <v>0</v>
      </c>
      <c r="B8932">
        <v>0</v>
      </c>
      <c r="C8932">
        <v>0</v>
      </c>
      <c r="D8932">
        <v>0</v>
      </c>
      <c r="E8932">
        <v>0</v>
      </c>
    </row>
    <row r="8933" spans="1:5" x14ac:dyDescent="0.35">
      <c r="A8933">
        <v>0</v>
      </c>
      <c r="B8933">
        <v>0</v>
      </c>
      <c r="C8933">
        <v>0</v>
      </c>
      <c r="D8933">
        <v>0</v>
      </c>
      <c r="E8933">
        <v>0</v>
      </c>
    </row>
    <row r="8934" spans="1:5" x14ac:dyDescent="0.35">
      <c r="A8934">
        <v>0</v>
      </c>
      <c r="B8934">
        <v>0</v>
      </c>
      <c r="C8934">
        <v>0</v>
      </c>
      <c r="D8934">
        <v>0</v>
      </c>
      <c r="E8934">
        <v>0</v>
      </c>
    </row>
    <row r="8935" spans="1:5" x14ac:dyDescent="0.35">
      <c r="A8935">
        <v>0</v>
      </c>
      <c r="B8935">
        <v>0</v>
      </c>
      <c r="C8935">
        <v>0</v>
      </c>
      <c r="D8935">
        <v>0</v>
      </c>
      <c r="E8935">
        <v>0</v>
      </c>
    </row>
    <row r="8936" spans="1:5" x14ac:dyDescent="0.35">
      <c r="A8936">
        <v>0</v>
      </c>
      <c r="B8936">
        <v>0</v>
      </c>
      <c r="C8936">
        <v>0</v>
      </c>
      <c r="D8936">
        <v>0</v>
      </c>
      <c r="E8936">
        <v>0</v>
      </c>
    </row>
    <row r="8937" spans="1:5" x14ac:dyDescent="0.35">
      <c r="A8937">
        <v>0</v>
      </c>
      <c r="B8937">
        <v>0</v>
      </c>
      <c r="C8937">
        <v>0</v>
      </c>
      <c r="D8937">
        <v>0</v>
      </c>
      <c r="E8937">
        <v>0</v>
      </c>
    </row>
    <row r="8938" spans="1:5" x14ac:dyDescent="0.35">
      <c r="A8938">
        <v>0</v>
      </c>
      <c r="B8938">
        <v>0</v>
      </c>
      <c r="C8938">
        <v>0</v>
      </c>
      <c r="D8938">
        <v>0</v>
      </c>
      <c r="E8938">
        <v>0</v>
      </c>
    </row>
    <row r="8939" spans="1:5" x14ac:dyDescent="0.35">
      <c r="A8939">
        <v>0</v>
      </c>
      <c r="B8939">
        <v>0</v>
      </c>
      <c r="C8939">
        <v>0</v>
      </c>
      <c r="D8939">
        <v>0</v>
      </c>
      <c r="E8939">
        <v>0</v>
      </c>
    </row>
    <row r="8940" spans="1:5" x14ac:dyDescent="0.35">
      <c r="A8940">
        <v>0</v>
      </c>
      <c r="B8940">
        <v>0</v>
      </c>
      <c r="C8940">
        <v>0</v>
      </c>
      <c r="D8940">
        <v>0</v>
      </c>
      <c r="E8940">
        <v>0</v>
      </c>
    </row>
    <row r="8941" spans="1:5" x14ac:dyDescent="0.35">
      <c r="A8941">
        <v>0</v>
      </c>
      <c r="B8941">
        <v>0</v>
      </c>
      <c r="C8941">
        <v>0</v>
      </c>
      <c r="D8941">
        <v>0</v>
      </c>
      <c r="E8941">
        <v>0</v>
      </c>
    </row>
    <row r="8942" spans="1:5" x14ac:dyDescent="0.35">
      <c r="A8942">
        <v>0</v>
      </c>
      <c r="B8942">
        <v>0</v>
      </c>
      <c r="C8942">
        <v>0</v>
      </c>
      <c r="D8942">
        <v>0</v>
      </c>
      <c r="E8942">
        <v>0</v>
      </c>
    </row>
    <row r="8943" spans="1:5" x14ac:dyDescent="0.35">
      <c r="A8943">
        <v>0</v>
      </c>
      <c r="B8943">
        <v>0</v>
      </c>
      <c r="C8943">
        <v>0</v>
      </c>
      <c r="D8943">
        <v>0</v>
      </c>
      <c r="E8943">
        <v>0</v>
      </c>
    </row>
    <row r="8944" spans="1:5" x14ac:dyDescent="0.35">
      <c r="A8944">
        <v>0</v>
      </c>
      <c r="B8944">
        <v>0</v>
      </c>
      <c r="C8944">
        <v>0</v>
      </c>
      <c r="D8944">
        <v>0</v>
      </c>
      <c r="E8944">
        <v>0</v>
      </c>
    </row>
    <row r="8945" spans="1:5" x14ac:dyDescent="0.35">
      <c r="A8945">
        <v>0</v>
      </c>
      <c r="B8945">
        <v>0</v>
      </c>
      <c r="C8945">
        <v>0</v>
      </c>
      <c r="D8945">
        <v>0</v>
      </c>
      <c r="E8945">
        <v>0</v>
      </c>
    </row>
    <row r="8946" spans="1:5" x14ac:dyDescent="0.35">
      <c r="A8946">
        <v>0</v>
      </c>
      <c r="B8946">
        <v>0</v>
      </c>
      <c r="C8946">
        <v>0</v>
      </c>
      <c r="D8946">
        <v>0</v>
      </c>
      <c r="E8946">
        <v>0</v>
      </c>
    </row>
    <row r="8947" spans="1:5" x14ac:dyDescent="0.35">
      <c r="A8947">
        <v>0</v>
      </c>
      <c r="B8947">
        <v>0</v>
      </c>
      <c r="C8947">
        <v>0</v>
      </c>
      <c r="D8947">
        <v>0</v>
      </c>
      <c r="E8947">
        <v>0</v>
      </c>
    </row>
    <row r="8948" spans="1:5" x14ac:dyDescent="0.35">
      <c r="A8948">
        <v>0</v>
      </c>
      <c r="B8948">
        <v>0</v>
      </c>
      <c r="C8948">
        <v>0</v>
      </c>
      <c r="D8948">
        <v>0</v>
      </c>
      <c r="E8948">
        <v>0</v>
      </c>
    </row>
    <row r="8949" spans="1:5" x14ac:dyDescent="0.35">
      <c r="A8949">
        <v>0</v>
      </c>
      <c r="B8949">
        <v>0</v>
      </c>
      <c r="C8949">
        <v>0</v>
      </c>
      <c r="D8949">
        <v>0</v>
      </c>
      <c r="E8949">
        <v>0</v>
      </c>
    </row>
    <row r="8950" spans="1:5" x14ac:dyDescent="0.35">
      <c r="A8950">
        <v>0</v>
      </c>
      <c r="B8950">
        <v>0</v>
      </c>
      <c r="C8950">
        <v>0</v>
      </c>
      <c r="D8950">
        <v>0</v>
      </c>
      <c r="E8950">
        <v>0</v>
      </c>
    </row>
    <row r="8951" spans="1:5" x14ac:dyDescent="0.35">
      <c r="A8951">
        <v>0</v>
      </c>
      <c r="B8951">
        <v>0</v>
      </c>
      <c r="C8951">
        <v>0</v>
      </c>
      <c r="D8951">
        <v>0</v>
      </c>
      <c r="E8951">
        <v>0</v>
      </c>
    </row>
    <row r="8952" spans="1:5" x14ac:dyDescent="0.35">
      <c r="A8952">
        <v>0</v>
      </c>
      <c r="B8952">
        <v>0</v>
      </c>
      <c r="C8952">
        <v>0</v>
      </c>
      <c r="D8952">
        <v>0</v>
      </c>
      <c r="E8952">
        <v>0</v>
      </c>
    </row>
    <row r="8953" spans="1:5" x14ac:dyDescent="0.35">
      <c r="A8953">
        <v>0</v>
      </c>
      <c r="B8953">
        <v>0</v>
      </c>
      <c r="C8953">
        <v>0</v>
      </c>
      <c r="D8953">
        <v>0</v>
      </c>
      <c r="E8953">
        <v>0</v>
      </c>
    </row>
    <row r="8954" spans="1:5" x14ac:dyDescent="0.35">
      <c r="A8954">
        <v>0</v>
      </c>
      <c r="B8954">
        <v>0</v>
      </c>
      <c r="C8954">
        <v>0</v>
      </c>
      <c r="D8954">
        <v>0</v>
      </c>
      <c r="E8954">
        <v>0</v>
      </c>
    </row>
    <row r="8955" spans="1:5" x14ac:dyDescent="0.35">
      <c r="A8955">
        <v>0</v>
      </c>
      <c r="B8955">
        <v>0</v>
      </c>
      <c r="C8955">
        <v>0</v>
      </c>
      <c r="D8955">
        <v>0</v>
      </c>
      <c r="E8955">
        <v>0</v>
      </c>
    </row>
    <row r="8956" spans="1:5" x14ac:dyDescent="0.35">
      <c r="A8956">
        <v>0</v>
      </c>
      <c r="B8956">
        <v>0</v>
      </c>
      <c r="C8956">
        <v>0</v>
      </c>
      <c r="D8956">
        <v>0</v>
      </c>
      <c r="E8956">
        <v>0</v>
      </c>
    </row>
    <row r="8957" spans="1:5" x14ac:dyDescent="0.35">
      <c r="A8957">
        <v>0</v>
      </c>
      <c r="B8957">
        <v>0</v>
      </c>
      <c r="C8957">
        <v>0</v>
      </c>
      <c r="D8957">
        <v>0</v>
      </c>
      <c r="E8957">
        <v>0</v>
      </c>
    </row>
    <row r="8958" spans="1:5" x14ac:dyDescent="0.35">
      <c r="A8958">
        <v>0</v>
      </c>
      <c r="B8958">
        <v>0</v>
      </c>
      <c r="C8958">
        <v>0</v>
      </c>
      <c r="D8958">
        <v>0</v>
      </c>
      <c r="E8958">
        <v>0</v>
      </c>
    </row>
    <row r="8959" spans="1:5" x14ac:dyDescent="0.35">
      <c r="A8959">
        <v>0</v>
      </c>
      <c r="B8959">
        <v>0</v>
      </c>
      <c r="C8959">
        <v>0</v>
      </c>
      <c r="D8959">
        <v>0</v>
      </c>
      <c r="E8959">
        <v>0</v>
      </c>
    </row>
    <row r="8960" spans="1:5" x14ac:dyDescent="0.35">
      <c r="A8960">
        <v>0</v>
      </c>
      <c r="B8960">
        <v>0</v>
      </c>
      <c r="C8960">
        <v>0</v>
      </c>
      <c r="D8960">
        <v>0</v>
      </c>
      <c r="E8960">
        <v>0</v>
      </c>
    </row>
    <row r="8961" spans="1:5" x14ac:dyDescent="0.35">
      <c r="A8961">
        <v>0</v>
      </c>
      <c r="B8961">
        <v>0</v>
      </c>
      <c r="C8961">
        <v>0</v>
      </c>
      <c r="D8961">
        <v>0</v>
      </c>
      <c r="E8961">
        <v>0</v>
      </c>
    </row>
    <row r="8962" spans="1:5" x14ac:dyDescent="0.35">
      <c r="A8962">
        <v>0</v>
      </c>
      <c r="B8962">
        <v>0</v>
      </c>
      <c r="C8962">
        <v>0</v>
      </c>
      <c r="D8962">
        <v>0</v>
      </c>
      <c r="E8962">
        <v>0</v>
      </c>
    </row>
    <row r="8963" spans="1:5" x14ac:dyDescent="0.35">
      <c r="A8963">
        <v>0</v>
      </c>
      <c r="B8963">
        <v>0</v>
      </c>
      <c r="C8963">
        <v>0</v>
      </c>
      <c r="D8963">
        <v>0</v>
      </c>
      <c r="E8963">
        <v>0</v>
      </c>
    </row>
    <row r="8964" spans="1:5" x14ac:dyDescent="0.35">
      <c r="A8964">
        <v>0</v>
      </c>
      <c r="B8964">
        <v>0</v>
      </c>
      <c r="C8964">
        <v>0</v>
      </c>
      <c r="D8964">
        <v>0</v>
      </c>
      <c r="E8964">
        <v>0</v>
      </c>
    </row>
    <row r="8965" spans="1:5" x14ac:dyDescent="0.35">
      <c r="A8965">
        <v>0</v>
      </c>
      <c r="B8965">
        <v>0</v>
      </c>
      <c r="C8965">
        <v>0</v>
      </c>
      <c r="D8965">
        <v>0</v>
      </c>
      <c r="E8965">
        <v>0</v>
      </c>
    </row>
    <row r="8966" spans="1:5" x14ac:dyDescent="0.35">
      <c r="A8966">
        <v>0</v>
      </c>
      <c r="B8966">
        <v>0</v>
      </c>
      <c r="C8966">
        <v>0</v>
      </c>
      <c r="D8966">
        <v>0</v>
      </c>
      <c r="E8966">
        <v>0</v>
      </c>
    </row>
    <row r="8967" spans="1:5" x14ac:dyDescent="0.35">
      <c r="A8967">
        <v>0</v>
      </c>
      <c r="B8967">
        <v>0</v>
      </c>
      <c r="C8967">
        <v>0</v>
      </c>
      <c r="D8967">
        <v>0</v>
      </c>
      <c r="E8967">
        <v>0</v>
      </c>
    </row>
    <row r="8968" spans="1:5" x14ac:dyDescent="0.35">
      <c r="A8968">
        <v>0</v>
      </c>
      <c r="B8968">
        <v>0</v>
      </c>
      <c r="C8968">
        <v>0</v>
      </c>
      <c r="D8968">
        <v>0</v>
      </c>
      <c r="E8968">
        <v>0</v>
      </c>
    </row>
    <row r="8969" spans="1:5" x14ac:dyDescent="0.35">
      <c r="A8969">
        <v>0</v>
      </c>
      <c r="B8969">
        <v>0</v>
      </c>
      <c r="C8969">
        <v>0</v>
      </c>
      <c r="D8969">
        <v>0</v>
      </c>
      <c r="E8969">
        <v>0</v>
      </c>
    </row>
    <row r="8970" spans="1:5" x14ac:dyDescent="0.35">
      <c r="A8970">
        <v>0</v>
      </c>
      <c r="B8970">
        <v>0</v>
      </c>
      <c r="C8970">
        <v>0</v>
      </c>
      <c r="D8970">
        <v>0</v>
      </c>
      <c r="E8970">
        <v>0</v>
      </c>
    </row>
    <row r="8971" spans="1:5" x14ac:dyDescent="0.35">
      <c r="A8971">
        <v>0</v>
      </c>
      <c r="B8971">
        <v>0</v>
      </c>
      <c r="C8971">
        <v>0</v>
      </c>
      <c r="D8971">
        <v>0</v>
      </c>
      <c r="E8971">
        <v>0</v>
      </c>
    </row>
    <row r="8972" spans="1:5" x14ac:dyDescent="0.35">
      <c r="A8972">
        <v>0</v>
      </c>
      <c r="B8972">
        <v>0</v>
      </c>
      <c r="C8972">
        <v>0</v>
      </c>
      <c r="D8972">
        <v>0</v>
      </c>
      <c r="E8972">
        <v>0</v>
      </c>
    </row>
    <row r="8973" spans="1:5" x14ac:dyDescent="0.35">
      <c r="A8973">
        <v>0</v>
      </c>
      <c r="B8973">
        <v>0</v>
      </c>
      <c r="C8973">
        <v>0</v>
      </c>
      <c r="D8973">
        <v>0</v>
      </c>
      <c r="E8973">
        <v>0</v>
      </c>
    </row>
    <row r="8974" spans="1:5" x14ac:dyDescent="0.35">
      <c r="A8974">
        <v>0</v>
      </c>
      <c r="B8974">
        <v>0</v>
      </c>
      <c r="C8974">
        <v>0</v>
      </c>
      <c r="D8974">
        <v>0</v>
      </c>
      <c r="E8974">
        <v>0</v>
      </c>
    </row>
    <row r="8975" spans="1:5" x14ac:dyDescent="0.35">
      <c r="A8975">
        <v>0</v>
      </c>
      <c r="B8975">
        <v>0</v>
      </c>
      <c r="C8975">
        <v>0</v>
      </c>
      <c r="D8975">
        <v>0</v>
      </c>
      <c r="E8975">
        <v>0</v>
      </c>
    </row>
    <row r="8976" spans="1:5" x14ac:dyDescent="0.35">
      <c r="A8976">
        <v>0</v>
      </c>
      <c r="B8976">
        <v>0</v>
      </c>
      <c r="C8976">
        <v>0</v>
      </c>
      <c r="D8976">
        <v>0</v>
      </c>
      <c r="E8976">
        <v>0</v>
      </c>
    </row>
    <row r="8977" spans="1:5" x14ac:dyDescent="0.35">
      <c r="A8977">
        <v>0</v>
      </c>
      <c r="B8977">
        <v>0</v>
      </c>
      <c r="C8977">
        <v>0</v>
      </c>
      <c r="D8977">
        <v>0</v>
      </c>
      <c r="E8977">
        <v>0</v>
      </c>
    </row>
    <row r="8978" spans="1:5" x14ac:dyDescent="0.35">
      <c r="A8978">
        <v>0</v>
      </c>
      <c r="B8978">
        <v>0</v>
      </c>
      <c r="C8978">
        <v>0</v>
      </c>
      <c r="D8978">
        <v>0</v>
      </c>
      <c r="E8978">
        <v>0</v>
      </c>
    </row>
    <row r="8979" spans="1:5" x14ac:dyDescent="0.35">
      <c r="A8979">
        <v>0</v>
      </c>
      <c r="B8979">
        <v>0</v>
      </c>
      <c r="C8979">
        <v>0</v>
      </c>
      <c r="D8979">
        <v>0</v>
      </c>
      <c r="E8979">
        <v>0</v>
      </c>
    </row>
    <row r="8980" spans="1:5" x14ac:dyDescent="0.35">
      <c r="A8980">
        <v>0</v>
      </c>
      <c r="B8980">
        <v>0</v>
      </c>
      <c r="C8980">
        <v>0</v>
      </c>
      <c r="D8980">
        <v>0</v>
      </c>
      <c r="E8980">
        <v>0</v>
      </c>
    </row>
    <row r="8981" spans="1:5" x14ac:dyDescent="0.35">
      <c r="A8981">
        <v>0</v>
      </c>
      <c r="B8981">
        <v>0</v>
      </c>
      <c r="C8981">
        <v>0</v>
      </c>
      <c r="D8981">
        <v>0</v>
      </c>
      <c r="E8981">
        <v>0</v>
      </c>
    </row>
    <row r="8982" spans="1:5" x14ac:dyDescent="0.35">
      <c r="A8982">
        <v>0</v>
      </c>
      <c r="B8982">
        <v>0</v>
      </c>
      <c r="C8982">
        <v>0</v>
      </c>
      <c r="D8982">
        <v>0</v>
      </c>
      <c r="E8982">
        <v>0</v>
      </c>
    </row>
    <row r="8983" spans="1:5" x14ac:dyDescent="0.35">
      <c r="A8983">
        <v>0</v>
      </c>
      <c r="B8983">
        <v>0</v>
      </c>
      <c r="C8983">
        <v>0</v>
      </c>
      <c r="D8983">
        <v>0</v>
      </c>
      <c r="E8983">
        <v>0</v>
      </c>
    </row>
    <row r="8984" spans="1:5" x14ac:dyDescent="0.35">
      <c r="A8984">
        <v>0</v>
      </c>
      <c r="B8984">
        <v>0</v>
      </c>
      <c r="C8984">
        <v>0</v>
      </c>
      <c r="D8984">
        <v>0</v>
      </c>
      <c r="E8984">
        <v>0</v>
      </c>
    </row>
    <row r="8985" spans="1:5" x14ac:dyDescent="0.35">
      <c r="A8985">
        <v>0</v>
      </c>
      <c r="B8985">
        <v>0</v>
      </c>
      <c r="C8985">
        <v>0</v>
      </c>
      <c r="D8985">
        <v>0</v>
      </c>
      <c r="E8985">
        <v>0</v>
      </c>
    </row>
    <row r="8986" spans="1:5" x14ac:dyDescent="0.35">
      <c r="A8986">
        <v>0</v>
      </c>
      <c r="B8986">
        <v>0</v>
      </c>
      <c r="C8986">
        <v>0</v>
      </c>
      <c r="D8986">
        <v>0</v>
      </c>
      <c r="E8986">
        <v>0</v>
      </c>
    </row>
    <row r="8987" spans="1:5" x14ac:dyDescent="0.35">
      <c r="A8987">
        <v>0</v>
      </c>
      <c r="B8987">
        <v>0</v>
      </c>
      <c r="C8987">
        <v>0</v>
      </c>
      <c r="D8987">
        <v>0</v>
      </c>
      <c r="E8987">
        <v>0</v>
      </c>
    </row>
    <row r="8988" spans="1:5" x14ac:dyDescent="0.35">
      <c r="A8988">
        <v>0</v>
      </c>
      <c r="B8988">
        <v>0</v>
      </c>
      <c r="C8988">
        <v>0</v>
      </c>
      <c r="D8988">
        <v>0</v>
      </c>
      <c r="E8988">
        <v>0</v>
      </c>
    </row>
    <row r="8989" spans="1:5" x14ac:dyDescent="0.35">
      <c r="A8989">
        <v>0</v>
      </c>
      <c r="B8989">
        <v>0</v>
      </c>
      <c r="C8989">
        <v>0</v>
      </c>
      <c r="D8989">
        <v>0</v>
      </c>
      <c r="E8989">
        <v>0</v>
      </c>
    </row>
    <row r="8990" spans="1:5" x14ac:dyDescent="0.35">
      <c r="A8990">
        <v>0</v>
      </c>
      <c r="B8990">
        <v>0</v>
      </c>
      <c r="C8990">
        <v>0</v>
      </c>
      <c r="D8990">
        <v>0</v>
      </c>
      <c r="E8990">
        <v>0</v>
      </c>
    </row>
    <row r="8991" spans="1:5" x14ac:dyDescent="0.35">
      <c r="A8991">
        <v>0</v>
      </c>
      <c r="B8991">
        <v>0</v>
      </c>
      <c r="C8991">
        <v>0</v>
      </c>
      <c r="D8991">
        <v>0</v>
      </c>
      <c r="E8991">
        <v>0</v>
      </c>
    </row>
    <row r="8992" spans="1:5" x14ac:dyDescent="0.35">
      <c r="A8992">
        <v>0</v>
      </c>
      <c r="B8992">
        <v>0</v>
      </c>
      <c r="C8992">
        <v>0</v>
      </c>
      <c r="D8992">
        <v>0</v>
      </c>
      <c r="E8992">
        <v>0</v>
      </c>
    </row>
    <row r="8993" spans="1:5" x14ac:dyDescent="0.35">
      <c r="A8993">
        <v>0</v>
      </c>
      <c r="B8993">
        <v>0</v>
      </c>
      <c r="C8993">
        <v>0</v>
      </c>
      <c r="D8993">
        <v>0</v>
      </c>
      <c r="E8993">
        <v>0</v>
      </c>
    </row>
    <row r="8994" spans="1:5" x14ac:dyDescent="0.35">
      <c r="A8994">
        <v>0</v>
      </c>
      <c r="B8994">
        <v>0</v>
      </c>
      <c r="C8994">
        <v>0</v>
      </c>
      <c r="D8994">
        <v>0</v>
      </c>
      <c r="E8994">
        <v>0</v>
      </c>
    </row>
    <row r="8995" spans="1:5" x14ac:dyDescent="0.35">
      <c r="A8995">
        <v>0</v>
      </c>
      <c r="B8995">
        <v>0</v>
      </c>
      <c r="C8995">
        <v>0</v>
      </c>
      <c r="D8995">
        <v>0</v>
      </c>
      <c r="E8995">
        <v>0</v>
      </c>
    </row>
    <row r="8996" spans="1:5" x14ac:dyDescent="0.35">
      <c r="A8996">
        <v>0</v>
      </c>
      <c r="B8996">
        <v>0</v>
      </c>
      <c r="C8996">
        <v>0</v>
      </c>
      <c r="D8996">
        <v>0</v>
      </c>
      <c r="E8996">
        <v>0</v>
      </c>
    </row>
    <row r="8997" spans="1:5" x14ac:dyDescent="0.35">
      <c r="A8997">
        <v>0</v>
      </c>
      <c r="B8997">
        <v>0</v>
      </c>
      <c r="C8997">
        <v>0</v>
      </c>
      <c r="D8997">
        <v>0</v>
      </c>
      <c r="E8997">
        <v>0</v>
      </c>
    </row>
    <row r="8998" spans="1:5" x14ac:dyDescent="0.35">
      <c r="A8998">
        <v>0</v>
      </c>
      <c r="B8998">
        <v>0</v>
      </c>
      <c r="C8998">
        <v>0</v>
      </c>
      <c r="D8998">
        <v>0</v>
      </c>
      <c r="E8998">
        <v>0</v>
      </c>
    </row>
    <row r="8999" spans="1:5" x14ac:dyDescent="0.35">
      <c r="A8999">
        <v>0</v>
      </c>
      <c r="B8999">
        <v>0</v>
      </c>
      <c r="C8999">
        <v>0</v>
      </c>
      <c r="D8999">
        <v>0</v>
      </c>
      <c r="E8999">
        <v>0</v>
      </c>
    </row>
    <row r="9000" spans="1:5" x14ac:dyDescent="0.35">
      <c r="A9000">
        <v>0</v>
      </c>
      <c r="B9000">
        <v>0</v>
      </c>
      <c r="C9000">
        <v>0</v>
      </c>
      <c r="D9000">
        <v>0</v>
      </c>
      <c r="E9000">
        <v>0</v>
      </c>
    </row>
    <row r="9001" spans="1:5" x14ac:dyDescent="0.35">
      <c r="A9001">
        <v>0</v>
      </c>
      <c r="B9001">
        <v>0</v>
      </c>
      <c r="C9001">
        <v>0</v>
      </c>
      <c r="D9001">
        <v>0</v>
      </c>
      <c r="E9001">
        <v>0</v>
      </c>
    </row>
    <row r="9002" spans="1:5" x14ac:dyDescent="0.35">
      <c r="A9002">
        <v>0</v>
      </c>
      <c r="B9002">
        <v>0</v>
      </c>
      <c r="C9002">
        <v>0</v>
      </c>
      <c r="D9002">
        <v>0</v>
      </c>
      <c r="E9002">
        <v>0</v>
      </c>
    </row>
    <row r="9003" spans="1:5" x14ac:dyDescent="0.35">
      <c r="A9003">
        <v>0</v>
      </c>
      <c r="B9003">
        <v>0</v>
      </c>
      <c r="C9003">
        <v>0</v>
      </c>
      <c r="D9003">
        <v>0</v>
      </c>
      <c r="E9003">
        <v>0</v>
      </c>
    </row>
    <row r="9004" spans="1:5" x14ac:dyDescent="0.35">
      <c r="A9004">
        <v>0</v>
      </c>
      <c r="B9004">
        <v>0</v>
      </c>
      <c r="C9004">
        <v>0</v>
      </c>
      <c r="D9004">
        <v>0</v>
      </c>
      <c r="E9004">
        <v>0</v>
      </c>
    </row>
    <row r="9005" spans="1:5" x14ac:dyDescent="0.35">
      <c r="A9005">
        <v>0</v>
      </c>
      <c r="B9005">
        <v>0</v>
      </c>
      <c r="C9005">
        <v>0</v>
      </c>
      <c r="D9005">
        <v>0</v>
      </c>
      <c r="E9005">
        <v>0</v>
      </c>
    </row>
    <row r="9006" spans="1:5" x14ac:dyDescent="0.35">
      <c r="A9006">
        <v>0</v>
      </c>
      <c r="B9006">
        <v>0</v>
      </c>
      <c r="C9006">
        <v>0</v>
      </c>
      <c r="D9006">
        <v>0</v>
      </c>
      <c r="E9006">
        <v>0</v>
      </c>
    </row>
    <row r="9007" spans="1:5" x14ac:dyDescent="0.35">
      <c r="A9007">
        <v>0</v>
      </c>
      <c r="B9007">
        <v>0</v>
      </c>
      <c r="C9007">
        <v>0</v>
      </c>
      <c r="D9007">
        <v>0</v>
      </c>
      <c r="E9007">
        <v>0</v>
      </c>
    </row>
    <row r="9008" spans="1:5" x14ac:dyDescent="0.35">
      <c r="A9008">
        <v>0</v>
      </c>
      <c r="B9008">
        <v>0</v>
      </c>
      <c r="C9008">
        <v>0</v>
      </c>
      <c r="D9008">
        <v>0</v>
      </c>
      <c r="E9008">
        <v>0</v>
      </c>
    </row>
    <row r="9009" spans="1:5" x14ac:dyDescent="0.35">
      <c r="A9009">
        <v>0</v>
      </c>
      <c r="B9009">
        <v>0</v>
      </c>
      <c r="C9009">
        <v>0</v>
      </c>
      <c r="D9009">
        <v>0</v>
      </c>
      <c r="E9009">
        <v>0</v>
      </c>
    </row>
    <row r="9010" spans="1:5" x14ac:dyDescent="0.35">
      <c r="A9010">
        <v>0</v>
      </c>
      <c r="B9010">
        <v>0</v>
      </c>
      <c r="C9010">
        <v>0</v>
      </c>
      <c r="D9010">
        <v>0</v>
      </c>
      <c r="E9010">
        <v>0</v>
      </c>
    </row>
    <row r="9011" spans="1:5" x14ac:dyDescent="0.35">
      <c r="A9011">
        <v>0</v>
      </c>
      <c r="B9011">
        <v>0</v>
      </c>
      <c r="C9011">
        <v>0</v>
      </c>
      <c r="D9011">
        <v>0</v>
      </c>
      <c r="E9011">
        <v>0</v>
      </c>
    </row>
    <row r="9012" spans="1:5" x14ac:dyDescent="0.35">
      <c r="A9012">
        <v>0</v>
      </c>
      <c r="B9012">
        <v>0</v>
      </c>
      <c r="C9012">
        <v>0</v>
      </c>
      <c r="D9012">
        <v>0</v>
      </c>
      <c r="E9012">
        <v>0</v>
      </c>
    </row>
    <row r="9013" spans="1:5" x14ac:dyDescent="0.35">
      <c r="A9013">
        <v>0</v>
      </c>
      <c r="B9013">
        <v>0</v>
      </c>
      <c r="C9013">
        <v>0</v>
      </c>
      <c r="D9013">
        <v>0</v>
      </c>
      <c r="E9013">
        <v>0</v>
      </c>
    </row>
    <row r="9014" spans="1:5" x14ac:dyDescent="0.35">
      <c r="A9014">
        <v>0</v>
      </c>
      <c r="B9014">
        <v>0</v>
      </c>
      <c r="C9014">
        <v>0</v>
      </c>
      <c r="D9014">
        <v>0</v>
      </c>
      <c r="E9014">
        <v>0</v>
      </c>
    </row>
    <row r="9015" spans="1:5" x14ac:dyDescent="0.35">
      <c r="A9015">
        <v>0</v>
      </c>
      <c r="B9015">
        <v>0</v>
      </c>
      <c r="C9015">
        <v>0</v>
      </c>
      <c r="D9015">
        <v>0</v>
      </c>
      <c r="E9015">
        <v>0</v>
      </c>
    </row>
    <row r="9016" spans="1:5" x14ac:dyDescent="0.35">
      <c r="A9016">
        <v>0</v>
      </c>
      <c r="B9016">
        <v>0</v>
      </c>
      <c r="C9016">
        <v>0</v>
      </c>
      <c r="D9016">
        <v>0</v>
      </c>
      <c r="E9016">
        <v>0</v>
      </c>
    </row>
    <row r="9017" spans="1:5" x14ac:dyDescent="0.35">
      <c r="A9017">
        <v>0</v>
      </c>
      <c r="B9017">
        <v>0</v>
      </c>
      <c r="C9017">
        <v>0</v>
      </c>
      <c r="D9017">
        <v>0</v>
      </c>
      <c r="E9017">
        <v>0</v>
      </c>
    </row>
    <row r="9018" spans="1:5" x14ac:dyDescent="0.35">
      <c r="A9018">
        <v>0</v>
      </c>
      <c r="B9018">
        <v>0</v>
      </c>
      <c r="C9018">
        <v>0</v>
      </c>
      <c r="D9018">
        <v>0</v>
      </c>
      <c r="E9018">
        <v>0</v>
      </c>
    </row>
    <row r="9019" spans="1:5" x14ac:dyDescent="0.35">
      <c r="A9019">
        <v>0</v>
      </c>
      <c r="B9019">
        <v>0</v>
      </c>
      <c r="C9019">
        <v>0</v>
      </c>
      <c r="D9019">
        <v>0</v>
      </c>
      <c r="E9019">
        <v>0</v>
      </c>
    </row>
    <row r="9020" spans="1:5" x14ac:dyDescent="0.35">
      <c r="A9020">
        <v>0</v>
      </c>
      <c r="B9020">
        <v>0</v>
      </c>
      <c r="C9020">
        <v>0</v>
      </c>
      <c r="D9020">
        <v>0</v>
      </c>
      <c r="E9020">
        <v>0</v>
      </c>
    </row>
    <row r="9021" spans="1:5" x14ac:dyDescent="0.35">
      <c r="A9021">
        <v>0</v>
      </c>
      <c r="B9021">
        <v>0</v>
      </c>
      <c r="C9021">
        <v>0</v>
      </c>
      <c r="D9021">
        <v>0</v>
      </c>
      <c r="E9021">
        <v>0</v>
      </c>
    </row>
    <row r="9022" spans="1:5" x14ac:dyDescent="0.35">
      <c r="A9022">
        <v>0</v>
      </c>
      <c r="B9022">
        <v>0</v>
      </c>
      <c r="C9022">
        <v>0</v>
      </c>
      <c r="D9022">
        <v>0</v>
      </c>
      <c r="E9022">
        <v>0</v>
      </c>
    </row>
    <row r="9023" spans="1:5" x14ac:dyDescent="0.35">
      <c r="A9023">
        <v>0</v>
      </c>
      <c r="B9023">
        <v>0</v>
      </c>
      <c r="C9023">
        <v>0</v>
      </c>
      <c r="D9023">
        <v>0</v>
      </c>
      <c r="E9023">
        <v>0</v>
      </c>
    </row>
    <row r="9024" spans="1:5" x14ac:dyDescent="0.35">
      <c r="A9024">
        <v>0</v>
      </c>
      <c r="B9024">
        <v>0</v>
      </c>
      <c r="C9024">
        <v>0</v>
      </c>
      <c r="D9024">
        <v>0</v>
      </c>
      <c r="E9024">
        <v>0</v>
      </c>
    </row>
    <row r="9025" spans="1:5" x14ac:dyDescent="0.35">
      <c r="A9025">
        <v>0</v>
      </c>
      <c r="B9025">
        <v>0</v>
      </c>
      <c r="C9025">
        <v>0</v>
      </c>
      <c r="D9025">
        <v>0</v>
      </c>
      <c r="E9025">
        <v>0</v>
      </c>
    </row>
    <row r="9026" spans="1:5" x14ac:dyDescent="0.35">
      <c r="A9026">
        <v>0</v>
      </c>
      <c r="B9026">
        <v>0</v>
      </c>
      <c r="C9026">
        <v>0</v>
      </c>
      <c r="D9026">
        <v>0</v>
      </c>
      <c r="E9026">
        <v>0</v>
      </c>
    </row>
    <row r="9027" spans="1:5" x14ac:dyDescent="0.35">
      <c r="A9027">
        <v>0</v>
      </c>
      <c r="B9027">
        <v>0</v>
      </c>
      <c r="C9027">
        <v>0</v>
      </c>
      <c r="D9027">
        <v>0</v>
      </c>
      <c r="E9027">
        <v>0</v>
      </c>
    </row>
    <row r="9028" spans="1:5" x14ac:dyDescent="0.35">
      <c r="A9028">
        <v>0</v>
      </c>
      <c r="B9028">
        <v>0</v>
      </c>
      <c r="C9028">
        <v>0</v>
      </c>
      <c r="D9028">
        <v>0</v>
      </c>
      <c r="E9028">
        <v>0</v>
      </c>
    </row>
    <row r="9029" spans="1:5" x14ac:dyDescent="0.35">
      <c r="A9029">
        <v>0</v>
      </c>
      <c r="B9029">
        <v>0</v>
      </c>
      <c r="C9029">
        <v>0</v>
      </c>
      <c r="D9029">
        <v>0</v>
      </c>
      <c r="E9029">
        <v>0</v>
      </c>
    </row>
    <row r="9030" spans="1:5" x14ac:dyDescent="0.35">
      <c r="A9030">
        <v>0</v>
      </c>
      <c r="B9030">
        <v>0</v>
      </c>
      <c r="C9030">
        <v>0</v>
      </c>
      <c r="D9030">
        <v>0</v>
      </c>
      <c r="E9030">
        <v>0</v>
      </c>
    </row>
    <row r="9031" spans="1:5" x14ac:dyDescent="0.35">
      <c r="A9031">
        <v>0</v>
      </c>
      <c r="B9031">
        <v>0</v>
      </c>
      <c r="C9031">
        <v>0</v>
      </c>
      <c r="D9031">
        <v>0</v>
      </c>
      <c r="E9031">
        <v>0</v>
      </c>
    </row>
    <row r="9032" spans="1:5" x14ac:dyDescent="0.35">
      <c r="A9032">
        <v>0</v>
      </c>
      <c r="B9032">
        <v>0</v>
      </c>
      <c r="C9032">
        <v>0</v>
      </c>
      <c r="D9032">
        <v>0</v>
      </c>
      <c r="E9032">
        <v>0</v>
      </c>
    </row>
    <row r="9033" spans="1:5" x14ac:dyDescent="0.35">
      <c r="A9033">
        <v>0</v>
      </c>
      <c r="B9033">
        <v>0</v>
      </c>
      <c r="C9033">
        <v>0</v>
      </c>
      <c r="D9033">
        <v>0</v>
      </c>
      <c r="E9033">
        <v>0</v>
      </c>
    </row>
    <row r="9034" spans="1:5" x14ac:dyDescent="0.35">
      <c r="A9034">
        <v>0</v>
      </c>
      <c r="B9034">
        <v>0</v>
      </c>
      <c r="C9034">
        <v>0</v>
      </c>
      <c r="D9034">
        <v>0</v>
      </c>
      <c r="E9034">
        <v>0</v>
      </c>
    </row>
    <row r="9035" spans="1:5" x14ac:dyDescent="0.35">
      <c r="A9035">
        <v>0</v>
      </c>
      <c r="B9035">
        <v>0</v>
      </c>
      <c r="C9035">
        <v>0</v>
      </c>
      <c r="D9035">
        <v>0</v>
      </c>
      <c r="E9035">
        <v>0</v>
      </c>
    </row>
    <row r="9036" spans="1:5" x14ac:dyDescent="0.35">
      <c r="A9036">
        <v>0</v>
      </c>
      <c r="B9036">
        <v>0</v>
      </c>
      <c r="C9036">
        <v>0</v>
      </c>
      <c r="D9036">
        <v>0</v>
      </c>
      <c r="E9036">
        <v>0</v>
      </c>
    </row>
    <row r="9037" spans="1:5" x14ac:dyDescent="0.35">
      <c r="A9037">
        <v>0</v>
      </c>
      <c r="B9037">
        <v>0</v>
      </c>
      <c r="C9037">
        <v>0</v>
      </c>
      <c r="D9037">
        <v>0</v>
      </c>
      <c r="E9037">
        <v>0</v>
      </c>
    </row>
    <row r="9038" spans="1:5" x14ac:dyDescent="0.35">
      <c r="A9038">
        <v>0</v>
      </c>
      <c r="B9038">
        <v>0</v>
      </c>
      <c r="C9038">
        <v>0</v>
      </c>
      <c r="D9038">
        <v>0</v>
      </c>
      <c r="E9038">
        <v>0</v>
      </c>
    </row>
    <row r="9039" spans="1:5" x14ac:dyDescent="0.35">
      <c r="A9039">
        <v>0</v>
      </c>
      <c r="B9039">
        <v>0</v>
      </c>
      <c r="C9039">
        <v>0</v>
      </c>
      <c r="D9039">
        <v>0</v>
      </c>
      <c r="E9039">
        <v>0</v>
      </c>
    </row>
    <row r="9040" spans="1:5" x14ac:dyDescent="0.35">
      <c r="A9040">
        <v>0</v>
      </c>
      <c r="B9040">
        <v>0</v>
      </c>
      <c r="C9040">
        <v>0</v>
      </c>
      <c r="D9040">
        <v>0</v>
      </c>
      <c r="E9040">
        <v>0</v>
      </c>
    </row>
    <row r="9041" spans="1:5" x14ac:dyDescent="0.35">
      <c r="A9041">
        <v>0</v>
      </c>
      <c r="B9041">
        <v>0</v>
      </c>
      <c r="C9041">
        <v>0</v>
      </c>
      <c r="D9041">
        <v>0</v>
      </c>
      <c r="E9041">
        <v>0</v>
      </c>
    </row>
    <row r="9042" spans="1:5" x14ac:dyDescent="0.35">
      <c r="A9042">
        <v>0</v>
      </c>
      <c r="B9042">
        <v>0</v>
      </c>
      <c r="C9042">
        <v>0</v>
      </c>
      <c r="D9042">
        <v>0</v>
      </c>
      <c r="E9042">
        <v>0</v>
      </c>
    </row>
    <row r="9043" spans="1:5" x14ac:dyDescent="0.35">
      <c r="A9043">
        <v>0</v>
      </c>
      <c r="B9043">
        <v>0</v>
      </c>
      <c r="C9043">
        <v>0</v>
      </c>
      <c r="D9043">
        <v>0</v>
      </c>
      <c r="E9043">
        <v>0</v>
      </c>
    </row>
    <row r="9044" spans="1:5" x14ac:dyDescent="0.35">
      <c r="A9044">
        <v>0</v>
      </c>
      <c r="B9044">
        <v>0</v>
      </c>
      <c r="C9044">
        <v>0</v>
      </c>
      <c r="D9044">
        <v>0</v>
      </c>
      <c r="E9044">
        <v>0</v>
      </c>
    </row>
    <row r="9045" spans="1:5" x14ac:dyDescent="0.35">
      <c r="A9045">
        <v>0</v>
      </c>
      <c r="B9045">
        <v>0</v>
      </c>
      <c r="C9045">
        <v>0</v>
      </c>
      <c r="D9045">
        <v>0</v>
      </c>
      <c r="E9045">
        <v>0</v>
      </c>
    </row>
    <row r="9046" spans="1:5" x14ac:dyDescent="0.35">
      <c r="A9046">
        <v>0</v>
      </c>
      <c r="B9046">
        <v>0</v>
      </c>
      <c r="C9046">
        <v>0</v>
      </c>
      <c r="D9046">
        <v>0</v>
      </c>
      <c r="E9046">
        <v>0</v>
      </c>
    </row>
    <row r="9047" spans="1:5" x14ac:dyDescent="0.35">
      <c r="A9047">
        <v>0</v>
      </c>
      <c r="B9047">
        <v>0</v>
      </c>
      <c r="C9047">
        <v>0</v>
      </c>
      <c r="D9047">
        <v>0</v>
      </c>
      <c r="E9047">
        <v>0</v>
      </c>
    </row>
    <row r="9048" spans="1:5" x14ac:dyDescent="0.35">
      <c r="A9048">
        <v>0</v>
      </c>
      <c r="B9048">
        <v>0</v>
      </c>
      <c r="C9048">
        <v>0</v>
      </c>
      <c r="D9048">
        <v>0</v>
      </c>
      <c r="E9048">
        <v>0</v>
      </c>
    </row>
    <row r="9049" spans="1:5" x14ac:dyDescent="0.35">
      <c r="A9049">
        <v>0</v>
      </c>
      <c r="B9049">
        <v>0</v>
      </c>
      <c r="C9049">
        <v>0</v>
      </c>
      <c r="D9049">
        <v>0</v>
      </c>
      <c r="E9049">
        <v>0</v>
      </c>
    </row>
    <row r="9050" spans="1:5" x14ac:dyDescent="0.35">
      <c r="A9050">
        <v>0</v>
      </c>
      <c r="B9050">
        <v>0</v>
      </c>
      <c r="C9050">
        <v>0</v>
      </c>
      <c r="D9050">
        <v>0</v>
      </c>
      <c r="E9050">
        <v>0</v>
      </c>
    </row>
    <row r="9051" spans="1:5" x14ac:dyDescent="0.35">
      <c r="A9051">
        <v>0</v>
      </c>
      <c r="B9051">
        <v>0</v>
      </c>
      <c r="C9051">
        <v>0</v>
      </c>
      <c r="D9051">
        <v>0</v>
      </c>
      <c r="E9051">
        <v>0</v>
      </c>
    </row>
    <row r="9052" spans="1:5" x14ac:dyDescent="0.35">
      <c r="A9052">
        <v>0</v>
      </c>
      <c r="B9052">
        <v>0</v>
      </c>
      <c r="C9052">
        <v>0</v>
      </c>
      <c r="D9052">
        <v>0</v>
      </c>
      <c r="E9052">
        <v>0</v>
      </c>
    </row>
    <row r="9053" spans="1:5" x14ac:dyDescent="0.35">
      <c r="A9053">
        <v>0</v>
      </c>
      <c r="B9053">
        <v>0</v>
      </c>
      <c r="C9053">
        <v>0</v>
      </c>
      <c r="D9053">
        <v>0</v>
      </c>
      <c r="E9053">
        <v>0</v>
      </c>
    </row>
    <row r="9054" spans="1:5" x14ac:dyDescent="0.35">
      <c r="A9054">
        <v>0</v>
      </c>
      <c r="B9054">
        <v>0</v>
      </c>
      <c r="C9054">
        <v>0</v>
      </c>
      <c r="D9054">
        <v>0</v>
      </c>
      <c r="E9054">
        <v>0</v>
      </c>
    </row>
    <row r="9055" spans="1:5" x14ac:dyDescent="0.35">
      <c r="A9055">
        <v>0</v>
      </c>
      <c r="B9055">
        <v>0</v>
      </c>
      <c r="C9055">
        <v>0</v>
      </c>
      <c r="D9055">
        <v>0</v>
      </c>
      <c r="E9055">
        <v>0</v>
      </c>
    </row>
    <row r="9056" spans="1:5" x14ac:dyDescent="0.35">
      <c r="A9056">
        <v>0</v>
      </c>
      <c r="B9056">
        <v>0</v>
      </c>
      <c r="C9056">
        <v>0</v>
      </c>
      <c r="D9056">
        <v>0</v>
      </c>
      <c r="E9056">
        <v>0</v>
      </c>
    </row>
    <row r="9057" spans="1:5" x14ac:dyDescent="0.35">
      <c r="A9057">
        <v>0</v>
      </c>
      <c r="B9057">
        <v>0</v>
      </c>
      <c r="C9057">
        <v>0</v>
      </c>
      <c r="D9057">
        <v>0</v>
      </c>
      <c r="E9057">
        <v>0</v>
      </c>
    </row>
    <row r="9058" spans="1:5" x14ac:dyDescent="0.35">
      <c r="A9058">
        <v>0</v>
      </c>
      <c r="B9058">
        <v>0</v>
      </c>
      <c r="C9058">
        <v>0</v>
      </c>
      <c r="D9058">
        <v>0</v>
      </c>
      <c r="E9058">
        <v>0</v>
      </c>
    </row>
    <row r="9059" spans="1:5" x14ac:dyDescent="0.35">
      <c r="A9059">
        <v>0</v>
      </c>
      <c r="B9059">
        <v>0</v>
      </c>
      <c r="C9059">
        <v>0</v>
      </c>
      <c r="D9059">
        <v>0</v>
      </c>
      <c r="E9059">
        <v>0</v>
      </c>
    </row>
    <row r="9060" spans="1:5" x14ac:dyDescent="0.35">
      <c r="A9060">
        <v>0</v>
      </c>
      <c r="B9060">
        <v>0</v>
      </c>
      <c r="C9060">
        <v>0</v>
      </c>
      <c r="D9060">
        <v>0</v>
      </c>
      <c r="E9060">
        <v>0</v>
      </c>
    </row>
    <row r="9061" spans="1:5" x14ac:dyDescent="0.35">
      <c r="A9061">
        <v>0</v>
      </c>
      <c r="B9061">
        <v>0</v>
      </c>
      <c r="C9061">
        <v>0</v>
      </c>
      <c r="D9061">
        <v>0</v>
      </c>
      <c r="E9061">
        <v>0</v>
      </c>
    </row>
    <row r="9062" spans="1:5" x14ac:dyDescent="0.35">
      <c r="A9062">
        <v>0</v>
      </c>
      <c r="B9062">
        <v>0</v>
      </c>
      <c r="C9062">
        <v>0</v>
      </c>
      <c r="D9062">
        <v>0</v>
      </c>
      <c r="E9062">
        <v>0</v>
      </c>
    </row>
    <row r="9063" spans="1:5" x14ac:dyDescent="0.35">
      <c r="A9063">
        <v>0</v>
      </c>
      <c r="B9063">
        <v>0</v>
      </c>
      <c r="C9063">
        <v>0</v>
      </c>
      <c r="D9063">
        <v>0</v>
      </c>
      <c r="E9063">
        <v>0</v>
      </c>
    </row>
    <row r="9064" spans="1:5" x14ac:dyDescent="0.35">
      <c r="A9064">
        <v>0</v>
      </c>
      <c r="B9064">
        <v>0</v>
      </c>
      <c r="C9064">
        <v>0</v>
      </c>
      <c r="D9064">
        <v>0</v>
      </c>
      <c r="E9064">
        <v>0</v>
      </c>
    </row>
    <row r="9065" spans="1:5" x14ac:dyDescent="0.35">
      <c r="A9065">
        <v>0</v>
      </c>
      <c r="B9065">
        <v>0</v>
      </c>
      <c r="C9065">
        <v>0</v>
      </c>
      <c r="D9065">
        <v>0</v>
      </c>
      <c r="E9065">
        <v>0</v>
      </c>
    </row>
    <row r="9066" spans="1:5" x14ac:dyDescent="0.35">
      <c r="A9066">
        <v>0</v>
      </c>
      <c r="B9066">
        <v>0</v>
      </c>
      <c r="C9066">
        <v>0</v>
      </c>
      <c r="D9066">
        <v>0</v>
      </c>
      <c r="E9066">
        <v>0</v>
      </c>
    </row>
    <row r="9067" spans="1:5" x14ac:dyDescent="0.35">
      <c r="A9067">
        <v>0</v>
      </c>
      <c r="B9067">
        <v>0</v>
      </c>
      <c r="C9067">
        <v>0</v>
      </c>
      <c r="D9067">
        <v>0</v>
      </c>
      <c r="E9067">
        <v>0</v>
      </c>
    </row>
    <row r="9068" spans="1:5" x14ac:dyDescent="0.35">
      <c r="A9068">
        <v>0</v>
      </c>
      <c r="B9068">
        <v>0</v>
      </c>
      <c r="C9068">
        <v>0</v>
      </c>
      <c r="D9068">
        <v>0</v>
      </c>
      <c r="E9068">
        <v>0</v>
      </c>
    </row>
    <row r="9069" spans="1:5" x14ac:dyDescent="0.35">
      <c r="A9069">
        <v>0</v>
      </c>
      <c r="B9069">
        <v>0</v>
      </c>
      <c r="C9069">
        <v>0</v>
      </c>
      <c r="D9069">
        <v>0</v>
      </c>
      <c r="E9069">
        <v>0</v>
      </c>
    </row>
    <row r="9070" spans="1:5" x14ac:dyDescent="0.35">
      <c r="A9070">
        <v>0</v>
      </c>
      <c r="B9070">
        <v>0</v>
      </c>
      <c r="C9070">
        <v>0</v>
      </c>
      <c r="D9070">
        <v>0</v>
      </c>
      <c r="E9070">
        <v>0</v>
      </c>
    </row>
    <row r="9071" spans="1:5" x14ac:dyDescent="0.35">
      <c r="A9071">
        <v>0</v>
      </c>
      <c r="B9071">
        <v>0</v>
      </c>
      <c r="C9071">
        <v>0</v>
      </c>
      <c r="D9071">
        <v>0</v>
      </c>
      <c r="E9071">
        <v>0</v>
      </c>
    </row>
    <row r="9072" spans="1:5" x14ac:dyDescent="0.35">
      <c r="A9072">
        <v>0</v>
      </c>
      <c r="B9072">
        <v>0</v>
      </c>
      <c r="C9072">
        <v>0</v>
      </c>
      <c r="D9072">
        <v>0</v>
      </c>
      <c r="E9072">
        <v>0</v>
      </c>
    </row>
    <row r="9073" spans="1:5" x14ac:dyDescent="0.35">
      <c r="A9073">
        <v>0</v>
      </c>
      <c r="B9073">
        <v>0</v>
      </c>
      <c r="C9073">
        <v>0</v>
      </c>
      <c r="D9073">
        <v>0</v>
      </c>
      <c r="E9073">
        <v>0</v>
      </c>
    </row>
    <row r="9074" spans="1:5" x14ac:dyDescent="0.35">
      <c r="A9074">
        <v>0</v>
      </c>
      <c r="B9074">
        <v>0</v>
      </c>
      <c r="C9074">
        <v>0</v>
      </c>
      <c r="D9074">
        <v>0</v>
      </c>
      <c r="E9074">
        <v>0</v>
      </c>
    </row>
    <row r="9075" spans="1:5" x14ac:dyDescent="0.35">
      <c r="A9075">
        <v>0</v>
      </c>
      <c r="B9075">
        <v>0</v>
      </c>
      <c r="C9075">
        <v>0</v>
      </c>
      <c r="D9075">
        <v>0</v>
      </c>
      <c r="E9075">
        <v>0</v>
      </c>
    </row>
    <row r="9076" spans="1:5" x14ac:dyDescent="0.35">
      <c r="A9076">
        <v>0</v>
      </c>
      <c r="B9076">
        <v>0</v>
      </c>
      <c r="C9076">
        <v>0</v>
      </c>
      <c r="D9076">
        <v>0</v>
      </c>
      <c r="E9076">
        <v>0</v>
      </c>
    </row>
    <row r="9077" spans="1:5" x14ac:dyDescent="0.35">
      <c r="A9077">
        <v>0</v>
      </c>
      <c r="B9077">
        <v>0</v>
      </c>
      <c r="C9077">
        <v>0</v>
      </c>
      <c r="D9077">
        <v>0</v>
      </c>
      <c r="E9077">
        <v>0</v>
      </c>
    </row>
    <row r="9078" spans="1:5" x14ac:dyDescent="0.35">
      <c r="A9078">
        <v>0</v>
      </c>
      <c r="B9078">
        <v>0</v>
      </c>
      <c r="C9078">
        <v>0</v>
      </c>
      <c r="D9078">
        <v>0</v>
      </c>
      <c r="E9078">
        <v>0</v>
      </c>
    </row>
    <row r="9079" spans="1:5" x14ac:dyDescent="0.35">
      <c r="A9079">
        <v>0</v>
      </c>
      <c r="B9079">
        <v>0</v>
      </c>
      <c r="C9079">
        <v>0</v>
      </c>
      <c r="D9079">
        <v>0</v>
      </c>
      <c r="E9079">
        <v>0</v>
      </c>
    </row>
    <row r="9080" spans="1:5" x14ac:dyDescent="0.35">
      <c r="A9080">
        <v>0</v>
      </c>
      <c r="B9080">
        <v>0</v>
      </c>
      <c r="C9080">
        <v>0</v>
      </c>
      <c r="D9080">
        <v>0</v>
      </c>
      <c r="E9080">
        <v>0</v>
      </c>
    </row>
    <row r="9081" spans="1:5" x14ac:dyDescent="0.35">
      <c r="A9081">
        <v>0</v>
      </c>
      <c r="B9081">
        <v>0</v>
      </c>
      <c r="C9081">
        <v>0</v>
      </c>
      <c r="D9081">
        <v>0</v>
      </c>
      <c r="E9081">
        <v>0</v>
      </c>
    </row>
    <row r="9082" spans="1:5" x14ac:dyDescent="0.35">
      <c r="A9082">
        <v>0</v>
      </c>
      <c r="B9082">
        <v>0</v>
      </c>
      <c r="C9082">
        <v>0</v>
      </c>
      <c r="D9082">
        <v>0</v>
      </c>
      <c r="E9082">
        <v>0</v>
      </c>
    </row>
    <row r="9083" spans="1:5" x14ac:dyDescent="0.35">
      <c r="A9083">
        <v>0</v>
      </c>
      <c r="B9083">
        <v>0</v>
      </c>
      <c r="C9083">
        <v>0</v>
      </c>
      <c r="D9083">
        <v>0</v>
      </c>
      <c r="E9083">
        <v>0</v>
      </c>
    </row>
    <row r="9084" spans="1:5" x14ac:dyDescent="0.35">
      <c r="A9084">
        <v>0</v>
      </c>
      <c r="B9084">
        <v>0</v>
      </c>
      <c r="C9084">
        <v>0</v>
      </c>
      <c r="D9084">
        <v>0</v>
      </c>
      <c r="E9084">
        <v>0</v>
      </c>
    </row>
    <row r="9085" spans="1:5" x14ac:dyDescent="0.35">
      <c r="A9085">
        <v>0</v>
      </c>
      <c r="B9085">
        <v>0</v>
      </c>
      <c r="C9085">
        <v>0</v>
      </c>
      <c r="D9085">
        <v>0</v>
      </c>
      <c r="E9085">
        <v>0</v>
      </c>
    </row>
    <row r="9086" spans="1:5" x14ac:dyDescent="0.35">
      <c r="A9086">
        <v>0</v>
      </c>
      <c r="B9086">
        <v>0</v>
      </c>
      <c r="C9086">
        <v>0</v>
      </c>
      <c r="D9086">
        <v>0</v>
      </c>
      <c r="E9086">
        <v>0</v>
      </c>
    </row>
    <row r="9087" spans="1:5" x14ac:dyDescent="0.35">
      <c r="A9087">
        <v>0</v>
      </c>
      <c r="B9087">
        <v>0</v>
      </c>
      <c r="C9087">
        <v>0</v>
      </c>
      <c r="D9087">
        <v>0</v>
      </c>
      <c r="E9087">
        <v>0</v>
      </c>
    </row>
    <row r="9088" spans="1:5" x14ac:dyDescent="0.35">
      <c r="A9088">
        <v>0</v>
      </c>
      <c r="B9088">
        <v>0</v>
      </c>
      <c r="C9088">
        <v>0</v>
      </c>
      <c r="D9088">
        <v>0</v>
      </c>
      <c r="E9088">
        <v>0</v>
      </c>
    </row>
    <row r="9089" spans="1:5" x14ac:dyDescent="0.35">
      <c r="A9089">
        <v>0</v>
      </c>
      <c r="B9089">
        <v>0</v>
      </c>
      <c r="C9089">
        <v>0</v>
      </c>
      <c r="D9089">
        <v>0</v>
      </c>
      <c r="E9089">
        <v>0</v>
      </c>
    </row>
    <row r="9090" spans="1:5" x14ac:dyDescent="0.35">
      <c r="A9090">
        <v>0</v>
      </c>
      <c r="B9090">
        <v>0</v>
      </c>
      <c r="C9090">
        <v>0</v>
      </c>
      <c r="D9090">
        <v>0</v>
      </c>
      <c r="E9090">
        <v>0</v>
      </c>
    </row>
    <row r="9091" spans="1:5" x14ac:dyDescent="0.35">
      <c r="A9091">
        <v>0</v>
      </c>
      <c r="B9091">
        <v>0</v>
      </c>
      <c r="C9091">
        <v>0</v>
      </c>
      <c r="D9091">
        <v>0</v>
      </c>
      <c r="E9091">
        <v>0</v>
      </c>
    </row>
    <row r="9092" spans="1:5" x14ac:dyDescent="0.35">
      <c r="A9092">
        <v>0</v>
      </c>
      <c r="B9092">
        <v>0</v>
      </c>
      <c r="C9092">
        <v>0</v>
      </c>
      <c r="D9092">
        <v>0</v>
      </c>
      <c r="E9092">
        <v>0</v>
      </c>
    </row>
    <row r="9093" spans="1:5" x14ac:dyDescent="0.35">
      <c r="A9093">
        <v>0</v>
      </c>
      <c r="B9093">
        <v>0</v>
      </c>
      <c r="C9093">
        <v>0</v>
      </c>
      <c r="D9093">
        <v>0</v>
      </c>
      <c r="E9093">
        <v>0</v>
      </c>
    </row>
    <row r="9094" spans="1:5" x14ac:dyDescent="0.35">
      <c r="A9094">
        <v>0</v>
      </c>
      <c r="B9094">
        <v>0</v>
      </c>
      <c r="C9094">
        <v>0</v>
      </c>
      <c r="D9094">
        <v>0</v>
      </c>
      <c r="E9094">
        <v>0</v>
      </c>
    </row>
    <row r="9095" spans="1:5" x14ac:dyDescent="0.35">
      <c r="A9095">
        <v>0</v>
      </c>
      <c r="B9095">
        <v>0</v>
      </c>
      <c r="C9095">
        <v>0</v>
      </c>
      <c r="D9095">
        <v>0</v>
      </c>
      <c r="E9095">
        <v>0</v>
      </c>
    </row>
    <row r="9096" spans="1:5" x14ac:dyDescent="0.35">
      <c r="A9096">
        <v>0</v>
      </c>
      <c r="B9096">
        <v>0</v>
      </c>
      <c r="C9096">
        <v>0</v>
      </c>
      <c r="D9096">
        <v>0</v>
      </c>
      <c r="E9096">
        <v>0</v>
      </c>
    </row>
    <row r="9097" spans="1:5" x14ac:dyDescent="0.35">
      <c r="A9097">
        <v>0</v>
      </c>
      <c r="B9097">
        <v>0</v>
      </c>
      <c r="C9097">
        <v>0</v>
      </c>
      <c r="D9097">
        <v>0</v>
      </c>
      <c r="E9097">
        <v>0</v>
      </c>
    </row>
    <row r="9098" spans="1:5" x14ac:dyDescent="0.35">
      <c r="A9098">
        <v>0</v>
      </c>
      <c r="B9098">
        <v>0</v>
      </c>
      <c r="C9098">
        <v>0</v>
      </c>
      <c r="D9098">
        <v>0</v>
      </c>
      <c r="E9098">
        <v>0</v>
      </c>
    </row>
    <row r="9099" spans="1:5" x14ac:dyDescent="0.35">
      <c r="A9099">
        <v>0</v>
      </c>
      <c r="B9099">
        <v>0</v>
      </c>
      <c r="C9099">
        <v>0</v>
      </c>
      <c r="D9099">
        <v>0</v>
      </c>
      <c r="E9099">
        <v>0</v>
      </c>
    </row>
    <row r="9100" spans="1:5" x14ac:dyDescent="0.35">
      <c r="A9100">
        <v>0</v>
      </c>
      <c r="B9100">
        <v>0</v>
      </c>
      <c r="C9100">
        <v>0</v>
      </c>
      <c r="D9100">
        <v>0</v>
      </c>
      <c r="E9100">
        <v>0</v>
      </c>
    </row>
    <row r="9101" spans="1:5" x14ac:dyDescent="0.35">
      <c r="A9101">
        <v>0</v>
      </c>
      <c r="B9101">
        <v>0</v>
      </c>
      <c r="C9101">
        <v>0</v>
      </c>
      <c r="D9101">
        <v>0</v>
      </c>
      <c r="E9101">
        <v>0</v>
      </c>
    </row>
    <row r="9102" spans="1:5" x14ac:dyDescent="0.35">
      <c r="A9102">
        <v>0</v>
      </c>
      <c r="B9102">
        <v>0</v>
      </c>
      <c r="C9102">
        <v>0</v>
      </c>
      <c r="D9102">
        <v>0</v>
      </c>
      <c r="E9102">
        <v>0</v>
      </c>
    </row>
    <row r="9103" spans="1:5" x14ac:dyDescent="0.35">
      <c r="A9103">
        <v>0</v>
      </c>
      <c r="B9103">
        <v>0</v>
      </c>
      <c r="C9103">
        <v>0</v>
      </c>
      <c r="D9103">
        <v>0</v>
      </c>
      <c r="E9103">
        <v>0</v>
      </c>
    </row>
    <row r="9104" spans="1:5" x14ac:dyDescent="0.35">
      <c r="A9104">
        <v>0</v>
      </c>
      <c r="B9104">
        <v>0</v>
      </c>
      <c r="C9104">
        <v>0</v>
      </c>
      <c r="D9104">
        <v>0</v>
      </c>
      <c r="E9104">
        <v>0</v>
      </c>
    </row>
    <row r="9105" spans="1:5" x14ac:dyDescent="0.35">
      <c r="A9105">
        <v>0</v>
      </c>
      <c r="B9105">
        <v>0</v>
      </c>
      <c r="C9105">
        <v>0</v>
      </c>
      <c r="D9105">
        <v>0</v>
      </c>
      <c r="E9105">
        <v>0</v>
      </c>
    </row>
    <row r="9106" spans="1:5" x14ac:dyDescent="0.35">
      <c r="A9106">
        <v>0</v>
      </c>
      <c r="B9106">
        <v>0</v>
      </c>
      <c r="C9106">
        <v>0</v>
      </c>
      <c r="D9106">
        <v>0</v>
      </c>
      <c r="E9106">
        <v>0</v>
      </c>
    </row>
    <row r="9107" spans="1:5" x14ac:dyDescent="0.35">
      <c r="A9107">
        <v>0</v>
      </c>
      <c r="B9107">
        <v>0</v>
      </c>
      <c r="C9107">
        <v>0</v>
      </c>
      <c r="D9107">
        <v>0</v>
      </c>
      <c r="E9107">
        <v>0</v>
      </c>
    </row>
    <row r="9108" spans="1:5" x14ac:dyDescent="0.35">
      <c r="A9108">
        <v>0</v>
      </c>
      <c r="B9108">
        <v>0</v>
      </c>
      <c r="C9108">
        <v>0</v>
      </c>
      <c r="D9108">
        <v>0</v>
      </c>
      <c r="E9108">
        <v>0</v>
      </c>
    </row>
    <row r="9109" spans="1:5" x14ac:dyDescent="0.35">
      <c r="A9109">
        <v>0</v>
      </c>
      <c r="B9109">
        <v>0</v>
      </c>
      <c r="C9109">
        <v>0</v>
      </c>
      <c r="D9109">
        <v>0</v>
      </c>
      <c r="E9109">
        <v>0</v>
      </c>
    </row>
    <row r="9110" spans="1:5" x14ac:dyDescent="0.35">
      <c r="A9110">
        <v>0</v>
      </c>
      <c r="B9110">
        <v>0</v>
      </c>
      <c r="C9110">
        <v>0</v>
      </c>
      <c r="D9110">
        <v>0</v>
      </c>
      <c r="E9110">
        <v>0</v>
      </c>
    </row>
    <row r="9111" spans="1:5" x14ac:dyDescent="0.35">
      <c r="A9111">
        <v>0</v>
      </c>
      <c r="B9111">
        <v>0</v>
      </c>
      <c r="C9111">
        <v>0</v>
      </c>
      <c r="D9111">
        <v>0</v>
      </c>
      <c r="E9111">
        <v>0</v>
      </c>
    </row>
    <row r="9112" spans="1:5" x14ac:dyDescent="0.35">
      <c r="A9112">
        <v>0</v>
      </c>
      <c r="B9112">
        <v>0</v>
      </c>
      <c r="C9112">
        <v>0</v>
      </c>
      <c r="D9112">
        <v>0</v>
      </c>
      <c r="E9112">
        <v>0</v>
      </c>
    </row>
    <row r="9113" spans="1:5" x14ac:dyDescent="0.35">
      <c r="A9113">
        <v>0</v>
      </c>
      <c r="B9113">
        <v>0</v>
      </c>
      <c r="C9113">
        <v>0</v>
      </c>
      <c r="D9113">
        <v>0</v>
      </c>
      <c r="E9113">
        <v>0</v>
      </c>
    </row>
    <row r="9114" spans="1:5" x14ac:dyDescent="0.35">
      <c r="A9114">
        <v>0</v>
      </c>
      <c r="B9114">
        <v>0</v>
      </c>
      <c r="C9114">
        <v>0</v>
      </c>
      <c r="D9114">
        <v>0</v>
      </c>
      <c r="E9114">
        <v>0</v>
      </c>
    </row>
    <row r="9115" spans="1:5" x14ac:dyDescent="0.35">
      <c r="A9115">
        <v>0</v>
      </c>
      <c r="B9115">
        <v>0</v>
      </c>
      <c r="C9115">
        <v>0</v>
      </c>
      <c r="D9115">
        <v>0</v>
      </c>
      <c r="E9115">
        <v>0</v>
      </c>
    </row>
    <row r="9116" spans="1:5" x14ac:dyDescent="0.35">
      <c r="A9116">
        <v>0</v>
      </c>
      <c r="B9116">
        <v>0</v>
      </c>
      <c r="C9116">
        <v>0</v>
      </c>
      <c r="D9116">
        <v>0</v>
      </c>
      <c r="E9116">
        <v>0</v>
      </c>
    </row>
    <row r="9117" spans="1:5" x14ac:dyDescent="0.35">
      <c r="A9117">
        <v>0</v>
      </c>
      <c r="B9117">
        <v>0</v>
      </c>
      <c r="C9117">
        <v>0</v>
      </c>
      <c r="D9117">
        <v>0</v>
      </c>
      <c r="E9117">
        <v>0</v>
      </c>
    </row>
    <row r="9118" spans="1:5" x14ac:dyDescent="0.35">
      <c r="A9118">
        <v>0</v>
      </c>
      <c r="B9118">
        <v>0</v>
      </c>
      <c r="C9118">
        <v>0</v>
      </c>
      <c r="D9118">
        <v>0</v>
      </c>
      <c r="E9118">
        <v>0</v>
      </c>
    </row>
    <row r="9119" spans="1:5" x14ac:dyDescent="0.35">
      <c r="A9119">
        <v>0</v>
      </c>
      <c r="B9119">
        <v>0</v>
      </c>
      <c r="C9119">
        <v>0</v>
      </c>
      <c r="D9119">
        <v>0</v>
      </c>
      <c r="E9119">
        <v>0</v>
      </c>
    </row>
    <row r="9120" spans="1:5" x14ac:dyDescent="0.35">
      <c r="A9120">
        <v>0</v>
      </c>
      <c r="B9120">
        <v>0</v>
      </c>
      <c r="C9120">
        <v>0</v>
      </c>
      <c r="D9120">
        <v>0</v>
      </c>
      <c r="E9120">
        <v>0</v>
      </c>
    </row>
    <row r="9121" spans="1:5" x14ac:dyDescent="0.35">
      <c r="A9121">
        <v>0</v>
      </c>
      <c r="B9121">
        <v>0</v>
      </c>
      <c r="C9121">
        <v>0</v>
      </c>
      <c r="D9121">
        <v>0</v>
      </c>
      <c r="E9121">
        <v>0</v>
      </c>
    </row>
    <row r="9122" spans="1:5" x14ac:dyDescent="0.35">
      <c r="A9122">
        <v>0</v>
      </c>
      <c r="B9122">
        <v>0</v>
      </c>
      <c r="C9122">
        <v>0</v>
      </c>
      <c r="D9122">
        <v>0</v>
      </c>
      <c r="E9122">
        <v>0</v>
      </c>
    </row>
    <row r="9123" spans="1:5" x14ac:dyDescent="0.35">
      <c r="A9123">
        <v>0</v>
      </c>
      <c r="B9123">
        <v>0</v>
      </c>
      <c r="C9123">
        <v>0</v>
      </c>
      <c r="D9123">
        <v>0</v>
      </c>
      <c r="E9123">
        <v>0</v>
      </c>
    </row>
    <row r="9124" spans="1:5" x14ac:dyDescent="0.35">
      <c r="A9124">
        <v>0</v>
      </c>
      <c r="B9124">
        <v>0</v>
      </c>
      <c r="C9124">
        <v>0</v>
      </c>
      <c r="D9124">
        <v>0</v>
      </c>
      <c r="E9124">
        <v>0</v>
      </c>
    </row>
    <row r="9125" spans="1:5" x14ac:dyDescent="0.35">
      <c r="A9125">
        <v>0</v>
      </c>
      <c r="B9125">
        <v>0</v>
      </c>
      <c r="C9125">
        <v>0</v>
      </c>
      <c r="D9125">
        <v>0</v>
      </c>
      <c r="E9125">
        <v>0</v>
      </c>
    </row>
    <row r="9126" spans="1:5" x14ac:dyDescent="0.35">
      <c r="A9126">
        <v>0</v>
      </c>
      <c r="B9126">
        <v>0</v>
      </c>
      <c r="C9126">
        <v>0</v>
      </c>
      <c r="D9126">
        <v>0</v>
      </c>
      <c r="E9126">
        <v>0</v>
      </c>
    </row>
    <row r="9127" spans="1:5" x14ac:dyDescent="0.35">
      <c r="A9127">
        <v>0</v>
      </c>
      <c r="B9127">
        <v>0</v>
      </c>
      <c r="C9127">
        <v>0</v>
      </c>
      <c r="D9127">
        <v>0</v>
      </c>
      <c r="E9127">
        <v>0</v>
      </c>
    </row>
    <row r="9128" spans="1:5" x14ac:dyDescent="0.35">
      <c r="A9128">
        <v>0</v>
      </c>
      <c r="B9128">
        <v>0</v>
      </c>
      <c r="C9128">
        <v>0</v>
      </c>
      <c r="D9128">
        <v>0</v>
      </c>
      <c r="E9128">
        <v>0</v>
      </c>
    </row>
    <row r="9129" spans="1:5" x14ac:dyDescent="0.35">
      <c r="A9129">
        <v>0</v>
      </c>
      <c r="B9129">
        <v>0</v>
      </c>
      <c r="C9129">
        <v>0</v>
      </c>
      <c r="D9129">
        <v>0</v>
      </c>
      <c r="E9129">
        <v>0</v>
      </c>
    </row>
    <row r="9130" spans="1:5" x14ac:dyDescent="0.35">
      <c r="A9130">
        <v>0</v>
      </c>
      <c r="B9130">
        <v>0</v>
      </c>
      <c r="C9130">
        <v>0</v>
      </c>
      <c r="D9130">
        <v>0</v>
      </c>
      <c r="E9130">
        <v>0</v>
      </c>
    </row>
    <row r="9131" spans="1:5" x14ac:dyDescent="0.35">
      <c r="A9131">
        <v>0</v>
      </c>
      <c r="B9131">
        <v>0</v>
      </c>
      <c r="C9131">
        <v>0</v>
      </c>
      <c r="D9131">
        <v>0</v>
      </c>
      <c r="E9131">
        <v>0</v>
      </c>
    </row>
    <row r="9132" spans="1:5" x14ac:dyDescent="0.35">
      <c r="A9132">
        <v>0</v>
      </c>
      <c r="B9132">
        <v>0</v>
      </c>
      <c r="C9132">
        <v>0</v>
      </c>
      <c r="D9132">
        <v>0</v>
      </c>
      <c r="E9132">
        <v>0</v>
      </c>
    </row>
    <row r="9133" spans="1:5" x14ac:dyDescent="0.35">
      <c r="A9133">
        <v>0</v>
      </c>
      <c r="B9133">
        <v>0</v>
      </c>
      <c r="C9133">
        <v>0</v>
      </c>
      <c r="D9133">
        <v>0</v>
      </c>
      <c r="E9133">
        <v>0</v>
      </c>
    </row>
    <row r="9134" spans="1:5" x14ac:dyDescent="0.35">
      <c r="A9134">
        <v>0</v>
      </c>
      <c r="B9134">
        <v>0</v>
      </c>
      <c r="C9134">
        <v>0</v>
      </c>
      <c r="D9134">
        <v>0</v>
      </c>
      <c r="E9134">
        <v>0</v>
      </c>
    </row>
    <row r="9135" spans="1:5" x14ac:dyDescent="0.35">
      <c r="A9135">
        <v>0</v>
      </c>
      <c r="B9135">
        <v>0</v>
      </c>
      <c r="C9135">
        <v>0</v>
      </c>
      <c r="D9135">
        <v>0</v>
      </c>
      <c r="E9135">
        <v>0</v>
      </c>
    </row>
    <row r="9136" spans="1:5" x14ac:dyDescent="0.35">
      <c r="A9136">
        <v>0</v>
      </c>
      <c r="B9136">
        <v>0</v>
      </c>
      <c r="C9136">
        <v>0</v>
      </c>
      <c r="D9136">
        <v>0</v>
      </c>
      <c r="E9136">
        <v>0</v>
      </c>
    </row>
    <row r="9137" spans="1:5" x14ac:dyDescent="0.35">
      <c r="A9137">
        <v>0</v>
      </c>
      <c r="B9137">
        <v>0</v>
      </c>
      <c r="C9137">
        <v>0</v>
      </c>
      <c r="D9137">
        <v>0</v>
      </c>
      <c r="E9137">
        <v>0</v>
      </c>
    </row>
    <row r="9138" spans="1:5" x14ac:dyDescent="0.35">
      <c r="A9138">
        <v>0</v>
      </c>
      <c r="B9138">
        <v>0</v>
      </c>
      <c r="C9138">
        <v>0</v>
      </c>
      <c r="D9138">
        <v>0</v>
      </c>
      <c r="E9138">
        <v>0</v>
      </c>
    </row>
    <row r="9139" spans="1:5" x14ac:dyDescent="0.35">
      <c r="A9139">
        <v>0</v>
      </c>
      <c r="B9139">
        <v>0</v>
      </c>
      <c r="C9139">
        <v>0</v>
      </c>
      <c r="D9139">
        <v>0</v>
      </c>
      <c r="E9139">
        <v>0</v>
      </c>
    </row>
    <row r="9140" spans="1:5" x14ac:dyDescent="0.35">
      <c r="A9140">
        <v>0</v>
      </c>
      <c r="B9140">
        <v>0</v>
      </c>
      <c r="C9140">
        <v>0</v>
      </c>
      <c r="D9140">
        <v>0</v>
      </c>
      <c r="E9140">
        <v>0</v>
      </c>
    </row>
    <row r="9141" spans="1:5" x14ac:dyDescent="0.35">
      <c r="A9141">
        <v>0</v>
      </c>
      <c r="B9141">
        <v>0</v>
      </c>
      <c r="C9141">
        <v>0</v>
      </c>
      <c r="D9141">
        <v>0</v>
      </c>
      <c r="E9141">
        <v>0</v>
      </c>
    </row>
    <row r="9142" spans="1:5" x14ac:dyDescent="0.35">
      <c r="A9142">
        <v>0</v>
      </c>
      <c r="B9142">
        <v>0</v>
      </c>
      <c r="C9142">
        <v>0</v>
      </c>
      <c r="D9142">
        <v>0</v>
      </c>
      <c r="E9142">
        <v>0</v>
      </c>
    </row>
    <row r="9143" spans="1:5" x14ac:dyDescent="0.35">
      <c r="A9143">
        <v>0</v>
      </c>
      <c r="B9143">
        <v>0</v>
      </c>
      <c r="C9143">
        <v>0</v>
      </c>
      <c r="D9143">
        <v>0</v>
      </c>
      <c r="E9143">
        <v>0</v>
      </c>
    </row>
    <row r="9144" spans="1:5" x14ac:dyDescent="0.35">
      <c r="A9144">
        <v>0</v>
      </c>
      <c r="B9144">
        <v>0</v>
      </c>
      <c r="C9144">
        <v>0</v>
      </c>
      <c r="D9144">
        <v>0</v>
      </c>
      <c r="E9144">
        <v>0</v>
      </c>
    </row>
    <row r="9145" spans="1:5" x14ac:dyDescent="0.35">
      <c r="A9145">
        <v>0</v>
      </c>
      <c r="B9145">
        <v>0</v>
      </c>
      <c r="C9145">
        <v>0</v>
      </c>
      <c r="D9145">
        <v>0</v>
      </c>
      <c r="E9145">
        <v>0</v>
      </c>
    </row>
    <row r="9146" spans="1:5" x14ac:dyDescent="0.35">
      <c r="A9146">
        <v>0</v>
      </c>
      <c r="B9146">
        <v>0</v>
      </c>
      <c r="C9146">
        <v>0</v>
      </c>
      <c r="D9146">
        <v>0</v>
      </c>
      <c r="E9146">
        <v>0</v>
      </c>
    </row>
    <row r="9147" spans="1:5" x14ac:dyDescent="0.35">
      <c r="A9147">
        <v>0</v>
      </c>
      <c r="B9147">
        <v>0</v>
      </c>
      <c r="C9147">
        <v>0</v>
      </c>
      <c r="D9147">
        <v>0</v>
      </c>
      <c r="E9147">
        <v>0</v>
      </c>
    </row>
    <row r="9148" spans="1:5" x14ac:dyDescent="0.35">
      <c r="A9148">
        <v>0</v>
      </c>
      <c r="B9148">
        <v>0</v>
      </c>
      <c r="C9148">
        <v>0</v>
      </c>
      <c r="D9148">
        <v>0</v>
      </c>
      <c r="E9148">
        <v>0</v>
      </c>
    </row>
    <row r="9149" spans="1:5" x14ac:dyDescent="0.35">
      <c r="A9149">
        <v>0</v>
      </c>
      <c r="B9149">
        <v>0</v>
      </c>
      <c r="C9149">
        <v>0</v>
      </c>
      <c r="D9149">
        <v>0</v>
      </c>
      <c r="E9149">
        <v>0</v>
      </c>
    </row>
    <row r="9150" spans="1:5" x14ac:dyDescent="0.35">
      <c r="A9150">
        <v>0</v>
      </c>
      <c r="B9150">
        <v>0</v>
      </c>
      <c r="C9150">
        <v>0</v>
      </c>
      <c r="D9150">
        <v>0</v>
      </c>
      <c r="E9150">
        <v>0</v>
      </c>
    </row>
    <row r="9151" spans="1:5" x14ac:dyDescent="0.35">
      <c r="A9151">
        <v>0</v>
      </c>
      <c r="B9151">
        <v>0</v>
      </c>
      <c r="C9151">
        <v>0</v>
      </c>
      <c r="D9151">
        <v>0</v>
      </c>
      <c r="E9151">
        <v>0</v>
      </c>
    </row>
    <row r="9152" spans="1:5" x14ac:dyDescent="0.35">
      <c r="A9152">
        <v>0</v>
      </c>
      <c r="B9152">
        <v>0</v>
      </c>
      <c r="C9152">
        <v>0</v>
      </c>
      <c r="D9152">
        <v>0</v>
      </c>
      <c r="E9152">
        <v>0</v>
      </c>
    </row>
    <row r="9153" spans="1:5" x14ac:dyDescent="0.35">
      <c r="A9153">
        <v>0</v>
      </c>
      <c r="B9153">
        <v>0</v>
      </c>
      <c r="C9153">
        <v>0</v>
      </c>
      <c r="D9153">
        <v>0</v>
      </c>
      <c r="E9153">
        <v>0</v>
      </c>
    </row>
    <row r="9154" spans="1:5" x14ac:dyDescent="0.35">
      <c r="A9154">
        <v>0</v>
      </c>
      <c r="B9154">
        <v>0</v>
      </c>
      <c r="C9154">
        <v>0</v>
      </c>
      <c r="D9154">
        <v>0</v>
      </c>
      <c r="E9154">
        <v>0</v>
      </c>
    </row>
    <row r="9155" spans="1:5" x14ac:dyDescent="0.35">
      <c r="A9155">
        <v>0</v>
      </c>
      <c r="B9155">
        <v>0</v>
      </c>
      <c r="C9155">
        <v>0</v>
      </c>
      <c r="D9155">
        <v>0</v>
      </c>
      <c r="E9155">
        <v>0</v>
      </c>
    </row>
    <row r="9156" spans="1:5" x14ac:dyDescent="0.35">
      <c r="A9156">
        <v>0</v>
      </c>
      <c r="B9156">
        <v>0</v>
      </c>
      <c r="C9156">
        <v>0</v>
      </c>
      <c r="D9156">
        <v>0</v>
      </c>
      <c r="E9156">
        <v>0</v>
      </c>
    </row>
    <row r="9157" spans="1:5" x14ac:dyDescent="0.35">
      <c r="A9157">
        <v>0</v>
      </c>
      <c r="B9157">
        <v>0</v>
      </c>
      <c r="C9157">
        <v>0</v>
      </c>
      <c r="D9157">
        <v>0</v>
      </c>
      <c r="E9157">
        <v>0</v>
      </c>
    </row>
    <row r="9158" spans="1:5" x14ac:dyDescent="0.35">
      <c r="A9158">
        <v>0</v>
      </c>
      <c r="B9158">
        <v>0</v>
      </c>
      <c r="C9158">
        <v>0</v>
      </c>
      <c r="D9158">
        <v>0</v>
      </c>
      <c r="E9158">
        <v>0</v>
      </c>
    </row>
    <row r="9159" spans="1:5" x14ac:dyDescent="0.35">
      <c r="A9159">
        <v>0</v>
      </c>
      <c r="B9159">
        <v>0</v>
      </c>
      <c r="C9159">
        <v>0</v>
      </c>
      <c r="D9159">
        <v>0</v>
      </c>
      <c r="E9159">
        <v>0</v>
      </c>
    </row>
    <row r="9160" spans="1:5" x14ac:dyDescent="0.35">
      <c r="A9160">
        <v>0</v>
      </c>
      <c r="B9160">
        <v>0</v>
      </c>
      <c r="C9160">
        <v>0</v>
      </c>
      <c r="D9160">
        <v>0</v>
      </c>
      <c r="E9160">
        <v>0</v>
      </c>
    </row>
    <row r="9161" spans="1:5" x14ac:dyDescent="0.35">
      <c r="A9161">
        <v>0</v>
      </c>
      <c r="B9161">
        <v>0</v>
      </c>
      <c r="C9161">
        <v>0</v>
      </c>
      <c r="D9161">
        <v>0</v>
      </c>
      <c r="E9161">
        <v>0</v>
      </c>
    </row>
    <row r="9162" spans="1:5" x14ac:dyDescent="0.35">
      <c r="A9162">
        <v>0</v>
      </c>
      <c r="B9162">
        <v>0</v>
      </c>
      <c r="C9162">
        <v>0</v>
      </c>
      <c r="D9162">
        <v>0</v>
      </c>
      <c r="E9162">
        <v>0</v>
      </c>
    </row>
    <row r="9163" spans="1:5" x14ac:dyDescent="0.35">
      <c r="A9163">
        <v>0</v>
      </c>
      <c r="B9163">
        <v>0</v>
      </c>
      <c r="C9163">
        <v>0</v>
      </c>
      <c r="D9163">
        <v>0</v>
      </c>
      <c r="E9163">
        <v>0</v>
      </c>
    </row>
    <row r="9164" spans="1:5" x14ac:dyDescent="0.35">
      <c r="A9164">
        <v>0</v>
      </c>
      <c r="B9164">
        <v>0</v>
      </c>
      <c r="C9164">
        <v>0</v>
      </c>
      <c r="D9164">
        <v>0</v>
      </c>
      <c r="E9164">
        <v>0</v>
      </c>
    </row>
    <row r="9165" spans="1:5" x14ac:dyDescent="0.35">
      <c r="A9165">
        <v>0</v>
      </c>
      <c r="B9165">
        <v>0</v>
      </c>
      <c r="C9165">
        <v>0</v>
      </c>
      <c r="D9165">
        <v>0</v>
      </c>
      <c r="E9165">
        <v>0</v>
      </c>
    </row>
    <row r="9166" spans="1:5" x14ac:dyDescent="0.35">
      <c r="A9166">
        <v>0</v>
      </c>
      <c r="B9166">
        <v>0</v>
      </c>
      <c r="C9166">
        <v>0</v>
      </c>
      <c r="D9166">
        <v>0</v>
      </c>
      <c r="E9166">
        <v>0</v>
      </c>
    </row>
    <row r="9167" spans="1:5" x14ac:dyDescent="0.35">
      <c r="A9167">
        <v>0</v>
      </c>
      <c r="B9167">
        <v>0</v>
      </c>
      <c r="C9167">
        <v>0</v>
      </c>
      <c r="D9167">
        <v>0</v>
      </c>
      <c r="E9167">
        <v>0</v>
      </c>
    </row>
    <row r="9168" spans="1:5" x14ac:dyDescent="0.35">
      <c r="A9168">
        <v>0</v>
      </c>
      <c r="B9168">
        <v>0</v>
      </c>
      <c r="C9168">
        <v>0</v>
      </c>
      <c r="D9168">
        <v>0</v>
      </c>
      <c r="E9168">
        <v>0</v>
      </c>
    </row>
    <row r="9169" spans="1:5" x14ac:dyDescent="0.35">
      <c r="A9169">
        <v>0</v>
      </c>
      <c r="B9169">
        <v>0</v>
      </c>
      <c r="C9169">
        <v>0</v>
      </c>
      <c r="D9169">
        <v>0</v>
      </c>
      <c r="E9169">
        <v>0</v>
      </c>
    </row>
    <row r="9170" spans="1:5" x14ac:dyDescent="0.35">
      <c r="A9170">
        <v>0</v>
      </c>
      <c r="B9170">
        <v>0</v>
      </c>
      <c r="C9170">
        <v>0</v>
      </c>
      <c r="D9170">
        <v>0</v>
      </c>
      <c r="E9170">
        <v>0</v>
      </c>
    </row>
    <row r="9171" spans="1:5" x14ac:dyDescent="0.35">
      <c r="A9171">
        <v>0</v>
      </c>
      <c r="B9171">
        <v>0</v>
      </c>
      <c r="C9171">
        <v>0</v>
      </c>
      <c r="D9171">
        <v>0</v>
      </c>
      <c r="E9171">
        <v>0</v>
      </c>
    </row>
    <row r="9172" spans="1:5" x14ac:dyDescent="0.35">
      <c r="A9172">
        <v>0</v>
      </c>
      <c r="B9172">
        <v>0</v>
      </c>
      <c r="C9172">
        <v>0</v>
      </c>
      <c r="D9172">
        <v>0</v>
      </c>
      <c r="E9172">
        <v>0</v>
      </c>
    </row>
    <row r="9173" spans="1:5" x14ac:dyDescent="0.35">
      <c r="A9173">
        <v>0</v>
      </c>
      <c r="B9173">
        <v>0</v>
      </c>
      <c r="C9173">
        <v>0</v>
      </c>
      <c r="D9173">
        <v>0</v>
      </c>
      <c r="E9173">
        <v>0</v>
      </c>
    </row>
    <row r="9174" spans="1:5" x14ac:dyDescent="0.35">
      <c r="A9174">
        <v>0</v>
      </c>
      <c r="B9174">
        <v>0</v>
      </c>
      <c r="C9174">
        <v>0</v>
      </c>
      <c r="D9174">
        <v>0</v>
      </c>
      <c r="E9174">
        <v>0</v>
      </c>
    </row>
    <row r="9175" spans="1:5" x14ac:dyDescent="0.35">
      <c r="A9175">
        <v>0</v>
      </c>
      <c r="B9175">
        <v>0</v>
      </c>
      <c r="C9175">
        <v>0</v>
      </c>
      <c r="D9175">
        <v>0</v>
      </c>
      <c r="E9175">
        <v>0</v>
      </c>
    </row>
    <row r="9176" spans="1:5" x14ac:dyDescent="0.35">
      <c r="A9176">
        <v>0</v>
      </c>
      <c r="B9176">
        <v>0</v>
      </c>
      <c r="C9176">
        <v>0</v>
      </c>
      <c r="D9176">
        <v>0</v>
      </c>
      <c r="E9176">
        <v>0</v>
      </c>
    </row>
    <row r="9177" spans="1:5" x14ac:dyDescent="0.35">
      <c r="A9177">
        <v>0</v>
      </c>
      <c r="B9177">
        <v>0</v>
      </c>
      <c r="C9177">
        <v>0</v>
      </c>
      <c r="D9177">
        <v>0</v>
      </c>
      <c r="E9177">
        <v>0</v>
      </c>
    </row>
    <row r="9178" spans="1:5" x14ac:dyDescent="0.35">
      <c r="A9178">
        <v>0</v>
      </c>
      <c r="B9178">
        <v>0</v>
      </c>
      <c r="C9178">
        <v>0</v>
      </c>
      <c r="D9178">
        <v>0</v>
      </c>
      <c r="E9178">
        <v>0</v>
      </c>
    </row>
    <row r="9179" spans="1:5" x14ac:dyDescent="0.35">
      <c r="A9179">
        <v>0</v>
      </c>
      <c r="B9179">
        <v>0</v>
      </c>
      <c r="C9179">
        <v>0</v>
      </c>
      <c r="D9179">
        <v>0</v>
      </c>
      <c r="E9179">
        <v>0</v>
      </c>
    </row>
    <row r="9180" spans="1:5" x14ac:dyDescent="0.35">
      <c r="A9180">
        <v>0</v>
      </c>
      <c r="B9180">
        <v>0</v>
      </c>
      <c r="C9180">
        <v>0</v>
      </c>
      <c r="D9180">
        <v>0</v>
      </c>
      <c r="E9180">
        <v>0</v>
      </c>
    </row>
    <row r="9181" spans="1:5" x14ac:dyDescent="0.35">
      <c r="A9181">
        <v>0</v>
      </c>
      <c r="B9181">
        <v>0</v>
      </c>
      <c r="C9181">
        <v>0</v>
      </c>
      <c r="D9181">
        <v>0</v>
      </c>
      <c r="E9181">
        <v>0</v>
      </c>
    </row>
    <row r="9182" spans="1:5" x14ac:dyDescent="0.35">
      <c r="A9182">
        <v>0</v>
      </c>
      <c r="B9182">
        <v>0</v>
      </c>
      <c r="C9182">
        <v>0</v>
      </c>
      <c r="D9182">
        <v>0</v>
      </c>
      <c r="E9182">
        <v>0</v>
      </c>
    </row>
    <row r="9183" spans="1:5" x14ac:dyDescent="0.35">
      <c r="A9183">
        <v>0</v>
      </c>
      <c r="B9183">
        <v>0</v>
      </c>
      <c r="C9183">
        <v>0</v>
      </c>
      <c r="D9183">
        <v>0</v>
      </c>
      <c r="E9183">
        <v>0</v>
      </c>
    </row>
    <row r="9184" spans="1:5" x14ac:dyDescent="0.35">
      <c r="A9184">
        <v>0</v>
      </c>
      <c r="B9184">
        <v>0</v>
      </c>
      <c r="C9184">
        <v>0</v>
      </c>
      <c r="D9184">
        <v>0</v>
      </c>
      <c r="E9184">
        <v>0</v>
      </c>
    </row>
    <row r="9185" spans="1:5" x14ac:dyDescent="0.35">
      <c r="A9185">
        <v>0</v>
      </c>
      <c r="B9185">
        <v>0</v>
      </c>
      <c r="C9185">
        <v>0</v>
      </c>
      <c r="D9185">
        <v>0</v>
      </c>
      <c r="E9185">
        <v>0</v>
      </c>
    </row>
    <row r="9186" spans="1:5" x14ac:dyDescent="0.35">
      <c r="A9186">
        <v>0</v>
      </c>
      <c r="B9186">
        <v>0</v>
      </c>
      <c r="C9186">
        <v>0</v>
      </c>
      <c r="D9186">
        <v>0</v>
      </c>
      <c r="E9186">
        <v>0</v>
      </c>
    </row>
    <row r="9187" spans="1:5" x14ac:dyDescent="0.35">
      <c r="A9187">
        <v>0</v>
      </c>
      <c r="B9187">
        <v>0</v>
      </c>
      <c r="C9187">
        <v>0</v>
      </c>
      <c r="D9187">
        <v>0</v>
      </c>
      <c r="E9187">
        <v>0</v>
      </c>
    </row>
    <row r="9188" spans="1:5" x14ac:dyDescent="0.35">
      <c r="A9188">
        <v>0</v>
      </c>
      <c r="B9188">
        <v>0</v>
      </c>
      <c r="C9188">
        <v>0</v>
      </c>
      <c r="D9188">
        <v>0</v>
      </c>
      <c r="E9188">
        <v>0</v>
      </c>
    </row>
    <row r="9189" spans="1:5" x14ac:dyDescent="0.35">
      <c r="A9189">
        <v>0</v>
      </c>
      <c r="B9189">
        <v>0</v>
      </c>
      <c r="C9189">
        <v>0</v>
      </c>
      <c r="D9189">
        <v>0</v>
      </c>
      <c r="E9189">
        <v>0</v>
      </c>
    </row>
    <row r="9190" spans="1:5" x14ac:dyDescent="0.35">
      <c r="A9190">
        <v>0</v>
      </c>
      <c r="B9190">
        <v>0</v>
      </c>
      <c r="C9190">
        <v>0</v>
      </c>
      <c r="D9190">
        <v>0</v>
      </c>
      <c r="E9190">
        <v>0</v>
      </c>
    </row>
    <row r="9191" spans="1:5" x14ac:dyDescent="0.35">
      <c r="A9191">
        <v>0</v>
      </c>
      <c r="B9191">
        <v>0</v>
      </c>
      <c r="C9191">
        <v>0</v>
      </c>
      <c r="D9191">
        <v>0</v>
      </c>
      <c r="E9191">
        <v>0</v>
      </c>
    </row>
    <row r="9192" spans="1:5" x14ac:dyDescent="0.35">
      <c r="A9192">
        <v>0</v>
      </c>
      <c r="B9192">
        <v>0</v>
      </c>
      <c r="C9192">
        <v>0</v>
      </c>
      <c r="D9192">
        <v>0</v>
      </c>
      <c r="E9192">
        <v>0</v>
      </c>
    </row>
    <row r="9193" spans="1:5" x14ac:dyDescent="0.35">
      <c r="A9193">
        <v>0</v>
      </c>
      <c r="B9193">
        <v>0</v>
      </c>
      <c r="C9193">
        <v>0</v>
      </c>
      <c r="D9193">
        <v>0</v>
      </c>
      <c r="E9193">
        <v>0</v>
      </c>
    </row>
    <row r="9194" spans="1:5" x14ac:dyDescent="0.35">
      <c r="A9194">
        <v>0</v>
      </c>
      <c r="B9194">
        <v>0</v>
      </c>
      <c r="C9194">
        <v>0</v>
      </c>
      <c r="D9194">
        <v>0</v>
      </c>
      <c r="E9194">
        <v>0</v>
      </c>
    </row>
    <row r="9195" spans="1:5" x14ac:dyDescent="0.35">
      <c r="A9195">
        <v>0</v>
      </c>
      <c r="B9195">
        <v>0</v>
      </c>
      <c r="C9195">
        <v>0</v>
      </c>
      <c r="D9195">
        <v>0</v>
      </c>
      <c r="E9195">
        <v>0</v>
      </c>
    </row>
    <row r="9196" spans="1:5" x14ac:dyDescent="0.35">
      <c r="A9196">
        <v>0</v>
      </c>
      <c r="B9196">
        <v>0</v>
      </c>
      <c r="C9196">
        <v>0</v>
      </c>
      <c r="D9196">
        <v>0</v>
      </c>
      <c r="E9196">
        <v>0</v>
      </c>
    </row>
    <row r="9197" spans="1:5" x14ac:dyDescent="0.35">
      <c r="A9197">
        <v>0</v>
      </c>
      <c r="B9197">
        <v>0</v>
      </c>
      <c r="C9197">
        <v>0</v>
      </c>
      <c r="D9197">
        <v>0</v>
      </c>
      <c r="E9197">
        <v>0</v>
      </c>
    </row>
    <row r="9198" spans="1:5" x14ac:dyDescent="0.35">
      <c r="A9198">
        <v>0</v>
      </c>
      <c r="B9198">
        <v>0</v>
      </c>
      <c r="C9198">
        <v>0</v>
      </c>
      <c r="D9198">
        <v>0</v>
      </c>
      <c r="E9198">
        <v>0</v>
      </c>
    </row>
    <row r="9199" spans="1:5" x14ac:dyDescent="0.35">
      <c r="A9199">
        <v>0</v>
      </c>
      <c r="B9199">
        <v>0</v>
      </c>
      <c r="C9199">
        <v>0</v>
      </c>
      <c r="D9199">
        <v>0</v>
      </c>
      <c r="E9199">
        <v>0</v>
      </c>
    </row>
    <row r="9200" spans="1:5" x14ac:dyDescent="0.35">
      <c r="A9200">
        <v>0</v>
      </c>
      <c r="B9200">
        <v>0</v>
      </c>
      <c r="C9200">
        <v>0</v>
      </c>
      <c r="D9200">
        <v>0</v>
      </c>
      <c r="E9200">
        <v>0</v>
      </c>
    </row>
    <row r="9201" spans="1:5" x14ac:dyDescent="0.35">
      <c r="A9201">
        <v>0</v>
      </c>
      <c r="B9201">
        <v>0</v>
      </c>
      <c r="C9201">
        <v>0</v>
      </c>
      <c r="D9201">
        <v>0</v>
      </c>
      <c r="E9201">
        <v>0</v>
      </c>
    </row>
    <row r="9202" spans="1:5" x14ac:dyDescent="0.35">
      <c r="A9202">
        <v>0</v>
      </c>
      <c r="B9202">
        <v>0</v>
      </c>
      <c r="C9202">
        <v>0</v>
      </c>
      <c r="D9202">
        <v>0</v>
      </c>
      <c r="E9202">
        <v>0</v>
      </c>
    </row>
    <row r="9203" spans="1:5" x14ac:dyDescent="0.35">
      <c r="A9203">
        <v>0</v>
      </c>
      <c r="B9203">
        <v>0</v>
      </c>
      <c r="C9203">
        <v>0</v>
      </c>
      <c r="D9203">
        <v>0</v>
      </c>
      <c r="E9203">
        <v>0</v>
      </c>
    </row>
    <row r="9204" spans="1:5" x14ac:dyDescent="0.35">
      <c r="A9204">
        <v>0</v>
      </c>
      <c r="B9204">
        <v>0</v>
      </c>
      <c r="C9204">
        <v>0</v>
      </c>
      <c r="D9204">
        <v>0</v>
      </c>
      <c r="E9204">
        <v>0</v>
      </c>
    </row>
    <row r="9205" spans="1:5" x14ac:dyDescent="0.35">
      <c r="A9205">
        <v>0</v>
      </c>
      <c r="B9205">
        <v>0</v>
      </c>
      <c r="C9205">
        <v>0</v>
      </c>
      <c r="D9205">
        <v>0</v>
      </c>
      <c r="E9205">
        <v>0</v>
      </c>
    </row>
    <row r="9206" spans="1:5" x14ac:dyDescent="0.35">
      <c r="A9206">
        <v>0</v>
      </c>
      <c r="B9206">
        <v>0</v>
      </c>
      <c r="C9206">
        <v>0</v>
      </c>
      <c r="D9206">
        <v>0</v>
      </c>
      <c r="E9206">
        <v>0</v>
      </c>
    </row>
    <row r="9207" spans="1:5" x14ac:dyDescent="0.35">
      <c r="A9207">
        <v>0</v>
      </c>
      <c r="B9207">
        <v>0</v>
      </c>
      <c r="C9207">
        <v>0</v>
      </c>
      <c r="D9207">
        <v>0</v>
      </c>
      <c r="E9207">
        <v>0</v>
      </c>
    </row>
    <row r="9208" spans="1:5" x14ac:dyDescent="0.35">
      <c r="A9208">
        <v>0</v>
      </c>
      <c r="B9208">
        <v>0</v>
      </c>
      <c r="C9208">
        <v>0</v>
      </c>
      <c r="D9208">
        <v>0</v>
      </c>
      <c r="E9208">
        <v>0</v>
      </c>
    </row>
    <row r="9209" spans="1:5" x14ac:dyDescent="0.35">
      <c r="A9209">
        <v>0</v>
      </c>
      <c r="B9209">
        <v>0</v>
      </c>
      <c r="C9209">
        <v>0</v>
      </c>
      <c r="D9209">
        <v>0</v>
      </c>
      <c r="E9209">
        <v>0</v>
      </c>
    </row>
    <row r="9210" spans="1:5" x14ac:dyDescent="0.35">
      <c r="A9210">
        <v>0</v>
      </c>
      <c r="B9210">
        <v>0</v>
      </c>
      <c r="C9210">
        <v>0</v>
      </c>
      <c r="D9210">
        <v>0</v>
      </c>
      <c r="E9210">
        <v>0</v>
      </c>
    </row>
    <row r="9211" spans="1:5" x14ac:dyDescent="0.35">
      <c r="A9211">
        <v>0</v>
      </c>
      <c r="B9211">
        <v>0</v>
      </c>
      <c r="C9211">
        <v>0</v>
      </c>
      <c r="D9211">
        <v>0</v>
      </c>
      <c r="E9211">
        <v>0</v>
      </c>
    </row>
    <row r="9212" spans="1:5" x14ac:dyDescent="0.35">
      <c r="A9212">
        <v>0</v>
      </c>
      <c r="B9212">
        <v>0</v>
      </c>
      <c r="C9212">
        <v>0</v>
      </c>
      <c r="D9212">
        <v>0</v>
      </c>
      <c r="E9212">
        <v>0</v>
      </c>
    </row>
    <row r="9213" spans="1:5" x14ac:dyDescent="0.35">
      <c r="A9213">
        <v>0</v>
      </c>
      <c r="B9213">
        <v>0</v>
      </c>
      <c r="C9213">
        <v>0</v>
      </c>
      <c r="D9213">
        <v>0</v>
      </c>
      <c r="E9213">
        <v>0</v>
      </c>
    </row>
    <row r="9214" spans="1:5" x14ac:dyDescent="0.35">
      <c r="A9214">
        <v>0</v>
      </c>
      <c r="B9214">
        <v>0</v>
      </c>
      <c r="C9214">
        <v>0</v>
      </c>
      <c r="D9214">
        <v>0</v>
      </c>
      <c r="E9214">
        <v>0</v>
      </c>
    </row>
    <row r="9215" spans="1:5" x14ac:dyDescent="0.35">
      <c r="A9215">
        <v>0</v>
      </c>
      <c r="B9215">
        <v>0</v>
      </c>
      <c r="C9215">
        <v>0</v>
      </c>
      <c r="D9215">
        <v>0</v>
      </c>
      <c r="E9215">
        <v>0</v>
      </c>
    </row>
    <row r="9216" spans="1:5" x14ac:dyDescent="0.35">
      <c r="A9216">
        <v>0</v>
      </c>
      <c r="B9216">
        <v>0</v>
      </c>
      <c r="C9216">
        <v>0</v>
      </c>
      <c r="D9216">
        <v>0</v>
      </c>
      <c r="E9216">
        <v>0</v>
      </c>
    </row>
    <row r="9217" spans="1:5" x14ac:dyDescent="0.35">
      <c r="A9217">
        <v>0</v>
      </c>
      <c r="B9217">
        <v>0</v>
      </c>
      <c r="C9217">
        <v>0</v>
      </c>
      <c r="D9217">
        <v>0</v>
      </c>
      <c r="E9217">
        <v>0</v>
      </c>
    </row>
    <row r="9218" spans="1:5" x14ac:dyDescent="0.35">
      <c r="A9218">
        <v>0</v>
      </c>
      <c r="B9218">
        <v>0</v>
      </c>
      <c r="C9218">
        <v>0</v>
      </c>
      <c r="D9218">
        <v>0</v>
      </c>
      <c r="E9218">
        <v>0</v>
      </c>
    </row>
    <row r="9219" spans="1:5" x14ac:dyDescent="0.35">
      <c r="A9219">
        <v>0</v>
      </c>
      <c r="B9219">
        <v>0</v>
      </c>
      <c r="C9219">
        <v>0</v>
      </c>
      <c r="D9219">
        <v>0</v>
      </c>
      <c r="E9219">
        <v>0</v>
      </c>
    </row>
    <row r="9220" spans="1:5" x14ac:dyDescent="0.35">
      <c r="A9220">
        <v>0</v>
      </c>
      <c r="B9220">
        <v>0</v>
      </c>
      <c r="C9220">
        <v>0</v>
      </c>
      <c r="D9220">
        <v>0</v>
      </c>
      <c r="E9220">
        <v>0</v>
      </c>
    </row>
    <row r="9221" spans="1:5" x14ac:dyDescent="0.35">
      <c r="A9221">
        <v>0</v>
      </c>
      <c r="B9221">
        <v>0</v>
      </c>
      <c r="C9221">
        <v>0</v>
      </c>
      <c r="D9221">
        <v>0</v>
      </c>
      <c r="E9221">
        <v>0</v>
      </c>
    </row>
    <row r="9222" spans="1:5" x14ac:dyDescent="0.35">
      <c r="A9222">
        <v>0</v>
      </c>
      <c r="B9222">
        <v>0</v>
      </c>
      <c r="C9222">
        <v>0</v>
      </c>
      <c r="D9222">
        <v>0</v>
      </c>
      <c r="E9222">
        <v>0</v>
      </c>
    </row>
    <row r="9223" spans="1:5" x14ac:dyDescent="0.35">
      <c r="A9223">
        <v>0</v>
      </c>
      <c r="B9223">
        <v>0</v>
      </c>
      <c r="C9223">
        <v>0</v>
      </c>
      <c r="D9223">
        <v>0</v>
      </c>
      <c r="E9223">
        <v>0</v>
      </c>
    </row>
    <row r="9224" spans="1:5" x14ac:dyDescent="0.35">
      <c r="A9224">
        <v>0</v>
      </c>
      <c r="B9224">
        <v>0</v>
      </c>
      <c r="C9224">
        <v>0</v>
      </c>
      <c r="D9224">
        <v>0</v>
      </c>
      <c r="E9224">
        <v>0</v>
      </c>
    </row>
    <row r="9225" spans="1:5" x14ac:dyDescent="0.35">
      <c r="A9225">
        <v>0</v>
      </c>
      <c r="B9225">
        <v>0</v>
      </c>
      <c r="C9225">
        <v>0</v>
      </c>
      <c r="D9225">
        <v>0</v>
      </c>
      <c r="E9225">
        <v>0</v>
      </c>
    </row>
    <row r="9226" spans="1:5" x14ac:dyDescent="0.35">
      <c r="A9226">
        <v>0</v>
      </c>
      <c r="B9226">
        <v>0</v>
      </c>
      <c r="C9226">
        <v>0</v>
      </c>
      <c r="D9226">
        <v>0</v>
      </c>
      <c r="E9226">
        <v>0</v>
      </c>
    </row>
    <row r="9227" spans="1:5" x14ac:dyDescent="0.35">
      <c r="A9227">
        <v>0</v>
      </c>
      <c r="B9227">
        <v>0</v>
      </c>
      <c r="C9227">
        <v>0</v>
      </c>
      <c r="D9227">
        <v>0</v>
      </c>
      <c r="E9227">
        <v>0</v>
      </c>
    </row>
    <row r="9228" spans="1:5" x14ac:dyDescent="0.35">
      <c r="A9228">
        <v>0</v>
      </c>
      <c r="B9228">
        <v>0</v>
      </c>
      <c r="C9228">
        <v>0</v>
      </c>
      <c r="D9228">
        <v>0</v>
      </c>
      <c r="E9228">
        <v>0</v>
      </c>
    </row>
    <row r="9229" spans="1:5" x14ac:dyDescent="0.35">
      <c r="A9229">
        <v>0</v>
      </c>
      <c r="B9229">
        <v>0</v>
      </c>
      <c r="C9229">
        <v>0</v>
      </c>
      <c r="D9229">
        <v>0</v>
      </c>
      <c r="E9229">
        <v>0</v>
      </c>
    </row>
    <row r="9230" spans="1:5" x14ac:dyDescent="0.35">
      <c r="A9230">
        <v>0</v>
      </c>
      <c r="B9230">
        <v>0</v>
      </c>
      <c r="C9230">
        <v>0</v>
      </c>
      <c r="D9230">
        <v>0</v>
      </c>
      <c r="E9230">
        <v>0</v>
      </c>
    </row>
    <row r="9231" spans="1:5" x14ac:dyDescent="0.35">
      <c r="A9231">
        <v>0</v>
      </c>
      <c r="B9231">
        <v>0</v>
      </c>
      <c r="C9231">
        <v>0</v>
      </c>
      <c r="D9231">
        <v>0</v>
      </c>
      <c r="E9231">
        <v>0</v>
      </c>
    </row>
    <row r="9232" spans="1:5" x14ac:dyDescent="0.35">
      <c r="A9232">
        <v>0</v>
      </c>
      <c r="B9232">
        <v>0</v>
      </c>
      <c r="C9232">
        <v>0</v>
      </c>
      <c r="D9232">
        <v>0</v>
      </c>
      <c r="E9232">
        <v>0</v>
      </c>
    </row>
    <row r="9233" spans="1:5" x14ac:dyDescent="0.35">
      <c r="A9233">
        <v>0</v>
      </c>
      <c r="B9233">
        <v>0</v>
      </c>
      <c r="C9233">
        <v>0</v>
      </c>
      <c r="D9233">
        <v>0</v>
      </c>
      <c r="E9233">
        <v>0</v>
      </c>
    </row>
    <row r="9234" spans="1:5" x14ac:dyDescent="0.35">
      <c r="A9234">
        <v>0</v>
      </c>
      <c r="B9234">
        <v>0</v>
      </c>
      <c r="C9234">
        <v>0</v>
      </c>
      <c r="D9234">
        <v>0</v>
      </c>
      <c r="E9234">
        <v>0</v>
      </c>
    </row>
    <row r="9235" spans="1:5" x14ac:dyDescent="0.35">
      <c r="A9235">
        <v>0</v>
      </c>
      <c r="B9235">
        <v>0</v>
      </c>
      <c r="C9235">
        <v>0</v>
      </c>
      <c r="D9235">
        <v>0</v>
      </c>
      <c r="E9235">
        <v>0</v>
      </c>
    </row>
    <row r="9236" spans="1:5" x14ac:dyDescent="0.35">
      <c r="A9236">
        <v>0</v>
      </c>
      <c r="B9236">
        <v>0</v>
      </c>
      <c r="C9236">
        <v>0</v>
      </c>
      <c r="D9236">
        <v>0</v>
      </c>
      <c r="E9236">
        <v>0</v>
      </c>
    </row>
    <row r="9237" spans="1:5" x14ac:dyDescent="0.35">
      <c r="A9237">
        <v>0</v>
      </c>
      <c r="B9237">
        <v>0</v>
      </c>
      <c r="C9237">
        <v>0</v>
      </c>
      <c r="D9237">
        <v>0</v>
      </c>
      <c r="E9237">
        <v>0</v>
      </c>
    </row>
    <row r="9238" spans="1:5" x14ac:dyDescent="0.35">
      <c r="A9238">
        <v>0</v>
      </c>
      <c r="B9238">
        <v>0</v>
      </c>
      <c r="C9238">
        <v>0</v>
      </c>
      <c r="D9238">
        <v>0</v>
      </c>
      <c r="E9238">
        <v>0</v>
      </c>
    </row>
    <row r="9239" spans="1:5" x14ac:dyDescent="0.35">
      <c r="A9239">
        <v>0</v>
      </c>
      <c r="B9239">
        <v>0</v>
      </c>
      <c r="C9239">
        <v>0</v>
      </c>
      <c r="D9239">
        <v>0</v>
      </c>
      <c r="E9239">
        <v>0</v>
      </c>
    </row>
    <row r="9240" spans="1:5" x14ac:dyDescent="0.35">
      <c r="A9240">
        <v>0</v>
      </c>
      <c r="B9240">
        <v>0</v>
      </c>
      <c r="C9240">
        <v>0</v>
      </c>
      <c r="D9240">
        <v>0</v>
      </c>
      <c r="E9240">
        <v>0</v>
      </c>
    </row>
    <row r="9241" spans="1:5" x14ac:dyDescent="0.35">
      <c r="A9241">
        <v>0</v>
      </c>
      <c r="B9241">
        <v>0</v>
      </c>
      <c r="C9241">
        <v>0</v>
      </c>
      <c r="D9241">
        <v>0</v>
      </c>
      <c r="E9241">
        <v>0</v>
      </c>
    </row>
    <row r="9242" spans="1:5" x14ac:dyDescent="0.35">
      <c r="A9242">
        <v>0</v>
      </c>
      <c r="B9242">
        <v>0</v>
      </c>
      <c r="C9242">
        <v>0</v>
      </c>
      <c r="D9242">
        <v>0</v>
      </c>
      <c r="E9242">
        <v>0</v>
      </c>
    </row>
    <row r="9243" spans="1:5" x14ac:dyDescent="0.35">
      <c r="A9243">
        <v>0</v>
      </c>
      <c r="B9243">
        <v>0</v>
      </c>
      <c r="C9243">
        <v>0</v>
      </c>
      <c r="D9243">
        <v>0</v>
      </c>
      <c r="E9243">
        <v>0</v>
      </c>
    </row>
    <row r="9244" spans="1:5" x14ac:dyDescent="0.35">
      <c r="A9244">
        <v>0</v>
      </c>
      <c r="B9244">
        <v>0</v>
      </c>
      <c r="C9244">
        <v>0</v>
      </c>
      <c r="D9244">
        <v>0</v>
      </c>
      <c r="E9244">
        <v>0</v>
      </c>
    </row>
    <row r="9245" spans="1:5" x14ac:dyDescent="0.35">
      <c r="A9245">
        <v>0</v>
      </c>
      <c r="B9245">
        <v>0</v>
      </c>
      <c r="C9245">
        <v>0</v>
      </c>
      <c r="D9245">
        <v>0</v>
      </c>
      <c r="E9245">
        <v>0</v>
      </c>
    </row>
    <row r="9246" spans="1:5" x14ac:dyDescent="0.35">
      <c r="A9246">
        <v>0</v>
      </c>
      <c r="B9246">
        <v>0</v>
      </c>
      <c r="C9246">
        <v>0</v>
      </c>
      <c r="D9246">
        <v>0</v>
      </c>
      <c r="E9246">
        <v>0</v>
      </c>
    </row>
    <row r="9247" spans="1:5" x14ac:dyDescent="0.35">
      <c r="A9247">
        <v>0</v>
      </c>
      <c r="B9247">
        <v>0</v>
      </c>
      <c r="C9247">
        <v>0</v>
      </c>
      <c r="D9247">
        <v>0</v>
      </c>
      <c r="E9247">
        <v>0</v>
      </c>
    </row>
    <row r="9248" spans="1:5" x14ac:dyDescent="0.35">
      <c r="A9248">
        <v>0</v>
      </c>
      <c r="B9248">
        <v>0</v>
      </c>
      <c r="C9248">
        <v>0</v>
      </c>
      <c r="D9248">
        <v>0</v>
      </c>
      <c r="E9248">
        <v>0</v>
      </c>
    </row>
    <row r="9249" spans="1:5" x14ac:dyDescent="0.35">
      <c r="A9249">
        <v>0</v>
      </c>
      <c r="B9249">
        <v>0</v>
      </c>
      <c r="C9249">
        <v>0</v>
      </c>
      <c r="D9249">
        <v>0</v>
      </c>
      <c r="E9249">
        <v>0</v>
      </c>
    </row>
    <row r="9250" spans="1:5" x14ac:dyDescent="0.35">
      <c r="A9250">
        <v>0</v>
      </c>
      <c r="B9250">
        <v>0</v>
      </c>
      <c r="C9250">
        <v>0</v>
      </c>
      <c r="D9250">
        <v>0</v>
      </c>
      <c r="E9250">
        <v>0</v>
      </c>
    </row>
    <row r="9251" spans="1:5" x14ac:dyDescent="0.35">
      <c r="A9251">
        <v>0</v>
      </c>
      <c r="B9251">
        <v>0</v>
      </c>
      <c r="C9251">
        <v>0</v>
      </c>
      <c r="D9251">
        <v>0</v>
      </c>
      <c r="E9251">
        <v>0</v>
      </c>
    </row>
    <row r="9252" spans="1:5" x14ac:dyDescent="0.35">
      <c r="A9252">
        <v>0</v>
      </c>
      <c r="B9252">
        <v>0</v>
      </c>
      <c r="C9252">
        <v>0</v>
      </c>
      <c r="D9252">
        <v>0</v>
      </c>
      <c r="E9252">
        <v>0</v>
      </c>
    </row>
    <row r="9253" spans="1:5" x14ac:dyDescent="0.35">
      <c r="A9253">
        <v>0</v>
      </c>
      <c r="B9253">
        <v>0</v>
      </c>
      <c r="C9253">
        <v>0</v>
      </c>
      <c r="D9253">
        <v>0</v>
      </c>
      <c r="E9253">
        <v>0</v>
      </c>
    </row>
    <row r="9254" spans="1:5" x14ac:dyDescent="0.35">
      <c r="A9254">
        <v>0</v>
      </c>
      <c r="B9254">
        <v>0</v>
      </c>
      <c r="C9254">
        <v>0</v>
      </c>
      <c r="D9254">
        <v>0</v>
      </c>
      <c r="E9254">
        <v>0</v>
      </c>
    </row>
    <row r="9255" spans="1:5" x14ac:dyDescent="0.35">
      <c r="A9255">
        <v>0</v>
      </c>
      <c r="B9255">
        <v>0</v>
      </c>
      <c r="C9255">
        <v>0</v>
      </c>
      <c r="D9255">
        <v>0</v>
      </c>
      <c r="E9255">
        <v>0</v>
      </c>
    </row>
    <row r="9256" spans="1:5" x14ac:dyDescent="0.35">
      <c r="A9256">
        <v>0</v>
      </c>
      <c r="B9256">
        <v>0</v>
      </c>
      <c r="C9256">
        <v>0</v>
      </c>
      <c r="D9256">
        <v>0</v>
      </c>
      <c r="E9256">
        <v>0</v>
      </c>
    </row>
    <row r="9257" spans="1:5" x14ac:dyDescent="0.35">
      <c r="A9257">
        <v>0</v>
      </c>
      <c r="B9257">
        <v>0</v>
      </c>
      <c r="C9257">
        <v>0</v>
      </c>
      <c r="D9257">
        <v>0</v>
      </c>
      <c r="E9257">
        <v>0</v>
      </c>
    </row>
    <row r="9258" spans="1:5" x14ac:dyDescent="0.35">
      <c r="A9258">
        <v>0</v>
      </c>
      <c r="B9258">
        <v>0</v>
      </c>
      <c r="C9258">
        <v>0</v>
      </c>
      <c r="D9258">
        <v>0</v>
      </c>
      <c r="E9258">
        <v>0</v>
      </c>
    </row>
    <row r="9259" spans="1:5" x14ac:dyDescent="0.35">
      <c r="A9259">
        <v>0</v>
      </c>
      <c r="B9259">
        <v>0</v>
      </c>
      <c r="C9259">
        <v>0</v>
      </c>
      <c r="D9259">
        <v>0</v>
      </c>
      <c r="E9259">
        <v>0</v>
      </c>
    </row>
    <row r="9260" spans="1:5" x14ac:dyDescent="0.35">
      <c r="A9260">
        <v>0</v>
      </c>
      <c r="B9260">
        <v>0</v>
      </c>
      <c r="C9260">
        <v>0</v>
      </c>
      <c r="D9260">
        <v>0</v>
      </c>
      <c r="E9260">
        <v>0</v>
      </c>
    </row>
    <row r="9261" spans="1:5" x14ac:dyDescent="0.35">
      <c r="A9261">
        <v>0</v>
      </c>
      <c r="B9261">
        <v>0</v>
      </c>
      <c r="C9261">
        <v>0</v>
      </c>
      <c r="D9261">
        <v>0</v>
      </c>
      <c r="E9261">
        <v>0</v>
      </c>
    </row>
    <row r="9262" spans="1:5" x14ac:dyDescent="0.35">
      <c r="A9262">
        <v>0</v>
      </c>
      <c r="B9262">
        <v>0</v>
      </c>
      <c r="C9262">
        <v>0</v>
      </c>
      <c r="D9262">
        <v>0</v>
      </c>
      <c r="E9262">
        <v>0</v>
      </c>
    </row>
    <row r="9263" spans="1:5" x14ac:dyDescent="0.35">
      <c r="A9263">
        <v>0</v>
      </c>
      <c r="B9263">
        <v>0</v>
      </c>
      <c r="C9263">
        <v>0</v>
      </c>
      <c r="D9263">
        <v>0</v>
      </c>
      <c r="E9263">
        <v>0</v>
      </c>
    </row>
    <row r="9264" spans="1:5" x14ac:dyDescent="0.35">
      <c r="A9264">
        <v>0</v>
      </c>
      <c r="B9264">
        <v>0</v>
      </c>
      <c r="C9264">
        <v>0</v>
      </c>
      <c r="D9264">
        <v>0</v>
      </c>
      <c r="E9264">
        <v>0</v>
      </c>
    </row>
    <row r="9265" spans="1:5" x14ac:dyDescent="0.35">
      <c r="A9265">
        <v>0</v>
      </c>
      <c r="B9265">
        <v>0</v>
      </c>
      <c r="C9265">
        <v>0</v>
      </c>
      <c r="D9265">
        <v>0</v>
      </c>
      <c r="E9265">
        <v>0</v>
      </c>
    </row>
    <row r="9266" spans="1:5" x14ac:dyDescent="0.35">
      <c r="A9266">
        <v>0</v>
      </c>
      <c r="B9266">
        <v>0</v>
      </c>
      <c r="C9266">
        <v>0</v>
      </c>
      <c r="D9266">
        <v>0</v>
      </c>
      <c r="E9266">
        <v>0</v>
      </c>
    </row>
    <row r="9267" spans="1:5" x14ac:dyDescent="0.35">
      <c r="A9267">
        <v>0</v>
      </c>
      <c r="B9267">
        <v>0</v>
      </c>
      <c r="C9267">
        <v>0</v>
      </c>
      <c r="D9267">
        <v>0</v>
      </c>
      <c r="E9267">
        <v>0</v>
      </c>
    </row>
    <row r="9268" spans="1:5" x14ac:dyDescent="0.35">
      <c r="A9268">
        <v>0</v>
      </c>
      <c r="B9268">
        <v>0</v>
      </c>
      <c r="C9268">
        <v>0</v>
      </c>
      <c r="D9268">
        <v>0</v>
      </c>
      <c r="E9268">
        <v>0</v>
      </c>
    </row>
    <row r="9269" spans="1:5" x14ac:dyDescent="0.35">
      <c r="A9269">
        <v>0</v>
      </c>
      <c r="B9269">
        <v>0</v>
      </c>
      <c r="C9269">
        <v>0</v>
      </c>
      <c r="D9269">
        <v>0</v>
      </c>
      <c r="E9269">
        <v>0</v>
      </c>
    </row>
    <row r="9270" spans="1:5" x14ac:dyDescent="0.35">
      <c r="A9270">
        <v>0</v>
      </c>
      <c r="B9270">
        <v>0</v>
      </c>
      <c r="C9270">
        <v>0</v>
      </c>
      <c r="D9270">
        <v>0</v>
      </c>
      <c r="E9270">
        <v>0</v>
      </c>
    </row>
    <row r="9271" spans="1:5" x14ac:dyDescent="0.35">
      <c r="A9271">
        <v>0</v>
      </c>
      <c r="B9271">
        <v>0</v>
      </c>
      <c r="C9271">
        <v>0</v>
      </c>
      <c r="D9271">
        <v>0</v>
      </c>
      <c r="E9271">
        <v>0</v>
      </c>
    </row>
    <row r="9272" spans="1:5" x14ac:dyDescent="0.35">
      <c r="A9272">
        <v>0</v>
      </c>
      <c r="B9272">
        <v>0</v>
      </c>
      <c r="C9272">
        <v>0</v>
      </c>
      <c r="D9272">
        <v>0</v>
      </c>
      <c r="E9272">
        <v>0</v>
      </c>
    </row>
    <row r="9273" spans="1:5" x14ac:dyDescent="0.35">
      <c r="A9273">
        <v>0</v>
      </c>
      <c r="B9273">
        <v>0</v>
      </c>
      <c r="C9273">
        <v>0</v>
      </c>
      <c r="D9273">
        <v>0</v>
      </c>
      <c r="E9273">
        <v>0</v>
      </c>
    </row>
    <row r="9274" spans="1:5" x14ac:dyDescent="0.35">
      <c r="A9274">
        <v>0</v>
      </c>
      <c r="B9274">
        <v>0</v>
      </c>
      <c r="C9274">
        <v>0</v>
      </c>
      <c r="D9274">
        <v>0</v>
      </c>
      <c r="E9274">
        <v>0</v>
      </c>
    </row>
    <row r="9275" spans="1:5" x14ac:dyDescent="0.35">
      <c r="A9275">
        <v>0</v>
      </c>
      <c r="B9275">
        <v>0</v>
      </c>
      <c r="C9275">
        <v>0</v>
      </c>
      <c r="D9275">
        <v>0</v>
      </c>
      <c r="E9275">
        <v>0</v>
      </c>
    </row>
    <row r="9276" spans="1:5" x14ac:dyDescent="0.35">
      <c r="A9276">
        <v>0</v>
      </c>
      <c r="B9276">
        <v>0</v>
      </c>
      <c r="C9276">
        <v>0</v>
      </c>
      <c r="D9276">
        <v>0</v>
      </c>
      <c r="E9276">
        <v>0</v>
      </c>
    </row>
    <row r="9277" spans="1:5" x14ac:dyDescent="0.35">
      <c r="A9277">
        <v>0</v>
      </c>
      <c r="B9277">
        <v>0</v>
      </c>
      <c r="C9277">
        <v>0</v>
      </c>
      <c r="D9277">
        <v>0</v>
      </c>
      <c r="E9277">
        <v>0</v>
      </c>
    </row>
    <row r="9278" spans="1:5" x14ac:dyDescent="0.35">
      <c r="A9278">
        <v>0</v>
      </c>
      <c r="B9278">
        <v>0</v>
      </c>
      <c r="C9278">
        <v>0</v>
      </c>
      <c r="D9278">
        <v>0</v>
      </c>
      <c r="E9278">
        <v>0</v>
      </c>
    </row>
    <row r="9279" spans="1:5" x14ac:dyDescent="0.35">
      <c r="A9279">
        <v>0</v>
      </c>
      <c r="B9279">
        <v>0</v>
      </c>
      <c r="C9279">
        <v>0</v>
      </c>
      <c r="D9279">
        <v>0</v>
      </c>
      <c r="E9279">
        <v>0</v>
      </c>
    </row>
    <row r="9280" spans="1:5" x14ac:dyDescent="0.35">
      <c r="A9280">
        <v>0</v>
      </c>
      <c r="B9280">
        <v>0</v>
      </c>
      <c r="C9280">
        <v>0</v>
      </c>
      <c r="D9280">
        <v>0</v>
      </c>
      <c r="E9280">
        <v>0</v>
      </c>
    </row>
    <row r="9281" spans="1:5" x14ac:dyDescent="0.35">
      <c r="A9281">
        <v>0</v>
      </c>
      <c r="B9281">
        <v>0</v>
      </c>
      <c r="C9281">
        <v>0</v>
      </c>
      <c r="D9281">
        <v>0</v>
      </c>
      <c r="E9281">
        <v>0</v>
      </c>
    </row>
    <row r="9282" spans="1:5" x14ac:dyDescent="0.35">
      <c r="A9282">
        <v>0</v>
      </c>
      <c r="B9282">
        <v>0</v>
      </c>
      <c r="C9282">
        <v>0</v>
      </c>
      <c r="D9282">
        <v>0</v>
      </c>
      <c r="E9282">
        <v>0</v>
      </c>
    </row>
    <row r="9283" spans="1:5" x14ac:dyDescent="0.35">
      <c r="A9283">
        <v>0</v>
      </c>
      <c r="B9283">
        <v>0</v>
      </c>
      <c r="C9283">
        <v>0</v>
      </c>
      <c r="D9283">
        <v>0</v>
      </c>
      <c r="E9283">
        <v>0</v>
      </c>
    </row>
    <row r="9284" spans="1:5" x14ac:dyDescent="0.35">
      <c r="A9284">
        <v>0</v>
      </c>
      <c r="B9284">
        <v>0</v>
      </c>
      <c r="C9284">
        <v>0</v>
      </c>
      <c r="D9284">
        <v>0</v>
      </c>
      <c r="E9284">
        <v>0</v>
      </c>
    </row>
    <row r="9285" spans="1:5" x14ac:dyDescent="0.35">
      <c r="A9285">
        <v>0</v>
      </c>
      <c r="B9285">
        <v>0</v>
      </c>
      <c r="C9285">
        <v>0</v>
      </c>
      <c r="D9285">
        <v>0</v>
      </c>
      <c r="E9285">
        <v>0</v>
      </c>
    </row>
    <row r="9286" spans="1:5" x14ac:dyDescent="0.35">
      <c r="A9286">
        <v>0</v>
      </c>
      <c r="B9286">
        <v>0</v>
      </c>
      <c r="C9286">
        <v>0</v>
      </c>
      <c r="D9286">
        <v>0</v>
      </c>
      <c r="E9286">
        <v>0</v>
      </c>
    </row>
    <row r="9287" spans="1:5" x14ac:dyDescent="0.35">
      <c r="A9287">
        <v>0</v>
      </c>
      <c r="B9287">
        <v>0</v>
      </c>
      <c r="C9287">
        <v>0</v>
      </c>
      <c r="D9287">
        <v>0</v>
      </c>
      <c r="E9287">
        <v>0</v>
      </c>
    </row>
    <row r="9288" spans="1:5" x14ac:dyDescent="0.35">
      <c r="A9288">
        <v>0</v>
      </c>
      <c r="B9288">
        <v>0</v>
      </c>
      <c r="C9288">
        <v>0</v>
      </c>
      <c r="D9288">
        <v>0</v>
      </c>
      <c r="E9288">
        <v>0</v>
      </c>
    </row>
    <row r="9289" spans="1:5" x14ac:dyDescent="0.35">
      <c r="A9289">
        <v>0</v>
      </c>
      <c r="B9289">
        <v>0</v>
      </c>
      <c r="C9289">
        <v>0</v>
      </c>
      <c r="D9289">
        <v>0</v>
      </c>
      <c r="E9289">
        <v>0</v>
      </c>
    </row>
    <row r="9290" spans="1:5" x14ac:dyDescent="0.35">
      <c r="A9290">
        <v>0</v>
      </c>
      <c r="B9290">
        <v>0</v>
      </c>
      <c r="C9290">
        <v>0</v>
      </c>
      <c r="D9290">
        <v>0</v>
      </c>
      <c r="E9290">
        <v>0</v>
      </c>
    </row>
    <row r="9291" spans="1:5" x14ac:dyDescent="0.35">
      <c r="A9291">
        <v>0</v>
      </c>
      <c r="B9291">
        <v>0</v>
      </c>
      <c r="C9291">
        <v>0</v>
      </c>
      <c r="D9291">
        <v>0</v>
      </c>
      <c r="E9291">
        <v>0</v>
      </c>
    </row>
    <row r="9292" spans="1:5" x14ac:dyDescent="0.35">
      <c r="A9292">
        <v>0</v>
      </c>
      <c r="B9292">
        <v>0</v>
      </c>
      <c r="C9292">
        <v>0</v>
      </c>
      <c r="D9292">
        <v>0</v>
      </c>
      <c r="E9292">
        <v>0</v>
      </c>
    </row>
    <row r="9293" spans="1:5" x14ac:dyDescent="0.35">
      <c r="A9293">
        <v>0</v>
      </c>
      <c r="B9293">
        <v>0</v>
      </c>
      <c r="C9293">
        <v>0</v>
      </c>
      <c r="D9293">
        <v>0</v>
      </c>
      <c r="E9293">
        <v>0</v>
      </c>
    </row>
    <row r="9294" spans="1:5" x14ac:dyDescent="0.35">
      <c r="A9294">
        <v>0</v>
      </c>
      <c r="B9294">
        <v>0</v>
      </c>
      <c r="C9294">
        <v>0</v>
      </c>
      <c r="D9294">
        <v>0</v>
      </c>
      <c r="E9294">
        <v>0</v>
      </c>
    </row>
    <row r="9295" spans="1:5" x14ac:dyDescent="0.35">
      <c r="A9295">
        <v>0</v>
      </c>
      <c r="B9295">
        <v>0</v>
      </c>
      <c r="C9295">
        <v>0</v>
      </c>
      <c r="D9295">
        <v>0</v>
      </c>
      <c r="E9295">
        <v>0</v>
      </c>
    </row>
    <row r="9296" spans="1:5" x14ac:dyDescent="0.35">
      <c r="A9296">
        <v>0</v>
      </c>
      <c r="B9296">
        <v>0</v>
      </c>
      <c r="C9296">
        <v>0</v>
      </c>
      <c r="D9296">
        <v>0</v>
      </c>
      <c r="E9296">
        <v>0</v>
      </c>
    </row>
    <row r="9297" spans="1:5" x14ac:dyDescent="0.35">
      <c r="A9297">
        <v>0</v>
      </c>
      <c r="B9297">
        <v>0</v>
      </c>
      <c r="C9297">
        <v>0</v>
      </c>
      <c r="D9297">
        <v>0</v>
      </c>
      <c r="E9297">
        <v>0</v>
      </c>
    </row>
    <row r="9298" spans="1:5" x14ac:dyDescent="0.35">
      <c r="A9298">
        <v>0</v>
      </c>
      <c r="B9298">
        <v>0</v>
      </c>
      <c r="C9298">
        <v>0</v>
      </c>
      <c r="D9298">
        <v>0</v>
      </c>
      <c r="E9298">
        <v>0</v>
      </c>
    </row>
    <row r="9299" spans="1:5" x14ac:dyDescent="0.35">
      <c r="A9299">
        <v>0</v>
      </c>
      <c r="B9299">
        <v>0</v>
      </c>
      <c r="C9299">
        <v>0</v>
      </c>
      <c r="D9299">
        <v>0</v>
      </c>
      <c r="E9299">
        <v>0</v>
      </c>
    </row>
    <row r="9300" spans="1:5" x14ac:dyDescent="0.35">
      <c r="A9300">
        <v>0</v>
      </c>
      <c r="B9300">
        <v>0</v>
      </c>
      <c r="C9300">
        <v>0</v>
      </c>
      <c r="D9300">
        <v>0</v>
      </c>
      <c r="E9300">
        <v>0</v>
      </c>
    </row>
    <row r="9301" spans="1:5" x14ac:dyDescent="0.35">
      <c r="A9301">
        <v>0</v>
      </c>
      <c r="B9301">
        <v>0</v>
      </c>
      <c r="C9301">
        <v>0</v>
      </c>
      <c r="D9301">
        <v>0</v>
      </c>
      <c r="E9301">
        <v>0</v>
      </c>
    </row>
    <row r="9302" spans="1:5" x14ac:dyDescent="0.35">
      <c r="A9302">
        <v>0</v>
      </c>
      <c r="B9302">
        <v>0</v>
      </c>
      <c r="C9302">
        <v>0</v>
      </c>
      <c r="D9302">
        <v>0</v>
      </c>
      <c r="E9302">
        <v>0</v>
      </c>
    </row>
    <row r="9303" spans="1:5" x14ac:dyDescent="0.35">
      <c r="A9303">
        <v>0</v>
      </c>
      <c r="B9303">
        <v>0</v>
      </c>
      <c r="C9303">
        <v>0</v>
      </c>
      <c r="D9303">
        <v>0</v>
      </c>
      <c r="E9303">
        <v>0</v>
      </c>
    </row>
    <row r="9304" spans="1:5" x14ac:dyDescent="0.35">
      <c r="A9304">
        <v>0</v>
      </c>
      <c r="B9304">
        <v>0</v>
      </c>
      <c r="C9304">
        <v>0</v>
      </c>
      <c r="D9304">
        <v>0</v>
      </c>
      <c r="E9304">
        <v>0</v>
      </c>
    </row>
    <row r="9305" spans="1:5" x14ac:dyDescent="0.35">
      <c r="A9305">
        <v>0</v>
      </c>
      <c r="B9305">
        <v>0</v>
      </c>
      <c r="C9305">
        <v>0</v>
      </c>
      <c r="D9305">
        <v>0</v>
      </c>
      <c r="E9305">
        <v>0</v>
      </c>
    </row>
    <row r="9306" spans="1:5" x14ac:dyDescent="0.35">
      <c r="A9306">
        <v>0</v>
      </c>
      <c r="B9306">
        <v>0</v>
      </c>
      <c r="C9306">
        <v>0</v>
      </c>
      <c r="D9306">
        <v>0</v>
      </c>
      <c r="E9306">
        <v>0</v>
      </c>
    </row>
    <row r="9307" spans="1:5" x14ac:dyDescent="0.35">
      <c r="A9307">
        <v>0</v>
      </c>
      <c r="B9307">
        <v>0</v>
      </c>
      <c r="C9307">
        <v>0</v>
      </c>
      <c r="D9307">
        <v>0</v>
      </c>
      <c r="E9307">
        <v>0</v>
      </c>
    </row>
    <row r="9308" spans="1:5" x14ac:dyDescent="0.35">
      <c r="A9308">
        <v>0</v>
      </c>
      <c r="B9308">
        <v>0</v>
      </c>
      <c r="C9308">
        <v>0</v>
      </c>
      <c r="D9308">
        <v>0</v>
      </c>
      <c r="E9308">
        <v>0</v>
      </c>
    </row>
    <row r="9309" spans="1:5" x14ac:dyDescent="0.35">
      <c r="A9309">
        <v>0</v>
      </c>
      <c r="B9309">
        <v>0</v>
      </c>
      <c r="C9309">
        <v>0</v>
      </c>
      <c r="D9309">
        <v>0</v>
      </c>
      <c r="E9309">
        <v>0</v>
      </c>
    </row>
    <row r="9310" spans="1:5" x14ac:dyDescent="0.35">
      <c r="A9310">
        <v>0</v>
      </c>
      <c r="B9310">
        <v>0</v>
      </c>
      <c r="C9310">
        <v>0</v>
      </c>
      <c r="D9310">
        <v>0</v>
      </c>
      <c r="E9310">
        <v>0</v>
      </c>
    </row>
    <row r="9311" spans="1:5" x14ac:dyDescent="0.35">
      <c r="A9311">
        <v>0</v>
      </c>
      <c r="B9311">
        <v>0</v>
      </c>
      <c r="C9311">
        <v>0</v>
      </c>
      <c r="D9311">
        <v>0</v>
      </c>
      <c r="E9311">
        <v>0</v>
      </c>
    </row>
    <row r="9312" spans="1:5" x14ac:dyDescent="0.35">
      <c r="A9312">
        <v>0</v>
      </c>
      <c r="B9312">
        <v>0</v>
      </c>
      <c r="C9312">
        <v>0</v>
      </c>
      <c r="D9312">
        <v>0</v>
      </c>
      <c r="E9312">
        <v>0</v>
      </c>
    </row>
    <row r="9313" spans="1:5" x14ac:dyDescent="0.35">
      <c r="A9313">
        <v>0</v>
      </c>
      <c r="B9313">
        <v>0</v>
      </c>
      <c r="C9313">
        <v>0</v>
      </c>
      <c r="D9313">
        <v>0</v>
      </c>
      <c r="E9313">
        <v>0</v>
      </c>
    </row>
    <row r="9314" spans="1:5" x14ac:dyDescent="0.35">
      <c r="A9314">
        <v>0</v>
      </c>
      <c r="B9314">
        <v>0</v>
      </c>
      <c r="C9314">
        <v>0</v>
      </c>
      <c r="D9314">
        <v>0</v>
      </c>
      <c r="E9314">
        <v>0</v>
      </c>
    </row>
    <row r="9315" spans="1:5" x14ac:dyDescent="0.35">
      <c r="A9315">
        <v>0</v>
      </c>
      <c r="B9315">
        <v>0</v>
      </c>
      <c r="C9315">
        <v>0</v>
      </c>
      <c r="D9315">
        <v>0</v>
      </c>
      <c r="E9315">
        <v>0</v>
      </c>
    </row>
    <row r="9316" spans="1:5" x14ac:dyDescent="0.35">
      <c r="A9316">
        <v>0</v>
      </c>
      <c r="B9316">
        <v>0</v>
      </c>
      <c r="C9316">
        <v>0</v>
      </c>
      <c r="D9316">
        <v>0</v>
      </c>
      <c r="E9316">
        <v>0</v>
      </c>
    </row>
    <row r="9317" spans="1:5" x14ac:dyDescent="0.35">
      <c r="A9317">
        <v>0</v>
      </c>
      <c r="B9317">
        <v>0</v>
      </c>
      <c r="C9317">
        <v>0</v>
      </c>
      <c r="D9317">
        <v>0</v>
      </c>
      <c r="E9317">
        <v>0</v>
      </c>
    </row>
    <row r="9318" spans="1:5" x14ac:dyDescent="0.35">
      <c r="A9318">
        <v>0</v>
      </c>
      <c r="B9318">
        <v>0</v>
      </c>
      <c r="C9318">
        <v>0</v>
      </c>
      <c r="D9318">
        <v>0</v>
      </c>
      <c r="E9318">
        <v>0</v>
      </c>
    </row>
    <row r="9319" spans="1:5" x14ac:dyDescent="0.35">
      <c r="A9319">
        <v>0</v>
      </c>
      <c r="B9319">
        <v>0</v>
      </c>
      <c r="C9319">
        <v>0</v>
      </c>
      <c r="D9319">
        <v>0</v>
      </c>
      <c r="E9319">
        <v>0</v>
      </c>
    </row>
    <row r="9320" spans="1:5" x14ac:dyDescent="0.35">
      <c r="A9320">
        <v>0</v>
      </c>
      <c r="B9320">
        <v>0</v>
      </c>
      <c r="C9320">
        <v>0</v>
      </c>
      <c r="D9320">
        <v>0</v>
      </c>
      <c r="E9320">
        <v>0</v>
      </c>
    </row>
    <row r="9321" spans="1:5" x14ac:dyDescent="0.35">
      <c r="A9321">
        <v>0</v>
      </c>
      <c r="B9321">
        <v>0</v>
      </c>
      <c r="C9321">
        <v>0</v>
      </c>
      <c r="D9321">
        <v>0</v>
      </c>
      <c r="E9321">
        <v>0</v>
      </c>
    </row>
    <row r="9322" spans="1:5" x14ac:dyDescent="0.35">
      <c r="A9322">
        <v>0</v>
      </c>
      <c r="B9322">
        <v>0</v>
      </c>
      <c r="C9322">
        <v>0</v>
      </c>
      <c r="D9322">
        <v>0</v>
      </c>
      <c r="E9322">
        <v>0</v>
      </c>
    </row>
    <row r="9323" spans="1:5" x14ac:dyDescent="0.35">
      <c r="A9323">
        <v>0</v>
      </c>
      <c r="B9323">
        <v>0</v>
      </c>
      <c r="C9323">
        <v>0</v>
      </c>
      <c r="D9323">
        <v>0</v>
      </c>
      <c r="E9323">
        <v>0</v>
      </c>
    </row>
    <row r="9324" spans="1:5" x14ac:dyDescent="0.35">
      <c r="A9324">
        <v>0</v>
      </c>
      <c r="B9324">
        <v>0</v>
      </c>
      <c r="C9324">
        <v>0</v>
      </c>
      <c r="D9324">
        <v>0</v>
      </c>
      <c r="E9324">
        <v>0</v>
      </c>
    </row>
    <row r="9325" spans="1:5" x14ac:dyDescent="0.35">
      <c r="A9325">
        <v>0</v>
      </c>
      <c r="B9325">
        <v>0</v>
      </c>
      <c r="C9325">
        <v>0</v>
      </c>
      <c r="D9325">
        <v>0</v>
      </c>
      <c r="E9325">
        <v>0</v>
      </c>
    </row>
    <row r="9326" spans="1:5" x14ac:dyDescent="0.35">
      <c r="A9326">
        <v>0</v>
      </c>
      <c r="B9326">
        <v>0</v>
      </c>
      <c r="C9326">
        <v>0</v>
      </c>
      <c r="D9326">
        <v>0</v>
      </c>
      <c r="E9326">
        <v>0</v>
      </c>
    </row>
    <row r="9327" spans="1:5" x14ac:dyDescent="0.35">
      <c r="A9327">
        <v>0</v>
      </c>
      <c r="B9327">
        <v>0</v>
      </c>
      <c r="C9327">
        <v>0</v>
      </c>
      <c r="D9327">
        <v>0</v>
      </c>
      <c r="E9327">
        <v>0</v>
      </c>
    </row>
    <row r="9328" spans="1:5" x14ac:dyDescent="0.35">
      <c r="A9328">
        <v>0</v>
      </c>
      <c r="B9328">
        <v>0</v>
      </c>
      <c r="C9328">
        <v>0</v>
      </c>
      <c r="D9328">
        <v>0</v>
      </c>
      <c r="E9328">
        <v>0</v>
      </c>
    </row>
    <row r="9329" spans="1:5" x14ac:dyDescent="0.35">
      <c r="A9329">
        <v>0</v>
      </c>
      <c r="B9329">
        <v>0</v>
      </c>
      <c r="C9329">
        <v>0</v>
      </c>
      <c r="D9329">
        <v>0</v>
      </c>
      <c r="E9329">
        <v>0</v>
      </c>
    </row>
    <row r="9330" spans="1:5" x14ac:dyDescent="0.35">
      <c r="A9330">
        <v>0</v>
      </c>
      <c r="B9330">
        <v>0</v>
      </c>
      <c r="C9330">
        <v>0</v>
      </c>
      <c r="D9330">
        <v>0</v>
      </c>
      <c r="E9330">
        <v>0</v>
      </c>
    </row>
    <row r="9331" spans="1:5" x14ac:dyDescent="0.35">
      <c r="A9331">
        <v>0</v>
      </c>
      <c r="B9331">
        <v>0</v>
      </c>
      <c r="C9331">
        <v>0</v>
      </c>
      <c r="D9331">
        <v>0</v>
      </c>
      <c r="E9331">
        <v>0</v>
      </c>
    </row>
    <row r="9332" spans="1:5" x14ac:dyDescent="0.35">
      <c r="A9332">
        <v>0</v>
      </c>
      <c r="B9332">
        <v>0</v>
      </c>
      <c r="C9332">
        <v>0</v>
      </c>
      <c r="D9332">
        <v>0</v>
      </c>
      <c r="E9332">
        <v>0</v>
      </c>
    </row>
    <row r="9333" spans="1:5" x14ac:dyDescent="0.35">
      <c r="A9333">
        <v>0</v>
      </c>
      <c r="B9333">
        <v>0</v>
      </c>
      <c r="C9333">
        <v>0</v>
      </c>
      <c r="D9333">
        <v>0</v>
      </c>
      <c r="E9333">
        <v>0</v>
      </c>
    </row>
    <row r="9334" spans="1:5" x14ac:dyDescent="0.35">
      <c r="A9334">
        <v>0</v>
      </c>
      <c r="B9334">
        <v>0</v>
      </c>
      <c r="C9334">
        <v>0</v>
      </c>
      <c r="D9334">
        <v>0</v>
      </c>
      <c r="E9334">
        <v>0</v>
      </c>
    </row>
    <row r="9335" spans="1:5" x14ac:dyDescent="0.35">
      <c r="A9335">
        <v>0</v>
      </c>
      <c r="B9335">
        <v>0</v>
      </c>
      <c r="C9335">
        <v>0</v>
      </c>
      <c r="D9335">
        <v>0</v>
      </c>
      <c r="E9335">
        <v>0</v>
      </c>
    </row>
    <row r="9336" spans="1:5" x14ac:dyDescent="0.35">
      <c r="A9336">
        <v>0</v>
      </c>
      <c r="B9336">
        <v>0</v>
      </c>
      <c r="C9336">
        <v>0</v>
      </c>
      <c r="D9336">
        <v>0</v>
      </c>
      <c r="E9336">
        <v>0</v>
      </c>
    </row>
    <row r="9337" spans="1:5" x14ac:dyDescent="0.35">
      <c r="A9337">
        <v>0</v>
      </c>
      <c r="B9337">
        <v>0</v>
      </c>
      <c r="C9337">
        <v>0</v>
      </c>
      <c r="D9337">
        <v>0</v>
      </c>
      <c r="E9337">
        <v>0</v>
      </c>
    </row>
    <row r="9338" spans="1:5" x14ac:dyDescent="0.35">
      <c r="A9338">
        <v>0</v>
      </c>
      <c r="B9338">
        <v>0</v>
      </c>
      <c r="C9338">
        <v>0</v>
      </c>
      <c r="D9338">
        <v>0</v>
      </c>
      <c r="E9338">
        <v>0</v>
      </c>
    </row>
    <row r="9339" spans="1:5" x14ac:dyDescent="0.35">
      <c r="A9339">
        <v>0</v>
      </c>
      <c r="B9339">
        <v>0</v>
      </c>
      <c r="C9339">
        <v>0</v>
      </c>
      <c r="D9339">
        <v>0</v>
      </c>
      <c r="E9339">
        <v>0</v>
      </c>
    </row>
    <row r="9340" spans="1:5" x14ac:dyDescent="0.35">
      <c r="A9340">
        <v>0</v>
      </c>
      <c r="B9340">
        <v>0</v>
      </c>
      <c r="C9340">
        <v>0</v>
      </c>
      <c r="D9340">
        <v>0</v>
      </c>
      <c r="E9340">
        <v>0</v>
      </c>
    </row>
    <row r="9341" spans="1:5" x14ac:dyDescent="0.35">
      <c r="A9341">
        <v>0</v>
      </c>
      <c r="B9341">
        <v>0</v>
      </c>
      <c r="C9341">
        <v>0</v>
      </c>
      <c r="D9341">
        <v>0</v>
      </c>
      <c r="E9341">
        <v>0</v>
      </c>
    </row>
    <row r="9342" spans="1:5" x14ac:dyDescent="0.35">
      <c r="A9342">
        <v>0</v>
      </c>
      <c r="B9342">
        <v>0</v>
      </c>
      <c r="C9342">
        <v>0</v>
      </c>
      <c r="D9342">
        <v>0</v>
      </c>
      <c r="E9342">
        <v>0</v>
      </c>
    </row>
    <row r="9343" spans="1:5" x14ac:dyDescent="0.35">
      <c r="A9343">
        <v>0</v>
      </c>
      <c r="B9343">
        <v>0</v>
      </c>
      <c r="C9343">
        <v>0</v>
      </c>
      <c r="D9343">
        <v>0</v>
      </c>
      <c r="E9343">
        <v>0</v>
      </c>
    </row>
    <row r="9344" spans="1:5" x14ac:dyDescent="0.35">
      <c r="A9344">
        <v>0</v>
      </c>
      <c r="B9344">
        <v>0</v>
      </c>
      <c r="C9344">
        <v>0</v>
      </c>
      <c r="D9344">
        <v>0</v>
      </c>
      <c r="E9344">
        <v>0</v>
      </c>
    </row>
    <row r="9345" spans="1:5" x14ac:dyDescent="0.35">
      <c r="A9345">
        <v>0</v>
      </c>
      <c r="B9345">
        <v>0</v>
      </c>
      <c r="C9345">
        <v>0</v>
      </c>
      <c r="D9345">
        <v>0</v>
      </c>
      <c r="E9345">
        <v>0</v>
      </c>
    </row>
    <row r="9346" spans="1:5" x14ac:dyDescent="0.35">
      <c r="A9346">
        <v>0</v>
      </c>
      <c r="B9346">
        <v>0</v>
      </c>
      <c r="C9346">
        <v>0</v>
      </c>
      <c r="D9346">
        <v>0</v>
      </c>
      <c r="E9346">
        <v>0</v>
      </c>
    </row>
    <row r="9347" spans="1:5" x14ac:dyDescent="0.35">
      <c r="A9347">
        <v>0</v>
      </c>
      <c r="B9347">
        <v>0</v>
      </c>
      <c r="C9347">
        <v>0</v>
      </c>
      <c r="D9347">
        <v>0</v>
      </c>
      <c r="E9347">
        <v>0</v>
      </c>
    </row>
    <row r="9348" spans="1:5" x14ac:dyDescent="0.35">
      <c r="A9348">
        <v>0</v>
      </c>
      <c r="B9348">
        <v>0</v>
      </c>
      <c r="C9348">
        <v>0</v>
      </c>
      <c r="D9348">
        <v>0</v>
      </c>
      <c r="E9348">
        <v>0</v>
      </c>
    </row>
    <row r="9349" spans="1:5" x14ac:dyDescent="0.35">
      <c r="A9349">
        <v>0</v>
      </c>
      <c r="B9349">
        <v>0</v>
      </c>
      <c r="C9349">
        <v>0</v>
      </c>
      <c r="D9349">
        <v>0</v>
      </c>
      <c r="E9349">
        <v>0</v>
      </c>
    </row>
    <row r="9350" spans="1:5" x14ac:dyDescent="0.35">
      <c r="A9350">
        <v>0</v>
      </c>
      <c r="B9350">
        <v>0</v>
      </c>
      <c r="C9350">
        <v>0</v>
      </c>
      <c r="D9350">
        <v>0</v>
      </c>
      <c r="E9350">
        <v>0</v>
      </c>
    </row>
    <row r="9351" spans="1:5" x14ac:dyDescent="0.35">
      <c r="A9351">
        <v>0</v>
      </c>
      <c r="B9351">
        <v>0</v>
      </c>
      <c r="C9351">
        <v>0</v>
      </c>
      <c r="D9351">
        <v>0</v>
      </c>
      <c r="E9351">
        <v>0</v>
      </c>
    </row>
    <row r="9352" spans="1:5" x14ac:dyDescent="0.35">
      <c r="A9352">
        <v>0</v>
      </c>
      <c r="B9352">
        <v>0</v>
      </c>
      <c r="C9352">
        <v>0</v>
      </c>
      <c r="D9352">
        <v>0</v>
      </c>
      <c r="E9352">
        <v>0</v>
      </c>
    </row>
    <row r="9353" spans="1:5" x14ac:dyDescent="0.35">
      <c r="A9353">
        <v>0</v>
      </c>
      <c r="B9353">
        <v>0</v>
      </c>
      <c r="C9353">
        <v>0</v>
      </c>
      <c r="D9353">
        <v>0</v>
      </c>
      <c r="E9353">
        <v>0</v>
      </c>
    </row>
    <row r="9354" spans="1:5" x14ac:dyDescent="0.35">
      <c r="A9354">
        <v>0</v>
      </c>
      <c r="B9354">
        <v>0</v>
      </c>
      <c r="C9354">
        <v>0</v>
      </c>
      <c r="D9354">
        <v>0</v>
      </c>
      <c r="E9354">
        <v>0</v>
      </c>
    </row>
    <row r="9355" spans="1:5" x14ac:dyDescent="0.35">
      <c r="A9355">
        <v>0</v>
      </c>
      <c r="B9355">
        <v>0</v>
      </c>
      <c r="C9355">
        <v>0</v>
      </c>
      <c r="D9355">
        <v>0</v>
      </c>
      <c r="E9355">
        <v>0</v>
      </c>
    </row>
    <row r="9356" spans="1:5" x14ac:dyDescent="0.35">
      <c r="A9356">
        <v>0</v>
      </c>
      <c r="B9356">
        <v>0</v>
      </c>
      <c r="C9356">
        <v>0</v>
      </c>
      <c r="D9356">
        <v>0</v>
      </c>
      <c r="E9356">
        <v>0</v>
      </c>
    </row>
    <row r="9357" spans="1:5" x14ac:dyDescent="0.35">
      <c r="A9357">
        <v>0</v>
      </c>
      <c r="B9357">
        <v>0</v>
      </c>
      <c r="C9357">
        <v>0</v>
      </c>
      <c r="D9357">
        <v>0</v>
      </c>
      <c r="E9357">
        <v>0</v>
      </c>
    </row>
    <row r="9358" spans="1:5" x14ac:dyDescent="0.35">
      <c r="A9358">
        <v>0</v>
      </c>
      <c r="B9358">
        <v>0</v>
      </c>
      <c r="C9358">
        <v>0</v>
      </c>
      <c r="D9358">
        <v>0</v>
      </c>
      <c r="E9358">
        <v>0</v>
      </c>
    </row>
    <row r="9359" spans="1:5" x14ac:dyDescent="0.35">
      <c r="A9359">
        <v>0</v>
      </c>
      <c r="B9359">
        <v>0</v>
      </c>
      <c r="C9359">
        <v>0</v>
      </c>
      <c r="D9359">
        <v>0</v>
      </c>
      <c r="E9359">
        <v>0</v>
      </c>
    </row>
    <row r="9360" spans="1:5" x14ac:dyDescent="0.35">
      <c r="A9360">
        <v>0</v>
      </c>
      <c r="B9360">
        <v>0</v>
      </c>
      <c r="C9360">
        <v>0</v>
      </c>
      <c r="D9360">
        <v>0</v>
      </c>
      <c r="E9360">
        <v>0</v>
      </c>
    </row>
    <row r="9361" spans="1:5" x14ac:dyDescent="0.35">
      <c r="A9361">
        <v>0</v>
      </c>
      <c r="B9361">
        <v>0</v>
      </c>
      <c r="C9361">
        <v>0</v>
      </c>
      <c r="D9361">
        <v>0</v>
      </c>
      <c r="E9361">
        <v>0</v>
      </c>
    </row>
    <row r="9362" spans="1:5" x14ac:dyDescent="0.35">
      <c r="A9362">
        <v>0</v>
      </c>
      <c r="B9362">
        <v>0</v>
      </c>
      <c r="C9362">
        <v>0</v>
      </c>
      <c r="D9362">
        <v>0</v>
      </c>
      <c r="E9362">
        <v>0</v>
      </c>
    </row>
    <row r="9363" spans="1:5" x14ac:dyDescent="0.35">
      <c r="A9363">
        <v>0</v>
      </c>
      <c r="B9363">
        <v>0</v>
      </c>
      <c r="C9363">
        <v>0</v>
      </c>
      <c r="D9363">
        <v>0</v>
      </c>
      <c r="E9363">
        <v>0</v>
      </c>
    </row>
    <row r="9364" spans="1:5" x14ac:dyDescent="0.35">
      <c r="A9364">
        <v>0</v>
      </c>
      <c r="B9364">
        <v>0</v>
      </c>
      <c r="C9364">
        <v>0</v>
      </c>
      <c r="D9364">
        <v>0</v>
      </c>
      <c r="E9364">
        <v>0</v>
      </c>
    </row>
    <row r="9365" spans="1:5" x14ac:dyDescent="0.35">
      <c r="A9365">
        <v>0</v>
      </c>
      <c r="B9365">
        <v>0</v>
      </c>
      <c r="C9365">
        <v>0</v>
      </c>
      <c r="D9365">
        <v>0</v>
      </c>
      <c r="E9365">
        <v>0</v>
      </c>
    </row>
    <row r="9366" spans="1:5" x14ac:dyDescent="0.35">
      <c r="A9366">
        <v>0</v>
      </c>
      <c r="B9366">
        <v>0</v>
      </c>
      <c r="C9366">
        <v>0</v>
      </c>
      <c r="D9366">
        <v>0</v>
      </c>
      <c r="E9366">
        <v>0</v>
      </c>
    </row>
    <row r="9367" spans="1:5" x14ac:dyDescent="0.35">
      <c r="A9367">
        <v>0</v>
      </c>
      <c r="B9367">
        <v>0</v>
      </c>
      <c r="C9367">
        <v>0</v>
      </c>
      <c r="D9367">
        <v>0</v>
      </c>
      <c r="E9367">
        <v>0</v>
      </c>
    </row>
    <row r="9368" spans="1:5" x14ac:dyDescent="0.35">
      <c r="A9368">
        <v>0</v>
      </c>
      <c r="B9368">
        <v>0</v>
      </c>
      <c r="C9368">
        <v>0</v>
      </c>
      <c r="D9368">
        <v>0</v>
      </c>
      <c r="E9368">
        <v>0</v>
      </c>
    </row>
    <row r="9369" spans="1:5" x14ac:dyDescent="0.35">
      <c r="A9369">
        <v>0</v>
      </c>
      <c r="B9369">
        <v>0</v>
      </c>
      <c r="C9369">
        <v>0</v>
      </c>
      <c r="D9369">
        <v>0</v>
      </c>
      <c r="E9369">
        <v>0</v>
      </c>
    </row>
    <row r="9370" spans="1:5" x14ac:dyDescent="0.35">
      <c r="A9370">
        <v>0</v>
      </c>
      <c r="B9370">
        <v>0</v>
      </c>
      <c r="C9370">
        <v>0</v>
      </c>
      <c r="D9370">
        <v>0</v>
      </c>
      <c r="E9370">
        <v>0</v>
      </c>
    </row>
    <row r="9371" spans="1:5" x14ac:dyDescent="0.35">
      <c r="A9371">
        <v>0</v>
      </c>
      <c r="B9371">
        <v>0</v>
      </c>
      <c r="C9371">
        <v>0</v>
      </c>
      <c r="D9371">
        <v>0</v>
      </c>
      <c r="E9371">
        <v>0</v>
      </c>
    </row>
    <row r="9372" spans="1:5" x14ac:dyDescent="0.35">
      <c r="A9372">
        <v>0</v>
      </c>
      <c r="B9372">
        <v>0</v>
      </c>
      <c r="C9372">
        <v>0</v>
      </c>
      <c r="D9372">
        <v>0</v>
      </c>
      <c r="E9372">
        <v>0</v>
      </c>
    </row>
    <row r="9373" spans="1:5" x14ac:dyDescent="0.35">
      <c r="A9373">
        <v>0</v>
      </c>
      <c r="B9373">
        <v>0</v>
      </c>
      <c r="C9373">
        <v>0</v>
      </c>
      <c r="D9373">
        <v>0</v>
      </c>
      <c r="E9373">
        <v>0</v>
      </c>
    </row>
    <row r="9374" spans="1:5" x14ac:dyDescent="0.35">
      <c r="A9374">
        <v>0</v>
      </c>
      <c r="B9374">
        <v>0</v>
      </c>
      <c r="C9374">
        <v>0</v>
      </c>
      <c r="D9374">
        <v>0</v>
      </c>
      <c r="E9374">
        <v>0</v>
      </c>
    </row>
    <row r="9375" spans="1:5" x14ac:dyDescent="0.35">
      <c r="A9375">
        <v>0</v>
      </c>
      <c r="B9375">
        <v>0</v>
      </c>
      <c r="C9375">
        <v>0</v>
      </c>
      <c r="D9375">
        <v>0</v>
      </c>
      <c r="E9375">
        <v>0</v>
      </c>
    </row>
    <row r="9376" spans="1:5" x14ac:dyDescent="0.35">
      <c r="A9376">
        <v>0</v>
      </c>
      <c r="B9376">
        <v>0</v>
      </c>
      <c r="C9376">
        <v>0</v>
      </c>
      <c r="D9376">
        <v>0</v>
      </c>
      <c r="E9376">
        <v>0</v>
      </c>
    </row>
    <row r="9377" spans="1:5" x14ac:dyDescent="0.35">
      <c r="A9377">
        <v>0</v>
      </c>
      <c r="B9377">
        <v>0</v>
      </c>
      <c r="C9377">
        <v>0</v>
      </c>
      <c r="D9377">
        <v>0</v>
      </c>
      <c r="E9377">
        <v>0</v>
      </c>
    </row>
    <row r="9378" spans="1:5" x14ac:dyDescent="0.35">
      <c r="A9378">
        <v>0</v>
      </c>
      <c r="B9378">
        <v>0</v>
      </c>
      <c r="C9378">
        <v>0</v>
      </c>
      <c r="D9378">
        <v>0</v>
      </c>
      <c r="E9378">
        <v>0</v>
      </c>
    </row>
    <row r="9379" spans="1:5" x14ac:dyDescent="0.35">
      <c r="A9379">
        <v>0</v>
      </c>
      <c r="B9379">
        <v>0</v>
      </c>
      <c r="C9379">
        <v>0</v>
      </c>
      <c r="D9379">
        <v>0</v>
      </c>
      <c r="E9379">
        <v>0</v>
      </c>
    </row>
    <row r="9380" spans="1:5" x14ac:dyDescent="0.35">
      <c r="A9380">
        <v>0</v>
      </c>
      <c r="B9380">
        <v>0</v>
      </c>
      <c r="C9380">
        <v>0</v>
      </c>
      <c r="D9380">
        <v>0</v>
      </c>
      <c r="E9380">
        <v>0</v>
      </c>
    </row>
    <row r="9381" spans="1:5" x14ac:dyDescent="0.35">
      <c r="A9381">
        <v>0</v>
      </c>
      <c r="B9381">
        <v>0</v>
      </c>
      <c r="C9381">
        <v>0</v>
      </c>
      <c r="D9381">
        <v>0</v>
      </c>
      <c r="E9381">
        <v>0</v>
      </c>
    </row>
    <row r="9382" spans="1:5" x14ac:dyDescent="0.35">
      <c r="A9382">
        <v>0</v>
      </c>
      <c r="B9382">
        <v>0</v>
      </c>
      <c r="C9382">
        <v>0</v>
      </c>
      <c r="D9382">
        <v>0</v>
      </c>
      <c r="E9382">
        <v>0</v>
      </c>
    </row>
    <row r="9383" spans="1:5" x14ac:dyDescent="0.35">
      <c r="A9383">
        <v>0</v>
      </c>
      <c r="B9383">
        <v>0</v>
      </c>
      <c r="C9383">
        <v>0</v>
      </c>
      <c r="D9383">
        <v>0</v>
      </c>
      <c r="E9383">
        <v>0</v>
      </c>
    </row>
    <row r="9384" spans="1:5" x14ac:dyDescent="0.35">
      <c r="A9384">
        <v>0</v>
      </c>
      <c r="B9384">
        <v>0</v>
      </c>
      <c r="C9384">
        <v>0</v>
      </c>
      <c r="D9384">
        <v>0</v>
      </c>
      <c r="E9384">
        <v>0</v>
      </c>
    </row>
    <row r="9385" spans="1:5" x14ac:dyDescent="0.35">
      <c r="A9385">
        <v>0</v>
      </c>
      <c r="B9385">
        <v>0</v>
      </c>
      <c r="C9385">
        <v>0</v>
      </c>
      <c r="D9385">
        <v>0</v>
      </c>
      <c r="E9385">
        <v>0</v>
      </c>
    </row>
    <row r="9386" spans="1:5" x14ac:dyDescent="0.35">
      <c r="A9386">
        <v>0</v>
      </c>
      <c r="B9386">
        <v>0</v>
      </c>
      <c r="C9386">
        <v>0</v>
      </c>
      <c r="D9386">
        <v>0</v>
      </c>
      <c r="E9386">
        <v>0</v>
      </c>
    </row>
    <row r="9387" spans="1:5" x14ac:dyDescent="0.35">
      <c r="A9387">
        <v>0</v>
      </c>
      <c r="B9387">
        <v>0</v>
      </c>
      <c r="C9387">
        <v>0</v>
      </c>
      <c r="D9387">
        <v>0</v>
      </c>
      <c r="E9387">
        <v>0</v>
      </c>
    </row>
    <row r="9388" spans="1:5" x14ac:dyDescent="0.35">
      <c r="A9388">
        <v>0</v>
      </c>
      <c r="B9388">
        <v>0</v>
      </c>
      <c r="C9388">
        <v>0</v>
      </c>
      <c r="D9388">
        <v>0</v>
      </c>
      <c r="E9388">
        <v>0</v>
      </c>
    </row>
    <row r="9389" spans="1:5" x14ac:dyDescent="0.35">
      <c r="A9389">
        <v>0</v>
      </c>
      <c r="B9389">
        <v>0</v>
      </c>
      <c r="C9389">
        <v>0</v>
      </c>
      <c r="D9389">
        <v>0</v>
      </c>
      <c r="E9389">
        <v>0</v>
      </c>
    </row>
    <row r="9390" spans="1:5" x14ac:dyDescent="0.35">
      <c r="A9390">
        <v>0</v>
      </c>
      <c r="B9390">
        <v>0</v>
      </c>
      <c r="C9390">
        <v>0</v>
      </c>
      <c r="D9390">
        <v>0</v>
      </c>
      <c r="E9390">
        <v>0</v>
      </c>
    </row>
    <row r="9391" spans="1:5" x14ac:dyDescent="0.35">
      <c r="A9391">
        <v>0</v>
      </c>
      <c r="B9391">
        <v>0</v>
      </c>
      <c r="C9391">
        <v>0</v>
      </c>
      <c r="D9391">
        <v>0</v>
      </c>
      <c r="E9391">
        <v>0</v>
      </c>
    </row>
    <row r="9392" spans="1:5" x14ac:dyDescent="0.35">
      <c r="A9392">
        <v>0</v>
      </c>
      <c r="B9392">
        <v>0</v>
      </c>
      <c r="C9392">
        <v>0</v>
      </c>
      <c r="D9392">
        <v>0</v>
      </c>
      <c r="E9392">
        <v>0</v>
      </c>
    </row>
    <row r="9393" spans="1:5" x14ac:dyDescent="0.35">
      <c r="A9393">
        <v>0</v>
      </c>
      <c r="B9393">
        <v>0</v>
      </c>
      <c r="C9393">
        <v>0</v>
      </c>
      <c r="D9393">
        <v>0</v>
      </c>
      <c r="E9393">
        <v>0</v>
      </c>
    </row>
    <row r="9394" spans="1:5" x14ac:dyDescent="0.35">
      <c r="A9394">
        <v>0</v>
      </c>
      <c r="B9394">
        <v>0</v>
      </c>
      <c r="C9394">
        <v>0</v>
      </c>
      <c r="D9394">
        <v>0</v>
      </c>
      <c r="E9394">
        <v>0</v>
      </c>
    </row>
    <row r="9395" spans="1:5" x14ac:dyDescent="0.35">
      <c r="A9395">
        <v>0</v>
      </c>
      <c r="B9395">
        <v>0</v>
      </c>
      <c r="C9395">
        <v>0</v>
      </c>
      <c r="D9395">
        <v>0</v>
      </c>
      <c r="E9395">
        <v>0</v>
      </c>
    </row>
    <row r="9396" spans="1:5" x14ac:dyDescent="0.35">
      <c r="A9396">
        <v>0</v>
      </c>
      <c r="B9396">
        <v>0</v>
      </c>
      <c r="C9396">
        <v>0</v>
      </c>
      <c r="D9396">
        <v>0</v>
      </c>
      <c r="E9396">
        <v>0</v>
      </c>
    </row>
    <row r="9397" spans="1:5" x14ac:dyDescent="0.35">
      <c r="A9397">
        <v>0</v>
      </c>
      <c r="B9397">
        <v>0</v>
      </c>
      <c r="C9397">
        <v>0</v>
      </c>
      <c r="D9397">
        <v>0</v>
      </c>
      <c r="E9397">
        <v>0</v>
      </c>
    </row>
    <row r="9398" spans="1:5" x14ac:dyDescent="0.35">
      <c r="A9398">
        <v>0</v>
      </c>
      <c r="B9398">
        <v>0</v>
      </c>
      <c r="C9398">
        <v>0</v>
      </c>
      <c r="D9398">
        <v>0</v>
      </c>
      <c r="E9398">
        <v>0</v>
      </c>
    </row>
    <row r="9399" spans="1:5" x14ac:dyDescent="0.35">
      <c r="A9399">
        <v>0</v>
      </c>
      <c r="B9399">
        <v>0</v>
      </c>
      <c r="C9399">
        <v>0</v>
      </c>
      <c r="D9399">
        <v>0</v>
      </c>
      <c r="E9399">
        <v>0</v>
      </c>
    </row>
    <row r="9400" spans="1:5" x14ac:dyDescent="0.35">
      <c r="A9400">
        <v>0</v>
      </c>
      <c r="B9400">
        <v>0</v>
      </c>
      <c r="C9400">
        <v>0</v>
      </c>
      <c r="D9400">
        <v>0</v>
      </c>
      <c r="E9400">
        <v>0</v>
      </c>
    </row>
    <row r="9401" spans="1:5" x14ac:dyDescent="0.35">
      <c r="A9401">
        <v>0</v>
      </c>
      <c r="B9401">
        <v>0</v>
      </c>
      <c r="C9401">
        <v>0</v>
      </c>
      <c r="D9401">
        <v>0</v>
      </c>
      <c r="E9401">
        <v>0</v>
      </c>
    </row>
    <row r="9402" spans="1:5" x14ac:dyDescent="0.35">
      <c r="A9402">
        <v>0</v>
      </c>
      <c r="B9402">
        <v>0</v>
      </c>
      <c r="C9402">
        <v>0</v>
      </c>
      <c r="D9402">
        <v>0</v>
      </c>
      <c r="E9402">
        <v>0</v>
      </c>
    </row>
    <row r="9403" spans="1:5" x14ac:dyDescent="0.35">
      <c r="A9403">
        <v>0</v>
      </c>
      <c r="B9403">
        <v>0</v>
      </c>
      <c r="C9403">
        <v>0</v>
      </c>
      <c r="D9403">
        <v>0</v>
      </c>
      <c r="E9403">
        <v>0</v>
      </c>
    </row>
    <row r="9404" spans="1:5" x14ac:dyDescent="0.35">
      <c r="A9404">
        <v>0</v>
      </c>
      <c r="B9404">
        <v>0</v>
      </c>
      <c r="C9404">
        <v>0</v>
      </c>
      <c r="D9404">
        <v>0</v>
      </c>
      <c r="E9404">
        <v>0</v>
      </c>
    </row>
    <row r="9405" spans="1:5" x14ac:dyDescent="0.35">
      <c r="A9405">
        <v>0</v>
      </c>
      <c r="B9405">
        <v>0</v>
      </c>
      <c r="C9405">
        <v>0</v>
      </c>
      <c r="D9405">
        <v>0</v>
      </c>
      <c r="E9405">
        <v>0</v>
      </c>
    </row>
    <row r="9406" spans="1:5" x14ac:dyDescent="0.35">
      <c r="A9406">
        <v>0</v>
      </c>
      <c r="B9406">
        <v>0</v>
      </c>
      <c r="C9406">
        <v>0</v>
      </c>
      <c r="D9406">
        <v>0</v>
      </c>
      <c r="E9406">
        <v>0</v>
      </c>
    </row>
    <row r="9407" spans="1:5" x14ac:dyDescent="0.35">
      <c r="A9407">
        <v>0</v>
      </c>
      <c r="B9407">
        <v>0</v>
      </c>
      <c r="C9407">
        <v>0</v>
      </c>
      <c r="D9407">
        <v>0</v>
      </c>
      <c r="E9407">
        <v>0</v>
      </c>
    </row>
    <row r="9408" spans="1:5" x14ac:dyDescent="0.35">
      <c r="A9408">
        <v>0</v>
      </c>
      <c r="B9408">
        <v>0</v>
      </c>
      <c r="C9408">
        <v>0</v>
      </c>
      <c r="D9408">
        <v>0</v>
      </c>
      <c r="E9408">
        <v>0</v>
      </c>
    </row>
    <row r="9409" spans="1:5" x14ac:dyDescent="0.35">
      <c r="A9409">
        <v>0</v>
      </c>
      <c r="B9409">
        <v>0</v>
      </c>
      <c r="C9409">
        <v>0</v>
      </c>
      <c r="D9409">
        <v>0</v>
      </c>
      <c r="E9409">
        <v>0</v>
      </c>
    </row>
    <row r="9410" spans="1:5" x14ac:dyDescent="0.35">
      <c r="A9410">
        <v>0</v>
      </c>
      <c r="B9410">
        <v>0</v>
      </c>
      <c r="C9410">
        <v>0</v>
      </c>
      <c r="D9410">
        <v>0</v>
      </c>
      <c r="E9410">
        <v>0</v>
      </c>
    </row>
    <row r="9411" spans="1:5" x14ac:dyDescent="0.35">
      <c r="A9411">
        <v>0</v>
      </c>
      <c r="B9411">
        <v>0</v>
      </c>
      <c r="C9411">
        <v>0</v>
      </c>
      <c r="D9411">
        <v>0</v>
      </c>
      <c r="E9411">
        <v>0</v>
      </c>
    </row>
    <row r="9412" spans="1:5" x14ac:dyDescent="0.35">
      <c r="A9412">
        <v>0</v>
      </c>
      <c r="B9412">
        <v>0</v>
      </c>
      <c r="C9412">
        <v>0</v>
      </c>
      <c r="D9412">
        <v>0</v>
      </c>
      <c r="E9412">
        <v>0</v>
      </c>
    </row>
    <row r="9413" spans="1:5" x14ac:dyDescent="0.35">
      <c r="A9413">
        <v>0</v>
      </c>
      <c r="B9413">
        <v>0</v>
      </c>
      <c r="C9413">
        <v>0</v>
      </c>
      <c r="D9413">
        <v>0</v>
      </c>
      <c r="E9413">
        <v>0</v>
      </c>
    </row>
    <row r="9414" spans="1:5" x14ac:dyDescent="0.35">
      <c r="A9414">
        <v>0</v>
      </c>
      <c r="B9414">
        <v>0</v>
      </c>
      <c r="C9414">
        <v>0</v>
      </c>
      <c r="D9414">
        <v>0</v>
      </c>
      <c r="E9414">
        <v>0</v>
      </c>
    </row>
    <row r="9415" spans="1:5" x14ac:dyDescent="0.35">
      <c r="A9415">
        <v>0</v>
      </c>
      <c r="B9415">
        <v>0</v>
      </c>
      <c r="C9415">
        <v>0</v>
      </c>
      <c r="D9415">
        <v>0</v>
      </c>
      <c r="E9415">
        <v>0</v>
      </c>
    </row>
    <row r="9416" spans="1:5" x14ac:dyDescent="0.35">
      <c r="A9416">
        <v>0</v>
      </c>
      <c r="B9416">
        <v>0</v>
      </c>
      <c r="C9416">
        <v>0</v>
      </c>
      <c r="D9416">
        <v>0</v>
      </c>
      <c r="E9416">
        <v>0</v>
      </c>
    </row>
    <row r="9417" spans="1:5" x14ac:dyDescent="0.35">
      <c r="A9417">
        <v>0</v>
      </c>
      <c r="B9417">
        <v>0</v>
      </c>
      <c r="C9417">
        <v>0</v>
      </c>
      <c r="D9417">
        <v>0</v>
      </c>
      <c r="E9417">
        <v>0</v>
      </c>
    </row>
    <row r="9418" spans="1:5" x14ac:dyDescent="0.35">
      <c r="A9418">
        <v>0</v>
      </c>
      <c r="B9418">
        <v>0</v>
      </c>
      <c r="C9418">
        <v>0</v>
      </c>
      <c r="D9418">
        <v>0</v>
      </c>
      <c r="E9418">
        <v>0</v>
      </c>
    </row>
    <row r="9419" spans="1:5" x14ac:dyDescent="0.35">
      <c r="A9419">
        <v>0</v>
      </c>
      <c r="B9419">
        <v>0</v>
      </c>
      <c r="C9419">
        <v>0</v>
      </c>
      <c r="D9419">
        <v>0</v>
      </c>
      <c r="E9419">
        <v>0</v>
      </c>
    </row>
    <row r="9420" spans="1:5" x14ac:dyDescent="0.35">
      <c r="A9420">
        <v>0</v>
      </c>
      <c r="B9420">
        <v>0</v>
      </c>
      <c r="C9420">
        <v>0</v>
      </c>
      <c r="D9420">
        <v>0</v>
      </c>
      <c r="E9420">
        <v>0</v>
      </c>
    </row>
    <row r="9421" spans="1:5" x14ac:dyDescent="0.35">
      <c r="A9421">
        <v>0</v>
      </c>
      <c r="B9421">
        <v>0</v>
      </c>
      <c r="C9421">
        <v>0</v>
      </c>
      <c r="D9421">
        <v>0</v>
      </c>
      <c r="E9421">
        <v>0</v>
      </c>
    </row>
    <row r="9422" spans="1:5" x14ac:dyDescent="0.35">
      <c r="A9422">
        <v>0</v>
      </c>
      <c r="B9422">
        <v>0</v>
      </c>
      <c r="C9422">
        <v>0</v>
      </c>
      <c r="D9422">
        <v>0</v>
      </c>
      <c r="E9422">
        <v>0</v>
      </c>
    </row>
    <row r="9423" spans="1:5" x14ac:dyDescent="0.35">
      <c r="A9423">
        <v>0</v>
      </c>
      <c r="B9423">
        <v>0</v>
      </c>
      <c r="C9423">
        <v>0</v>
      </c>
      <c r="D9423">
        <v>0</v>
      </c>
      <c r="E9423">
        <v>0</v>
      </c>
    </row>
    <row r="9424" spans="1:5" x14ac:dyDescent="0.35">
      <c r="A9424">
        <v>0</v>
      </c>
      <c r="B9424">
        <v>0</v>
      </c>
      <c r="C9424">
        <v>0</v>
      </c>
      <c r="D9424">
        <v>0</v>
      </c>
      <c r="E9424">
        <v>0</v>
      </c>
    </row>
    <row r="9425" spans="1:5" x14ac:dyDescent="0.35">
      <c r="A9425">
        <v>0</v>
      </c>
      <c r="B9425">
        <v>0</v>
      </c>
      <c r="C9425">
        <v>0</v>
      </c>
      <c r="D9425">
        <v>0</v>
      </c>
      <c r="E9425">
        <v>0</v>
      </c>
    </row>
    <row r="9426" spans="1:5" x14ac:dyDescent="0.35">
      <c r="A9426">
        <v>0</v>
      </c>
      <c r="B9426">
        <v>0</v>
      </c>
      <c r="C9426">
        <v>0</v>
      </c>
      <c r="D9426">
        <v>0</v>
      </c>
      <c r="E9426">
        <v>0</v>
      </c>
    </row>
    <row r="9427" spans="1:5" x14ac:dyDescent="0.35">
      <c r="A9427">
        <v>0</v>
      </c>
      <c r="B9427">
        <v>0</v>
      </c>
      <c r="C9427">
        <v>0</v>
      </c>
      <c r="D9427">
        <v>0</v>
      </c>
      <c r="E9427">
        <v>0</v>
      </c>
    </row>
    <row r="9428" spans="1:5" x14ac:dyDescent="0.35">
      <c r="A9428">
        <v>0</v>
      </c>
      <c r="B9428">
        <v>0</v>
      </c>
      <c r="C9428">
        <v>0</v>
      </c>
      <c r="D9428">
        <v>0</v>
      </c>
      <c r="E9428">
        <v>0</v>
      </c>
    </row>
    <row r="9429" spans="1:5" x14ac:dyDescent="0.35">
      <c r="A9429">
        <v>0</v>
      </c>
      <c r="B9429">
        <v>0</v>
      </c>
      <c r="C9429">
        <v>0</v>
      </c>
      <c r="D9429">
        <v>0</v>
      </c>
      <c r="E9429">
        <v>0</v>
      </c>
    </row>
    <row r="9430" spans="1:5" x14ac:dyDescent="0.35">
      <c r="A9430">
        <v>0</v>
      </c>
      <c r="B9430">
        <v>0</v>
      </c>
      <c r="C9430">
        <v>0</v>
      </c>
      <c r="D9430">
        <v>0</v>
      </c>
      <c r="E9430">
        <v>0</v>
      </c>
    </row>
    <row r="9431" spans="1:5" x14ac:dyDescent="0.35">
      <c r="A9431">
        <v>0</v>
      </c>
      <c r="B9431">
        <v>0</v>
      </c>
      <c r="C9431">
        <v>0</v>
      </c>
      <c r="D9431">
        <v>0</v>
      </c>
      <c r="E9431">
        <v>0</v>
      </c>
    </row>
    <row r="9432" spans="1:5" x14ac:dyDescent="0.35">
      <c r="A9432">
        <v>0</v>
      </c>
      <c r="B9432">
        <v>0</v>
      </c>
      <c r="C9432">
        <v>0</v>
      </c>
      <c r="D9432">
        <v>0</v>
      </c>
      <c r="E9432">
        <v>0</v>
      </c>
    </row>
    <row r="9433" spans="1:5" x14ac:dyDescent="0.35">
      <c r="A9433">
        <v>0</v>
      </c>
      <c r="B9433">
        <v>0</v>
      </c>
      <c r="C9433">
        <v>0</v>
      </c>
      <c r="D9433">
        <v>0</v>
      </c>
      <c r="E9433">
        <v>0</v>
      </c>
    </row>
    <row r="9434" spans="1:5" x14ac:dyDescent="0.35">
      <c r="A9434">
        <v>0</v>
      </c>
      <c r="B9434">
        <v>0</v>
      </c>
      <c r="C9434">
        <v>0</v>
      </c>
      <c r="D9434">
        <v>0</v>
      </c>
      <c r="E9434">
        <v>0</v>
      </c>
    </row>
    <row r="9435" spans="1:5" x14ac:dyDescent="0.35">
      <c r="A9435">
        <v>0</v>
      </c>
      <c r="B9435">
        <v>0</v>
      </c>
      <c r="C9435">
        <v>0</v>
      </c>
      <c r="D9435">
        <v>0</v>
      </c>
      <c r="E9435">
        <v>0</v>
      </c>
    </row>
    <row r="9436" spans="1:5" x14ac:dyDescent="0.35">
      <c r="A9436">
        <v>0</v>
      </c>
      <c r="B9436">
        <v>0</v>
      </c>
      <c r="C9436">
        <v>0</v>
      </c>
      <c r="D9436">
        <v>0</v>
      </c>
      <c r="E9436">
        <v>0</v>
      </c>
    </row>
    <row r="9437" spans="1:5" x14ac:dyDescent="0.35">
      <c r="A9437">
        <v>0</v>
      </c>
      <c r="B9437">
        <v>0</v>
      </c>
      <c r="C9437">
        <v>0</v>
      </c>
      <c r="D9437">
        <v>0</v>
      </c>
      <c r="E9437">
        <v>0</v>
      </c>
    </row>
    <row r="9438" spans="1:5" x14ac:dyDescent="0.35">
      <c r="A9438">
        <v>0</v>
      </c>
      <c r="B9438">
        <v>0</v>
      </c>
      <c r="C9438">
        <v>0</v>
      </c>
      <c r="D9438">
        <v>0</v>
      </c>
      <c r="E9438">
        <v>0</v>
      </c>
    </row>
    <row r="9439" spans="1:5" x14ac:dyDescent="0.35">
      <c r="A9439">
        <v>0</v>
      </c>
      <c r="B9439">
        <v>0</v>
      </c>
      <c r="C9439">
        <v>0</v>
      </c>
      <c r="D9439">
        <v>0</v>
      </c>
      <c r="E9439">
        <v>0</v>
      </c>
    </row>
    <row r="9440" spans="1:5" x14ac:dyDescent="0.35">
      <c r="A9440">
        <v>0</v>
      </c>
      <c r="B9440">
        <v>0</v>
      </c>
      <c r="C9440">
        <v>0</v>
      </c>
      <c r="D9440">
        <v>0</v>
      </c>
      <c r="E9440">
        <v>0</v>
      </c>
    </row>
    <row r="9441" spans="1:5" x14ac:dyDescent="0.35">
      <c r="A9441">
        <v>0</v>
      </c>
      <c r="B9441">
        <v>0</v>
      </c>
      <c r="C9441">
        <v>0</v>
      </c>
      <c r="D9441">
        <v>0</v>
      </c>
      <c r="E9441">
        <v>0</v>
      </c>
    </row>
    <row r="9442" spans="1:5" x14ac:dyDescent="0.35">
      <c r="A9442">
        <v>0</v>
      </c>
      <c r="B9442">
        <v>0</v>
      </c>
      <c r="C9442">
        <v>0</v>
      </c>
      <c r="D9442">
        <v>0</v>
      </c>
      <c r="E9442">
        <v>0</v>
      </c>
    </row>
    <row r="9443" spans="1:5" x14ac:dyDescent="0.35">
      <c r="A9443">
        <v>0</v>
      </c>
      <c r="B9443">
        <v>0</v>
      </c>
      <c r="C9443">
        <v>0</v>
      </c>
      <c r="D9443">
        <v>0</v>
      </c>
      <c r="E9443">
        <v>0</v>
      </c>
    </row>
    <row r="9444" spans="1:5" x14ac:dyDescent="0.35">
      <c r="A9444">
        <v>0</v>
      </c>
      <c r="B9444">
        <v>0</v>
      </c>
      <c r="C9444">
        <v>0</v>
      </c>
      <c r="D9444">
        <v>0</v>
      </c>
      <c r="E9444">
        <v>0</v>
      </c>
    </row>
    <row r="9445" spans="1:5" x14ac:dyDescent="0.35">
      <c r="A9445">
        <v>0</v>
      </c>
      <c r="B9445">
        <v>0</v>
      </c>
      <c r="C9445">
        <v>0</v>
      </c>
      <c r="D9445">
        <v>0</v>
      </c>
      <c r="E9445">
        <v>0</v>
      </c>
    </row>
    <row r="9446" spans="1:5" x14ac:dyDescent="0.35">
      <c r="A9446">
        <v>0</v>
      </c>
      <c r="B9446">
        <v>0</v>
      </c>
      <c r="C9446">
        <v>0</v>
      </c>
      <c r="D9446">
        <v>0</v>
      </c>
      <c r="E9446">
        <v>0</v>
      </c>
    </row>
    <row r="9447" spans="1:5" x14ac:dyDescent="0.35">
      <c r="A9447">
        <v>0</v>
      </c>
      <c r="B9447">
        <v>0</v>
      </c>
      <c r="C9447">
        <v>0</v>
      </c>
      <c r="D9447">
        <v>0</v>
      </c>
      <c r="E9447">
        <v>0</v>
      </c>
    </row>
    <row r="9448" spans="1:5" x14ac:dyDescent="0.35">
      <c r="A9448">
        <v>0</v>
      </c>
      <c r="B9448">
        <v>0</v>
      </c>
      <c r="C9448">
        <v>0</v>
      </c>
      <c r="D9448">
        <v>0</v>
      </c>
      <c r="E9448">
        <v>0</v>
      </c>
    </row>
    <row r="9449" spans="1:5" x14ac:dyDescent="0.35">
      <c r="A9449">
        <v>0</v>
      </c>
      <c r="B9449">
        <v>0</v>
      </c>
      <c r="C9449">
        <v>0</v>
      </c>
      <c r="D9449">
        <v>0</v>
      </c>
      <c r="E9449">
        <v>0</v>
      </c>
    </row>
    <row r="9450" spans="1:5" x14ac:dyDescent="0.35">
      <c r="A9450">
        <v>0</v>
      </c>
      <c r="B9450">
        <v>0</v>
      </c>
      <c r="C9450">
        <v>0</v>
      </c>
      <c r="D9450">
        <v>0</v>
      </c>
      <c r="E9450">
        <v>0</v>
      </c>
    </row>
    <row r="9451" spans="1:5" x14ac:dyDescent="0.35">
      <c r="A9451">
        <v>0</v>
      </c>
      <c r="B9451">
        <v>0</v>
      </c>
      <c r="C9451">
        <v>0</v>
      </c>
      <c r="D9451">
        <v>0</v>
      </c>
      <c r="E9451">
        <v>0</v>
      </c>
    </row>
    <row r="9452" spans="1:5" x14ac:dyDescent="0.35">
      <c r="A9452">
        <v>0</v>
      </c>
      <c r="B9452">
        <v>0</v>
      </c>
      <c r="C9452">
        <v>0</v>
      </c>
      <c r="D9452">
        <v>0</v>
      </c>
      <c r="E9452">
        <v>0</v>
      </c>
    </row>
    <row r="9453" spans="1:5" x14ac:dyDescent="0.35">
      <c r="A9453">
        <v>0</v>
      </c>
      <c r="B9453">
        <v>0</v>
      </c>
      <c r="C9453">
        <v>0</v>
      </c>
      <c r="D9453">
        <v>0</v>
      </c>
      <c r="E9453">
        <v>0</v>
      </c>
    </row>
    <row r="9454" spans="1:5" x14ac:dyDescent="0.35">
      <c r="A9454">
        <v>0</v>
      </c>
      <c r="B9454">
        <v>0</v>
      </c>
      <c r="C9454">
        <v>0</v>
      </c>
      <c r="D9454">
        <v>0</v>
      </c>
      <c r="E9454">
        <v>0</v>
      </c>
    </row>
    <row r="9455" spans="1:5" x14ac:dyDescent="0.35">
      <c r="A9455">
        <v>0</v>
      </c>
      <c r="B9455">
        <v>0</v>
      </c>
      <c r="C9455">
        <v>0</v>
      </c>
      <c r="D9455">
        <v>0</v>
      </c>
      <c r="E9455">
        <v>0</v>
      </c>
    </row>
    <row r="9456" spans="1:5" x14ac:dyDescent="0.35">
      <c r="A9456">
        <v>0</v>
      </c>
      <c r="B9456">
        <v>0</v>
      </c>
      <c r="C9456">
        <v>0</v>
      </c>
      <c r="D9456">
        <v>0</v>
      </c>
      <c r="E9456">
        <v>0</v>
      </c>
    </row>
    <row r="9457" spans="1:5" x14ac:dyDescent="0.35">
      <c r="A9457">
        <v>0</v>
      </c>
      <c r="B9457">
        <v>0</v>
      </c>
      <c r="C9457">
        <v>0</v>
      </c>
      <c r="D9457">
        <v>0</v>
      </c>
      <c r="E9457">
        <v>0</v>
      </c>
    </row>
    <row r="9458" spans="1:5" x14ac:dyDescent="0.35">
      <c r="A9458">
        <v>0</v>
      </c>
      <c r="B9458">
        <v>0</v>
      </c>
      <c r="C9458">
        <v>0</v>
      </c>
      <c r="D9458">
        <v>0</v>
      </c>
      <c r="E9458">
        <v>0</v>
      </c>
    </row>
    <row r="9459" spans="1:5" x14ac:dyDescent="0.35">
      <c r="A9459">
        <v>0</v>
      </c>
      <c r="B9459">
        <v>0</v>
      </c>
      <c r="C9459">
        <v>0</v>
      </c>
      <c r="D9459">
        <v>0</v>
      </c>
      <c r="E9459">
        <v>0</v>
      </c>
    </row>
    <row r="9460" spans="1:5" x14ac:dyDescent="0.35">
      <c r="A9460">
        <v>0</v>
      </c>
      <c r="B9460">
        <v>0</v>
      </c>
      <c r="C9460">
        <v>0</v>
      </c>
      <c r="D9460">
        <v>0</v>
      </c>
      <c r="E9460">
        <v>0</v>
      </c>
    </row>
    <row r="9461" spans="1:5" x14ac:dyDescent="0.35">
      <c r="A9461">
        <v>0</v>
      </c>
      <c r="B9461">
        <v>0</v>
      </c>
      <c r="C9461">
        <v>0</v>
      </c>
      <c r="D9461">
        <v>0</v>
      </c>
      <c r="E9461">
        <v>0</v>
      </c>
    </row>
    <row r="9462" spans="1:5" x14ac:dyDescent="0.35">
      <c r="A9462">
        <v>0</v>
      </c>
      <c r="B9462">
        <v>0</v>
      </c>
      <c r="C9462">
        <v>0</v>
      </c>
      <c r="D9462">
        <v>0</v>
      </c>
      <c r="E9462">
        <v>0</v>
      </c>
    </row>
    <row r="9463" spans="1:5" x14ac:dyDescent="0.35">
      <c r="A9463">
        <v>0</v>
      </c>
      <c r="B9463">
        <v>0</v>
      </c>
      <c r="C9463">
        <v>0</v>
      </c>
      <c r="D9463">
        <v>0</v>
      </c>
      <c r="E9463">
        <v>0</v>
      </c>
    </row>
    <row r="9464" spans="1:5" x14ac:dyDescent="0.35">
      <c r="A9464">
        <v>0</v>
      </c>
      <c r="B9464">
        <v>0</v>
      </c>
      <c r="C9464">
        <v>0</v>
      </c>
      <c r="D9464">
        <v>0</v>
      </c>
      <c r="E9464">
        <v>0</v>
      </c>
    </row>
    <row r="9465" spans="1:5" x14ac:dyDescent="0.35">
      <c r="A9465">
        <v>0</v>
      </c>
      <c r="B9465">
        <v>0</v>
      </c>
      <c r="C9465">
        <v>0</v>
      </c>
      <c r="D9465">
        <v>0</v>
      </c>
      <c r="E9465">
        <v>0</v>
      </c>
    </row>
    <row r="9466" spans="1:5" x14ac:dyDescent="0.35">
      <c r="A9466">
        <v>0</v>
      </c>
      <c r="B9466">
        <v>0</v>
      </c>
      <c r="C9466">
        <v>0</v>
      </c>
      <c r="D9466">
        <v>0</v>
      </c>
      <c r="E9466">
        <v>0</v>
      </c>
    </row>
    <row r="9467" spans="1:5" x14ac:dyDescent="0.35">
      <c r="A9467">
        <v>0</v>
      </c>
      <c r="B9467">
        <v>0</v>
      </c>
      <c r="C9467">
        <v>0</v>
      </c>
      <c r="D9467">
        <v>0</v>
      </c>
      <c r="E9467">
        <v>0</v>
      </c>
    </row>
    <row r="9468" spans="1:5" x14ac:dyDescent="0.35">
      <c r="A9468">
        <v>0</v>
      </c>
      <c r="B9468">
        <v>0</v>
      </c>
      <c r="C9468">
        <v>0</v>
      </c>
      <c r="D9468">
        <v>0</v>
      </c>
      <c r="E9468">
        <v>0</v>
      </c>
    </row>
    <row r="9469" spans="1:5" x14ac:dyDescent="0.35">
      <c r="A9469">
        <v>0</v>
      </c>
      <c r="B9469">
        <v>0</v>
      </c>
      <c r="C9469">
        <v>0</v>
      </c>
      <c r="D9469">
        <v>0</v>
      </c>
      <c r="E9469">
        <v>0</v>
      </c>
    </row>
    <row r="9470" spans="1:5" x14ac:dyDescent="0.35">
      <c r="A9470">
        <v>0</v>
      </c>
      <c r="B9470">
        <v>0</v>
      </c>
      <c r="C9470">
        <v>0</v>
      </c>
      <c r="D9470">
        <v>0</v>
      </c>
      <c r="E9470">
        <v>0</v>
      </c>
    </row>
    <row r="9471" spans="1:5" x14ac:dyDescent="0.35">
      <c r="A9471">
        <v>0</v>
      </c>
      <c r="B9471">
        <v>0</v>
      </c>
      <c r="C9471">
        <v>0</v>
      </c>
      <c r="D9471">
        <v>0</v>
      </c>
      <c r="E9471">
        <v>0</v>
      </c>
    </row>
    <row r="9472" spans="1:5" x14ac:dyDescent="0.35">
      <c r="A9472">
        <v>0</v>
      </c>
      <c r="B9472">
        <v>0</v>
      </c>
      <c r="C9472">
        <v>0</v>
      </c>
      <c r="D9472">
        <v>0</v>
      </c>
      <c r="E9472">
        <v>0</v>
      </c>
    </row>
    <row r="9473" spans="1:5" x14ac:dyDescent="0.35">
      <c r="A9473">
        <v>0</v>
      </c>
      <c r="B9473">
        <v>0</v>
      </c>
      <c r="C9473">
        <v>0</v>
      </c>
      <c r="D9473">
        <v>0</v>
      </c>
      <c r="E9473">
        <v>0</v>
      </c>
    </row>
    <row r="9474" spans="1:5" x14ac:dyDescent="0.35">
      <c r="A9474">
        <v>0</v>
      </c>
      <c r="B9474">
        <v>0</v>
      </c>
      <c r="C9474">
        <v>0</v>
      </c>
      <c r="D9474">
        <v>0</v>
      </c>
      <c r="E9474">
        <v>0</v>
      </c>
    </row>
    <row r="9475" spans="1:5" x14ac:dyDescent="0.35">
      <c r="A9475">
        <v>0</v>
      </c>
      <c r="B9475">
        <v>0</v>
      </c>
      <c r="C9475">
        <v>0</v>
      </c>
      <c r="D9475">
        <v>0</v>
      </c>
      <c r="E9475">
        <v>0</v>
      </c>
    </row>
    <row r="9476" spans="1:5" x14ac:dyDescent="0.35">
      <c r="A9476">
        <v>0</v>
      </c>
      <c r="B9476">
        <v>0</v>
      </c>
      <c r="C9476">
        <v>0</v>
      </c>
      <c r="D9476">
        <v>0</v>
      </c>
      <c r="E9476">
        <v>0</v>
      </c>
    </row>
    <row r="9477" spans="1:5" x14ac:dyDescent="0.35">
      <c r="A9477">
        <v>0</v>
      </c>
      <c r="B9477">
        <v>0</v>
      </c>
      <c r="C9477">
        <v>0</v>
      </c>
      <c r="D9477">
        <v>0</v>
      </c>
      <c r="E9477">
        <v>0</v>
      </c>
    </row>
    <row r="9478" spans="1:5" x14ac:dyDescent="0.35">
      <c r="A9478">
        <v>0</v>
      </c>
      <c r="B9478">
        <v>0</v>
      </c>
      <c r="C9478">
        <v>0</v>
      </c>
      <c r="D9478">
        <v>0</v>
      </c>
      <c r="E9478">
        <v>0</v>
      </c>
    </row>
    <row r="9479" spans="1:5" x14ac:dyDescent="0.35">
      <c r="A9479">
        <v>0</v>
      </c>
      <c r="B9479">
        <v>0</v>
      </c>
      <c r="C9479">
        <v>0</v>
      </c>
      <c r="D9479">
        <v>0</v>
      </c>
      <c r="E9479">
        <v>0</v>
      </c>
    </row>
    <row r="9480" spans="1:5" x14ac:dyDescent="0.35">
      <c r="A9480">
        <v>0</v>
      </c>
      <c r="B9480">
        <v>0</v>
      </c>
      <c r="C9480">
        <v>0</v>
      </c>
      <c r="D9480">
        <v>0</v>
      </c>
      <c r="E9480">
        <v>0</v>
      </c>
    </row>
    <row r="9481" spans="1:5" x14ac:dyDescent="0.35">
      <c r="A9481">
        <v>0</v>
      </c>
      <c r="B9481">
        <v>0</v>
      </c>
      <c r="C9481">
        <v>0</v>
      </c>
      <c r="D9481">
        <v>0</v>
      </c>
      <c r="E9481">
        <v>0</v>
      </c>
    </row>
    <row r="9482" spans="1:5" x14ac:dyDescent="0.35">
      <c r="A9482">
        <v>0</v>
      </c>
      <c r="B9482">
        <v>0</v>
      </c>
      <c r="C9482">
        <v>0</v>
      </c>
      <c r="D9482">
        <v>0</v>
      </c>
      <c r="E9482">
        <v>0</v>
      </c>
    </row>
    <row r="9483" spans="1:5" x14ac:dyDescent="0.35">
      <c r="A9483">
        <v>0</v>
      </c>
      <c r="B9483">
        <v>0</v>
      </c>
      <c r="C9483">
        <v>0</v>
      </c>
      <c r="D9483">
        <v>0</v>
      </c>
      <c r="E9483">
        <v>0</v>
      </c>
    </row>
    <row r="9484" spans="1:5" x14ac:dyDescent="0.35">
      <c r="A9484">
        <v>0</v>
      </c>
      <c r="B9484">
        <v>0</v>
      </c>
      <c r="C9484">
        <v>0</v>
      </c>
      <c r="D9484">
        <v>0</v>
      </c>
      <c r="E9484">
        <v>0</v>
      </c>
    </row>
    <row r="9485" spans="1:5" x14ac:dyDescent="0.35">
      <c r="A9485">
        <v>0</v>
      </c>
      <c r="B9485">
        <v>0</v>
      </c>
      <c r="C9485">
        <v>0</v>
      </c>
      <c r="D9485">
        <v>0</v>
      </c>
      <c r="E9485">
        <v>0</v>
      </c>
    </row>
    <row r="9486" spans="1:5" x14ac:dyDescent="0.35">
      <c r="A9486">
        <v>0</v>
      </c>
      <c r="B9486">
        <v>0</v>
      </c>
      <c r="C9486">
        <v>0</v>
      </c>
      <c r="D9486">
        <v>0</v>
      </c>
      <c r="E9486">
        <v>0</v>
      </c>
    </row>
    <row r="9487" spans="1:5" x14ac:dyDescent="0.35">
      <c r="A9487">
        <v>0</v>
      </c>
      <c r="B9487">
        <v>0</v>
      </c>
      <c r="C9487">
        <v>0</v>
      </c>
      <c r="D9487">
        <v>0</v>
      </c>
      <c r="E9487">
        <v>0</v>
      </c>
    </row>
    <row r="9488" spans="1:5" x14ac:dyDescent="0.35">
      <c r="A9488">
        <v>0</v>
      </c>
      <c r="B9488">
        <v>0</v>
      </c>
      <c r="C9488">
        <v>0</v>
      </c>
      <c r="D9488">
        <v>0</v>
      </c>
      <c r="E9488">
        <v>0</v>
      </c>
    </row>
    <row r="9489" spans="1:5" x14ac:dyDescent="0.35">
      <c r="A9489">
        <v>0</v>
      </c>
      <c r="B9489">
        <v>0</v>
      </c>
      <c r="C9489">
        <v>0</v>
      </c>
      <c r="D9489">
        <v>0</v>
      </c>
      <c r="E9489">
        <v>0</v>
      </c>
    </row>
    <row r="9490" spans="1:5" x14ac:dyDescent="0.35">
      <c r="A9490">
        <v>0</v>
      </c>
      <c r="B9490">
        <v>0</v>
      </c>
      <c r="C9490">
        <v>0</v>
      </c>
      <c r="D9490">
        <v>0</v>
      </c>
      <c r="E9490">
        <v>0</v>
      </c>
    </row>
    <row r="9491" spans="1:5" x14ac:dyDescent="0.35">
      <c r="A9491">
        <v>0</v>
      </c>
      <c r="B9491">
        <v>0</v>
      </c>
      <c r="C9491">
        <v>0</v>
      </c>
      <c r="D9491">
        <v>0</v>
      </c>
      <c r="E9491">
        <v>0</v>
      </c>
    </row>
    <row r="9492" spans="1:5" x14ac:dyDescent="0.35">
      <c r="A9492">
        <v>0</v>
      </c>
      <c r="B9492">
        <v>0</v>
      </c>
      <c r="C9492">
        <v>0</v>
      </c>
      <c r="D9492">
        <v>0</v>
      </c>
      <c r="E9492">
        <v>0</v>
      </c>
    </row>
    <row r="9493" spans="1:5" x14ac:dyDescent="0.35">
      <c r="A9493">
        <v>0</v>
      </c>
      <c r="B9493">
        <v>0</v>
      </c>
      <c r="C9493">
        <v>0</v>
      </c>
      <c r="D9493">
        <v>0</v>
      </c>
      <c r="E9493">
        <v>0</v>
      </c>
    </row>
    <row r="9494" spans="1:5" x14ac:dyDescent="0.35">
      <c r="A9494">
        <v>0</v>
      </c>
      <c r="B9494">
        <v>0</v>
      </c>
      <c r="C9494">
        <v>0</v>
      </c>
      <c r="D9494">
        <v>0</v>
      </c>
      <c r="E9494">
        <v>0</v>
      </c>
    </row>
    <row r="9495" spans="1:5" x14ac:dyDescent="0.35">
      <c r="A9495">
        <v>0</v>
      </c>
      <c r="B9495">
        <v>0</v>
      </c>
      <c r="C9495">
        <v>0</v>
      </c>
      <c r="D9495">
        <v>0</v>
      </c>
      <c r="E9495">
        <v>0</v>
      </c>
    </row>
    <row r="9496" spans="1:5" x14ac:dyDescent="0.35">
      <c r="A9496">
        <v>0</v>
      </c>
      <c r="B9496">
        <v>0</v>
      </c>
      <c r="C9496">
        <v>0</v>
      </c>
      <c r="D9496">
        <v>0</v>
      </c>
      <c r="E9496">
        <v>0</v>
      </c>
    </row>
    <row r="9497" spans="1:5" x14ac:dyDescent="0.35">
      <c r="A9497">
        <v>0</v>
      </c>
      <c r="B9497">
        <v>0</v>
      </c>
      <c r="C9497">
        <v>0</v>
      </c>
      <c r="D9497">
        <v>0</v>
      </c>
      <c r="E9497">
        <v>0</v>
      </c>
    </row>
    <row r="9498" spans="1:5" x14ac:dyDescent="0.35">
      <c r="A9498">
        <v>0</v>
      </c>
      <c r="B9498">
        <v>0</v>
      </c>
      <c r="C9498">
        <v>0</v>
      </c>
      <c r="D9498">
        <v>0</v>
      </c>
      <c r="E9498">
        <v>0</v>
      </c>
    </row>
    <row r="9499" spans="1:5" x14ac:dyDescent="0.35">
      <c r="A9499">
        <v>0</v>
      </c>
      <c r="B9499">
        <v>0</v>
      </c>
      <c r="C9499">
        <v>0</v>
      </c>
      <c r="D9499">
        <v>0</v>
      </c>
      <c r="E9499">
        <v>0</v>
      </c>
    </row>
    <row r="9500" spans="1:5" x14ac:dyDescent="0.35">
      <c r="A9500">
        <v>0</v>
      </c>
      <c r="B9500">
        <v>0</v>
      </c>
      <c r="C9500">
        <v>0</v>
      </c>
      <c r="D9500">
        <v>0</v>
      </c>
      <c r="E9500">
        <v>0</v>
      </c>
    </row>
    <row r="9501" spans="1:5" x14ac:dyDescent="0.35">
      <c r="A9501">
        <v>0</v>
      </c>
      <c r="B9501">
        <v>0</v>
      </c>
      <c r="C9501">
        <v>0</v>
      </c>
      <c r="D9501">
        <v>0</v>
      </c>
      <c r="E9501">
        <v>0</v>
      </c>
    </row>
    <row r="9502" spans="1:5" x14ac:dyDescent="0.35">
      <c r="A9502">
        <v>0</v>
      </c>
      <c r="B9502">
        <v>0</v>
      </c>
      <c r="C9502">
        <v>0</v>
      </c>
      <c r="D9502">
        <v>0</v>
      </c>
      <c r="E9502">
        <v>0</v>
      </c>
    </row>
    <row r="9503" spans="1:5" x14ac:dyDescent="0.35">
      <c r="A9503">
        <v>0</v>
      </c>
      <c r="B9503">
        <v>0</v>
      </c>
      <c r="C9503">
        <v>0</v>
      </c>
      <c r="D9503">
        <v>0</v>
      </c>
      <c r="E9503">
        <v>0</v>
      </c>
    </row>
    <row r="9504" spans="1:5" x14ac:dyDescent="0.35">
      <c r="A9504">
        <v>0</v>
      </c>
      <c r="B9504">
        <v>0</v>
      </c>
      <c r="C9504">
        <v>0</v>
      </c>
      <c r="D9504">
        <v>0</v>
      </c>
      <c r="E9504">
        <v>0</v>
      </c>
    </row>
    <row r="9505" spans="1:5" x14ac:dyDescent="0.35">
      <c r="A9505">
        <v>0</v>
      </c>
      <c r="B9505">
        <v>0</v>
      </c>
      <c r="C9505">
        <v>0</v>
      </c>
      <c r="D9505">
        <v>0</v>
      </c>
      <c r="E9505">
        <v>0</v>
      </c>
    </row>
    <row r="9506" spans="1:5" x14ac:dyDescent="0.35">
      <c r="A9506">
        <v>0</v>
      </c>
      <c r="B9506">
        <v>0</v>
      </c>
      <c r="C9506">
        <v>0</v>
      </c>
      <c r="D9506">
        <v>0</v>
      </c>
      <c r="E9506">
        <v>0</v>
      </c>
    </row>
    <row r="9507" spans="1:5" x14ac:dyDescent="0.35">
      <c r="A9507">
        <v>0</v>
      </c>
      <c r="B9507">
        <v>0</v>
      </c>
      <c r="C9507">
        <v>0</v>
      </c>
      <c r="D9507">
        <v>0</v>
      </c>
      <c r="E9507">
        <v>0</v>
      </c>
    </row>
    <row r="9508" spans="1:5" x14ac:dyDescent="0.35">
      <c r="A9508">
        <v>0</v>
      </c>
      <c r="B9508">
        <v>0</v>
      </c>
      <c r="C9508">
        <v>0</v>
      </c>
      <c r="D9508">
        <v>0</v>
      </c>
      <c r="E9508">
        <v>0</v>
      </c>
    </row>
    <row r="9509" spans="1:5" x14ac:dyDescent="0.35">
      <c r="A9509">
        <v>0</v>
      </c>
      <c r="B9509">
        <v>0</v>
      </c>
      <c r="C9509">
        <v>0</v>
      </c>
      <c r="D9509">
        <v>0</v>
      </c>
      <c r="E9509">
        <v>0</v>
      </c>
    </row>
    <row r="9510" spans="1:5" x14ac:dyDescent="0.35">
      <c r="A9510">
        <v>0</v>
      </c>
      <c r="B9510">
        <v>0</v>
      </c>
      <c r="C9510">
        <v>0</v>
      </c>
      <c r="D9510">
        <v>0</v>
      </c>
      <c r="E9510">
        <v>0</v>
      </c>
    </row>
    <row r="9511" spans="1:5" x14ac:dyDescent="0.35">
      <c r="A9511">
        <v>0</v>
      </c>
      <c r="B9511">
        <v>0</v>
      </c>
      <c r="C9511">
        <v>0</v>
      </c>
      <c r="D9511">
        <v>0</v>
      </c>
      <c r="E9511">
        <v>0</v>
      </c>
    </row>
    <row r="9512" spans="1:5" x14ac:dyDescent="0.35">
      <c r="A9512">
        <v>0</v>
      </c>
      <c r="B9512">
        <v>0</v>
      </c>
      <c r="C9512">
        <v>0</v>
      </c>
      <c r="D9512">
        <v>0</v>
      </c>
      <c r="E9512">
        <v>0</v>
      </c>
    </row>
    <row r="9513" spans="1:5" x14ac:dyDescent="0.35">
      <c r="A9513">
        <v>0</v>
      </c>
      <c r="B9513">
        <v>0</v>
      </c>
      <c r="C9513">
        <v>0</v>
      </c>
      <c r="D9513">
        <v>0</v>
      </c>
      <c r="E9513">
        <v>0</v>
      </c>
    </row>
    <row r="9514" spans="1:5" x14ac:dyDescent="0.35">
      <c r="A9514">
        <v>0</v>
      </c>
      <c r="B9514">
        <v>0</v>
      </c>
      <c r="C9514">
        <v>0</v>
      </c>
      <c r="D9514">
        <v>0</v>
      </c>
      <c r="E9514">
        <v>0</v>
      </c>
    </row>
    <row r="9515" spans="1:5" x14ac:dyDescent="0.35">
      <c r="A9515">
        <v>0</v>
      </c>
      <c r="B9515">
        <v>0</v>
      </c>
      <c r="C9515">
        <v>0</v>
      </c>
      <c r="D9515">
        <v>0</v>
      </c>
      <c r="E9515">
        <v>0</v>
      </c>
    </row>
    <row r="9516" spans="1:5" x14ac:dyDescent="0.35">
      <c r="A9516">
        <v>0</v>
      </c>
      <c r="B9516">
        <v>0</v>
      </c>
      <c r="C9516">
        <v>0</v>
      </c>
      <c r="D9516">
        <v>0</v>
      </c>
      <c r="E9516">
        <v>0</v>
      </c>
    </row>
    <row r="9517" spans="1:5" x14ac:dyDescent="0.35">
      <c r="A9517">
        <v>0</v>
      </c>
      <c r="B9517">
        <v>0</v>
      </c>
      <c r="C9517">
        <v>0</v>
      </c>
      <c r="D9517">
        <v>0</v>
      </c>
      <c r="E9517">
        <v>0</v>
      </c>
    </row>
    <row r="9518" spans="1:5" x14ac:dyDescent="0.35">
      <c r="A9518">
        <v>0</v>
      </c>
      <c r="B9518">
        <v>0</v>
      </c>
      <c r="C9518">
        <v>0</v>
      </c>
      <c r="D9518">
        <v>0</v>
      </c>
      <c r="E9518">
        <v>0</v>
      </c>
    </row>
    <row r="9519" spans="1:5" x14ac:dyDescent="0.35">
      <c r="A9519">
        <v>0</v>
      </c>
      <c r="B9519">
        <v>0</v>
      </c>
      <c r="C9519">
        <v>0</v>
      </c>
      <c r="D9519">
        <v>0</v>
      </c>
      <c r="E9519">
        <v>0</v>
      </c>
    </row>
    <row r="9520" spans="1:5" x14ac:dyDescent="0.35">
      <c r="A9520">
        <v>0</v>
      </c>
      <c r="B9520">
        <v>0</v>
      </c>
      <c r="C9520">
        <v>0</v>
      </c>
      <c r="D9520">
        <v>0</v>
      </c>
      <c r="E9520">
        <v>0</v>
      </c>
    </row>
    <row r="9521" spans="1:5" x14ac:dyDescent="0.35">
      <c r="A9521">
        <v>0</v>
      </c>
      <c r="B9521">
        <v>0</v>
      </c>
      <c r="C9521">
        <v>0</v>
      </c>
      <c r="D9521">
        <v>0</v>
      </c>
      <c r="E9521">
        <v>0</v>
      </c>
    </row>
    <row r="9522" spans="1:5" x14ac:dyDescent="0.35">
      <c r="A9522">
        <v>0</v>
      </c>
      <c r="B9522">
        <v>0</v>
      </c>
      <c r="C9522">
        <v>0</v>
      </c>
      <c r="D9522">
        <v>0</v>
      </c>
      <c r="E9522">
        <v>0</v>
      </c>
    </row>
    <row r="9523" spans="1:5" x14ac:dyDescent="0.35">
      <c r="A9523">
        <v>0</v>
      </c>
      <c r="B9523">
        <v>0</v>
      </c>
      <c r="C9523">
        <v>0</v>
      </c>
      <c r="D9523">
        <v>0</v>
      </c>
      <c r="E9523">
        <v>0</v>
      </c>
    </row>
    <row r="9524" spans="1:5" x14ac:dyDescent="0.35">
      <c r="A9524">
        <v>0</v>
      </c>
      <c r="B9524">
        <v>0</v>
      </c>
      <c r="C9524">
        <v>0</v>
      </c>
      <c r="D9524">
        <v>0</v>
      </c>
      <c r="E9524">
        <v>0</v>
      </c>
    </row>
    <row r="9525" spans="1:5" x14ac:dyDescent="0.35">
      <c r="A9525">
        <v>0</v>
      </c>
      <c r="B9525">
        <v>0</v>
      </c>
      <c r="C9525">
        <v>0</v>
      </c>
      <c r="D9525">
        <v>0</v>
      </c>
      <c r="E9525">
        <v>0</v>
      </c>
    </row>
    <row r="9526" spans="1:5" x14ac:dyDescent="0.35">
      <c r="A9526">
        <v>0</v>
      </c>
      <c r="B9526">
        <v>0</v>
      </c>
      <c r="C9526">
        <v>0</v>
      </c>
      <c r="D9526">
        <v>0</v>
      </c>
      <c r="E9526">
        <v>0</v>
      </c>
    </row>
    <row r="9527" spans="1:5" x14ac:dyDescent="0.35">
      <c r="A9527">
        <v>0</v>
      </c>
      <c r="B9527">
        <v>0</v>
      </c>
      <c r="C9527">
        <v>0</v>
      </c>
      <c r="D9527">
        <v>0</v>
      </c>
      <c r="E9527">
        <v>0</v>
      </c>
    </row>
    <row r="9528" spans="1:5" x14ac:dyDescent="0.35">
      <c r="A9528">
        <v>0</v>
      </c>
      <c r="B9528">
        <v>0</v>
      </c>
      <c r="C9528">
        <v>0</v>
      </c>
      <c r="D9528">
        <v>0</v>
      </c>
      <c r="E9528">
        <v>0</v>
      </c>
    </row>
    <row r="9529" spans="1:5" x14ac:dyDescent="0.35">
      <c r="A9529">
        <v>0</v>
      </c>
      <c r="B9529">
        <v>0</v>
      </c>
      <c r="C9529">
        <v>0</v>
      </c>
      <c r="D9529">
        <v>0</v>
      </c>
      <c r="E9529">
        <v>0</v>
      </c>
    </row>
    <row r="9530" spans="1:5" x14ac:dyDescent="0.35">
      <c r="A9530">
        <v>0</v>
      </c>
      <c r="B9530">
        <v>0</v>
      </c>
      <c r="C9530">
        <v>0</v>
      </c>
      <c r="D9530">
        <v>0</v>
      </c>
      <c r="E9530">
        <v>0</v>
      </c>
    </row>
    <row r="9531" spans="1:5" x14ac:dyDescent="0.35">
      <c r="A9531">
        <v>0</v>
      </c>
      <c r="B9531">
        <v>0</v>
      </c>
      <c r="C9531">
        <v>0</v>
      </c>
      <c r="D9531">
        <v>0</v>
      </c>
      <c r="E9531">
        <v>0</v>
      </c>
    </row>
    <row r="9532" spans="1:5" x14ac:dyDescent="0.35">
      <c r="A9532">
        <v>0</v>
      </c>
      <c r="B9532">
        <v>0</v>
      </c>
      <c r="C9532">
        <v>0</v>
      </c>
      <c r="D9532">
        <v>0</v>
      </c>
      <c r="E9532">
        <v>0</v>
      </c>
    </row>
    <row r="9533" spans="1:5" x14ac:dyDescent="0.35">
      <c r="A9533">
        <v>0</v>
      </c>
      <c r="B9533">
        <v>0</v>
      </c>
      <c r="C9533">
        <v>0</v>
      </c>
      <c r="D9533">
        <v>0</v>
      </c>
      <c r="E9533">
        <v>0</v>
      </c>
    </row>
    <row r="9534" spans="1:5" x14ac:dyDescent="0.35">
      <c r="A9534">
        <v>0</v>
      </c>
      <c r="B9534">
        <v>0</v>
      </c>
      <c r="C9534">
        <v>0</v>
      </c>
      <c r="D9534">
        <v>0</v>
      </c>
      <c r="E9534">
        <v>0</v>
      </c>
    </row>
    <row r="9535" spans="1:5" x14ac:dyDescent="0.35">
      <c r="A9535">
        <v>0</v>
      </c>
      <c r="B9535">
        <v>0</v>
      </c>
      <c r="C9535">
        <v>0</v>
      </c>
      <c r="D9535">
        <v>0</v>
      </c>
      <c r="E9535">
        <v>0</v>
      </c>
    </row>
    <row r="9536" spans="1:5" x14ac:dyDescent="0.35">
      <c r="A9536">
        <v>0</v>
      </c>
      <c r="B9536">
        <v>0</v>
      </c>
      <c r="C9536">
        <v>0</v>
      </c>
      <c r="D9536">
        <v>0</v>
      </c>
      <c r="E9536">
        <v>0</v>
      </c>
    </row>
    <row r="9537" spans="1:5" x14ac:dyDescent="0.35">
      <c r="A9537">
        <v>0</v>
      </c>
      <c r="B9537">
        <v>0</v>
      </c>
      <c r="C9537">
        <v>0</v>
      </c>
      <c r="D9537">
        <v>0</v>
      </c>
      <c r="E9537">
        <v>0</v>
      </c>
    </row>
    <row r="9538" spans="1:5" x14ac:dyDescent="0.35">
      <c r="A9538">
        <v>0</v>
      </c>
      <c r="B9538">
        <v>0</v>
      </c>
      <c r="C9538">
        <v>0</v>
      </c>
      <c r="D9538">
        <v>0</v>
      </c>
      <c r="E9538">
        <v>0</v>
      </c>
    </row>
    <row r="9539" spans="1:5" x14ac:dyDescent="0.35">
      <c r="A9539">
        <v>0</v>
      </c>
      <c r="B9539">
        <v>0</v>
      </c>
      <c r="C9539">
        <v>0</v>
      </c>
      <c r="D9539">
        <v>0</v>
      </c>
      <c r="E9539">
        <v>0</v>
      </c>
    </row>
    <row r="9540" spans="1:5" x14ac:dyDescent="0.35">
      <c r="A9540">
        <v>0</v>
      </c>
      <c r="B9540">
        <v>0</v>
      </c>
      <c r="C9540">
        <v>0</v>
      </c>
      <c r="D9540">
        <v>0</v>
      </c>
      <c r="E9540">
        <v>0</v>
      </c>
    </row>
    <row r="9541" spans="1:5" x14ac:dyDescent="0.35">
      <c r="A9541">
        <v>0</v>
      </c>
      <c r="B9541">
        <v>0</v>
      </c>
      <c r="C9541">
        <v>0</v>
      </c>
      <c r="D9541">
        <v>0</v>
      </c>
      <c r="E9541">
        <v>0</v>
      </c>
    </row>
    <row r="9542" spans="1:5" x14ac:dyDescent="0.35">
      <c r="A9542">
        <v>0</v>
      </c>
      <c r="B9542">
        <v>0</v>
      </c>
      <c r="C9542">
        <v>0</v>
      </c>
      <c r="D9542">
        <v>0</v>
      </c>
      <c r="E9542">
        <v>0</v>
      </c>
    </row>
    <row r="9543" spans="1:5" x14ac:dyDescent="0.35">
      <c r="A9543">
        <v>0</v>
      </c>
      <c r="B9543">
        <v>0</v>
      </c>
      <c r="C9543">
        <v>0</v>
      </c>
      <c r="D9543">
        <v>0</v>
      </c>
      <c r="E9543">
        <v>0</v>
      </c>
    </row>
    <row r="9544" spans="1:5" x14ac:dyDescent="0.35">
      <c r="A9544">
        <v>0</v>
      </c>
      <c r="B9544">
        <v>0</v>
      </c>
      <c r="C9544">
        <v>0</v>
      </c>
      <c r="D9544">
        <v>0</v>
      </c>
      <c r="E9544">
        <v>0</v>
      </c>
    </row>
    <row r="9545" spans="1:5" x14ac:dyDescent="0.35">
      <c r="A9545">
        <v>0</v>
      </c>
      <c r="B9545">
        <v>0</v>
      </c>
      <c r="C9545">
        <v>0</v>
      </c>
      <c r="D9545">
        <v>0</v>
      </c>
      <c r="E9545">
        <v>0</v>
      </c>
    </row>
    <row r="9546" spans="1:5" x14ac:dyDescent="0.35">
      <c r="A9546">
        <v>0</v>
      </c>
      <c r="B9546">
        <v>0</v>
      </c>
      <c r="C9546">
        <v>0</v>
      </c>
      <c r="D9546">
        <v>0</v>
      </c>
      <c r="E9546">
        <v>0</v>
      </c>
    </row>
    <row r="9547" spans="1:5" x14ac:dyDescent="0.35">
      <c r="A9547">
        <v>0</v>
      </c>
      <c r="B9547">
        <v>0</v>
      </c>
      <c r="C9547">
        <v>0</v>
      </c>
      <c r="D9547">
        <v>0</v>
      </c>
      <c r="E9547">
        <v>0</v>
      </c>
    </row>
    <row r="9548" spans="1:5" x14ac:dyDescent="0.35">
      <c r="A9548">
        <v>0</v>
      </c>
      <c r="B9548">
        <v>0</v>
      </c>
      <c r="C9548">
        <v>0</v>
      </c>
      <c r="D9548">
        <v>0</v>
      </c>
      <c r="E9548">
        <v>0</v>
      </c>
    </row>
    <row r="9549" spans="1:5" x14ac:dyDescent="0.35">
      <c r="A9549">
        <v>0</v>
      </c>
      <c r="B9549">
        <v>0</v>
      </c>
      <c r="C9549">
        <v>0</v>
      </c>
      <c r="D9549">
        <v>0</v>
      </c>
      <c r="E9549">
        <v>0</v>
      </c>
    </row>
    <row r="9550" spans="1:5" x14ac:dyDescent="0.35">
      <c r="A9550">
        <v>0</v>
      </c>
      <c r="B9550">
        <v>0</v>
      </c>
      <c r="C9550">
        <v>0</v>
      </c>
      <c r="D9550">
        <v>0</v>
      </c>
      <c r="E9550">
        <v>0</v>
      </c>
    </row>
    <row r="9551" spans="1:5" x14ac:dyDescent="0.35">
      <c r="A9551">
        <v>0</v>
      </c>
      <c r="B9551">
        <v>0</v>
      </c>
      <c r="C9551">
        <v>0</v>
      </c>
      <c r="D9551">
        <v>0</v>
      </c>
      <c r="E9551">
        <v>0</v>
      </c>
    </row>
    <row r="9552" spans="1:5" x14ac:dyDescent="0.35">
      <c r="A9552">
        <v>0</v>
      </c>
      <c r="B9552">
        <v>0</v>
      </c>
      <c r="C9552">
        <v>0</v>
      </c>
      <c r="D9552">
        <v>0</v>
      </c>
      <c r="E9552">
        <v>0</v>
      </c>
    </row>
    <row r="9553" spans="1:5" x14ac:dyDescent="0.35">
      <c r="A9553">
        <v>0</v>
      </c>
      <c r="B9553">
        <v>0</v>
      </c>
      <c r="C9553">
        <v>0</v>
      </c>
      <c r="D9553">
        <v>0</v>
      </c>
      <c r="E9553">
        <v>0</v>
      </c>
    </row>
    <row r="9554" spans="1:5" x14ac:dyDescent="0.35">
      <c r="A9554">
        <v>0</v>
      </c>
      <c r="B9554">
        <v>0</v>
      </c>
      <c r="C9554">
        <v>0</v>
      </c>
      <c r="D9554">
        <v>0</v>
      </c>
      <c r="E9554">
        <v>0</v>
      </c>
    </row>
    <row r="9555" spans="1:5" x14ac:dyDescent="0.35">
      <c r="A9555">
        <v>0</v>
      </c>
      <c r="B9555">
        <v>0</v>
      </c>
      <c r="C9555">
        <v>0</v>
      </c>
      <c r="D9555">
        <v>0</v>
      </c>
      <c r="E9555">
        <v>0</v>
      </c>
    </row>
    <row r="9556" spans="1:5" x14ac:dyDescent="0.35">
      <c r="A9556">
        <v>0</v>
      </c>
      <c r="B9556">
        <v>0</v>
      </c>
      <c r="C9556">
        <v>0</v>
      </c>
      <c r="D9556">
        <v>0</v>
      </c>
      <c r="E9556">
        <v>0</v>
      </c>
    </row>
    <row r="9557" spans="1:5" x14ac:dyDescent="0.35">
      <c r="A9557">
        <v>0</v>
      </c>
      <c r="B9557">
        <v>0</v>
      </c>
      <c r="C9557">
        <v>0</v>
      </c>
      <c r="D9557">
        <v>0</v>
      </c>
      <c r="E9557">
        <v>0</v>
      </c>
    </row>
    <row r="9558" spans="1:5" x14ac:dyDescent="0.35">
      <c r="A9558">
        <v>0</v>
      </c>
      <c r="B9558">
        <v>0</v>
      </c>
      <c r="C9558">
        <v>0</v>
      </c>
      <c r="D9558">
        <v>0</v>
      </c>
      <c r="E9558">
        <v>0</v>
      </c>
    </row>
    <row r="9559" spans="1:5" x14ac:dyDescent="0.35">
      <c r="A9559">
        <v>0</v>
      </c>
      <c r="B9559">
        <v>0</v>
      </c>
      <c r="C9559">
        <v>0</v>
      </c>
      <c r="D9559">
        <v>0</v>
      </c>
      <c r="E9559">
        <v>0</v>
      </c>
    </row>
    <row r="9560" spans="1:5" x14ac:dyDescent="0.35">
      <c r="A9560">
        <v>0</v>
      </c>
      <c r="B9560">
        <v>0</v>
      </c>
      <c r="C9560">
        <v>0</v>
      </c>
      <c r="D9560">
        <v>0</v>
      </c>
      <c r="E9560">
        <v>0</v>
      </c>
    </row>
    <row r="9561" spans="1:5" x14ac:dyDescent="0.35">
      <c r="A9561">
        <v>0</v>
      </c>
      <c r="B9561">
        <v>0</v>
      </c>
      <c r="C9561">
        <v>0</v>
      </c>
      <c r="D9561">
        <v>0</v>
      </c>
      <c r="E9561">
        <v>0</v>
      </c>
    </row>
    <row r="9562" spans="1:5" x14ac:dyDescent="0.35">
      <c r="A9562">
        <v>0</v>
      </c>
      <c r="B9562">
        <v>0</v>
      </c>
      <c r="C9562">
        <v>0</v>
      </c>
      <c r="D9562">
        <v>0</v>
      </c>
      <c r="E9562">
        <v>0</v>
      </c>
    </row>
    <row r="9563" spans="1:5" x14ac:dyDescent="0.35">
      <c r="A9563">
        <v>0</v>
      </c>
      <c r="B9563">
        <v>0</v>
      </c>
      <c r="C9563">
        <v>0</v>
      </c>
      <c r="D9563">
        <v>0</v>
      </c>
      <c r="E9563">
        <v>0</v>
      </c>
    </row>
    <row r="9564" spans="1:5" x14ac:dyDescent="0.35">
      <c r="A9564">
        <v>0</v>
      </c>
      <c r="B9564">
        <v>0</v>
      </c>
      <c r="C9564">
        <v>0</v>
      </c>
      <c r="D9564">
        <v>0</v>
      </c>
      <c r="E9564">
        <v>0</v>
      </c>
    </row>
    <row r="9565" spans="1:5" x14ac:dyDescent="0.35">
      <c r="A9565">
        <v>0</v>
      </c>
      <c r="B9565">
        <v>0</v>
      </c>
      <c r="C9565">
        <v>0</v>
      </c>
      <c r="D9565">
        <v>0</v>
      </c>
      <c r="E9565">
        <v>0</v>
      </c>
    </row>
    <row r="9566" spans="1:5" x14ac:dyDescent="0.35">
      <c r="A9566">
        <v>0</v>
      </c>
      <c r="B9566">
        <v>0</v>
      </c>
      <c r="C9566">
        <v>0</v>
      </c>
      <c r="D9566">
        <v>0</v>
      </c>
      <c r="E9566">
        <v>0</v>
      </c>
    </row>
    <row r="9567" spans="1:5" x14ac:dyDescent="0.35">
      <c r="A9567">
        <v>0</v>
      </c>
      <c r="B9567">
        <v>0</v>
      </c>
      <c r="C9567">
        <v>0</v>
      </c>
      <c r="D9567">
        <v>0</v>
      </c>
      <c r="E9567">
        <v>0</v>
      </c>
    </row>
    <row r="9568" spans="1:5" x14ac:dyDescent="0.35">
      <c r="A9568">
        <v>0</v>
      </c>
      <c r="B9568">
        <v>0</v>
      </c>
      <c r="C9568">
        <v>0</v>
      </c>
      <c r="D9568">
        <v>0</v>
      </c>
      <c r="E9568">
        <v>0</v>
      </c>
    </row>
    <row r="9569" spans="1:5" x14ac:dyDescent="0.35">
      <c r="A9569">
        <v>0</v>
      </c>
      <c r="B9569">
        <v>0</v>
      </c>
      <c r="C9569">
        <v>0</v>
      </c>
      <c r="D9569">
        <v>0</v>
      </c>
      <c r="E9569">
        <v>0</v>
      </c>
    </row>
    <row r="9570" spans="1:5" x14ac:dyDescent="0.35">
      <c r="A9570">
        <v>0</v>
      </c>
      <c r="B9570">
        <v>0</v>
      </c>
      <c r="C9570">
        <v>0</v>
      </c>
      <c r="D9570">
        <v>0</v>
      </c>
      <c r="E9570">
        <v>0</v>
      </c>
    </row>
    <row r="9571" spans="1:5" x14ac:dyDescent="0.35">
      <c r="A9571">
        <v>0</v>
      </c>
      <c r="B9571">
        <v>0</v>
      </c>
      <c r="C9571">
        <v>0</v>
      </c>
      <c r="D9571">
        <v>0</v>
      </c>
      <c r="E9571">
        <v>0</v>
      </c>
    </row>
    <row r="9572" spans="1:5" x14ac:dyDescent="0.35">
      <c r="A9572">
        <v>0</v>
      </c>
      <c r="B9572">
        <v>0</v>
      </c>
      <c r="C9572">
        <v>0</v>
      </c>
      <c r="D9572">
        <v>0</v>
      </c>
      <c r="E9572">
        <v>0</v>
      </c>
    </row>
    <row r="9573" spans="1:5" x14ac:dyDescent="0.35">
      <c r="A9573">
        <v>0</v>
      </c>
      <c r="B9573">
        <v>0</v>
      </c>
      <c r="C9573">
        <v>0</v>
      </c>
      <c r="D9573">
        <v>0</v>
      </c>
      <c r="E9573">
        <v>0</v>
      </c>
    </row>
    <row r="9574" spans="1:5" x14ac:dyDescent="0.35">
      <c r="A9574">
        <v>0</v>
      </c>
      <c r="B9574">
        <v>0</v>
      </c>
      <c r="C9574">
        <v>0</v>
      </c>
      <c r="D9574">
        <v>0</v>
      </c>
      <c r="E9574">
        <v>0</v>
      </c>
    </row>
    <row r="9575" spans="1:5" x14ac:dyDescent="0.35">
      <c r="A9575">
        <v>0</v>
      </c>
      <c r="B9575">
        <v>0</v>
      </c>
      <c r="C9575">
        <v>0</v>
      </c>
      <c r="D9575">
        <v>0</v>
      </c>
      <c r="E9575">
        <v>0</v>
      </c>
    </row>
    <row r="9576" spans="1:5" x14ac:dyDescent="0.35">
      <c r="A9576">
        <v>0</v>
      </c>
      <c r="B9576">
        <v>0</v>
      </c>
      <c r="C9576">
        <v>0</v>
      </c>
      <c r="D9576">
        <v>0</v>
      </c>
      <c r="E9576">
        <v>0</v>
      </c>
    </row>
    <row r="9577" spans="1:5" x14ac:dyDescent="0.35">
      <c r="A9577">
        <v>0</v>
      </c>
      <c r="B9577">
        <v>0</v>
      </c>
      <c r="C9577">
        <v>0</v>
      </c>
      <c r="D9577">
        <v>0</v>
      </c>
      <c r="E9577">
        <v>0</v>
      </c>
    </row>
    <row r="9578" spans="1:5" x14ac:dyDescent="0.35">
      <c r="A9578">
        <v>0</v>
      </c>
      <c r="B9578">
        <v>0</v>
      </c>
      <c r="C9578">
        <v>0</v>
      </c>
      <c r="D9578">
        <v>0</v>
      </c>
      <c r="E9578">
        <v>0</v>
      </c>
    </row>
    <row r="9579" spans="1:5" x14ac:dyDescent="0.35">
      <c r="A9579">
        <v>0</v>
      </c>
      <c r="B9579">
        <v>0</v>
      </c>
      <c r="C9579">
        <v>0</v>
      </c>
      <c r="D9579">
        <v>0</v>
      </c>
      <c r="E9579">
        <v>0</v>
      </c>
    </row>
    <row r="9580" spans="1:5" x14ac:dyDescent="0.35">
      <c r="A9580">
        <v>0</v>
      </c>
      <c r="B9580">
        <v>0</v>
      </c>
      <c r="C9580">
        <v>0</v>
      </c>
      <c r="D9580">
        <v>0</v>
      </c>
      <c r="E9580">
        <v>0</v>
      </c>
    </row>
    <row r="9581" spans="1:5" x14ac:dyDescent="0.35">
      <c r="A9581">
        <v>0</v>
      </c>
      <c r="B9581">
        <v>0</v>
      </c>
      <c r="C9581">
        <v>0</v>
      </c>
      <c r="D9581">
        <v>0</v>
      </c>
      <c r="E9581">
        <v>0</v>
      </c>
    </row>
    <row r="9582" spans="1:5" x14ac:dyDescent="0.35">
      <c r="A9582">
        <v>0</v>
      </c>
      <c r="B9582">
        <v>0</v>
      </c>
      <c r="C9582">
        <v>0</v>
      </c>
      <c r="D9582">
        <v>0</v>
      </c>
      <c r="E9582">
        <v>0</v>
      </c>
    </row>
    <row r="9583" spans="1:5" x14ac:dyDescent="0.35">
      <c r="A9583">
        <v>0</v>
      </c>
      <c r="B9583">
        <v>0</v>
      </c>
      <c r="C9583">
        <v>0</v>
      </c>
      <c r="D9583">
        <v>0</v>
      </c>
      <c r="E9583">
        <v>0</v>
      </c>
    </row>
    <row r="9584" spans="1:5" x14ac:dyDescent="0.35">
      <c r="A9584">
        <v>0</v>
      </c>
      <c r="B9584">
        <v>0</v>
      </c>
      <c r="C9584">
        <v>0</v>
      </c>
      <c r="D9584">
        <v>0</v>
      </c>
      <c r="E9584">
        <v>0</v>
      </c>
    </row>
    <row r="9585" spans="1:5" x14ac:dyDescent="0.35">
      <c r="A9585">
        <v>0</v>
      </c>
      <c r="B9585">
        <v>0</v>
      </c>
      <c r="C9585">
        <v>0</v>
      </c>
      <c r="D9585">
        <v>0</v>
      </c>
      <c r="E9585">
        <v>0</v>
      </c>
    </row>
    <row r="9586" spans="1:5" x14ac:dyDescent="0.35">
      <c r="A9586">
        <v>0</v>
      </c>
      <c r="B9586">
        <v>0</v>
      </c>
      <c r="C9586">
        <v>0</v>
      </c>
      <c r="D9586">
        <v>0</v>
      </c>
      <c r="E9586">
        <v>0</v>
      </c>
    </row>
    <row r="9587" spans="1:5" x14ac:dyDescent="0.35">
      <c r="A9587">
        <v>0</v>
      </c>
      <c r="B9587">
        <v>0</v>
      </c>
      <c r="C9587">
        <v>0</v>
      </c>
      <c r="D9587">
        <v>0</v>
      </c>
      <c r="E9587">
        <v>0</v>
      </c>
    </row>
    <row r="9588" spans="1:5" x14ac:dyDescent="0.35">
      <c r="A9588">
        <v>0</v>
      </c>
      <c r="B9588">
        <v>0</v>
      </c>
      <c r="C9588">
        <v>0</v>
      </c>
      <c r="D9588">
        <v>0</v>
      </c>
      <c r="E9588">
        <v>0</v>
      </c>
    </row>
    <row r="9589" spans="1:5" x14ac:dyDescent="0.35">
      <c r="A9589">
        <v>0</v>
      </c>
      <c r="B9589">
        <v>0</v>
      </c>
      <c r="C9589">
        <v>0</v>
      </c>
      <c r="D9589">
        <v>0</v>
      </c>
      <c r="E9589">
        <v>0</v>
      </c>
    </row>
    <row r="9590" spans="1:5" x14ac:dyDescent="0.35">
      <c r="A9590">
        <v>0</v>
      </c>
      <c r="B9590">
        <v>0</v>
      </c>
      <c r="C9590">
        <v>0</v>
      </c>
      <c r="D9590">
        <v>0</v>
      </c>
      <c r="E9590">
        <v>0</v>
      </c>
    </row>
    <row r="9591" spans="1:5" x14ac:dyDescent="0.35">
      <c r="A9591">
        <v>0</v>
      </c>
      <c r="B9591">
        <v>0</v>
      </c>
      <c r="C9591">
        <v>0</v>
      </c>
      <c r="D9591">
        <v>0</v>
      </c>
      <c r="E9591">
        <v>0</v>
      </c>
    </row>
    <row r="9592" spans="1:5" x14ac:dyDescent="0.35">
      <c r="A9592">
        <v>0</v>
      </c>
      <c r="B9592">
        <v>0</v>
      </c>
      <c r="C9592">
        <v>0</v>
      </c>
      <c r="D9592">
        <v>0</v>
      </c>
      <c r="E9592">
        <v>0</v>
      </c>
    </row>
    <row r="9593" spans="1:5" x14ac:dyDescent="0.35">
      <c r="A9593">
        <v>0</v>
      </c>
      <c r="B9593">
        <v>0</v>
      </c>
      <c r="C9593">
        <v>0</v>
      </c>
      <c r="D9593">
        <v>0</v>
      </c>
      <c r="E9593">
        <v>0</v>
      </c>
    </row>
    <row r="9594" spans="1:5" x14ac:dyDescent="0.35">
      <c r="A9594">
        <v>0</v>
      </c>
      <c r="B9594">
        <v>0</v>
      </c>
      <c r="C9594">
        <v>0</v>
      </c>
      <c r="D9594">
        <v>0</v>
      </c>
      <c r="E9594">
        <v>0</v>
      </c>
    </row>
    <row r="9595" spans="1:5" x14ac:dyDescent="0.35">
      <c r="A9595">
        <v>0</v>
      </c>
      <c r="B9595">
        <v>0</v>
      </c>
      <c r="C9595">
        <v>0</v>
      </c>
      <c r="D9595">
        <v>0</v>
      </c>
      <c r="E9595">
        <v>0</v>
      </c>
    </row>
    <row r="9596" spans="1:5" x14ac:dyDescent="0.35">
      <c r="A9596">
        <v>0</v>
      </c>
      <c r="B9596">
        <v>0</v>
      </c>
      <c r="C9596">
        <v>0</v>
      </c>
      <c r="D9596">
        <v>0</v>
      </c>
      <c r="E9596">
        <v>0</v>
      </c>
    </row>
    <row r="9597" spans="1:5" x14ac:dyDescent="0.35">
      <c r="A9597">
        <v>0</v>
      </c>
      <c r="B9597">
        <v>0</v>
      </c>
      <c r="C9597">
        <v>0</v>
      </c>
      <c r="D9597">
        <v>0</v>
      </c>
      <c r="E9597">
        <v>0</v>
      </c>
    </row>
    <row r="9598" spans="1:5" x14ac:dyDescent="0.35">
      <c r="A9598">
        <v>0</v>
      </c>
      <c r="B9598">
        <v>0</v>
      </c>
      <c r="C9598">
        <v>0</v>
      </c>
      <c r="D9598">
        <v>0</v>
      </c>
      <c r="E9598">
        <v>0</v>
      </c>
    </row>
    <row r="9599" spans="1:5" x14ac:dyDescent="0.35">
      <c r="A9599">
        <v>0</v>
      </c>
      <c r="B9599">
        <v>0</v>
      </c>
      <c r="C9599">
        <v>0</v>
      </c>
      <c r="D9599">
        <v>0</v>
      </c>
      <c r="E9599">
        <v>0</v>
      </c>
    </row>
    <row r="9600" spans="1:5" x14ac:dyDescent="0.35">
      <c r="A9600">
        <v>0</v>
      </c>
      <c r="B9600">
        <v>0</v>
      </c>
      <c r="C9600">
        <v>0</v>
      </c>
      <c r="D9600">
        <v>0</v>
      </c>
      <c r="E9600">
        <v>0</v>
      </c>
    </row>
    <row r="9601" spans="1:5" x14ac:dyDescent="0.35">
      <c r="A9601">
        <v>0</v>
      </c>
      <c r="B9601">
        <v>0</v>
      </c>
      <c r="C9601">
        <v>0</v>
      </c>
      <c r="D9601">
        <v>0</v>
      </c>
      <c r="E9601">
        <v>0</v>
      </c>
    </row>
    <row r="9602" spans="1:5" x14ac:dyDescent="0.35">
      <c r="A9602">
        <v>0</v>
      </c>
      <c r="B9602">
        <v>0</v>
      </c>
      <c r="C9602">
        <v>0</v>
      </c>
      <c r="D9602">
        <v>0</v>
      </c>
      <c r="E9602">
        <v>0</v>
      </c>
    </row>
    <row r="9603" spans="1:5" x14ac:dyDescent="0.35">
      <c r="A9603">
        <v>0</v>
      </c>
      <c r="B9603">
        <v>0</v>
      </c>
      <c r="C9603">
        <v>0</v>
      </c>
      <c r="D9603">
        <v>0</v>
      </c>
      <c r="E9603">
        <v>0</v>
      </c>
    </row>
    <row r="9604" spans="1:5" x14ac:dyDescent="0.35">
      <c r="A9604">
        <v>0</v>
      </c>
      <c r="B9604">
        <v>0</v>
      </c>
      <c r="C9604">
        <v>0</v>
      </c>
      <c r="D9604">
        <v>0</v>
      </c>
      <c r="E9604">
        <v>0</v>
      </c>
    </row>
    <row r="9605" spans="1:5" x14ac:dyDescent="0.35">
      <c r="A9605">
        <v>0</v>
      </c>
      <c r="B9605">
        <v>0</v>
      </c>
      <c r="C9605">
        <v>0</v>
      </c>
      <c r="D9605">
        <v>0</v>
      </c>
      <c r="E9605">
        <v>0</v>
      </c>
    </row>
    <row r="9606" spans="1:5" x14ac:dyDescent="0.35">
      <c r="A9606">
        <v>0</v>
      </c>
      <c r="B9606">
        <v>0</v>
      </c>
      <c r="C9606">
        <v>0</v>
      </c>
      <c r="D9606">
        <v>0</v>
      </c>
      <c r="E9606">
        <v>0</v>
      </c>
    </row>
    <row r="9607" spans="1:5" x14ac:dyDescent="0.35">
      <c r="A9607">
        <v>0</v>
      </c>
      <c r="B9607">
        <v>0</v>
      </c>
      <c r="C9607">
        <v>0</v>
      </c>
      <c r="D9607">
        <v>0</v>
      </c>
      <c r="E9607">
        <v>0</v>
      </c>
    </row>
    <row r="9608" spans="1:5" x14ac:dyDescent="0.35">
      <c r="A9608">
        <v>0</v>
      </c>
      <c r="B9608">
        <v>0</v>
      </c>
      <c r="C9608">
        <v>0</v>
      </c>
      <c r="D9608">
        <v>0</v>
      </c>
      <c r="E9608">
        <v>0</v>
      </c>
    </row>
    <row r="9609" spans="1:5" x14ac:dyDescent="0.35">
      <c r="A9609">
        <v>0</v>
      </c>
      <c r="B9609">
        <v>0</v>
      </c>
      <c r="C9609">
        <v>0</v>
      </c>
      <c r="D9609">
        <v>0</v>
      </c>
      <c r="E9609">
        <v>0</v>
      </c>
    </row>
    <row r="9610" spans="1:5" x14ac:dyDescent="0.35">
      <c r="A9610">
        <v>0</v>
      </c>
      <c r="B9610">
        <v>0</v>
      </c>
      <c r="C9610">
        <v>0</v>
      </c>
      <c r="D9610">
        <v>0</v>
      </c>
      <c r="E9610">
        <v>0</v>
      </c>
    </row>
    <row r="9611" spans="1:5" x14ac:dyDescent="0.35">
      <c r="A9611">
        <v>0</v>
      </c>
      <c r="B9611">
        <v>0</v>
      </c>
      <c r="C9611">
        <v>0</v>
      </c>
      <c r="D9611">
        <v>0</v>
      </c>
      <c r="E9611">
        <v>0</v>
      </c>
    </row>
    <row r="9612" spans="1:5" x14ac:dyDescent="0.35">
      <c r="A9612">
        <v>0</v>
      </c>
      <c r="B9612">
        <v>0</v>
      </c>
      <c r="C9612">
        <v>0</v>
      </c>
      <c r="D9612">
        <v>0</v>
      </c>
      <c r="E9612">
        <v>0</v>
      </c>
    </row>
    <row r="9613" spans="1:5" x14ac:dyDescent="0.35">
      <c r="A9613">
        <v>0</v>
      </c>
      <c r="B9613">
        <v>0</v>
      </c>
      <c r="C9613">
        <v>0</v>
      </c>
      <c r="D9613">
        <v>0</v>
      </c>
      <c r="E9613">
        <v>0</v>
      </c>
    </row>
    <row r="9614" spans="1:5" x14ac:dyDescent="0.35">
      <c r="A9614">
        <v>0</v>
      </c>
      <c r="B9614">
        <v>0</v>
      </c>
      <c r="C9614">
        <v>0</v>
      </c>
      <c r="D9614">
        <v>0</v>
      </c>
      <c r="E9614">
        <v>0</v>
      </c>
    </row>
    <row r="9615" spans="1:5" x14ac:dyDescent="0.35">
      <c r="A9615">
        <v>0</v>
      </c>
      <c r="B9615">
        <v>0</v>
      </c>
      <c r="C9615">
        <v>0</v>
      </c>
      <c r="D9615">
        <v>0</v>
      </c>
      <c r="E9615">
        <v>0</v>
      </c>
    </row>
    <row r="9616" spans="1:5" x14ac:dyDescent="0.35">
      <c r="A9616">
        <v>0</v>
      </c>
      <c r="B9616">
        <v>0</v>
      </c>
      <c r="C9616">
        <v>0</v>
      </c>
      <c r="D9616">
        <v>0</v>
      </c>
      <c r="E9616">
        <v>0</v>
      </c>
    </row>
    <row r="9617" spans="1:5" x14ac:dyDescent="0.35">
      <c r="A9617">
        <v>0</v>
      </c>
      <c r="B9617">
        <v>0</v>
      </c>
      <c r="C9617">
        <v>0</v>
      </c>
      <c r="D9617">
        <v>0</v>
      </c>
      <c r="E9617">
        <v>0</v>
      </c>
    </row>
    <row r="9618" spans="1:5" x14ac:dyDescent="0.35">
      <c r="A9618">
        <v>0</v>
      </c>
      <c r="B9618">
        <v>0</v>
      </c>
      <c r="C9618">
        <v>0</v>
      </c>
      <c r="D9618">
        <v>0</v>
      </c>
      <c r="E9618">
        <v>0</v>
      </c>
    </row>
    <row r="9619" spans="1:5" x14ac:dyDescent="0.35">
      <c r="A9619">
        <v>0</v>
      </c>
      <c r="B9619">
        <v>0</v>
      </c>
      <c r="C9619">
        <v>0</v>
      </c>
      <c r="D9619">
        <v>0</v>
      </c>
      <c r="E9619">
        <v>0</v>
      </c>
    </row>
    <row r="9620" spans="1:5" x14ac:dyDescent="0.35">
      <c r="A9620">
        <v>0</v>
      </c>
      <c r="B9620">
        <v>0</v>
      </c>
      <c r="C9620">
        <v>0</v>
      </c>
      <c r="D9620">
        <v>0</v>
      </c>
      <c r="E9620">
        <v>0</v>
      </c>
    </row>
    <row r="9621" spans="1:5" x14ac:dyDescent="0.35">
      <c r="A9621">
        <v>0</v>
      </c>
      <c r="B9621">
        <v>0</v>
      </c>
      <c r="C9621">
        <v>0</v>
      </c>
      <c r="D9621">
        <v>0</v>
      </c>
      <c r="E9621">
        <v>0</v>
      </c>
    </row>
    <row r="9622" spans="1:5" x14ac:dyDescent="0.35">
      <c r="A9622">
        <v>0</v>
      </c>
      <c r="B9622">
        <v>0</v>
      </c>
      <c r="C9622">
        <v>0</v>
      </c>
      <c r="D9622">
        <v>0</v>
      </c>
      <c r="E9622">
        <v>0</v>
      </c>
    </row>
    <row r="9623" spans="1:5" x14ac:dyDescent="0.35">
      <c r="A9623">
        <v>0</v>
      </c>
      <c r="B9623">
        <v>0</v>
      </c>
      <c r="C9623">
        <v>0</v>
      </c>
      <c r="D9623">
        <v>0</v>
      </c>
      <c r="E9623">
        <v>0</v>
      </c>
    </row>
    <row r="9624" spans="1:5" x14ac:dyDescent="0.35">
      <c r="A9624">
        <v>0</v>
      </c>
      <c r="B9624">
        <v>0</v>
      </c>
      <c r="C9624">
        <v>0</v>
      </c>
      <c r="D9624">
        <v>0</v>
      </c>
      <c r="E9624">
        <v>0</v>
      </c>
    </row>
    <row r="9625" spans="1:5" x14ac:dyDescent="0.35">
      <c r="A9625">
        <v>0</v>
      </c>
      <c r="B9625">
        <v>0</v>
      </c>
      <c r="C9625">
        <v>0</v>
      </c>
      <c r="D9625">
        <v>0</v>
      </c>
      <c r="E9625">
        <v>0</v>
      </c>
    </row>
    <row r="9626" spans="1:5" x14ac:dyDescent="0.35">
      <c r="A9626">
        <v>0</v>
      </c>
      <c r="B9626">
        <v>0</v>
      </c>
      <c r="C9626">
        <v>0</v>
      </c>
      <c r="D9626">
        <v>0</v>
      </c>
      <c r="E9626">
        <v>0</v>
      </c>
    </row>
    <row r="9627" spans="1:5" x14ac:dyDescent="0.35">
      <c r="A9627">
        <v>0</v>
      </c>
      <c r="B9627">
        <v>0</v>
      </c>
      <c r="C9627">
        <v>0</v>
      </c>
      <c r="D9627">
        <v>0</v>
      </c>
      <c r="E9627">
        <v>0</v>
      </c>
    </row>
    <row r="9628" spans="1:5" x14ac:dyDescent="0.35">
      <c r="A9628">
        <v>0</v>
      </c>
      <c r="B9628">
        <v>0</v>
      </c>
      <c r="C9628">
        <v>0</v>
      </c>
      <c r="D9628">
        <v>0</v>
      </c>
      <c r="E9628">
        <v>0</v>
      </c>
    </row>
    <row r="9629" spans="1:5" x14ac:dyDescent="0.35">
      <c r="A9629">
        <v>0</v>
      </c>
      <c r="B9629">
        <v>0</v>
      </c>
      <c r="C9629">
        <v>0</v>
      </c>
      <c r="D9629">
        <v>0</v>
      </c>
      <c r="E9629">
        <v>0</v>
      </c>
    </row>
    <row r="9630" spans="1:5" x14ac:dyDescent="0.35">
      <c r="A9630">
        <v>0</v>
      </c>
      <c r="B9630">
        <v>0</v>
      </c>
      <c r="C9630">
        <v>0</v>
      </c>
      <c r="D9630">
        <v>0</v>
      </c>
      <c r="E9630">
        <v>0</v>
      </c>
    </row>
    <row r="9631" spans="1:5" x14ac:dyDescent="0.35">
      <c r="A9631">
        <v>0</v>
      </c>
      <c r="B9631">
        <v>0</v>
      </c>
      <c r="C9631">
        <v>0</v>
      </c>
      <c r="D9631">
        <v>0</v>
      </c>
      <c r="E9631">
        <v>0</v>
      </c>
    </row>
    <row r="9632" spans="1:5" x14ac:dyDescent="0.35">
      <c r="A9632">
        <v>0</v>
      </c>
      <c r="B9632">
        <v>0</v>
      </c>
      <c r="C9632">
        <v>0</v>
      </c>
      <c r="D9632">
        <v>0</v>
      </c>
      <c r="E9632">
        <v>0</v>
      </c>
    </row>
    <row r="9633" spans="1:5" x14ac:dyDescent="0.35">
      <c r="A9633">
        <v>0</v>
      </c>
      <c r="B9633">
        <v>0</v>
      </c>
      <c r="C9633">
        <v>0</v>
      </c>
      <c r="D9633">
        <v>0</v>
      </c>
      <c r="E9633">
        <v>0</v>
      </c>
    </row>
    <row r="9634" spans="1:5" x14ac:dyDescent="0.35">
      <c r="A9634">
        <v>0</v>
      </c>
      <c r="B9634">
        <v>0</v>
      </c>
      <c r="C9634">
        <v>0</v>
      </c>
      <c r="D9634">
        <v>0</v>
      </c>
      <c r="E9634">
        <v>0</v>
      </c>
    </row>
    <row r="9635" spans="1:5" x14ac:dyDescent="0.35">
      <c r="A9635">
        <v>0</v>
      </c>
      <c r="B9635">
        <v>0</v>
      </c>
      <c r="C9635">
        <v>0</v>
      </c>
      <c r="D9635">
        <v>0</v>
      </c>
      <c r="E9635">
        <v>0</v>
      </c>
    </row>
    <row r="9636" spans="1:5" x14ac:dyDescent="0.35">
      <c r="A9636">
        <v>0</v>
      </c>
      <c r="B9636">
        <v>0</v>
      </c>
      <c r="C9636">
        <v>0</v>
      </c>
      <c r="D9636">
        <v>0</v>
      </c>
      <c r="E9636">
        <v>0</v>
      </c>
    </row>
    <row r="9637" spans="1:5" x14ac:dyDescent="0.35">
      <c r="A9637">
        <v>0</v>
      </c>
      <c r="B9637">
        <v>0</v>
      </c>
      <c r="C9637">
        <v>0</v>
      </c>
      <c r="D9637">
        <v>0</v>
      </c>
      <c r="E9637">
        <v>0</v>
      </c>
    </row>
    <row r="9638" spans="1:5" x14ac:dyDescent="0.35">
      <c r="A9638">
        <v>0</v>
      </c>
      <c r="B9638">
        <v>0</v>
      </c>
      <c r="C9638">
        <v>0</v>
      </c>
      <c r="D9638">
        <v>0</v>
      </c>
      <c r="E9638">
        <v>0</v>
      </c>
    </row>
    <row r="9639" spans="1:5" x14ac:dyDescent="0.35">
      <c r="A9639">
        <v>0</v>
      </c>
      <c r="B9639">
        <v>0</v>
      </c>
      <c r="C9639">
        <v>0</v>
      </c>
      <c r="D9639">
        <v>0</v>
      </c>
      <c r="E9639">
        <v>0</v>
      </c>
    </row>
    <row r="9640" spans="1:5" x14ac:dyDescent="0.35">
      <c r="A9640">
        <v>0</v>
      </c>
      <c r="B9640">
        <v>0</v>
      </c>
      <c r="C9640">
        <v>0</v>
      </c>
      <c r="D9640">
        <v>0</v>
      </c>
      <c r="E9640">
        <v>0</v>
      </c>
    </row>
    <row r="9641" spans="1:5" x14ac:dyDescent="0.35">
      <c r="A9641">
        <v>0</v>
      </c>
      <c r="B9641">
        <v>0</v>
      </c>
      <c r="C9641">
        <v>0</v>
      </c>
      <c r="D9641">
        <v>0</v>
      </c>
      <c r="E9641">
        <v>0</v>
      </c>
    </row>
    <row r="9642" spans="1:5" x14ac:dyDescent="0.35">
      <c r="A9642">
        <v>0</v>
      </c>
      <c r="B9642">
        <v>0</v>
      </c>
      <c r="C9642">
        <v>0</v>
      </c>
      <c r="D9642">
        <v>0</v>
      </c>
      <c r="E9642">
        <v>0</v>
      </c>
    </row>
    <row r="9643" spans="1:5" x14ac:dyDescent="0.35">
      <c r="A9643">
        <v>0</v>
      </c>
      <c r="B9643">
        <v>0</v>
      </c>
      <c r="C9643">
        <v>0</v>
      </c>
      <c r="D9643">
        <v>0</v>
      </c>
      <c r="E9643">
        <v>0</v>
      </c>
    </row>
    <row r="9644" spans="1:5" x14ac:dyDescent="0.35">
      <c r="A9644">
        <v>0</v>
      </c>
      <c r="B9644">
        <v>0</v>
      </c>
      <c r="C9644">
        <v>0</v>
      </c>
      <c r="D9644">
        <v>0</v>
      </c>
      <c r="E9644">
        <v>0</v>
      </c>
    </row>
    <row r="9645" spans="1:5" x14ac:dyDescent="0.35">
      <c r="A9645">
        <v>0</v>
      </c>
      <c r="B9645">
        <v>0</v>
      </c>
      <c r="C9645">
        <v>0</v>
      </c>
      <c r="D9645">
        <v>0</v>
      </c>
      <c r="E9645">
        <v>0</v>
      </c>
    </row>
    <row r="9646" spans="1:5" x14ac:dyDescent="0.35">
      <c r="A9646">
        <v>0</v>
      </c>
      <c r="B9646">
        <v>0</v>
      </c>
      <c r="C9646">
        <v>0</v>
      </c>
      <c r="D9646">
        <v>0</v>
      </c>
      <c r="E9646">
        <v>0</v>
      </c>
    </row>
    <row r="9647" spans="1:5" x14ac:dyDescent="0.35">
      <c r="A9647">
        <v>0</v>
      </c>
      <c r="B9647">
        <v>0</v>
      </c>
      <c r="C9647">
        <v>0</v>
      </c>
      <c r="D9647">
        <v>0</v>
      </c>
      <c r="E9647">
        <v>0</v>
      </c>
    </row>
    <row r="9648" spans="1:5" x14ac:dyDescent="0.35">
      <c r="A9648">
        <v>0</v>
      </c>
      <c r="B9648">
        <v>0</v>
      </c>
      <c r="C9648">
        <v>0</v>
      </c>
      <c r="D9648">
        <v>0</v>
      </c>
      <c r="E9648">
        <v>0</v>
      </c>
    </row>
    <row r="9649" spans="1:5" x14ac:dyDescent="0.35">
      <c r="A9649">
        <v>0</v>
      </c>
      <c r="B9649">
        <v>0</v>
      </c>
      <c r="C9649">
        <v>0</v>
      </c>
      <c r="D9649">
        <v>0</v>
      </c>
      <c r="E9649">
        <v>0</v>
      </c>
    </row>
    <row r="9650" spans="1:5" x14ac:dyDescent="0.35">
      <c r="A9650">
        <v>0</v>
      </c>
      <c r="B9650">
        <v>0</v>
      </c>
      <c r="C9650">
        <v>0</v>
      </c>
      <c r="D9650">
        <v>0</v>
      </c>
      <c r="E9650">
        <v>0</v>
      </c>
    </row>
    <row r="9651" spans="1:5" x14ac:dyDescent="0.35">
      <c r="A9651">
        <v>0</v>
      </c>
      <c r="B9651">
        <v>0</v>
      </c>
      <c r="C9651">
        <v>0</v>
      </c>
      <c r="D9651">
        <v>0</v>
      </c>
      <c r="E9651">
        <v>0</v>
      </c>
    </row>
    <row r="9652" spans="1:5" x14ac:dyDescent="0.35">
      <c r="A9652">
        <v>0</v>
      </c>
      <c r="B9652">
        <v>0</v>
      </c>
      <c r="C9652">
        <v>0</v>
      </c>
      <c r="D9652">
        <v>0</v>
      </c>
      <c r="E9652">
        <v>0</v>
      </c>
    </row>
    <row r="9653" spans="1:5" x14ac:dyDescent="0.35">
      <c r="A9653">
        <v>0</v>
      </c>
      <c r="B9653">
        <v>0</v>
      </c>
      <c r="C9653">
        <v>0</v>
      </c>
      <c r="D9653">
        <v>0</v>
      </c>
      <c r="E9653">
        <v>0</v>
      </c>
    </row>
    <row r="9654" spans="1:5" x14ac:dyDescent="0.35">
      <c r="A9654">
        <v>0</v>
      </c>
      <c r="B9654">
        <v>0</v>
      </c>
      <c r="C9654">
        <v>0</v>
      </c>
      <c r="D9654">
        <v>0</v>
      </c>
      <c r="E9654">
        <v>0</v>
      </c>
    </row>
    <row r="9655" spans="1:5" x14ac:dyDescent="0.35">
      <c r="A9655">
        <v>0</v>
      </c>
      <c r="B9655">
        <v>0</v>
      </c>
      <c r="C9655">
        <v>0</v>
      </c>
      <c r="D9655">
        <v>0</v>
      </c>
      <c r="E9655">
        <v>0</v>
      </c>
    </row>
    <row r="9656" spans="1:5" x14ac:dyDescent="0.35">
      <c r="A9656">
        <v>0</v>
      </c>
      <c r="B9656">
        <v>0</v>
      </c>
      <c r="C9656">
        <v>0</v>
      </c>
      <c r="D9656">
        <v>0</v>
      </c>
      <c r="E9656">
        <v>0</v>
      </c>
    </row>
    <row r="9657" spans="1:5" x14ac:dyDescent="0.35">
      <c r="A9657">
        <v>0</v>
      </c>
      <c r="B9657">
        <v>0</v>
      </c>
      <c r="C9657">
        <v>0</v>
      </c>
      <c r="D9657">
        <v>0</v>
      </c>
      <c r="E9657">
        <v>0</v>
      </c>
    </row>
    <row r="9658" spans="1:5" x14ac:dyDescent="0.35">
      <c r="A9658">
        <v>0</v>
      </c>
      <c r="B9658">
        <v>0</v>
      </c>
      <c r="C9658">
        <v>0</v>
      </c>
      <c r="D9658">
        <v>0</v>
      </c>
      <c r="E9658">
        <v>0</v>
      </c>
    </row>
    <row r="9659" spans="1:5" x14ac:dyDescent="0.35">
      <c r="A9659">
        <v>0</v>
      </c>
      <c r="B9659">
        <v>0</v>
      </c>
      <c r="C9659">
        <v>0</v>
      </c>
      <c r="D9659">
        <v>0</v>
      </c>
      <c r="E9659">
        <v>0</v>
      </c>
    </row>
    <row r="9660" spans="1:5" x14ac:dyDescent="0.35">
      <c r="A9660">
        <v>0</v>
      </c>
      <c r="B9660">
        <v>0</v>
      </c>
      <c r="C9660">
        <v>0</v>
      </c>
      <c r="D9660">
        <v>0</v>
      </c>
      <c r="E9660">
        <v>0</v>
      </c>
    </row>
    <row r="9661" spans="1:5" x14ac:dyDescent="0.35">
      <c r="A9661">
        <v>0</v>
      </c>
      <c r="B9661">
        <v>0</v>
      </c>
      <c r="C9661">
        <v>0</v>
      </c>
      <c r="D9661">
        <v>0</v>
      </c>
      <c r="E9661">
        <v>0</v>
      </c>
    </row>
    <row r="9662" spans="1:5" x14ac:dyDescent="0.35">
      <c r="A9662">
        <v>0</v>
      </c>
      <c r="B9662">
        <v>0</v>
      </c>
      <c r="C9662">
        <v>0</v>
      </c>
      <c r="D9662">
        <v>0</v>
      </c>
      <c r="E9662">
        <v>0</v>
      </c>
    </row>
    <row r="9663" spans="1:5" x14ac:dyDescent="0.35">
      <c r="A9663">
        <v>0</v>
      </c>
      <c r="B9663">
        <v>0</v>
      </c>
      <c r="C9663">
        <v>0</v>
      </c>
      <c r="D9663">
        <v>0</v>
      </c>
      <c r="E9663">
        <v>0</v>
      </c>
    </row>
    <row r="9664" spans="1:5" x14ac:dyDescent="0.35">
      <c r="A9664">
        <v>0</v>
      </c>
      <c r="B9664">
        <v>0</v>
      </c>
      <c r="C9664">
        <v>0</v>
      </c>
      <c r="D9664">
        <v>0</v>
      </c>
      <c r="E9664">
        <v>0</v>
      </c>
    </row>
    <row r="9665" spans="1:5" x14ac:dyDescent="0.35">
      <c r="A9665">
        <v>0</v>
      </c>
      <c r="B9665">
        <v>0</v>
      </c>
      <c r="C9665">
        <v>0</v>
      </c>
      <c r="D9665">
        <v>0</v>
      </c>
      <c r="E9665">
        <v>0</v>
      </c>
    </row>
    <row r="9666" spans="1:5" x14ac:dyDescent="0.35">
      <c r="A9666">
        <v>0</v>
      </c>
      <c r="B9666">
        <v>0</v>
      </c>
      <c r="C9666">
        <v>0</v>
      </c>
      <c r="D9666">
        <v>0</v>
      </c>
      <c r="E9666">
        <v>0</v>
      </c>
    </row>
    <row r="9667" spans="1:5" x14ac:dyDescent="0.35">
      <c r="A9667">
        <v>0</v>
      </c>
      <c r="B9667">
        <v>0</v>
      </c>
      <c r="C9667">
        <v>0</v>
      </c>
      <c r="D9667">
        <v>0</v>
      </c>
      <c r="E9667">
        <v>0</v>
      </c>
    </row>
    <row r="9668" spans="1:5" x14ac:dyDescent="0.35">
      <c r="A9668">
        <v>0</v>
      </c>
      <c r="B9668">
        <v>0</v>
      </c>
      <c r="C9668">
        <v>0</v>
      </c>
      <c r="D9668">
        <v>0</v>
      </c>
      <c r="E9668">
        <v>0</v>
      </c>
    </row>
    <row r="9669" spans="1:5" x14ac:dyDescent="0.35">
      <c r="A9669">
        <v>0</v>
      </c>
      <c r="B9669">
        <v>0</v>
      </c>
      <c r="C9669">
        <v>0</v>
      </c>
      <c r="D9669">
        <v>0</v>
      </c>
      <c r="E9669">
        <v>0</v>
      </c>
    </row>
    <row r="9670" spans="1:5" x14ac:dyDescent="0.35">
      <c r="A9670">
        <v>0</v>
      </c>
      <c r="B9670">
        <v>0</v>
      </c>
      <c r="C9670">
        <v>0</v>
      </c>
      <c r="D9670">
        <v>0</v>
      </c>
      <c r="E9670">
        <v>0</v>
      </c>
    </row>
    <row r="9671" spans="1:5" x14ac:dyDescent="0.35">
      <c r="A9671">
        <v>0</v>
      </c>
      <c r="B9671">
        <v>0</v>
      </c>
      <c r="C9671">
        <v>0</v>
      </c>
      <c r="D9671">
        <v>0</v>
      </c>
      <c r="E9671">
        <v>0</v>
      </c>
    </row>
    <row r="9672" spans="1:5" x14ac:dyDescent="0.35">
      <c r="A9672">
        <v>0</v>
      </c>
      <c r="B9672">
        <v>0</v>
      </c>
      <c r="C9672">
        <v>0</v>
      </c>
      <c r="D9672">
        <v>0</v>
      </c>
      <c r="E9672">
        <v>0</v>
      </c>
    </row>
    <row r="9673" spans="1:5" x14ac:dyDescent="0.35">
      <c r="A9673">
        <v>0</v>
      </c>
      <c r="B9673">
        <v>0</v>
      </c>
      <c r="C9673">
        <v>0</v>
      </c>
      <c r="D9673">
        <v>0</v>
      </c>
      <c r="E9673">
        <v>0</v>
      </c>
    </row>
    <row r="9674" spans="1:5" x14ac:dyDescent="0.35">
      <c r="A9674">
        <v>0</v>
      </c>
      <c r="B9674">
        <v>0</v>
      </c>
      <c r="C9674">
        <v>0</v>
      </c>
      <c r="D9674">
        <v>0</v>
      </c>
      <c r="E9674">
        <v>0</v>
      </c>
    </row>
    <row r="9675" spans="1:5" x14ac:dyDescent="0.35">
      <c r="A9675">
        <v>0</v>
      </c>
      <c r="B9675">
        <v>0</v>
      </c>
      <c r="C9675">
        <v>0</v>
      </c>
      <c r="D9675">
        <v>0</v>
      </c>
      <c r="E9675">
        <v>0</v>
      </c>
    </row>
    <row r="9676" spans="1:5" x14ac:dyDescent="0.35">
      <c r="A9676">
        <v>0</v>
      </c>
      <c r="B9676">
        <v>0</v>
      </c>
      <c r="C9676">
        <v>0</v>
      </c>
      <c r="D9676">
        <v>0</v>
      </c>
      <c r="E9676">
        <v>0</v>
      </c>
    </row>
    <row r="9677" spans="1:5" x14ac:dyDescent="0.35">
      <c r="A9677">
        <v>0</v>
      </c>
      <c r="B9677">
        <v>0</v>
      </c>
      <c r="C9677">
        <v>0</v>
      </c>
      <c r="D9677">
        <v>0</v>
      </c>
      <c r="E9677">
        <v>0</v>
      </c>
    </row>
    <row r="9678" spans="1:5" x14ac:dyDescent="0.35">
      <c r="A9678">
        <v>0</v>
      </c>
      <c r="B9678">
        <v>0</v>
      </c>
      <c r="C9678">
        <v>0</v>
      </c>
      <c r="D9678">
        <v>0</v>
      </c>
      <c r="E9678">
        <v>0</v>
      </c>
    </row>
    <row r="9679" spans="1:5" x14ac:dyDescent="0.35">
      <c r="A9679">
        <v>0</v>
      </c>
      <c r="B9679">
        <v>0</v>
      </c>
      <c r="C9679">
        <v>0</v>
      </c>
      <c r="D9679">
        <v>0</v>
      </c>
      <c r="E9679">
        <v>0</v>
      </c>
    </row>
    <row r="9680" spans="1:5" x14ac:dyDescent="0.35">
      <c r="A9680">
        <v>0</v>
      </c>
      <c r="B9680">
        <v>0</v>
      </c>
      <c r="C9680">
        <v>0</v>
      </c>
      <c r="D9680">
        <v>0</v>
      </c>
      <c r="E9680">
        <v>0</v>
      </c>
    </row>
    <row r="9681" spans="1:5" x14ac:dyDescent="0.35">
      <c r="A9681">
        <v>0</v>
      </c>
      <c r="B9681">
        <v>0</v>
      </c>
      <c r="C9681">
        <v>0</v>
      </c>
      <c r="D9681">
        <v>0</v>
      </c>
      <c r="E9681">
        <v>0</v>
      </c>
    </row>
    <row r="9682" spans="1:5" x14ac:dyDescent="0.35">
      <c r="A9682">
        <v>0</v>
      </c>
      <c r="B9682">
        <v>0</v>
      </c>
      <c r="C9682">
        <v>0</v>
      </c>
      <c r="D9682">
        <v>0</v>
      </c>
      <c r="E9682">
        <v>0</v>
      </c>
    </row>
    <row r="9683" spans="1:5" x14ac:dyDescent="0.35">
      <c r="A9683">
        <v>0</v>
      </c>
      <c r="B9683">
        <v>0</v>
      </c>
      <c r="C9683">
        <v>0</v>
      </c>
      <c r="D9683">
        <v>0</v>
      </c>
      <c r="E9683">
        <v>0</v>
      </c>
    </row>
    <row r="9684" spans="1:5" x14ac:dyDescent="0.35">
      <c r="A9684">
        <v>0</v>
      </c>
      <c r="B9684">
        <v>0</v>
      </c>
      <c r="C9684">
        <v>0</v>
      </c>
      <c r="D9684">
        <v>0</v>
      </c>
      <c r="E9684">
        <v>0</v>
      </c>
    </row>
    <row r="9685" spans="1:5" x14ac:dyDescent="0.35">
      <c r="A9685">
        <v>0</v>
      </c>
      <c r="B9685">
        <v>0</v>
      </c>
      <c r="C9685">
        <v>0</v>
      </c>
      <c r="D9685">
        <v>0</v>
      </c>
      <c r="E9685">
        <v>0</v>
      </c>
    </row>
    <row r="9686" spans="1:5" x14ac:dyDescent="0.35">
      <c r="A9686">
        <v>0</v>
      </c>
      <c r="B9686">
        <v>0</v>
      </c>
      <c r="C9686">
        <v>0</v>
      </c>
      <c r="D9686">
        <v>0</v>
      </c>
      <c r="E9686">
        <v>0</v>
      </c>
    </row>
    <row r="9687" spans="1:5" x14ac:dyDescent="0.35">
      <c r="A9687">
        <v>0</v>
      </c>
      <c r="B9687">
        <v>0</v>
      </c>
      <c r="C9687">
        <v>0</v>
      </c>
      <c r="D9687">
        <v>0</v>
      </c>
      <c r="E9687">
        <v>0</v>
      </c>
    </row>
    <row r="9688" spans="1:5" x14ac:dyDescent="0.35">
      <c r="A9688">
        <v>0</v>
      </c>
      <c r="B9688">
        <v>0</v>
      </c>
      <c r="C9688">
        <v>0</v>
      </c>
      <c r="D9688">
        <v>0</v>
      </c>
      <c r="E9688">
        <v>0</v>
      </c>
    </row>
    <row r="9689" spans="1:5" x14ac:dyDescent="0.35">
      <c r="A9689">
        <v>0</v>
      </c>
      <c r="B9689">
        <v>0</v>
      </c>
      <c r="C9689">
        <v>0</v>
      </c>
      <c r="D9689">
        <v>0</v>
      </c>
      <c r="E9689">
        <v>0</v>
      </c>
    </row>
    <row r="9690" spans="1:5" x14ac:dyDescent="0.35">
      <c r="A9690">
        <v>0</v>
      </c>
      <c r="B9690">
        <v>0</v>
      </c>
      <c r="C9690">
        <v>0</v>
      </c>
      <c r="D9690">
        <v>0</v>
      </c>
      <c r="E9690">
        <v>0</v>
      </c>
    </row>
    <row r="9691" spans="1:5" x14ac:dyDescent="0.35">
      <c r="A9691">
        <v>0</v>
      </c>
      <c r="B9691">
        <v>0</v>
      </c>
      <c r="C9691">
        <v>0</v>
      </c>
      <c r="D9691">
        <v>0</v>
      </c>
      <c r="E9691">
        <v>0</v>
      </c>
    </row>
    <row r="9692" spans="1:5" x14ac:dyDescent="0.35">
      <c r="A9692">
        <v>0</v>
      </c>
      <c r="B9692">
        <v>0</v>
      </c>
      <c r="C9692">
        <v>0</v>
      </c>
      <c r="D9692">
        <v>0</v>
      </c>
      <c r="E9692">
        <v>0</v>
      </c>
    </row>
    <row r="9693" spans="1:5" x14ac:dyDescent="0.35">
      <c r="A9693">
        <v>0</v>
      </c>
      <c r="B9693">
        <v>0</v>
      </c>
      <c r="C9693">
        <v>0</v>
      </c>
      <c r="D9693">
        <v>0</v>
      </c>
      <c r="E9693">
        <v>0</v>
      </c>
    </row>
    <row r="9694" spans="1:5" x14ac:dyDescent="0.35">
      <c r="A9694">
        <v>0</v>
      </c>
      <c r="B9694">
        <v>0</v>
      </c>
      <c r="C9694">
        <v>0</v>
      </c>
      <c r="D9694">
        <v>0</v>
      </c>
      <c r="E9694">
        <v>0</v>
      </c>
    </row>
    <row r="9695" spans="1:5" x14ac:dyDescent="0.35">
      <c r="A9695">
        <v>0</v>
      </c>
      <c r="B9695">
        <v>0</v>
      </c>
      <c r="C9695">
        <v>0</v>
      </c>
      <c r="D9695">
        <v>0</v>
      </c>
      <c r="E9695">
        <v>0</v>
      </c>
    </row>
    <row r="9696" spans="1:5" x14ac:dyDescent="0.35">
      <c r="A9696">
        <v>0</v>
      </c>
      <c r="B9696">
        <v>0</v>
      </c>
      <c r="C9696">
        <v>0</v>
      </c>
      <c r="D9696">
        <v>0</v>
      </c>
      <c r="E9696">
        <v>0</v>
      </c>
    </row>
    <row r="9697" spans="1:5" x14ac:dyDescent="0.35">
      <c r="A9697">
        <v>0</v>
      </c>
      <c r="B9697">
        <v>0</v>
      </c>
      <c r="C9697">
        <v>0</v>
      </c>
      <c r="D9697">
        <v>0</v>
      </c>
      <c r="E9697">
        <v>0</v>
      </c>
    </row>
    <row r="9698" spans="1:5" x14ac:dyDescent="0.35">
      <c r="A9698">
        <v>0</v>
      </c>
      <c r="B9698">
        <v>0</v>
      </c>
      <c r="C9698">
        <v>0</v>
      </c>
      <c r="D9698">
        <v>0</v>
      </c>
      <c r="E9698">
        <v>0</v>
      </c>
    </row>
    <row r="9699" spans="1:5" x14ac:dyDescent="0.35">
      <c r="A9699">
        <v>0</v>
      </c>
      <c r="B9699">
        <v>0</v>
      </c>
      <c r="C9699">
        <v>0</v>
      </c>
      <c r="D9699">
        <v>0</v>
      </c>
      <c r="E9699">
        <v>0</v>
      </c>
    </row>
    <row r="9700" spans="1:5" x14ac:dyDescent="0.35">
      <c r="A9700">
        <v>0</v>
      </c>
      <c r="B9700">
        <v>0</v>
      </c>
      <c r="C9700">
        <v>0</v>
      </c>
      <c r="D9700">
        <v>0</v>
      </c>
      <c r="E9700">
        <v>0</v>
      </c>
    </row>
    <row r="9701" spans="1:5" x14ac:dyDescent="0.35">
      <c r="A9701">
        <v>0</v>
      </c>
      <c r="B9701">
        <v>0</v>
      </c>
      <c r="C9701">
        <v>0</v>
      </c>
      <c r="D9701">
        <v>0</v>
      </c>
      <c r="E9701">
        <v>0</v>
      </c>
    </row>
    <row r="9702" spans="1:5" x14ac:dyDescent="0.35">
      <c r="A9702">
        <v>0</v>
      </c>
      <c r="B9702">
        <v>0</v>
      </c>
      <c r="C9702">
        <v>0</v>
      </c>
      <c r="D9702">
        <v>0</v>
      </c>
      <c r="E9702">
        <v>0</v>
      </c>
    </row>
    <row r="9703" spans="1:5" x14ac:dyDescent="0.35">
      <c r="A9703">
        <v>0</v>
      </c>
      <c r="B9703">
        <v>0</v>
      </c>
      <c r="C9703">
        <v>0</v>
      </c>
      <c r="D9703">
        <v>0</v>
      </c>
      <c r="E9703">
        <v>0</v>
      </c>
    </row>
    <row r="9704" spans="1:5" x14ac:dyDescent="0.35">
      <c r="A9704">
        <v>0</v>
      </c>
      <c r="B9704">
        <v>0</v>
      </c>
      <c r="C9704">
        <v>0</v>
      </c>
      <c r="D9704">
        <v>0</v>
      </c>
      <c r="E9704">
        <v>0</v>
      </c>
    </row>
    <row r="9705" spans="1:5" x14ac:dyDescent="0.35">
      <c r="A9705">
        <v>0</v>
      </c>
      <c r="B9705">
        <v>0</v>
      </c>
      <c r="C9705">
        <v>0</v>
      </c>
      <c r="D9705">
        <v>0</v>
      </c>
      <c r="E9705">
        <v>0</v>
      </c>
    </row>
    <row r="9706" spans="1:5" x14ac:dyDescent="0.35">
      <c r="A9706">
        <v>0</v>
      </c>
      <c r="B9706">
        <v>0</v>
      </c>
      <c r="C9706">
        <v>0</v>
      </c>
      <c r="D9706">
        <v>0</v>
      </c>
      <c r="E9706">
        <v>0</v>
      </c>
    </row>
    <row r="9707" spans="1:5" x14ac:dyDescent="0.35">
      <c r="A9707">
        <v>0</v>
      </c>
      <c r="B9707">
        <v>0</v>
      </c>
      <c r="C9707">
        <v>0</v>
      </c>
      <c r="D9707">
        <v>0</v>
      </c>
      <c r="E9707">
        <v>0</v>
      </c>
    </row>
    <row r="9708" spans="1:5" x14ac:dyDescent="0.35">
      <c r="A9708">
        <v>0</v>
      </c>
      <c r="B9708">
        <v>0</v>
      </c>
      <c r="C9708">
        <v>0</v>
      </c>
      <c r="D9708">
        <v>0</v>
      </c>
      <c r="E9708">
        <v>0</v>
      </c>
    </row>
    <row r="9709" spans="1:5" x14ac:dyDescent="0.35">
      <c r="A9709">
        <v>0</v>
      </c>
      <c r="B9709">
        <v>0</v>
      </c>
      <c r="C9709">
        <v>0</v>
      </c>
      <c r="D9709">
        <v>0</v>
      </c>
      <c r="E9709">
        <v>0</v>
      </c>
    </row>
    <row r="9710" spans="1:5" x14ac:dyDescent="0.35">
      <c r="A9710">
        <v>0</v>
      </c>
      <c r="B9710">
        <v>0</v>
      </c>
      <c r="C9710">
        <v>0</v>
      </c>
      <c r="D9710">
        <v>0</v>
      </c>
      <c r="E9710">
        <v>0</v>
      </c>
    </row>
    <row r="9711" spans="1:5" x14ac:dyDescent="0.35">
      <c r="A9711">
        <v>0</v>
      </c>
      <c r="B9711">
        <v>0</v>
      </c>
      <c r="C9711">
        <v>0</v>
      </c>
      <c r="D9711">
        <v>0</v>
      </c>
      <c r="E9711">
        <v>0</v>
      </c>
    </row>
    <row r="9712" spans="1:5" x14ac:dyDescent="0.35">
      <c r="A9712">
        <v>0</v>
      </c>
      <c r="B9712">
        <v>0</v>
      </c>
      <c r="C9712">
        <v>0</v>
      </c>
      <c r="D9712">
        <v>0</v>
      </c>
      <c r="E9712">
        <v>0</v>
      </c>
    </row>
    <row r="9713" spans="1:5" x14ac:dyDescent="0.35">
      <c r="A9713">
        <v>0</v>
      </c>
      <c r="B9713">
        <v>0</v>
      </c>
      <c r="C9713">
        <v>0</v>
      </c>
      <c r="D9713">
        <v>0</v>
      </c>
      <c r="E9713">
        <v>0</v>
      </c>
    </row>
    <row r="9714" spans="1:5" x14ac:dyDescent="0.35">
      <c r="A9714">
        <v>0</v>
      </c>
      <c r="B9714">
        <v>0</v>
      </c>
      <c r="C9714">
        <v>0</v>
      </c>
      <c r="D9714">
        <v>0</v>
      </c>
      <c r="E9714">
        <v>0</v>
      </c>
    </row>
    <row r="9715" spans="1:5" x14ac:dyDescent="0.35">
      <c r="A9715">
        <v>0</v>
      </c>
      <c r="B9715">
        <v>0</v>
      </c>
      <c r="C9715">
        <v>0</v>
      </c>
      <c r="D9715">
        <v>0</v>
      </c>
      <c r="E9715">
        <v>0</v>
      </c>
    </row>
    <row r="9716" spans="1:5" x14ac:dyDescent="0.35">
      <c r="A9716">
        <v>0</v>
      </c>
      <c r="B9716">
        <v>0</v>
      </c>
      <c r="C9716">
        <v>0</v>
      </c>
      <c r="D9716">
        <v>0</v>
      </c>
      <c r="E9716">
        <v>0</v>
      </c>
    </row>
    <row r="9717" spans="1:5" x14ac:dyDescent="0.35">
      <c r="A9717">
        <v>0</v>
      </c>
      <c r="B9717">
        <v>0</v>
      </c>
      <c r="C9717">
        <v>0</v>
      </c>
      <c r="D9717">
        <v>0</v>
      </c>
      <c r="E9717">
        <v>0</v>
      </c>
    </row>
    <row r="9718" spans="1:5" x14ac:dyDescent="0.35">
      <c r="A9718">
        <v>0</v>
      </c>
      <c r="B9718">
        <v>0</v>
      </c>
      <c r="C9718">
        <v>0</v>
      </c>
      <c r="D9718">
        <v>0</v>
      </c>
      <c r="E9718">
        <v>0</v>
      </c>
    </row>
    <row r="9719" spans="1:5" x14ac:dyDescent="0.35">
      <c r="A9719">
        <v>0</v>
      </c>
      <c r="B9719">
        <v>0</v>
      </c>
      <c r="C9719">
        <v>0</v>
      </c>
      <c r="D9719">
        <v>0</v>
      </c>
      <c r="E9719">
        <v>0</v>
      </c>
    </row>
    <row r="9720" spans="1:5" x14ac:dyDescent="0.35">
      <c r="A9720">
        <v>0</v>
      </c>
      <c r="B9720">
        <v>0</v>
      </c>
      <c r="C9720">
        <v>0</v>
      </c>
      <c r="D9720">
        <v>0</v>
      </c>
      <c r="E9720">
        <v>0</v>
      </c>
    </row>
    <row r="9721" spans="1:5" x14ac:dyDescent="0.35">
      <c r="A9721">
        <v>0</v>
      </c>
      <c r="B9721">
        <v>0</v>
      </c>
      <c r="C9721">
        <v>0</v>
      </c>
      <c r="D9721">
        <v>0</v>
      </c>
      <c r="E9721">
        <v>0</v>
      </c>
    </row>
    <row r="9722" spans="1:5" x14ac:dyDescent="0.35">
      <c r="A9722">
        <v>0</v>
      </c>
      <c r="B9722">
        <v>0</v>
      </c>
      <c r="C9722">
        <v>0</v>
      </c>
      <c r="D9722">
        <v>0</v>
      </c>
      <c r="E9722">
        <v>0</v>
      </c>
    </row>
    <row r="9723" spans="1:5" x14ac:dyDescent="0.35">
      <c r="A9723">
        <v>0</v>
      </c>
      <c r="B9723">
        <v>0</v>
      </c>
      <c r="C9723">
        <v>0</v>
      </c>
      <c r="D9723">
        <v>0</v>
      </c>
      <c r="E9723">
        <v>0</v>
      </c>
    </row>
    <row r="9724" spans="1:5" x14ac:dyDescent="0.35">
      <c r="A9724">
        <v>0</v>
      </c>
      <c r="B9724">
        <v>0</v>
      </c>
      <c r="C9724">
        <v>0</v>
      </c>
      <c r="D9724">
        <v>0</v>
      </c>
      <c r="E9724">
        <v>0</v>
      </c>
    </row>
    <row r="9725" spans="1:5" x14ac:dyDescent="0.35">
      <c r="A9725">
        <v>0</v>
      </c>
      <c r="B9725">
        <v>0</v>
      </c>
      <c r="C9725">
        <v>0</v>
      </c>
      <c r="D9725">
        <v>0</v>
      </c>
      <c r="E9725">
        <v>0</v>
      </c>
    </row>
    <row r="9726" spans="1:5" x14ac:dyDescent="0.35">
      <c r="A9726">
        <v>0</v>
      </c>
      <c r="B9726">
        <v>0</v>
      </c>
      <c r="C9726">
        <v>0</v>
      </c>
      <c r="D9726">
        <v>0</v>
      </c>
      <c r="E9726">
        <v>0</v>
      </c>
    </row>
    <row r="9727" spans="1:5" x14ac:dyDescent="0.35">
      <c r="A9727">
        <v>0</v>
      </c>
      <c r="B9727">
        <v>0</v>
      </c>
      <c r="C9727">
        <v>0</v>
      </c>
      <c r="D9727">
        <v>0</v>
      </c>
      <c r="E9727">
        <v>0</v>
      </c>
    </row>
    <row r="9728" spans="1:5" x14ac:dyDescent="0.35">
      <c r="A9728">
        <v>0</v>
      </c>
      <c r="B9728">
        <v>0</v>
      </c>
      <c r="C9728">
        <v>0</v>
      </c>
      <c r="D9728">
        <v>0</v>
      </c>
      <c r="E9728">
        <v>0</v>
      </c>
    </row>
    <row r="9729" spans="1:5" x14ac:dyDescent="0.35">
      <c r="A9729">
        <v>0</v>
      </c>
      <c r="B9729">
        <v>0</v>
      </c>
      <c r="C9729">
        <v>0</v>
      </c>
      <c r="D9729">
        <v>0</v>
      </c>
      <c r="E9729">
        <v>0</v>
      </c>
    </row>
    <row r="9730" spans="1:5" x14ac:dyDescent="0.35">
      <c r="A9730">
        <v>0</v>
      </c>
      <c r="B9730">
        <v>0</v>
      </c>
      <c r="C9730">
        <v>0</v>
      </c>
      <c r="D9730">
        <v>0</v>
      </c>
      <c r="E9730">
        <v>0</v>
      </c>
    </row>
    <row r="9731" spans="1:5" x14ac:dyDescent="0.35">
      <c r="A9731">
        <v>0</v>
      </c>
      <c r="B9731">
        <v>0</v>
      </c>
      <c r="C9731">
        <v>0</v>
      </c>
      <c r="D9731">
        <v>0</v>
      </c>
      <c r="E9731">
        <v>0</v>
      </c>
    </row>
    <row r="9732" spans="1:5" x14ac:dyDescent="0.35">
      <c r="A9732">
        <v>0</v>
      </c>
      <c r="B9732">
        <v>0</v>
      </c>
      <c r="C9732">
        <v>0</v>
      </c>
      <c r="D9732">
        <v>0</v>
      </c>
      <c r="E9732">
        <v>0</v>
      </c>
    </row>
    <row r="9733" spans="1:5" x14ac:dyDescent="0.35">
      <c r="A9733">
        <v>0</v>
      </c>
      <c r="B9733">
        <v>0</v>
      </c>
      <c r="C9733">
        <v>0</v>
      </c>
      <c r="D9733">
        <v>0</v>
      </c>
      <c r="E9733">
        <v>0</v>
      </c>
    </row>
    <row r="9734" spans="1:5" x14ac:dyDescent="0.35">
      <c r="A9734">
        <v>0</v>
      </c>
      <c r="B9734">
        <v>0</v>
      </c>
      <c r="C9734">
        <v>0</v>
      </c>
      <c r="D9734">
        <v>0</v>
      </c>
      <c r="E9734">
        <v>0</v>
      </c>
    </row>
    <row r="9735" spans="1:5" x14ac:dyDescent="0.35">
      <c r="A9735">
        <v>0</v>
      </c>
      <c r="B9735">
        <v>0</v>
      </c>
      <c r="C9735">
        <v>0</v>
      </c>
      <c r="D9735">
        <v>0</v>
      </c>
      <c r="E9735">
        <v>0</v>
      </c>
    </row>
    <row r="9736" spans="1:5" x14ac:dyDescent="0.35">
      <c r="A9736">
        <v>0</v>
      </c>
      <c r="B9736">
        <v>0</v>
      </c>
      <c r="C9736">
        <v>0</v>
      </c>
      <c r="D9736">
        <v>0</v>
      </c>
      <c r="E9736">
        <v>0</v>
      </c>
    </row>
    <row r="9737" spans="1:5" x14ac:dyDescent="0.35">
      <c r="A9737">
        <v>0</v>
      </c>
      <c r="B9737">
        <v>0</v>
      </c>
      <c r="C9737">
        <v>0</v>
      </c>
      <c r="D9737">
        <v>0</v>
      </c>
      <c r="E9737">
        <v>0</v>
      </c>
    </row>
    <row r="9738" spans="1:5" x14ac:dyDescent="0.35">
      <c r="A9738">
        <v>0</v>
      </c>
      <c r="B9738">
        <v>0</v>
      </c>
      <c r="C9738">
        <v>0</v>
      </c>
      <c r="D9738">
        <v>0</v>
      </c>
      <c r="E9738">
        <v>0</v>
      </c>
    </row>
    <row r="9739" spans="1:5" x14ac:dyDescent="0.35">
      <c r="A9739">
        <v>0</v>
      </c>
      <c r="B9739">
        <v>0</v>
      </c>
      <c r="C9739">
        <v>0</v>
      </c>
      <c r="D9739">
        <v>0</v>
      </c>
      <c r="E9739">
        <v>0</v>
      </c>
    </row>
    <row r="9740" spans="1:5" x14ac:dyDescent="0.35">
      <c r="A9740">
        <v>0</v>
      </c>
      <c r="B9740">
        <v>0</v>
      </c>
      <c r="C9740">
        <v>0</v>
      </c>
      <c r="D9740">
        <v>0</v>
      </c>
      <c r="E9740">
        <v>0</v>
      </c>
    </row>
    <row r="9741" spans="1:5" x14ac:dyDescent="0.35">
      <c r="A9741">
        <v>0</v>
      </c>
      <c r="B9741">
        <v>0</v>
      </c>
      <c r="C9741">
        <v>0</v>
      </c>
      <c r="D9741">
        <v>0</v>
      </c>
      <c r="E9741">
        <v>0</v>
      </c>
    </row>
    <row r="9742" spans="1:5" x14ac:dyDescent="0.35">
      <c r="A9742">
        <v>0</v>
      </c>
      <c r="B9742">
        <v>0</v>
      </c>
      <c r="C9742">
        <v>0</v>
      </c>
      <c r="D9742">
        <v>0</v>
      </c>
      <c r="E9742">
        <v>0</v>
      </c>
    </row>
    <row r="9743" spans="1:5" x14ac:dyDescent="0.35">
      <c r="A9743">
        <v>0</v>
      </c>
      <c r="B9743">
        <v>0</v>
      </c>
      <c r="C9743">
        <v>0</v>
      </c>
      <c r="D9743">
        <v>0</v>
      </c>
      <c r="E9743">
        <v>0</v>
      </c>
    </row>
    <row r="9744" spans="1:5" x14ac:dyDescent="0.35">
      <c r="A9744">
        <v>0</v>
      </c>
      <c r="B9744">
        <v>0</v>
      </c>
      <c r="C9744">
        <v>0</v>
      </c>
      <c r="D9744">
        <v>0</v>
      </c>
      <c r="E9744">
        <v>0</v>
      </c>
    </row>
    <row r="9745" spans="1:5" x14ac:dyDescent="0.35">
      <c r="A9745">
        <v>0</v>
      </c>
      <c r="B9745">
        <v>0</v>
      </c>
      <c r="C9745">
        <v>0</v>
      </c>
      <c r="D9745">
        <v>0</v>
      </c>
      <c r="E9745">
        <v>0</v>
      </c>
    </row>
    <row r="9746" spans="1:5" x14ac:dyDescent="0.35">
      <c r="A9746">
        <v>0</v>
      </c>
      <c r="B9746">
        <v>0</v>
      </c>
      <c r="C9746">
        <v>0</v>
      </c>
      <c r="D9746">
        <v>0</v>
      </c>
      <c r="E9746">
        <v>0</v>
      </c>
    </row>
    <row r="9747" spans="1:5" x14ac:dyDescent="0.35">
      <c r="A9747">
        <v>0</v>
      </c>
      <c r="B9747">
        <v>0</v>
      </c>
      <c r="C9747">
        <v>0</v>
      </c>
      <c r="D9747">
        <v>0</v>
      </c>
      <c r="E9747">
        <v>0</v>
      </c>
    </row>
    <row r="9748" spans="1:5" x14ac:dyDescent="0.35">
      <c r="A9748">
        <v>0</v>
      </c>
      <c r="B9748">
        <v>0</v>
      </c>
      <c r="C9748">
        <v>0</v>
      </c>
      <c r="D9748">
        <v>0</v>
      </c>
      <c r="E9748">
        <v>0</v>
      </c>
    </row>
    <row r="9749" spans="1:5" x14ac:dyDescent="0.35">
      <c r="A9749">
        <v>0</v>
      </c>
      <c r="B9749">
        <v>0</v>
      </c>
      <c r="C9749">
        <v>0</v>
      </c>
      <c r="D9749">
        <v>0</v>
      </c>
      <c r="E9749">
        <v>0</v>
      </c>
    </row>
    <row r="9750" spans="1:5" x14ac:dyDescent="0.35">
      <c r="A9750">
        <v>0</v>
      </c>
      <c r="B9750">
        <v>0</v>
      </c>
      <c r="C9750">
        <v>0</v>
      </c>
      <c r="D9750">
        <v>0</v>
      </c>
      <c r="E9750">
        <v>0</v>
      </c>
    </row>
    <row r="9751" spans="1:5" x14ac:dyDescent="0.35">
      <c r="A9751">
        <v>0</v>
      </c>
      <c r="B9751">
        <v>0</v>
      </c>
      <c r="C9751">
        <v>0</v>
      </c>
      <c r="D9751">
        <v>0</v>
      </c>
      <c r="E9751">
        <v>0</v>
      </c>
    </row>
    <row r="9752" spans="1:5" x14ac:dyDescent="0.35">
      <c r="A9752">
        <v>0</v>
      </c>
      <c r="B9752">
        <v>0</v>
      </c>
      <c r="C9752">
        <v>0</v>
      </c>
      <c r="D9752">
        <v>0</v>
      </c>
      <c r="E9752">
        <v>0</v>
      </c>
    </row>
    <row r="9753" spans="1:5" x14ac:dyDescent="0.35">
      <c r="A9753">
        <v>0</v>
      </c>
      <c r="B9753">
        <v>0</v>
      </c>
      <c r="C9753">
        <v>0</v>
      </c>
      <c r="D9753">
        <v>0</v>
      </c>
      <c r="E9753">
        <v>0</v>
      </c>
    </row>
    <row r="9754" spans="1:5" x14ac:dyDescent="0.35">
      <c r="A9754">
        <v>0</v>
      </c>
      <c r="B9754">
        <v>0</v>
      </c>
      <c r="C9754">
        <v>0</v>
      </c>
      <c r="D9754">
        <v>0</v>
      </c>
      <c r="E9754">
        <v>0</v>
      </c>
    </row>
    <row r="9755" spans="1:5" x14ac:dyDescent="0.35">
      <c r="A9755">
        <v>0</v>
      </c>
      <c r="B9755">
        <v>0</v>
      </c>
      <c r="C9755">
        <v>0</v>
      </c>
      <c r="D9755">
        <v>0</v>
      </c>
      <c r="E9755">
        <v>0</v>
      </c>
    </row>
    <row r="9756" spans="1:5" x14ac:dyDescent="0.35">
      <c r="A9756">
        <v>0</v>
      </c>
      <c r="B9756">
        <v>0</v>
      </c>
      <c r="C9756">
        <v>0</v>
      </c>
      <c r="D9756">
        <v>0</v>
      </c>
      <c r="E9756">
        <v>0</v>
      </c>
    </row>
    <row r="9757" spans="1:5" x14ac:dyDescent="0.35">
      <c r="A9757">
        <v>0</v>
      </c>
      <c r="B9757">
        <v>0</v>
      </c>
      <c r="C9757">
        <v>0</v>
      </c>
      <c r="D9757">
        <v>0</v>
      </c>
      <c r="E9757">
        <v>0</v>
      </c>
    </row>
    <row r="9758" spans="1:5" x14ac:dyDescent="0.35">
      <c r="A9758">
        <v>0</v>
      </c>
      <c r="B9758">
        <v>0</v>
      </c>
      <c r="C9758">
        <v>0</v>
      </c>
      <c r="D9758">
        <v>0</v>
      </c>
      <c r="E9758">
        <v>0</v>
      </c>
    </row>
    <row r="9759" spans="1:5" x14ac:dyDescent="0.35">
      <c r="A9759">
        <v>0</v>
      </c>
      <c r="B9759">
        <v>0</v>
      </c>
      <c r="C9759">
        <v>0</v>
      </c>
      <c r="D9759">
        <v>0</v>
      </c>
      <c r="E9759">
        <v>0</v>
      </c>
    </row>
    <row r="9760" spans="1:5" x14ac:dyDescent="0.35">
      <c r="A9760">
        <v>0</v>
      </c>
      <c r="B9760">
        <v>0</v>
      </c>
      <c r="C9760">
        <v>0</v>
      </c>
      <c r="D9760">
        <v>0</v>
      </c>
      <c r="E9760">
        <v>0</v>
      </c>
    </row>
    <row r="9761" spans="1:5" x14ac:dyDescent="0.35">
      <c r="A9761">
        <v>0</v>
      </c>
      <c r="B9761">
        <v>0</v>
      </c>
      <c r="C9761">
        <v>0</v>
      </c>
      <c r="D9761">
        <v>0</v>
      </c>
      <c r="E9761">
        <v>0</v>
      </c>
    </row>
    <row r="9762" spans="1:5" x14ac:dyDescent="0.35">
      <c r="A9762">
        <v>0</v>
      </c>
      <c r="B9762">
        <v>0</v>
      </c>
      <c r="C9762">
        <v>0</v>
      </c>
      <c r="D9762">
        <v>0</v>
      </c>
      <c r="E9762">
        <v>0</v>
      </c>
    </row>
    <row r="9763" spans="1:5" x14ac:dyDescent="0.35">
      <c r="A9763">
        <v>0</v>
      </c>
      <c r="B9763">
        <v>0</v>
      </c>
      <c r="C9763">
        <v>0</v>
      </c>
      <c r="D9763">
        <v>0</v>
      </c>
      <c r="E9763">
        <v>0</v>
      </c>
    </row>
    <row r="9764" spans="1:5" x14ac:dyDescent="0.35">
      <c r="A9764">
        <v>0</v>
      </c>
      <c r="B9764">
        <v>0</v>
      </c>
      <c r="C9764">
        <v>0</v>
      </c>
      <c r="D9764">
        <v>0</v>
      </c>
      <c r="E9764">
        <v>0</v>
      </c>
    </row>
    <row r="9765" spans="1:5" x14ac:dyDescent="0.35">
      <c r="A9765">
        <v>0</v>
      </c>
      <c r="B9765">
        <v>0</v>
      </c>
      <c r="C9765">
        <v>0</v>
      </c>
      <c r="D9765">
        <v>0</v>
      </c>
      <c r="E9765">
        <v>0</v>
      </c>
    </row>
    <row r="9766" spans="1:5" x14ac:dyDescent="0.35">
      <c r="A9766">
        <v>0</v>
      </c>
      <c r="B9766">
        <v>0</v>
      </c>
      <c r="C9766">
        <v>0</v>
      </c>
      <c r="D9766">
        <v>0</v>
      </c>
      <c r="E9766">
        <v>0</v>
      </c>
    </row>
    <row r="9767" spans="1:5" x14ac:dyDescent="0.35">
      <c r="A9767">
        <v>0</v>
      </c>
      <c r="B9767">
        <v>0</v>
      </c>
      <c r="C9767">
        <v>0</v>
      </c>
      <c r="D9767">
        <v>0</v>
      </c>
      <c r="E9767">
        <v>0</v>
      </c>
    </row>
    <row r="9768" spans="1:5" x14ac:dyDescent="0.35">
      <c r="A9768">
        <v>0</v>
      </c>
      <c r="B9768">
        <v>0</v>
      </c>
      <c r="C9768">
        <v>0</v>
      </c>
      <c r="D9768">
        <v>0</v>
      </c>
      <c r="E9768">
        <v>0</v>
      </c>
    </row>
    <row r="9769" spans="1:5" x14ac:dyDescent="0.35">
      <c r="A9769">
        <v>0</v>
      </c>
      <c r="B9769">
        <v>0</v>
      </c>
      <c r="C9769">
        <v>0</v>
      </c>
      <c r="D9769">
        <v>0</v>
      </c>
      <c r="E9769">
        <v>0</v>
      </c>
    </row>
    <row r="9770" spans="1:5" x14ac:dyDescent="0.35">
      <c r="A9770">
        <v>0</v>
      </c>
      <c r="B9770">
        <v>0</v>
      </c>
      <c r="C9770">
        <v>0</v>
      </c>
      <c r="D9770">
        <v>0</v>
      </c>
      <c r="E9770">
        <v>0</v>
      </c>
    </row>
    <row r="9771" spans="1:5" x14ac:dyDescent="0.35">
      <c r="A9771">
        <v>0</v>
      </c>
      <c r="B9771">
        <v>0</v>
      </c>
      <c r="C9771">
        <v>0</v>
      </c>
      <c r="D9771">
        <v>0</v>
      </c>
      <c r="E9771">
        <v>0</v>
      </c>
    </row>
    <row r="9772" spans="1:5" x14ac:dyDescent="0.35">
      <c r="A9772">
        <v>0</v>
      </c>
      <c r="B9772">
        <v>0</v>
      </c>
      <c r="C9772">
        <v>0</v>
      </c>
      <c r="D9772">
        <v>0</v>
      </c>
      <c r="E9772">
        <v>0</v>
      </c>
    </row>
    <row r="9773" spans="1:5" x14ac:dyDescent="0.35">
      <c r="A9773">
        <v>0</v>
      </c>
      <c r="B9773">
        <v>0</v>
      </c>
      <c r="C9773">
        <v>0</v>
      </c>
      <c r="D9773">
        <v>0</v>
      </c>
      <c r="E9773">
        <v>0</v>
      </c>
    </row>
    <row r="9774" spans="1:5" x14ac:dyDescent="0.35">
      <c r="A9774">
        <v>0</v>
      </c>
      <c r="B9774">
        <v>0</v>
      </c>
      <c r="C9774">
        <v>0</v>
      </c>
      <c r="D9774">
        <v>0</v>
      </c>
      <c r="E9774">
        <v>0</v>
      </c>
    </row>
    <row r="9775" spans="1:5" x14ac:dyDescent="0.35">
      <c r="A9775">
        <v>0</v>
      </c>
      <c r="B9775">
        <v>0</v>
      </c>
      <c r="C9775">
        <v>0</v>
      </c>
      <c r="D9775">
        <v>0</v>
      </c>
      <c r="E9775">
        <v>0</v>
      </c>
    </row>
    <row r="9776" spans="1:5" x14ac:dyDescent="0.35">
      <c r="A9776">
        <v>0</v>
      </c>
      <c r="B9776">
        <v>0</v>
      </c>
      <c r="C9776">
        <v>0</v>
      </c>
      <c r="D9776">
        <v>0</v>
      </c>
      <c r="E9776">
        <v>0</v>
      </c>
    </row>
    <row r="9777" spans="1:5" x14ac:dyDescent="0.35">
      <c r="A9777">
        <v>0</v>
      </c>
      <c r="B9777">
        <v>0</v>
      </c>
      <c r="C9777">
        <v>0</v>
      </c>
      <c r="D9777">
        <v>0</v>
      </c>
      <c r="E9777">
        <v>0</v>
      </c>
    </row>
    <row r="9778" spans="1:5" x14ac:dyDescent="0.35">
      <c r="A9778">
        <v>0</v>
      </c>
      <c r="B9778">
        <v>0</v>
      </c>
      <c r="C9778">
        <v>0</v>
      </c>
      <c r="D9778">
        <v>0</v>
      </c>
      <c r="E9778">
        <v>0</v>
      </c>
    </row>
    <row r="9779" spans="1:5" x14ac:dyDescent="0.35">
      <c r="A9779">
        <v>0</v>
      </c>
      <c r="B9779">
        <v>0</v>
      </c>
      <c r="C9779">
        <v>0</v>
      </c>
      <c r="D9779">
        <v>0</v>
      </c>
      <c r="E9779">
        <v>0</v>
      </c>
    </row>
    <row r="9780" spans="1:5" x14ac:dyDescent="0.35">
      <c r="A9780">
        <v>0</v>
      </c>
      <c r="B9780">
        <v>0</v>
      </c>
      <c r="C9780">
        <v>0</v>
      </c>
      <c r="D9780">
        <v>0</v>
      </c>
      <c r="E9780">
        <v>0</v>
      </c>
    </row>
    <row r="9781" spans="1:5" x14ac:dyDescent="0.35">
      <c r="A9781">
        <v>0</v>
      </c>
      <c r="B9781">
        <v>0</v>
      </c>
      <c r="C9781">
        <v>0</v>
      </c>
      <c r="D9781">
        <v>0</v>
      </c>
      <c r="E9781">
        <v>0</v>
      </c>
    </row>
    <row r="9782" spans="1:5" x14ac:dyDescent="0.35">
      <c r="A9782">
        <v>0</v>
      </c>
      <c r="B9782">
        <v>0</v>
      </c>
      <c r="C9782">
        <v>0</v>
      </c>
      <c r="D9782">
        <v>0</v>
      </c>
      <c r="E9782">
        <v>0</v>
      </c>
    </row>
    <row r="9783" spans="1:5" x14ac:dyDescent="0.35">
      <c r="A9783">
        <v>0</v>
      </c>
      <c r="B9783">
        <v>0</v>
      </c>
      <c r="C9783">
        <v>0</v>
      </c>
      <c r="D9783">
        <v>0</v>
      </c>
      <c r="E9783">
        <v>0</v>
      </c>
    </row>
    <row r="9784" spans="1:5" x14ac:dyDescent="0.35">
      <c r="A9784">
        <v>0</v>
      </c>
      <c r="B9784">
        <v>0</v>
      </c>
      <c r="C9784">
        <v>0</v>
      </c>
      <c r="D9784">
        <v>0</v>
      </c>
      <c r="E9784">
        <v>0</v>
      </c>
    </row>
    <row r="9785" spans="1:5" x14ac:dyDescent="0.35">
      <c r="A9785">
        <v>0</v>
      </c>
      <c r="B9785">
        <v>0</v>
      </c>
      <c r="C9785">
        <v>0</v>
      </c>
      <c r="D9785">
        <v>0</v>
      </c>
      <c r="E9785">
        <v>0</v>
      </c>
    </row>
    <row r="9786" spans="1:5" x14ac:dyDescent="0.35">
      <c r="A9786">
        <v>0</v>
      </c>
      <c r="B9786">
        <v>0</v>
      </c>
      <c r="C9786">
        <v>0</v>
      </c>
      <c r="D9786">
        <v>0</v>
      </c>
      <c r="E9786">
        <v>0</v>
      </c>
    </row>
    <row r="9787" spans="1:5" x14ac:dyDescent="0.35">
      <c r="A9787">
        <v>0</v>
      </c>
      <c r="B9787">
        <v>0</v>
      </c>
      <c r="C9787">
        <v>0</v>
      </c>
      <c r="D9787">
        <v>0</v>
      </c>
      <c r="E9787">
        <v>0</v>
      </c>
    </row>
    <row r="9788" spans="1:5" x14ac:dyDescent="0.35">
      <c r="A9788">
        <v>0</v>
      </c>
      <c r="B9788">
        <v>0</v>
      </c>
      <c r="C9788">
        <v>0</v>
      </c>
      <c r="D9788">
        <v>0</v>
      </c>
      <c r="E9788">
        <v>0</v>
      </c>
    </row>
    <row r="9789" spans="1:5" x14ac:dyDescent="0.35">
      <c r="A9789">
        <v>0</v>
      </c>
      <c r="B9789">
        <v>0</v>
      </c>
      <c r="C9789">
        <v>0</v>
      </c>
      <c r="D9789">
        <v>0</v>
      </c>
      <c r="E9789">
        <v>0</v>
      </c>
    </row>
    <row r="9790" spans="1:5" x14ac:dyDescent="0.35">
      <c r="A9790">
        <v>0</v>
      </c>
      <c r="B9790">
        <v>0</v>
      </c>
      <c r="C9790">
        <v>0</v>
      </c>
      <c r="D9790">
        <v>0</v>
      </c>
      <c r="E9790">
        <v>0</v>
      </c>
    </row>
    <row r="9791" spans="1:5" x14ac:dyDescent="0.35">
      <c r="A9791">
        <v>0</v>
      </c>
      <c r="B9791">
        <v>0</v>
      </c>
      <c r="C9791">
        <v>0</v>
      </c>
      <c r="D9791">
        <v>0</v>
      </c>
      <c r="E9791">
        <v>0</v>
      </c>
    </row>
    <row r="9792" spans="1:5" x14ac:dyDescent="0.35">
      <c r="A9792">
        <v>0</v>
      </c>
      <c r="B9792">
        <v>0</v>
      </c>
      <c r="C9792">
        <v>0</v>
      </c>
      <c r="D9792">
        <v>0</v>
      </c>
      <c r="E9792">
        <v>0</v>
      </c>
    </row>
    <row r="9793" spans="1:5" x14ac:dyDescent="0.35">
      <c r="A9793">
        <v>0</v>
      </c>
      <c r="B9793">
        <v>0</v>
      </c>
      <c r="C9793">
        <v>0</v>
      </c>
      <c r="D9793">
        <v>0</v>
      </c>
      <c r="E9793">
        <v>0</v>
      </c>
    </row>
    <row r="9794" spans="1:5" x14ac:dyDescent="0.35">
      <c r="A9794">
        <v>0</v>
      </c>
      <c r="B9794">
        <v>0</v>
      </c>
      <c r="C9794">
        <v>0</v>
      </c>
      <c r="D9794">
        <v>0</v>
      </c>
      <c r="E9794">
        <v>0</v>
      </c>
    </row>
    <row r="9795" spans="1:5" x14ac:dyDescent="0.35">
      <c r="A9795">
        <v>0</v>
      </c>
      <c r="B9795">
        <v>0</v>
      </c>
      <c r="C9795">
        <v>0</v>
      </c>
      <c r="D9795">
        <v>0</v>
      </c>
      <c r="E9795">
        <v>0</v>
      </c>
    </row>
    <row r="9796" spans="1:5" x14ac:dyDescent="0.35">
      <c r="A9796">
        <v>0</v>
      </c>
      <c r="B9796">
        <v>0</v>
      </c>
      <c r="C9796">
        <v>0</v>
      </c>
      <c r="D9796">
        <v>0</v>
      </c>
      <c r="E9796">
        <v>0</v>
      </c>
    </row>
    <row r="9797" spans="1:5" x14ac:dyDescent="0.35">
      <c r="A9797">
        <v>0</v>
      </c>
      <c r="B9797">
        <v>0</v>
      </c>
      <c r="C9797">
        <v>0</v>
      </c>
      <c r="D9797">
        <v>0</v>
      </c>
      <c r="E9797">
        <v>0</v>
      </c>
    </row>
    <row r="9798" spans="1:5" x14ac:dyDescent="0.35">
      <c r="A9798">
        <v>0</v>
      </c>
      <c r="B9798">
        <v>0</v>
      </c>
      <c r="C9798">
        <v>0</v>
      </c>
      <c r="D9798">
        <v>0</v>
      </c>
      <c r="E9798">
        <v>0</v>
      </c>
    </row>
    <row r="9799" spans="1:5" x14ac:dyDescent="0.35">
      <c r="A9799">
        <v>0</v>
      </c>
      <c r="B9799">
        <v>0</v>
      </c>
      <c r="C9799">
        <v>0</v>
      </c>
      <c r="D9799">
        <v>0</v>
      </c>
      <c r="E9799">
        <v>0</v>
      </c>
    </row>
    <row r="9800" spans="1:5" x14ac:dyDescent="0.35">
      <c r="A9800">
        <v>0</v>
      </c>
      <c r="B9800">
        <v>0</v>
      </c>
      <c r="C9800">
        <v>0</v>
      </c>
      <c r="D9800">
        <v>0</v>
      </c>
      <c r="E9800">
        <v>0</v>
      </c>
    </row>
    <row r="9801" spans="1:5" x14ac:dyDescent="0.35">
      <c r="A9801">
        <v>0</v>
      </c>
      <c r="B9801">
        <v>0</v>
      </c>
      <c r="C9801">
        <v>0</v>
      </c>
      <c r="D9801">
        <v>0</v>
      </c>
      <c r="E9801">
        <v>0</v>
      </c>
    </row>
    <row r="9802" spans="1:5" x14ac:dyDescent="0.35">
      <c r="A9802">
        <v>0</v>
      </c>
      <c r="B9802">
        <v>0</v>
      </c>
      <c r="C9802">
        <v>0</v>
      </c>
      <c r="D9802">
        <v>0</v>
      </c>
      <c r="E9802">
        <v>0</v>
      </c>
    </row>
    <row r="9803" spans="1:5" x14ac:dyDescent="0.35">
      <c r="A9803">
        <v>0</v>
      </c>
      <c r="B9803">
        <v>0</v>
      </c>
      <c r="C9803">
        <v>0</v>
      </c>
      <c r="D9803">
        <v>0</v>
      </c>
      <c r="E9803">
        <v>0</v>
      </c>
    </row>
    <row r="9804" spans="1:5" x14ac:dyDescent="0.35">
      <c r="A9804">
        <v>0</v>
      </c>
      <c r="B9804">
        <v>0</v>
      </c>
      <c r="C9804">
        <v>0</v>
      </c>
      <c r="D9804">
        <v>0</v>
      </c>
      <c r="E9804">
        <v>0</v>
      </c>
    </row>
    <row r="9805" spans="1:5" x14ac:dyDescent="0.35">
      <c r="A9805">
        <v>0</v>
      </c>
      <c r="B9805">
        <v>0</v>
      </c>
      <c r="C9805">
        <v>0</v>
      </c>
      <c r="D9805">
        <v>0</v>
      </c>
      <c r="E9805">
        <v>0</v>
      </c>
    </row>
    <row r="9806" spans="1:5" x14ac:dyDescent="0.35">
      <c r="A9806">
        <v>0</v>
      </c>
      <c r="B9806">
        <v>0</v>
      </c>
      <c r="C9806">
        <v>0</v>
      </c>
      <c r="D9806">
        <v>0</v>
      </c>
      <c r="E9806">
        <v>0</v>
      </c>
    </row>
    <row r="9807" spans="1:5" x14ac:dyDescent="0.35">
      <c r="A9807">
        <v>0</v>
      </c>
      <c r="B9807">
        <v>0</v>
      </c>
      <c r="C9807">
        <v>0</v>
      </c>
      <c r="D9807">
        <v>0</v>
      </c>
      <c r="E9807">
        <v>0</v>
      </c>
    </row>
    <row r="9808" spans="1:5" x14ac:dyDescent="0.35">
      <c r="A9808">
        <v>0</v>
      </c>
      <c r="B9808">
        <v>0</v>
      </c>
      <c r="C9808">
        <v>0</v>
      </c>
      <c r="D9808">
        <v>0</v>
      </c>
      <c r="E9808">
        <v>0</v>
      </c>
    </row>
    <row r="9809" spans="1:5" x14ac:dyDescent="0.35">
      <c r="A9809">
        <v>0</v>
      </c>
      <c r="B9809">
        <v>0</v>
      </c>
      <c r="C9809">
        <v>0</v>
      </c>
      <c r="D9809">
        <v>0</v>
      </c>
      <c r="E9809">
        <v>0</v>
      </c>
    </row>
    <row r="9810" spans="1:5" x14ac:dyDescent="0.35">
      <c r="A9810">
        <v>0</v>
      </c>
      <c r="B9810">
        <v>0</v>
      </c>
      <c r="C9810">
        <v>0</v>
      </c>
      <c r="D9810">
        <v>0</v>
      </c>
      <c r="E9810">
        <v>0</v>
      </c>
    </row>
    <row r="9811" spans="1:5" x14ac:dyDescent="0.35">
      <c r="A9811">
        <v>0</v>
      </c>
      <c r="B9811">
        <v>0</v>
      </c>
      <c r="C9811">
        <v>0</v>
      </c>
      <c r="D9811">
        <v>0</v>
      </c>
      <c r="E9811">
        <v>0</v>
      </c>
    </row>
    <row r="9812" spans="1:5" x14ac:dyDescent="0.35">
      <c r="A9812">
        <v>0</v>
      </c>
      <c r="B9812">
        <v>0</v>
      </c>
      <c r="C9812">
        <v>0</v>
      </c>
      <c r="D9812">
        <v>0</v>
      </c>
      <c r="E9812">
        <v>0</v>
      </c>
    </row>
    <row r="9813" spans="1:5" x14ac:dyDescent="0.35">
      <c r="A9813">
        <v>0</v>
      </c>
      <c r="B9813">
        <v>0</v>
      </c>
      <c r="C9813">
        <v>0</v>
      </c>
      <c r="D9813">
        <v>0</v>
      </c>
      <c r="E9813">
        <v>0</v>
      </c>
    </row>
    <row r="9814" spans="1:5" x14ac:dyDescent="0.35">
      <c r="A9814">
        <v>0</v>
      </c>
      <c r="B9814">
        <v>0</v>
      </c>
      <c r="C9814">
        <v>0</v>
      </c>
      <c r="D9814">
        <v>0</v>
      </c>
      <c r="E9814">
        <v>0</v>
      </c>
    </row>
    <row r="9815" spans="1:5" x14ac:dyDescent="0.35">
      <c r="A9815">
        <v>0</v>
      </c>
      <c r="B9815">
        <v>0</v>
      </c>
      <c r="C9815">
        <v>0</v>
      </c>
      <c r="D9815">
        <v>0</v>
      </c>
      <c r="E9815">
        <v>0</v>
      </c>
    </row>
    <row r="9816" spans="1:5" x14ac:dyDescent="0.35">
      <c r="A9816">
        <v>0</v>
      </c>
      <c r="B9816">
        <v>0</v>
      </c>
      <c r="C9816">
        <v>0</v>
      </c>
      <c r="D9816">
        <v>0</v>
      </c>
      <c r="E9816">
        <v>0</v>
      </c>
    </row>
    <row r="9817" spans="1:5" x14ac:dyDescent="0.35">
      <c r="A9817">
        <v>0</v>
      </c>
      <c r="B9817">
        <v>0</v>
      </c>
      <c r="C9817">
        <v>0</v>
      </c>
      <c r="D9817">
        <v>0</v>
      </c>
      <c r="E9817">
        <v>0</v>
      </c>
    </row>
    <row r="9818" spans="1:5" x14ac:dyDescent="0.35">
      <c r="A9818">
        <v>0</v>
      </c>
      <c r="B9818">
        <v>0</v>
      </c>
      <c r="C9818">
        <v>0</v>
      </c>
      <c r="D9818">
        <v>0</v>
      </c>
      <c r="E9818">
        <v>0</v>
      </c>
    </row>
    <row r="9819" spans="1:5" x14ac:dyDescent="0.35">
      <c r="A9819">
        <v>0</v>
      </c>
      <c r="B9819">
        <v>0</v>
      </c>
      <c r="C9819">
        <v>0</v>
      </c>
      <c r="D9819">
        <v>0</v>
      </c>
      <c r="E9819">
        <v>0</v>
      </c>
    </row>
    <row r="9820" spans="1:5" x14ac:dyDescent="0.35">
      <c r="A9820">
        <v>0</v>
      </c>
      <c r="B9820">
        <v>0</v>
      </c>
      <c r="C9820">
        <v>0</v>
      </c>
      <c r="D9820">
        <v>0</v>
      </c>
      <c r="E9820">
        <v>0</v>
      </c>
    </row>
    <row r="9821" spans="1:5" x14ac:dyDescent="0.35">
      <c r="A9821">
        <v>0</v>
      </c>
      <c r="B9821">
        <v>0</v>
      </c>
      <c r="C9821">
        <v>0</v>
      </c>
      <c r="D9821">
        <v>0</v>
      </c>
      <c r="E9821">
        <v>0</v>
      </c>
    </row>
    <row r="9822" spans="1:5" x14ac:dyDescent="0.35">
      <c r="A9822">
        <v>0</v>
      </c>
      <c r="B9822">
        <v>0</v>
      </c>
      <c r="C9822">
        <v>0</v>
      </c>
      <c r="D9822">
        <v>0</v>
      </c>
      <c r="E9822">
        <v>0</v>
      </c>
    </row>
    <row r="9823" spans="1:5" x14ac:dyDescent="0.35">
      <c r="A9823">
        <v>0</v>
      </c>
      <c r="B9823">
        <v>0</v>
      </c>
      <c r="C9823">
        <v>0</v>
      </c>
      <c r="D9823">
        <v>0</v>
      </c>
      <c r="E9823">
        <v>0</v>
      </c>
    </row>
    <row r="9824" spans="1:5" x14ac:dyDescent="0.35">
      <c r="A9824">
        <v>0</v>
      </c>
      <c r="B9824">
        <v>0</v>
      </c>
      <c r="C9824">
        <v>0</v>
      </c>
      <c r="D9824">
        <v>0</v>
      </c>
      <c r="E9824">
        <v>0</v>
      </c>
    </row>
    <row r="9825" spans="1:5" x14ac:dyDescent="0.35">
      <c r="A9825">
        <v>0</v>
      </c>
      <c r="B9825">
        <v>0</v>
      </c>
      <c r="C9825">
        <v>0</v>
      </c>
      <c r="D9825">
        <v>0</v>
      </c>
      <c r="E9825">
        <v>0</v>
      </c>
    </row>
    <row r="9826" spans="1:5" x14ac:dyDescent="0.35">
      <c r="A9826">
        <v>0</v>
      </c>
      <c r="B9826">
        <v>0</v>
      </c>
      <c r="C9826">
        <v>0</v>
      </c>
      <c r="D9826">
        <v>0</v>
      </c>
      <c r="E9826">
        <v>0</v>
      </c>
    </row>
    <row r="9827" spans="1:5" x14ac:dyDescent="0.35">
      <c r="A9827">
        <v>0</v>
      </c>
      <c r="B9827">
        <v>0</v>
      </c>
      <c r="C9827">
        <v>0</v>
      </c>
      <c r="D9827">
        <v>0</v>
      </c>
      <c r="E9827">
        <v>0</v>
      </c>
    </row>
    <row r="9828" spans="1:5" x14ac:dyDescent="0.35">
      <c r="A9828">
        <v>0</v>
      </c>
      <c r="B9828">
        <v>0</v>
      </c>
      <c r="C9828">
        <v>0</v>
      </c>
      <c r="D9828">
        <v>0</v>
      </c>
      <c r="E9828">
        <v>0</v>
      </c>
    </row>
    <row r="9829" spans="1:5" x14ac:dyDescent="0.35">
      <c r="A9829">
        <v>0</v>
      </c>
      <c r="B9829">
        <v>0</v>
      </c>
      <c r="C9829">
        <v>0</v>
      </c>
      <c r="D9829">
        <v>0</v>
      </c>
      <c r="E9829">
        <v>0</v>
      </c>
    </row>
    <row r="9830" spans="1:5" x14ac:dyDescent="0.35">
      <c r="A9830">
        <v>0</v>
      </c>
      <c r="B9830">
        <v>0</v>
      </c>
      <c r="C9830">
        <v>0</v>
      </c>
      <c r="D9830">
        <v>0</v>
      </c>
      <c r="E9830">
        <v>0</v>
      </c>
    </row>
    <row r="9831" spans="1:5" x14ac:dyDescent="0.35">
      <c r="A9831">
        <v>0</v>
      </c>
      <c r="B9831">
        <v>0</v>
      </c>
      <c r="C9831">
        <v>0</v>
      </c>
      <c r="D9831">
        <v>0</v>
      </c>
      <c r="E9831">
        <v>0</v>
      </c>
    </row>
    <row r="9832" spans="1:5" x14ac:dyDescent="0.35">
      <c r="A9832">
        <v>0</v>
      </c>
      <c r="B9832">
        <v>0</v>
      </c>
      <c r="C9832">
        <v>0</v>
      </c>
      <c r="D9832">
        <v>0</v>
      </c>
      <c r="E9832">
        <v>0</v>
      </c>
    </row>
    <row r="9833" spans="1:5" x14ac:dyDescent="0.35">
      <c r="A9833">
        <v>0</v>
      </c>
      <c r="B9833">
        <v>0</v>
      </c>
      <c r="C9833">
        <v>0</v>
      </c>
      <c r="D9833">
        <v>0</v>
      </c>
      <c r="E9833">
        <v>0</v>
      </c>
    </row>
    <row r="9834" spans="1:5" x14ac:dyDescent="0.35">
      <c r="A9834">
        <v>0</v>
      </c>
      <c r="B9834">
        <v>0</v>
      </c>
      <c r="C9834">
        <v>0</v>
      </c>
      <c r="D9834">
        <v>0</v>
      </c>
      <c r="E9834">
        <v>0</v>
      </c>
    </row>
    <row r="9835" spans="1:5" x14ac:dyDescent="0.35">
      <c r="A9835">
        <v>0</v>
      </c>
      <c r="B9835">
        <v>0</v>
      </c>
      <c r="C9835">
        <v>0</v>
      </c>
      <c r="D9835">
        <v>0</v>
      </c>
      <c r="E9835">
        <v>0</v>
      </c>
    </row>
    <row r="9836" spans="1:5" x14ac:dyDescent="0.35">
      <c r="A9836">
        <v>0</v>
      </c>
      <c r="B9836">
        <v>0</v>
      </c>
      <c r="C9836">
        <v>0</v>
      </c>
      <c r="D9836">
        <v>0</v>
      </c>
      <c r="E9836">
        <v>0</v>
      </c>
    </row>
    <row r="9837" spans="1:5" x14ac:dyDescent="0.35">
      <c r="A9837">
        <v>0</v>
      </c>
      <c r="B9837">
        <v>0</v>
      </c>
      <c r="C9837">
        <v>0</v>
      </c>
      <c r="D9837">
        <v>0</v>
      </c>
      <c r="E9837">
        <v>0</v>
      </c>
    </row>
    <row r="9838" spans="1:5" x14ac:dyDescent="0.35">
      <c r="A9838">
        <v>0</v>
      </c>
      <c r="B9838">
        <v>0</v>
      </c>
      <c r="C9838">
        <v>0</v>
      </c>
      <c r="D9838">
        <v>0</v>
      </c>
      <c r="E9838">
        <v>0</v>
      </c>
    </row>
    <row r="9839" spans="1:5" x14ac:dyDescent="0.35">
      <c r="A9839">
        <v>0</v>
      </c>
      <c r="B9839">
        <v>0</v>
      </c>
      <c r="C9839">
        <v>0</v>
      </c>
      <c r="D9839">
        <v>0</v>
      </c>
      <c r="E9839">
        <v>0</v>
      </c>
    </row>
    <row r="9840" spans="1:5" x14ac:dyDescent="0.35">
      <c r="A9840">
        <v>0</v>
      </c>
      <c r="B9840">
        <v>0</v>
      </c>
      <c r="C9840">
        <v>0</v>
      </c>
      <c r="D9840">
        <v>0</v>
      </c>
      <c r="E9840">
        <v>0</v>
      </c>
    </row>
    <row r="9841" spans="1:5" x14ac:dyDescent="0.35">
      <c r="A9841">
        <v>0</v>
      </c>
      <c r="B9841">
        <v>0</v>
      </c>
      <c r="C9841">
        <v>0</v>
      </c>
      <c r="D9841">
        <v>0</v>
      </c>
      <c r="E9841">
        <v>0</v>
      </c>
    </row>
    <row r="9842" spans="1:5" x14ac:dyDescent="0.35">
      <c r="A9842">
        <v>0</v>
      </c>
      <c r="B9842">
        <v>0</v>
      </c>
      <c r="C9842">
        <v>0</v>
      </c>
      <c r="D9842">
        <v>0</v>
      </c>
      <c r="E9842">
        <v>0</v>
      </c>
    </row>
    <row r="9843" spans="1:5" x14ac:dyDescent="0.35">
      <c r="A9843">
        <v>0</v>
      </c>
      <c r="B9843">
        <v>0</v>
      </c>
      <c r="C9843">
        <v>0</v>
      </c>
      <c r="D9843">
        <v>0</v>
      </c>
      <c r="E9843">
        <v>0</v>
      </c>
    </row>
    <row r="9844" spans="1:5" x14ac:dyDescent="0.35">
      <c r="A9844">
        <v>0</v>
      </c>
      <c r="B9844">
        <v>0</v>
      </c>
      <c r="C9844">
        <v>0</v>
      </c>
      <c r="D9844">
        <v>0</v>
      </c>
      <c r="E9844">
        <v>0</v>
      </c>
    </row>
    <row r="9845" spans="1:5" x14ac:dyDescent="0.35">
      <c r="A9845">
        <v>0</v>
      </c>
      <c r="B9845">
        <v>0</v>
      </c>
      <c r="C9845">
        <v>0</v>
      </c>
      <c r="D9845">
        <v>0</v>
      </c>
      <c r="E9845">
        <v>0</v>
      </c>
    </row>
    <row r="9846" spans="1:5" x14ac:dyDescent="0.35">
      <c r="A9846">
        <v>0</v>
      </c>
      <c r="B9846">
        <v>0</v>
      </c>
      <c r="C9846">
        <v>0</v>
      </c>
      <c r="D9846">
        <v>0</v>
      </c>
      <c r="E9846">
        <v>0</v>
      </c>
    </row>
    <row r="9847" spans="1:5" x14ac:dyDescent="0.35">
      <c r="A9847">
        <v>0</v>
      </c>
      <c r="B9847">
        <v>0</v>
      </c>
      <c r="C9847">
        <v>0</v>
      </c>
      <c r="D9847">
        <v>0</v>
      </c>
      <c r="E9847">
        <v>0</v>
      </c>
    </row>
    <row r="9848" spans="1:5" x14ac:dyDescent="0.35">
      <c r="A9848">
        <v>0</v>
      </c>
      <c r="B9848">
        <v>0</v>
      </c>
      <c r="C9848">
        <v>0</v>
      </c>
      <c r="D9848">
        <v>0</v>
      </c>
      <c r="E9848">
        <v>0</v>
      </c>
    </row>
    <row r="9849" spans="1:5" x14ac:dyDescent="0.35">
      <c r="A9849">
        <v>0</v>
      </c>
      <c r="B9849">
        <v>0</v>
      </c>
      <c r="C9849">
        <v>0</v>
      </c>
      <c r="D9849">
        <v>0</v>
      </c>
      <c r="E9849">
        <v>0</v>
      </c>
    </row>
    <row r="9850" spans="1:5" x14ac:dyDescent="0.35">
      <c r="A9850">
        <v>0</v>
      </c>
      <c r="B9850">
        <v>0</v>
      </c>
      <c r="C9850">
        <v>0</v>
      </c>
      <c r="D9850">
        <v>0</v>
      </c>
      <c r="E9850">
        <v>0</v>
      </c>
    </row>
    <row r="9851" spans="1:5" x14ac:dyDescent="0.35">
      <c r="A9851">
        <v>0</v>
      </c>
      <c r="B9851">
        <v>0</v>
      </c>
      <c r="C9851">
        <v>0</v>
      </c>
      <c r="D9851">
        <v>0</v>
      </c>
      <c r="E9851">
        <v>0</v>
      </c>
    </row>
    <row r="9852" spans="1:5" x14ac:dyDescent="0.35">
      <c r="A9852">
        <v>0</v>
      </c>
      <c r="B9852">
        <v>0</v>
      </c>
      <c r="C9852">
        <v>0</v>
      </c>
      <c r="D9852">
        <v>0</v>
      </c>
      <c r="E9852">
        <v>0</v>
      </c>
    </row>
    <row r="9853" spans="1:5" x14ac:dyDescent="0.35">
      <c r="A9853">
        <v>0</v>
      </c>
      <c r="B9853">
        <v>0</v>
      </c>
      <c r="C9853">
        <v>0</v>
      </c>
      <c r="D9853">
        <v>0</v>
      </c>
      <c r="E9853">
        <v>0</v>
      </c>
    </row>
    <row r="9854" spans="1:5" x14ac:dyDescent="0.35">
      <c r="A9854">
        <v>0</v>
      </c>
      <c r="B9854">
        <v>0</v>
      </c>
      <c r="C9854">
        <v>0</v>
      </c>
      <c r="D9854">
        <v>0</v>
      </c>
      <c r="E9854">
        <v>0</v>
      </c>
    </row>
    <row r="9855" spans="1:5" x14ac:dyDescent="0.35">
      <c r="A9855">
        <v>0</v>
      </c>
      <c r="B9855">
        <v>0</v>
      </c>
      <c r="C9855">
        <v>0</v>
      </c>
      <c r="D9855">
        <v>0</v>
      </c>
      <c r="E9855">
        <v>0</v>
      </c>
    </row>
    <row r="9856" spans="1:5" x14ac:dyDescent="0.35">
      <c r="A9856">
        <v>0</v>
      </c>
      <c r="B9856">
        <v>0</v>
      </c>
      <c r="C9856">
        <v>0</v>
      </c>
      <c r="D9856">
        <v>0</v>
      </c>
      <c r="E9856">
        <v>0</v>
      </c>
    </row>
    <row r="9857" spans="1:5" x14ac:dyDescent="0.35">
      <c r="A9857">
        <v>0</v>
      </c>
      <c r="B9857">
        <v>0</v>
      </c>
      <c r="C9857">
        <v>0</v>
      </c>
      <c r="D9857">
        <v>0</v>
      </c>
      <c r="E9857">
        <v>0</v>
      </c>
    </row>
    <row r="9858" spans="1:5" x14ac:dyDescent="0.35">
      <c r="A9858">
        <v>0</v>
      </c>
      <c r="B9858">
        <v>0</v>
      </c>
      <c r="C9858">
        <v>0</v>
      </c>
      <c r="D9858">
        <v>0</v>
      </c>
      <c r="E9858">
        <v>0</v>
      </c>
    </row>
    <row r="9859" spans="1:5" x14ac:dyDescent="0.35">
      <c r="A9859">
        <v>0</v>
      </c>
      <c r="B9859">
        <v>0</v>
      </c>
      <c r="C9859">
        <v>0</v>
      </c>
      <c r="D9859">
        <v>0</v>
      </c>
      <c r="E9859">
        <v>0</v>
      </c>
    </row>
    <row r="9860" spans="1:5" x14ac:dyDescent="0.35">
      <c r="A9860">
        <v>0</v>
      </c>
      <c r="B9860">
        <v>0</v>
      </c>
      <c r="C9860">
        <v>0</v>
      </c>
      <c r="D9860">
        <v>0</v>
      </c>
      <c r="E9860">
        <v>0</v>
      </c>
    </row>
    <row r="9861" spans="1:5" x14ac:dyDescent="0.35">
      <c r="A9861">
        <v>0</v>
      </c>
      <c r="B9861">
        <v>0</v>
      </c>
      <c r="C9861">
        <v>0</v>
      </c>
      <c r="D9861">
        <v>0</v>
      </c>
      <c r="E9861">
        <v>0</v>
      </c>
    </row>
    <row r="9862" spans="1:5" x14ac:dyDescent="0.35">
      <c r="A9862">
        <v>0</v>
      </c>
      <c r="B9862">
        <v>0</v>
      </c>
      <c r="C9862">
        <v>0</v>
      </c>
      <c r="D9862">
        <v>0</v>
      </c>
      <c r="E9862">
        <v>0</v>
      </c>
    </row>
    <row r="9863" spans="1:5" x14ac:dyDescent="0.35">
      <c r="A9863">
        <v>0</v>
      </c>
      <c r="B9863">
        <v>0</v>
      </c>
      <c r="C9863">
        <v>0</v>
      </c>
      <c r="D9863">
        <v>0</v>
      </c>
      <c r="E9863">
        <v>0</v>
      </c>
    </row>
    <row r="9864" spans="1:5" x14ac:dyDescent="0.35">
      <c r="A9864">
        <v>0</v>
      </c>
      <c r="B9864">
        <v>0</v>
      </c>
      <c r="C9864">
        <v>0</v>
      </c>
      <c r="D9864">
        <v>0</v>
      </c>
      <c r="E9864">
        <v>0</v>
      </c>
    </row>
    <row r="9865" spans="1:5" x14ac:dyDescent="0.35">
      <c r="A9865">
        <v>0</v>
      </c>
      <c r="B9865">
        <v>0</v>
      </c>
      <c r="C9865">
        <v>0</v>
      </c>
      <c r="D9865">
        <v>0</v>
      </c>
      <c r="E9865">
        <v>0</v>
      </c>
    </row>
    <row r="9866" spans="1:5" x14ac:dyDescent="0.35">
      <c r="A9866">
        <v>0</v>
      </c>
      <c r="B9866">
        <v>0</v>
      </c>
      <c r="C9866">
        <v>0</v>
      </c>
      <c r="D9866">
        <v>0</v>
      </c>
      <c r="E9866">
        <v>0</v>
      </c>
    </row>
    <row r="9867" spans="1:5" x14ac:dyDescent="0.35">
      <c r="A9867">
        <v>0</v>
      </c>
      <c r="B9867">
        <v>0</v>
      </c>
      <c r="C9867">
        <v>0</v>
      </c>
      <c r="D9867">
        <v>0</v>
      </c>
      <c r="E9867">
        <v>0</v>
      </c>
    </row>
    <row r="9868" spans="1:5" x14ac:dyDescent="0.35">
      <c r="A9868">
        <v>0</v>
      </c>
      <c r="B9868">
        <v>0</v>
      </c>
      <c r="C9868">
        <v>0</v>
      </c>
      <c r="D9868">
        <v>0</v>
      </c>
      <c r="E9868">
        <v>0</v>
      </c>
    </row>
    <row r="9869" spans="1:5" x14ac:dyDescent="0.35">
      <c r="A9869">
        <v>0</v>
      </c>
      <c r="B9869">
        <v>0</v>
      </c>
      <c r="C9869">
        <v>0</v>
      </c>
      <c r="D9869">
        <v>0</v>
      </c>
      <c r="E9869">
        <v>0</v>
      </c>
    </row>
    <row r="9870" spans="1:5" x14ac:dyDescent="0.35">
      <c r="A9870">
        <v>0</v>
      </c>
      <c r="B9870">
        <v>0</v>
      </c>
      <c r="C9870">
        <v>0</v>
      </c>
      <c r="D9870">
        <v>0</v>
      </c>
      <c r="E9870">
        <v>0</v>
      </c>
    </row>
    <row r="9871" spans="1:5" x14ac:dyDescent="0.35">
      <c r="A9871">
        <v>0</v>
      </c>
      <c r="B9871">
        <v>0</v>
      </c>
      <c r="C9871">
        <v>0</v>
      </c>
      <c r="D9871">
        <v>0</v>
      </c>
      <c r="E9871">
        <v>0</v>
      </c>
    </row>
    <row r="9872" spans="1:5" x14ac:dyDescent="0.35">
      <c r="A9872">
        <v>0</v>
      </c>
      <c r="B9872">
        <v>0</v>
      </c>
      <c r="C9872">
        <v>0</v>
      </c>
      <c r="D9872">
        <v>0</v>
      </c>
      <c r="E9872">
        <v>0</v>
      </c>
    </row>
    <row r="9873" spans="1:5" x14ac:dyDescent="0.35">
      <c r="A9873">
        <v>0</v>
      </c>
      <c r="B9873">
        <v>0</v>
      </c>
      <c r="C9873">
        <v>0</v>
      </c>
      <c r="D9873">
        <v>0</v>
      </c>
      <c r="E9873">
        <v>0</v>
      </c>
    </row>
    <row r="9874" spans="1:5" x14ac:dyDescent="0.35">
      <c r="A9874">
        <v>0</v>
      </c>
      <c r="B9874">
        <v>0</v>
      </c>
      <c r="C9874">
        <v>0</v>
      </c>
      <c r="D9874">
        <v>0</v>
      </c>
      <c r="E9874">
        <v>0</v>
      </c>
    </row>
    <row r="9875" spans="1:5" x14ac:dyDescent="0.35">
      <c r="A9875">
        <v>0</v>
      </c>
      <c r="B9875">
        <v>0</v>
      </c>
      <c r="C9875">
        <v>0</v>
      </c>
      <c r="D9875">
        <v>0</v>
      </c>
      <c r="E9875">
        <v>0</v>
      </c>
    </row>
    <row r="9876" spans="1:5" x14ac:dyDescent="0.35">
      <c r="A9876">
        <v>0</v>
      </c>
      <c r="B9876">
        <v>0</v>
      </c>
      <c r="C9876">
        <v>0</v>
      </c>
      <c r="D9876">
        <v>0</v>
      </c>
      <c r="E9876">
        <v>0</v>
      </c>
    </row>
    <row r="9877" spans="1:5" x14ac:dyDescent="0.35">
      <c r="A9877">
        <v>0</v>
      </c>
      <c r="B9877">
        <v>0</v>
      </c>
      <c r="C9877">
        <v>0</v>
      </c>
      <c r="D9877">
        <v>0</v>
      </c>
      <c r="E9877">
        <v>0</v>
      </c>
    </row>
    <row r="9878" spans="1:5" x14ac:dyDescent="0.35">
      <c r="A9878">
        <v>0</v>
      </c>
      <c r="B9878">
        <v>0</v>
      </c>
      <c r="C9878">
        <v>0</v>
      </c>
      <c r="D9878">
        <v>0</v>
      </c>
      <c r="E9878">
        <v>0</v>
      </c>
    </row>
    <row r="9879" spans="1:5" x14ac:dyDescent="0.35">
      <c r="A9879">
        <v>0</v>
      </c>
      <c r="B9879">
        <v>0</v>
      </c>
      <c r="C9879">
        <v>0</v>
      </c>
      <c r="D9879">
        <v>0</v>
      </c>
      <c r="E9879">
        <v>0</v>
      </c>
    </row>
    <row r="9880" spans="1:5" x14ac:dyDescent="0.35">
      <c r="A9880">
        <v>0</v>
      </c>
      <c r="B9880">
        <v>0</v>
      </c>
      <c r="C9880">
        <v>0</v>
      </c>
      <c r="D9880">
        <v>0</v>
      </c>
      <c r="E9880">
        <v>0</v>
      </c>
    </row>
    <row r="9881" spans="1:5" x14ac:dyDescent="0.35">
      <c r="A9881">
        <v>0</v>
      </c>
      <c r="B9881">
        <v>0</v>
      </c>
      <c r="C9881">
        <v>0</v>
      </c>
      <c r="D9881">
        <v>0</v>
      </c>
      <c r="E9881">
        <v>0</v>
      </c>
    </row>
    <row r="9882" spans="1:5" x14ac:dyDescent="0.35">
      <c r="A9882">
        <v>0</v>
      </c>
      <c r="B9882">
        <v>0</v>
      </c>
      <c r="C9882">
        <v>0</v>
      </c>
      <c r="D9882">
        <v>0</v>
      </c>
      <c r="E9882">
        <v>0</v>
      </c>
    </row>
    <row r="9883" spans="1:5" x14ac:dyDescent="0.35">
      <c r="A9883">
        <v>0</v>
      </c>
      <c r="B9883">
        <v>0</v>
      </c>
      <c r="C9883">
        <v>0</v>
      </c>
      <c r="D9883">
        <v>0</v>
      </c>
      <c r="E9883">
        <v>0</v>
      </c>
    </row>
    <row r="9884" spans="1:5" x14ac:dyDescent="0.35">
      <c r="A9884">
        <v>0</v>
      </c>
      <c r="B9884">
        <v>0</v>
      </c>
      <c r="C9884">
        <v>0</v>
      </c>
      <c r="D9884">
        <v>0</v>
      </c>
      <c r="E9884">
        <v>0</v>
      </c>
    </row>
    <row r="9885" spans="1:5" x14ac:dyDescent="0.35">
      <c r="A9885">
        <v>0</v>
      </c>
      <c r="B9885">
        <v>0</v>
      </c>
      <c r="C9885">
        <v>0</v>
      </c>
      <c r="D9885">
        <v>0</v>
      </c>
      <c r="E9885">
        <v>0</v>
      </c>
    </row>
    <row r="9886" spans="1:5" x14ac:dyDescent="0.35">
      <c r="A9886">
        <v>0</v>
      </c>
      <c r="B9886">
        <v>0</v>
      </c>
      <c r="C9886">
        <v>0</v>
      </c>
      <c r="D9886">
        <v>0</v>
      </c>
      <c r="E9886">
        <v>0</v>
      </c>
    </row>
    <row r="9887" spans="1:5" x14ac:dyDescent="0.35">
      <c r="A9887">
        <v>0</v>
      </c>
      <c r="B9887">
        <v>0</v>
      </c>
      <c r="C9887">
        <v>0</v>
      </c>
      <c r="D9887">
        <v>0</v>
      </c>
      <c r="E9887">
        <v>0</v>
      </c>
    </row>
    <row r="9888" spans="1:5" x14ac:dyDescent="0.35">
      <c r="A9888">
        <v>0</v>
      </c>
      <c r="B9888">
        <v>0</v>
      </c>
      <c r="C9888">
        <v>0</v>
      </c>
      <c r="D9888">
        <v>0</v>
      </c>
      <c r="E9888">
        <v>0</v>
      </c>
    </row>
    <row r="9889" spans="1:5" x14ac:dyDescent="0.35">
      <c r="A9889">
        <v>0</v>
      </c>
      <c r="B9889">
        <v>0</v>
      </c>
      <c r="C9889">
        <v>0</v>
      </c>
      <c r="D9889">
        <v>0</v>
      </c>
      <c r="E9889">
        <v>0</v>
      </c>
    </row>
    <row r="9890" spans="1:5" x14ac:dyDescent="0.35">
      <c r="A9890">
        <v>0</v>
      </c>
      <c r="B9890">
        <v>0</v>
      </c>
      <c r="C9890">
        <v>0</v>
      </c>
      <c r="D9890">
        <v>0</v>
      </c>
      <c r="E9890">
        <v>0</v>
      </c>
    </row>
    <row r="9891" spans="1:5" x14ac:dyDescent="0.35">
      <c r="A9891">
        <v>0</v>
      </c>
      <c r="B9891">
        <v>0</v>
      </c>
      <c r="C9891">
        <v>0</v>
      </c>
      <c r="D9891">
        <v>0</v>
      </c>
      <c r="E9891">
        <v>0</v>
      </c>
    </row>
    <row r="9892" spans="1:5" x14ac:dyDescent="0.35">
      <c r="A9892">
        <v>0</v>
      </c>
      <c r="B9892">
        <v>0</v>
      </c>
      <c r="C9892">
        <v>0</v>
      </c>
      <c r="D9892">
        <v>0</v>
      </c>
      <c r="E9892">
        <v>0</v>
      </c>
    </row>
    <row r="9893" spans="1:5" x14ac:dyDescent="0.35">
      <c r="A9893">
        <v>0</v>
      </c>
      <c r="B9893">
        <v>0</v>
      </c>
      <c r="C9893">
        <v>0</v>
      </c>
      <c r="D9893">
        <v>0</v>
      </c>
      <c r="E9893">
        <v>0</v>
      </c>
    </row>
    <row r="9894" spans="1:5" x14ac:dyDescent="0.35">
      <c r="A9894">
        <v>0</v>
      </c>
      <c r="B9894">
        <v>0</v>
      </c>
      <c r="C9894">
        <v>0</v>
      </c>
      <c r="D9894">
        <v>0</v>
      </c>
      <c r="E9894">
        <v>0</v>
      </c>
    </row>
    <row r="9895" spans="1:5" x14ac:dyDescent="0.35">
      <c r="A9895">
        <v>0</v>
      </c>
      <c r="B9895">
        <v>0</v>
      </c>
      <c r="C9895">
        <v>0</v>
      </c>
      <c r="D9895">
        <v>0</v>
      </c>
      <c r="E9895">
        <v>0</v>
      </c>
    </row>
    <row r="9896" spans="1:5" x14ac:dyDescent="0.35">
      <c r="A9896">
        <v>0</v>
      </c>
      <c r="B9896">
        <v>0</v>
      </c>
      <c r="C9896">
        <v>0</v>
      </c>
      <c r="D9896">
        <v>0</v>
      </c>
      <c r="E9896">
        <v>0</v>
      </c>
    </row>
    <row r="9897" spans="1:5" x14ac:dyDescent="0.35">
      <c r="A9897">
        <v>0</v>
      </c>
      <c r="B9897">
        <v>0</v>
      </c>
      <c r="C9897">
        <v>0</v>
      </c>
      <c r="D9897">
        <v>0</v>
      </c>
      <c r="E9897">
        <v>0</v>
      </c>
    </row>
    <row r="9898" spans="1:5" x14ac:dyDescent="0.35">
      <c r="A9898">
        <v>0</v>
      </c>
      <c r="B9898">
        <v>0</v>
      </c>
      <c r="C9898">
        <v>0</v>
      </c>
      <c r="D9898">
        <v>0</v>
      </c>
      <c r="E9898">
        <v>0</v>
      </c>
    </row>
    <row r="9899" spans="1:5" x14ac:dyDescent="0.35">
      <c r="A9899">
        <v>0</v>
      </c>
      <c r="B9899">
        <v>0</v>
      </c>
      <c r="C9899">
        <v>0</v>
      </c>
      <c r="D9899">
        <v>0</v>
      </c>
      <c r="E9899">
        <v>0</v>
      </c>
    </row>
    <row r="9900" spans="1:5" x14ac:dyDescent="0.35">
      <c r="A9900">
        <v>0</v>
      </c>
      <c r="B9900">
        <v>0</v>
      </c>
      <c r="C9900">
        <v>0</v>
      </c>
      <c r="D9900">
        <v>0</v>
      </c>
      <c r="E9900">
        <v>0</v>
      </c>
    </row>
    <row r="9901" spans="1:5" x14ac:dyDescent="0.35">
      <c r="A9901">
        <v>0</v>
      </c>
      <c r="B9901">
        <v>0</v>
      </c>
      <c r="C9901">
        <v>0</v>
      </c>
      <c r="D9901">
        <v>0</v>
      </c>
      <c r="E9901">
        <v>0</v>
      </c>
    </row>
    <row r="9902" spans="1:5" x14ac:dyDescent="0.35">
      <c r="A9902">
        <v>0</v>
      </c>
      <c r="B9902">
        <v>0</v>
      </c>
      <c r="C9902">
        <v>0</v>
      </c>
      <c r="D9902">
        <v>0</v>
      </c>
      <c r="E9902">
        <v>0</v>
      </c>
    </row>
    <row r="9903" spans="1:5" x14ac:dyDescent="0.35">
      <c r="A9903">
        <v>0</v>
      </c>
      <c r="B9903">
        <v>0</v>
      </c>
      <c r="C9903">
        <v>0</v>
      </c>
      <c r="D9903">
        <v>0</v>
      </c>
      <c r="E9903">
        <v>0</v>
      </c>
    </row>
    <row r="9904" spans="1:5" x14ac:dyDescent="0.35">
      <c r="A9904">
        <v>0</v>
      </c>
      <c r="B9904">
        <v>0</v>
      </c>
      <c r="C9904">
        <v>0</v>
      </c>
      <c r="D9904">
        <v>0</v>
      </c>
      <c r="E9904">
        <v>0</v>
      </c>
    </row>
    <row r="9905" spans="1:5" x14ac:dyDescent="0.35">
      <c r="A9905">
        <v>0</v>
      </c>
      <c r="B9905">
        <v>0</v>
      </c>
      <c r="C9905">
        <v>0</v>
      </c>
      <c r="D9905">
        <v>0</v>
      </c>
      <c r="E9905">
        <v>0</v>
      </c>
    </row>
    <row r="9906" spans="1:5" x14ac:dyDescent="0.35">
      <c r="A9906">
        <v>0</v>
      </c>
      <c r="B9906">
        <v>0</v>
      </c>
      <c r="C9906">
        <v>0</v>
      </c>
      <c r="D9906">
        <v>0</v>
      </c>
      <c r="E9906">
        <v>0</v>
      </c>
    </row>
    <row r="9907" spans="1:5" x14ac:dyDescent="0.35">
      <c r="A9907">
        <v>0</v>
      </c>
      <c r="B9907">
        <v>0</v>
      </c>
      <c r="C9907">
        <v>0</v>
      </c>
      <c r="D9907">
        <v>0</v>
      </c>
      <c r="E9907">
        <v>0</v>
      </c>
    </row>
    <row r="9908" spans="1:5" x14ac:dyDescent="0.35">
      <c r="A9908">
        <v>0</v>
      </c>
      <c r="B9908">
        <v>0</v>
      </c>
      <c r="C9908">
        <v>0</v>
      </c>
      <c r="D9908">
        <v>0</v>
      </c>
      <c r="E9908">
        <v>0</v>
      </c>
    </row>
    <row r="9909" spans="1:5" x14ac:dyDescent="0.35">
      <c r="A9909">
        <v>0</v>
      </c>
      <c r="B9909">
        <v>0</v>
      </c>
      <c r="C9909">
        <v>0</v>
      </c>
      <c r="D9909">
        <v>0</v>
      </c>
      <c r="E9909">
        <v>0</v>
      </c>
    </row>
    <row r="9910" spans="1:5" x14ac:dyDescent="0.35">
      <c r="A9910">
        <v>0</v>
      </c>
      <c r="B9910">
        <v>0</v>
      </c>
      <c r="C9910">
        <v>0</v>
      </c>
      <c r="D9910">
        <v>0</v>
      </c>
      <c r="E9910">
        <v>0</v>
      </c>
    </row>
    <row r="9911" spans="1:5" x14ac:dyDescent="0.35">
      <c r="A9911">
        <v>0</v>
      </c>
      <c r="B9911">
        <v>0</v>
      </c>
      <c r="C9911">
        <v>0</v>
      </c>
      <c r="D9911">
        <v>0</v>
      </c>
      <c r="E9911">
        <v>0</v>
      </c>
    </row>
    <row r="9912" spans="1:5" x14ac:dyDescent="0.35">
      <c r="A9912">
        <v>0</v>
      </c>
      <c r="B9912">
        <v>0</v>
      </c>
      <c r="C9912">
        <v>0</v>
      </c>
      <c r="D9912">
        <v>0</v>
      </c>
      <c r="E9912">
        <v>0</v>
      </c>
    </row>
    <row r="9913" spans="1:5" x14ac:dyDescent="0.35">
      <c r="A9913">
        <v>0</v>
      </c>
      <c r="B9913">
        <v>0</v>
      </c>
      <c r="C9913">
        <v>0</v>
      </c>
      <c r="D9913">
        <v>0</v>
      </c>
      <c r="E9913">
        <v>0</v>
      </c>
    </row>
    <row r="9914" spans="1:5" x14ac:dyDescent="0.35">
      <c r="A9914">
        <v>0</v>
      </c>
      <c r="B9914">
        <v>0</v>
      </c>
      <c r="C9914">
        <v>0</v>
      </c>
      <c r="D9914">
        <v>0</v>
      </c>
      <c r="E9914">
        <v>0</v>
      </c>
    </row>
    <row r="9915" spans="1:5" x14ac:dyDescent="0.35">
      <c r="A9915">
        <v>0</v>
      </c>
      <c r="B9915">
        <v>0</v>
      </c>
      <c r="C9915">
        <v>0</v>
      </c>
      <c r="D9915">
        <v>0</v>
      </c>
      <c r="E9915">
        <v>0</v>
      </c>
    </row>
    <row r="9916" spans="1:5" x14ac:dyDescent="0.35">
      <c r="A9916">
        <v>0</v>
      </c>
      <c r="B9916">
        <v>0</v>
      </c>
      <c r="C9916">
        <v>0</v>
      </c>
      <c r="D9916">
        <v>0</v>
      </c>
      <c r="E9916">
        <v>0</v>
      </c>
    </row>
    <row r="9917" spans="1:5" x14ac:dyDescent="0.35">
      <c r="A9917">
        <v>0</v>
      </c>
      <c r="B9917">
        <v>0</v>
      </c>
      <c r="C9917">
        <v>0</v>
      </c>
      <c r="D9917">
        <v>0</v>
      </c>
      <c r="E9917">
        <v>0</v>
      </c>
    </row>
    <row r="9918" spans="1:5" x14ac:dyDescent="0.35">
      <c r="A9918">
        <v>0</v>
      </c>
      <c r="B9918">
        <v>0</v>
      </c>
      <c r="C9918">
        <v>0</v>
      </c>
      <c r="D9918">
        <v>0</v>
      </c>
      <c r="E9918">
        <v>0</v>
      </c>
    </row>
    <row r="9919" spans="1:5" x14ac:dyDescent="0.35">
      <c r="A9919">
        <v>0</v>
      </c>
      <c r="B9919">
        <v>0</v>
      </c>
      <c r="C9919">
        <v>0</v>
      </c>
      <c r="D9919">
        <v>0</v>
      </c>
      <c r="E9919">
        <v>0</v>
      </c>
    </row>
    <row r="9920" spans="1:5" x14ac:dyDescent="0.35">
      <c r="A9920">
        <v>0</v>
      </c>
      <c r="B9920">
        <v>0</v>
      </c>
      <c r="C9920">
        <v>0</v>
      </c>
      <c r="D9920">
        <v>0</v>
      </c>
      <c r="E9920">
        <v>0</v>
      </c>
    </row>
    <row r="9921" spans="1:5" x14ac:dyDescent="0.35">
      <c r="A9921">
        <v>0</v>
      </c>
      <c r="B9921">
        <v>0</v>
      </c>
      <c r="C9921">
        <v>0</v>
      </c>
      <c r="D9921">
        <v>0</v>
      </c>
      <c r="E9921">
        <v>0</v>
      </c>
    </row>
    <row r="9922" spans="1:5" x14ac:dyDescent="0.35">
      <c r="A9922">
        <v>0</v>
      </c>
      <c r="B9922">
        <v>0</v>
      </c>
      <c r="C9922">
        <v>0</v>
      </c>
      <c r="D9922">
        <v>0</v>
      </c>
      <c r="E9922">
        <v>0</v>
      </c>
    </row>
    <row r="9923" spans="1:5" x14ac:dyDescent="0.35">
      <c r="A9923">
        <v>0</v>
      </c>
      <c r="B9923">
        <v>0</v>
      </c>
      <c r="C9923">
        <v>0</v>
      </c>
      <c r="D9923">
        <v>0</v>
      </c>
      <c r="E9923">
        <v>0</v>
      </c>
    </row>
    <row r="9924" spans="1:5" x14ac:dyDescent="0.35">
      <c r="A9924">
        <v>0</v>
      </c>
      <c r="B9924">
        <v>0</v>
      </c>
      <c r="C9924">
        <v>0</v>
      </c>
      <c r="D9924">
        <v>0</v>
      </c>
      <c r="E9924">
        <v>0</v>
      </c>
    </row>
    <row r="9925" spans="1:5" x14ac:dyDescent="0.35">
      <c r="A9925">
        <v>0</v>
      </c>
      <c r="B9925">
        <v>0</v>
      </c>
      <c r="C9925">
        <v>0</v>
      </c>
      <c r="D9925">
        <v>0</v>
      </c>
      <c r="E9925">
        <v>0</v>
      </c>
    </row>
    <row r="9926" spans="1:5" x14ac:dyDescent="0.35">
      <c r="A9926">
        <v>0</v>
      </c>
      <c r="B9926">
        <v>0</v>
      </c>
      <c r="C9926">
        <v>0</v>
      </c>
      <c r="D9926">
        <v>0</v>
      </c>
      <c r="E9926">
        <v>0</v>
      </c>
    </row>
    <row r="9927" spans="1:5" x14ac:dyDescent="0.35">
      <c r="A9927">
        <v>0</v>
      </c>
      <c r="B9927">
        <v>0</v>
      </c>
      <c r="C9927">
        <v>0</v>
      </c>
      <c r="D9927">
        <v>0</v>
      </c>
      <c r="E9927">
        <v>0</v>
      </c>
    </row>
    <row r="9928" spans="1:5" x14ac:dyDescent="0.35">
      <c r="A9928">
        <v>0</v>
      </c>
      <c r="B9928">
        <v>0</v>
      </c>
      <c r="C9928">
        <v>0</v>
      </c>
      <c r="D9928">
        <v>0</v>
      </c>
      <c r="E9928">
        <v>0</v>
      </c>
    </row>
    <row r="9929" spans="1:5" x14ac:dyDescent="0.35">
      <c r="A9929">
        <v>0</v>
      </c>
      <c r="B9929">
        <v>0</v>
      </c>
      <c r="C9929">
        <v>0</v>
      </c>
      <c r="D9929">
        <v>0</v>
      </c>
      <c r="E9929">
        <v>0</v>
      </c>
    </row>
    <row r="9930" spans="1:5" x14ac:dyDescent="0.35">
      <c r="A9930">
        <v>0</v>
      </c>
      <c r="B9930">
        <v>0</v>
      </c>
      <c r="C9930">
        <v>0</v>
      </c>
      <c r="D9930">
        <v>0</v>
      </c>
      <c r="E9930">
        <v>0</v>
      </c>
    </row>
    <row r="9931" spans="1:5" x14ac:dyDescent="0.35">
      <c r="A9931">
        <v>0</v>
      </c>
      <c r="B9931">
        <v>0</v>
      </c>
      <c r="C9931">
        <v>0</v>
      </c>
      <c r="D9931">
        <v>0</v>
      </c>
      <c r="E9931">
        <v>0</v>
      </c>
    </row>
    <row r="9932" spans="1:5" x14ac:dyDescent="0.35">
      <c r="A9932">
        <v>0</v>
      </c>
      <c r="B9932">
        <v>0</v>
      </c>
      <c r="C9932">
        <v>0</v>
      </c>
      <c r="D9932">
        <v>0</v>
      </c>
      <c r="E9932">
        <v>0</v>
      </c>
    </row>
    <row r="9933" spans="1:5" x14ac:dyDescent="0.35">
      <c r="A9933">
        <v>0</v>
      </c>
      <c r="B9933">
        <v>0</v>
      </c>
      <c r="C9933">
        <v>0</v>
      </c>
      <c r="D9933">
        <v>0</v>
      </c>
      <c r="E9933">
        <v>0</v>
      </c>
    </row>
    <row r="9934" spans="1:5" x14ac:dyDescent="0.35">
      <c r="A9934">
        <v>0</v>
      </c>
      <c r="B9934">
        <v>0</v>
      </c>
      <c r="C9934">
        <v>0</v>
      </c>
      <c r="D9934">
        <v>0</v>
      </c>
      <c r="E9934">
        <v>0</v>
      </c>
    </row>
    <row r="9935" spans="1:5" x14ac:dyDescent="0.35">
      <c r="A9935">
        <v>0</v>
      </c>
      <c r="B9935">
        <v>0</v>
      </c>
      <c r="C9935">
        <v>0</v>
      </c>
      <c r="D9935">
        <v>0</v>
      </c>
      <c r="E9935">
        <v>0</v>
      </c>
    </row>
    <row r="9936" spans="1:5" x14ac:dyDescent="0.35">
      <c r="A9936">
        <v>0</v>
      </c>
      <c r="B9936">
        <v>0</v>
      </c>
      <c r="C9936">
        <v>0</v>
      </c>
      <c r="D9936">
        <v>0</v>
      </c>
      <c r="E9936">
        <v>0</v>
      </c>
    </row>
    <row r="9937" spans="1:5" x14ac:dyDescent="0.35">
      <c r="A9937">
        <v>0</v>
      </c>
      <c r="B9937">
        <v>0</v>
      </c>
      <c r="C9937">
        <v>0</v>
      </c>
      <c r="D9937">
        <v>0</v>
      </c>
      <c r="E9937">
        <v>0</v>
      </c>
    </row>
    <row r="9938" spans="1:5" x14ac:dyDescent="0.35">
      <c r="A9938">
        <v>0</v>
      </c>
      <c r="B9938">
        <v>0</v>
      </c>
      <c r="C9938">
        <v>0</v>
      </c>
      <c r="D9938">
        <v>0</v>
      </c>
      <c r="E9938">
        <v>0</v>
      </c>
    </row>
    <row r="9939" spans="1:5" x14ac:dyDescent="0.35">
      <c r="A9939">
        <v>0</v>
      </c>
      <c r="B9939">
        <v>0</v>
      </c>
      <c r="C9939">
        <v>0</v>
      </c>
      <c r="D9939">
        <v>0</v>
      </c>
      <c r="E9939">
        <v>0</v>
      </c>
    </row>
    <row r="9940" spans="1:5" x14ac:dyDescent="0.35">
      <c r="A9940">
        <v>0</v>
      </c>
      <c r="B9940">
        <v>0</v>
      </c>
      <c r="C9940">
        <v>0</v>
      </c>
      <c r="D9940">
        <v>0</v>
      </c>
      <c r="E9940">
        <v>0</v>
      </c>
    </row>
    <row r="9941" spans="1:5" x14ac:dyDescent="0.35">
      <c r="A9941">
        <v>0</v>
      </c>
      <c r="B9941">
        <v>0</v>
      </c>
      <c r="C9941">
        <v>0</v>
      </c>
      <c r="D9941">
        <v>0</v>
      </c>
      <c r="E9941">
        <v>0</v>
      </c>
    </row>
    <row r="9942" spans="1:5" x14ac:dyDescent="0.35">
      <c r="A9942">
        <v>0</v>
      </c>
      <c r="B9942">
        <v>0</v>
      </c>
      <c r="C9942">
        <v>0</v>
      </c>
      <c r="D9942">
        <v>0</v>
      </c>
      <c r="E9942">
        <v>0</v>
      </c>
    </row>
    <row r="9943" spans="1:5" x14ac:dyDescent="0.35">
      <c r="A9943">
        <v>0</v>
      </c>
      <c r="B9943">
        <v>0</v>
      </c>
      <c r="C9943">
        <v>0</v>
      </c>
      <c r="D9943">
        <v>0</v>
      </c>
      <c r="E9943">
        <v>0</v>
      </c>
    </row>
    <row r="9944" spans="1:5" x14ac:dyDescent="0.35">
      <c r="A9944">
        <v>0</v>
      </c>
      <c r="B9944">
        <v>0</v>
      </c>
      <c r="C9944">
        <v>0</v>
      </c>
      <c r="D9944">
        <v>0</v>
      </c>
      <c r="E9944">
        <v>0</v>
      </c>
    </row>
    <row r="9945" spans="1:5" x14ac:dyDescent="0.35">
      <c r="A9945">
        <v>0</v>
      </c>
      <c r="B9945">
        <v>0</v>
      </c>
      <c r="C9945">
        <v>0</v>
      </c>
      <c r="D9945">
        <v>0</v>
      </c>
      <c r="E9945">
        <v>0</v>
      </c>
    </row>
    <row r="9946" spans="1:5" x14ac:dyDescent="0.35">
      <c r="A9946">
        <v>0</v>
      </c>
      <c r="B9946">
        <v>0</v>
      </c>
      <c r="C9946">
        <v>0</v>
      </c>
      <c r="D9946">
        <v>0</v>
      </c>
      <c r="E9946">
        <v>0</v>
      </c>
    </row>
    <row r="9947" spans="1:5" x14ac:dyDescent="0.35">
      <c r="A9947">
        <v>0</v>
      </c>
      <c r="B9947">
        <v>0</v>
      </c>
      <c r="C9947">
        <v>0</v>
      </c>
      <c r="D9947">
        <v>0</v>
      </c>
      <c r="E9947">
        <v>0</v>
      </c>
    </row>
    <row r="9948" spans="1:5" x14ac:dyDescent="0.35">
      <c r="A9948">
        <v>0</v>
      </c>
      <c r="B9948">
        <v>0</v>
      </c>
      <c r="C9948">
        <v>0</v>
      </c>
      <c r="D9948">
        <v>0</v>
      </c>
      <c r="E9948">
        <v>0</v>
      </c>
    </row>
    <row r="9949" spans="1:5" x14ac:dyDescent="0.35">
      <c r="A9949">
        <v>0</v>
      </c>
      <c r="B9949">
        <v>0</v>
      </c>
      <c r="C9949">
        <v>0</v>
      </c>
      <c r="D9949">
        <v>0</v>
      </c>
      <c r="E9949">
        <v>0</v>
      </c>
    </row>
    <row r="9950" spans="1:5" x14ac:dyDescent="0.35">
      <c r="A9950">
        <v>0</v>
      </c>
      <c r="B9950">
        <v>0</v>
      </c>
      <c r="C9950">
        <v>0</v>
      </c>
      <c r="D9950">
        <v>0</v>
      </c>
      <c r="E9950">
        <v>0</v>
      </c>
    </row>
    <row r="9951" spans="1:5" x14ac:dyDescent="0.35">
      <c r="A9951">
        <v>0</v>
      </c>
      <c r="B9951">
        <v>0</v>
      </c>
      <c r="C9951">
        <v>0</v>
      </c>
      <c r="D9951">
        <v>0</v>
      </c>
      <c r="E9951">
        <v>0</v>
      </c>
    </row>
    <row r="9952" spans="1:5" x14ac:dyDescent="0.35">
      <c r="A9952">
        <v>0</v>
      </c>
      <c r="B9952">
        <v>0</v>
      </c>
      <c r="C9952">
        <v>0</v>
      </c>
      <c r="D9952">
        <v>0</v>
      </c>
      <c r="E9952">
        <v>0</v>
      </c>
    </row>
    <row r="9953" spans="1:5" x14ac:dyDescent="0.35">
      <c r="A9953">
        <v>0</v>
      </c>
      <c r="B9953">
        <v>0</v>
      </c>
      <c r="C9953">
        <v>0</v>
      </c>
      <c r="D9953">
        <v>0</v>
      </c>
      <c r="E9953">
        <v>0</v>
      </c>
    </row>
    <row r="9954" spans="1:5" x14ac:dyDescent="0.35">
      <c r="A9954">
        <v>0</v>
      </c>
      <c r="B9954">
        <v>0</v>
      </c>
      <c r="C9954">
        <v>0</v>
      </c>
      <c r="D9954">
        <v>0</v>
      </c>
      <c r="E9954">
        <v>0</v>
      </c>
    </row>
    <row r="9955" spans="1:5" x14ac:dyDescent="0.35">
      <c r="A9955">
        <v>0</v>
      </c>
      <c r="B9955">
        <v>0</v>
      </c>
      <c r="C9955">
        <v>0</v>
      </c>
      <c r="D9955">
        <v>0</v>
      </c>
      <c r="E9955">
        <v>0</v>
      </c>
    </row>
    <row r="9956" spans="1:5" x14ac:dyDescent="0.35">
      <c r="A9956">
        <v>0</v>
      </c>
      <c r="B9956">
        <v>0</v>
      </c>
      <c r="C9956">
        <v>0</v>
      </c>
      <c r="D9956">
        <v>0</v>
      </c>
      <c r="E9956">
        <v>0</v>
      </c>
    </row>
    <row r="9957" spans="1:5" x14ac:dyDescent="0.35">
      <c r="A9957">
        <v>0</v>
      </c>
      <c r="B9957">
        <v>0</v>
      </c>
      <c r="C9957">
        <v>0</v>
      </c>
      <c r="D9957">
        <v>0</v>
      </c>
      <c r="E9957">
        <v>0</v>
      </c>
    </row>
    <row r="9958" spans="1:5" x14ac:dyDescent="0.35">
      <c r="A9958">
        <v>0</v>
      </c>
      <c r="B9958">
        <v>0</v>
      </c>
      <c r="C9958">
        <v>0</v>
      </c>
      <c r="D9958">
        <v>0</v>
      </c>
      <c r="E9958">
        <v>0</v>
      </c>
    </row>
    <row r="9959" spans="1:5" x14ac:dyDescent="0.35">
      <c r="A9959">
        <v>0</v>
      </c>
      <c r="B9959">
        <v>0</v>
      </c>
      <c r="C9959">
        <v>0</v>
      </c>
      <c r="D9959">
        <v>0</v>
      </c>
      <c r="E9959">
        <v>0</v>
      </c>
    </row>
    <row r="9960" spans="1:5" x14ac:dyDescent="0.35">
      <c r="A9960">
        <v>0</v>
      </c>
      <c r="B9960">
        <v>0</v>
      </c>
      <c r="C9960">
        <v>0</v>
      </c>
      <c r="D9960">
        <v>0</v>
      </c>
      <c r="E9960">
        <v>0</v>
      </c>
    </row>
    <row r="9961" spans="1:5" x14ac:dyDescent="0.35">
      <c r="A9961">
        <v>0</v>
      </c>
      <c r="B9961">
        <v>0</v>
      </c>
      <c r="C9961">
        <v>0</v>
      </c>
      <c r="D9961">
        <v>0</v>
      </c>
      <c r="E9961">
        <v>0</v>
      </c>
    </row>
    <row r="9962" spans="1:5" x14ac:dyDescent="0.35">
      <c r="A9962">
        <v>0</v>
      </c>
      <c r="B9962">
        <v>0</v>
      </c>
      <c r="C9962">
        <v>0</v>
      </c>
      <c r="D9962">
        <v>0</v>
      </c>
      <c r="E9962">
        <v>0</v>
      </c>
    </row>
    <row r="9963" spans="1:5" x14ac:dyDescent="0.35">
      <c r="A9963">
        <v>0</v>
      </c>
      <c r="B9963">
        <v>0</v>
      </c>
      <c r="C9963">
        <v>0</v>
      </c>
      <c r="D9963">
        <v>0</v>
      </c>
      <c r="E9963">
        <v>0</v>
      </c>
    </row>
    <row r="9964" spans="1:5" x14ac:dyDescent="0.35">
      <c r="A9964">
        <v>0</v>
      </c>
      <c r="B9964">
        <v>0</v>
      </c>
      <c r="C9964">
        <v>0</v>
      </c>
      <c r="D9964">
        <v>0</v>
      </c>
      <c r="E9964">
        <v>0</v>
      </c>
    </row>
    <row r="9965" spans="1:5" x14ac:dyDescent="0.35">
      <c r="A9965">
        <v>0</v>
      </c>
      <c r="B9965">
        <v>0</v>
      </c>
      <c r="C9965">
        <v>0</v>
      </c>
      <c r="D9965">
        <v>0</v>
      </c>
      <c r="E9965">
        <v>0</v>
      </c>
    </row>
    <row r="9966" spans="1:5" x14ac:dyDescent="0.35">
      <c r="A9966">
        <v>0</v>
      </c>
      <c r="B9966">
        <v>0</v>
      </c>
      <c r="C9966">
        <v>0</v>
      </c>
      <c r="D9966">
        <v>0</v>
      </c>
      <c r="E9966">
        <v>0</v>
      </c>
    </row>
    <row r="9967" spans="1:5" x14ac:dyDescent="0.35">
      <c r="A9967">
        <v>0</v>
      </c>
      <c r="B9967">
        <v>0</v>
      </c>
      <c r="C9967">
        <v>0</v>
      </c>
      <c r="D9967">
        <v>0</v>
      </c>
      <c r="E9967">
        <v>0</v>
      </c>
    </row>
    <row r="9968" spans="1:5" x14ac:dyDescent="0.35">
      <c r="A9968">
        <v>0</v>
      </c>
      <c r="B9968">
        <v>0</v>
      </c>
      <c r="C9968">
        <v>0</v>
      </c>
      <c r="D9968">
        <v>0</v>
      </c>
      <c r="E9968">
        <v>0</v>
      </c>
    </row>
    <row r="9969" spans="1:5" x14ac:dyDescent="0.35">
      <c r="A9969">
        <v>0</v>
      </c>
      <c r="B9969">
        <v>0</v>
      </c>
      <c r="C9969">
        <v>0</v>
      </c>
      <c r="D9969">
        <v>0</v>
      </c>
      <c r="E9969">
        <v>0</v>
      </c>
    </row>
    <row r="9970" spans="1:5" x14ac:dyDescent="0.35">
      <c r="A9970">
        <v>0</v>
      </c>
      <c r="B9970">
        <v>0</v>
      </c>
      <c r="C9970">
        <v>0</v>
      </c>
      <c r="D9970">
        <v>0</v>
      </c>
      <c r="E9970">
        <v>0</v>
      </c>
    </row>
    <row r="9971" spans="1:5" x14ac:dyDescent="0.35">
      <c r="A9971">
        <v>0</v>
      </c>
      <c r="B9971">
        <v>0</v>
      </c>
      <c r="C9971">
        <v>0</v>
      </c>
      <c r="D9971">
        <v>0</v>
      </c>
      <c r="E9971">
        <v>0</v>
      </c>
    </row>
    <row r="9972" spans="1:5" x14ac:dyDescent="0.35">
      <c r="A9972">
        <v>0</v>
      </c>
      <c r="B9972">
        <v>0</v>
      </c>
      <c r="C9972">
        <v>0</v>
      </c>
      <c r="D9972">
        <v>0</v>
      </c>
      <c r="E9972">
        <v>0</v>
      </c>
    </row>
    <row r="9973" spans="1:5" x14ac:dyDescent="0.35">
      <c r="A9973">
        <v>0</v>
      </c>
      <c r="B9973">
        <v>0</v>
      </c>
      <c r="C9973">
        <v>0</v>
      </c>
      <c r="D9973">
        <v>0</v>
      </c>
      <c r="E9973">
        <v>0</v>
      </c>
    </row>
    <row r="9974" spans="1:5" x14ac:dyDescent="0.35">
      <c r="A9974">
        <v>0</v>
      </c>
      <c r="B9974">
        <v>0</v>
      </c>
      <c r="C9974">
        <v>0</v>
      </c>
      <c r="D9974">
        <v>0</v>
      </c>
      <c r="E9974">
        <v>0</v>
      </c>
    </row>
    <row r="9975" spans="1:5" x14ac:dyDescent="0.35">
      <c r="A9975">
        <v>0</v>
      </c>
      <c r="B9975">
        <v>0</v>
      </c>
      <c r="C9975">
        <v>0</v>
      </c>
      <c r="D9975">
        <v>0</v>
      </c>
      <c r="E9975">
        <v>0</v>
      </c>
    </row>
    <row r="9976" spans="1:5" x14ac:dyDescent="0.35">
      <c r="A9976">
        <v>0</v>
      </c>
      <c r="B9976">
        <v>0</v>
      </c>
      <c r="C9976">
        <v>0</v>
      </c>
      <c r="D9976">
        <v>0</v>
      </c>
      <c r="E9976">
        <v>0</v>
      </c>
    </row>
    <row r="9977" spans="1:5" x14ac:dyDescent="0.35">
      <c r="A9977">
        <v>0</v>
      </c>
      <c r="B9977">
        <v>0</v>
      </c>
      <c r="C9977">
        <v>0</v>
      </c>
      <c r="D9977">
        <v>0</v>
      </c>
      <c r="E9977">
        <v>0</v>
      </c>
    </row>
    <row r="9978" spans="1:5" x14ac:dyDescent="0.35">
      <c r="A9978">
        <v>0</v>
      </c>
      <c r="B9978">
        <v>0</v>
      </c>
      <c r="C9978">
        <v>0</v>
      </c>
      <c r="D9978">
        <v>0</v>
      </c>
      <c r="E9978">
        <v>0</v>
      </c>
    </row>
    <row r="9979" spans="1:5" x14ac:dyDescent="0.35">
      <c r="A9979">
        <v>0</v>
      </c>
      <c r="B9979">
        <v>0</v>
      </c>
      <c r="C9979">
        <v>0</v>
      </c>
      <c r="D9979">
        <v>0</v>
      </c>
      <c r="E9979">
        <v>0</v>
      </c>
    </row>
    <row r="9980" spans="1:5" x14ac:dyDescent="0.35">
      <c r="A9980">
        <v>0</v>
      </c>
      <c r="B9980">
        <v>0</v>
      </c>
      <c r="C9980">
        <v>0</v>
      </c>
      <c r="D9980">
        <v>0</v>
      </c>
      <c r="E9980">
        <v>0</v>
      </c>
    </row>
    <row r="9981" spans="1:5" x14ac:dyDescent="0.35">
      <c r="A9981">
        <v>0</v>
      </c>
      <c r="B9981">
        <v>0</v>
      </c>
      <c r="C9981">
        <v>0</v>
      </c>
      <c r="D9981">
        <v>0</v>
      </c>
      <c r="E9981">
        <v>0</v>
      </c>
    </row>
    <row r="9982" spans="1:5" x14ac:dyDescent="0.35">
      <c r="A9982">
        <v>0</v>
      </c>
      <c r="B9982">
        <v>0</v>
      </c>
      <c r="C9982">
        <v>0</v>
      </c>
      <c r="D9982">
        <v>0</v>
      </c>
      <c r="E9982">
        <v>0</v>
      </c>
    </row>
    <row r="9983" spans="1:5" x14ac:dyDescent="0.35">
      <c r="A9983">
        <v>0</v>
      </c>
      <c r="B9983">
        <v>0</v>
      </c>
      <c r="C9983">
        <v>0</v>
      </c>
      <c r="D9983">
        <v>0</v>
      </c>
      <c r="E9983">
        <v>0</v>
      </c>
    </row>
    <row r="9984" spans="1:5" x14ac:dyDescent="0.35">
      <c r="A9984">
        <v>0</v>
      </c>
      <c r="B9984">
        <v>0</v>
      </c>
      <c r="C9984">
        <v>0</v>
      </c>
      <c r="D9984">
        <v>0</v>
      </c>
      <c r="E9984">
        <v>0</v>
      </c>
    </row>
    <row r="9985" spans="1:5" x14ac:dyDescent="0.35">
      <c r="A9985">
        <v>0</v>
      </c>
      <c r="B9985">
        <v>0</v>
      </c>
      <c r="C9985">
        <v>0</v>
      </c>
      <c r="D9985">
        <v>0</v>
      </c>
      <c r="E9985">
        <v>0</v>
      </c>
    </row>
    <row r="9986" spans="1:5" x14ac:dyDescent="0.35">
      <c r="A9986">
        <v>0</v>
      </c>
      <c r="B9986">
        <v>0</v>
      </c>
      <c r="C9986">
        <v>0</v>
      </c>
      <c r="D9986">
        <v>0</v>
      </c>
      <c r="E9986">
        <v>0</v>
      </c>
    </row>
    <row r="9987" spans="1:5" x14ac:dyDescent="0.35">
      <c r="A9987">
        <v>0</v>
      </c>
      <c r="B9987">
        <v>0</v>
      </c>
      <c r="C9987">
        <v>0</v>
      </c>
      <c r="D9987">
        <v>0</v>
      </c>
      <c r="E9987">
        <v>0</v>
      </c>
    </row>
    <row r="9988" spans="1:5" x14ac:dyDescent="0.35">
      <c r="A9988">
        <v>0</v>
      </c>
      <c r="B9988">
        <v>0</v>
      </c>
      <c r="C9988">
        <v>0</v>
      </c>
      <c r="D9988">
        <v>0</v>
      </c>
      <c r="E9988">
        <v>0</v>
      </c>
    </row>
    <row r="9989" spans="1:5" x14ac:dyDescent="0.35">
      <c r="A9989">
        <v>0</v>
      </c>
      <c r="B9989">
        <v>0</v>
      </c>
      <c r="C9989">
        <v>0</v>
      </c>
      <c r="D9989">
        <v>0</v>
      </c>
      <c r="E9989">
        <v>0</v>
      </c>
    </row>
    <row r="9990" spans="1:5" x14ac:dyDescent="0.35">
      <c r="A9990">
        <v>0</v>
      </c>
      <c r="B9990">
        <v>0</v>
      </c>
      <c r="C9990">
        <v>0</v>
      </c>
      <c r="D9990">
        <v>0</v>
      </c>
      <c r="E9990">
        <v>0</v>
      </c>
    </row>
    <row r="9991" spans="1:5" x14ac:dyDescent="0.35">
      <c r="A9991">
        <v>0</v>
      </c>
      <c r="B9991">
        <v>0</v>
      </c>
      <c r="C9991">
        <v>0</v>
      </c>
      <c r="D9991">
        <v>0</v>
      </c>
      <c r="E9991">
        <v>0</v>
      </c>
    </row>
    <row r="9992" spans="1:5" x14ac:dyDescent="0.35">
      <c r="A9992">
        <v>0</v>
      </c>
      <c r="B9992">
        <v>0</v>
      </c>
      <c r="C9992">
        <v>0</v>
      </c>
      <c r="D9992">
        <v>0</v>
      </c>
      <c r="E9992">
        <v>0</v>
      </c>
    </row>
    <row r="9993" spans="1:5" x14ac:dyDescent="0.35">
      <c r="A9993">
        <v>0</v>
      </c>
      <c r="B9993">
        <v>0</v>
      </c>
      <c r="C9993">
        <v>0</v>
      </c>
      <c r="D9993">
        <v>0</v>
      </c>
      <c r="E9993">
        <v>0</v>
      </c>
    </row>
    <row r="9994" spans="1:5" x14ac:dyDescent="0.35">
      <c r="A9994">
        <v>0</v>
      </c>
      <c r="B9994">
        <v>0</v>
      </c>
      <c r="C9994">
        <v>0</v>
      </c>
      <c r="D9994">
        <v>0</v>
      </c>
      <c r="E9994">
        <v>0</v>
      </c>
    </row>
    <row r="9995" spans="1:5" x14ac:dyDescent="0.35">
      <c r="A9995">
        <v>0</v>
      </c>
      <c r="B9995">
        <v>0</v>
      </c>
      <c r="C9995">
        <v>0</v>
      </c>
      <c r="D9995">
        <v>0</v>
      </c>
      <c r="E9995">
        <v>0</v>
      </c>
    </row>
    <row r="9996" spans="1:5" x14ac:dyDescent="0.35">
      <c r="A9996">
        <v>0</v>
      </c>
      <c r="B9996">
        <v>0</v>
      </c>
      <c r="C9996">
        <v>0</v>
      </c>
      <c r="D9996">
        <v>0</v>
      </c>
      <c r="E9996">
        <v>0</v>
      </c>
    </row>
    <row r="9997" spans="1:5" x14ac:dyDescent="0.35">
      <c r="A9997">
        <v>0</v>
      </c>
      <c r="B9997">
        <v>0</v>
      </c>
      <c r="C9997">
        <v>0</v>
      </c>
      <c r="D9997">
        <v>0</v>
      </c>
      <c r="E9997">
        <v>0</v>
      </c>
    </row>
    <row r="9998" spans="1:5" x14ac:dyDescent="0.35">
      <c r="A9998">
        <v>0</v>
      </c>
      <c r="B9998">
        <v>0</v>
      </c>
      <c r="C9998">
        <v>0</v>
      </c>
      <c r="D9998">
        <v>0</v>
      </c>
      <c r="E9998">
        <v>0</v>
      </c>
    </row>
    <row r="9999" spans="1:5" x14ac:dyDescent="0.35">
      <c r="A9999">
        <v>0</v>
      </c>
      <c r="B9999">
        <v>0</v>
      </c>
      <c r="C9999">
        <v>0</v>
      </c>
      <c r="D9999">
        <v>0</v>
      </c>
      <c r="E9999">
        <v>0</v>
      </c>
    </row>
    <row r="10000" spans="1:5" x14ac:dyDescent="0.35">
      <c r="A10000">
        <v>0</v>
      </c>
      <c r="B10000">
        <v>0</v>
      </c>
      <c r="C10000">
        <v>0</v>
      </c>
      <c r="D10000">
        <v>0</v>
      </c>
      <c r="E10000">
        <v>0</v>
      </c>
    </row>
  </sheetData>
  <phoneticPr fontId="16" type="noConversion"/>
  <conditionalFormatting sqref="F2:F61 K2:K61 K63">
    <cfRule type="cellIs" dxfId="9" priority="16" operator="equal">
      <formula>TRUE</formula>
    </cfRule>
  </conditionalFormatting>
  <conditionalFormatting sqref="P2:P59">
    <cfRule type="cellIs" dxfId="8" priority="14" operator="equal">
      <formula>TRUE</formula>
    </cfRule>
  </conditionalFormatting>
  <conditionalFormatting sqref="U2:U57">
    <cfRule type="cellIs" dxfId="7" priority="13" operator="equal">
      <formula>TRUE</formula>
    </cfRule>
  </conditionalFormatting>
  <conditionalFormatting sqref="Z2:Z57">
    <cfRule type="cellIs" dxfId="6" priority="12" operator="equal">
      <formula>TRUE</formula>
    </cfRule>
  </conditionalFormatting>
  <conditionalFormatting sqref="AE2:AE67">
    <cfRule type="cellIs" dxfId="5" priority="4" operator="equal">
      <formula>TRUE</formula>
    </cfRule>
  </conditionalFormatting>
  <conditionalFormatting sqref="AJ2:AJ67">
    <cfRule type="cellIs" dxfId="4" priority="9" operator="equal">
      <formula>TRUE</formula>
    </cfRule>
  </conditionalFormatting>
  <conditionalFormatting sqref="AO2:AO67">
    <cfRule type="cellIs" dxfId="3" priority="3" operator="equal">
      <formula>TRUE</formula>
    </cfRule>
  </conditionalFormatting>
  <conditionalFormatting sqref="AT2:AT67">
    <cfRule type="cellIs" dxfId="2" priority="2" operator="equal">
      <formula>TRUE</formula>
    </cfRule>
  </conditionalFormatting>
  <conditionalFormatting sqref="AY2:AY60">
    <cfRule type="cellIs" dxfId="1" priority="1" operator="equal">
      <formula>TRUE</formula>
    </cfRule>
  </conditionalFormatting>
  <conditionalFormatting sqref="BC2:BC34 A2:A76 BC36:BC60 AY62:AY67 BC62:BC67">
    <cfRule type="cellIs" dxfId="0" priority="11" operator="equal">
      <formula>TRUE</formula>
    </cfRule>
  </conditionalFormatting>
  <pageMargins left="0.7" right="0.7" top="0.75" bottom="0.75" header="0.3" footer="0.3"/>
  <pageSetup paperSize="9" orientation="portrait" verticalDpi="0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22DE-667C-456E-81F8-5DEE45F6943E}">
  <sheetPr codeName="Sheet5"/>
  <dimension ref="A1:H76"/>
  <sheetViews>
    <sheetView topLeftCell="A18" zoomScale="66" workbookViewId="0">
      <selection activeCell="A76" sqref="A76"/>
    </sheetView>
  </sheetViews>
  <sheetFormatPr baseColWidth="10" defaultColWidth="8.7265625" defaultRowHeight="14.5" x14ac:dyDescent="0.35"/>
  <cols>
    <col min="1" max="1" width="28.81640625" bestFit="1" customWidth="1"/>
    <col min="2" max="2" width="18.1796875" bestFit="1" customWidth="1"/>
    <col min="3" max="3" width="17.81640625" bestFit="1" customWidth="1"/>
  </cols>
  <sheetData>
    <row r="1" spans="1:3" x14ac:dyDescent="0.35">
      <c r="A1" t="s">
        <v>183</v>
      </c>
      <c r="B1" t="s">
        <v>280</v>
      </c>
      <c r="C1" t="s">
        <v>281</v>
      </c>
    </row>
    <row r="2" spans="1:3" x14ac:dyDescent="0.35">
      <c r="A2" t="s">
        <v>88</v>
      </c>
      <c r="B2">
        <v>576</v>
      </c>
      <c r="C2">
        <v>17280</v>
      </c>
    </row>
    <row r="3" spans="1:3" x14ac:dyDescent="0.35">
      <c r="A3" t="s">
        <v>89</v>
      </c>
      <c r="B3">
        <v>500</v>
      </c>
      <c r="C3">
        <v>15000</v>
      </c>
    </row>
    <row r="4" spans="1:3" x14ac:dyDescent="0.35">
      <c r="A4" t="s">
        <v>90</v>
      </c>
      <c r="B4">
        <v>628</v>
      </c>
      <c r="C4">
        <v>18840</v>
      </c>
    </row>
    <row r="5" spans="1:3" x14ac:dyDescent="0.35">
      <c r="A5" t="s">
        <v>91</v>
      </c>
      <c r="B5">
        <v>229</v>
      </c>
      <c r="C5">
        <v>6870</v>
      </c>
    </row>
    <row r="6" spans="1:3" x14ac:dyDescent="0.35">
      <c r="A6" t="s">
        <v>92</v>
      </c>
      <c r="B6">
        <v>438</v>
      </c>
      <c r="C6">
        <v>13140</v>
      </c>
    </row>
    <row r="7" spans="1:3" x14ac:dyDescent="0.35">
      <c r="A7" t="s">
        <v>93</v>
      </c>
      <c r="B7">
        <v>121</v>
      </c>
      <c r="C7">
        <v>3332</v>
      </c>
    </row>
    <row r="8" spans="1:3" x14ac:dyDescent="0.35">
      <c r="A8" t="s">
        <v>94</v>
      </c>
      <c r="B8">
        <v>21</v>
      </c>
      <c r="C8">
        <v>840</v>
      </c>
    </row>
    <row r="9" spans="1:3" x14ac:dyDescent="0.35">
      <c r="A9" t="s">
        <v>95</v>
      </c>
      <c r="B9">
        <v>17</v>
      </c>
      <c r="C9">
        <v>425</v>
      </c>
    </row>
    <row r="10" spans="1:3" x14ac:dyDescent="0.35">
      <c r="A10" t="s">
        <v>96</v>
      </c>
      <c r="B10">
        <v>44</v>
      </c>
      <c r="C10">
        <v>1125</v>
      </c>
    </row>
    <row r="11" spans="1:3" x14ac:dyDescent="0.35">
      <c r="A11" t="s">
        <v>97</v>
      </c>
      <c r="B11">
        <v>107</v>
      </c>
      <c r="C11">
        <v>2889</v>
      </c>
    </row>
    <row r="12" spans="1:3" x14ac:dyDescent="0.35">
      <c r="A12" t="s">
        <v>98</v>
      </c>
      <c r="B12">
        <v>262</v>
      </c>
      <c r="C12">
        <v>7074</v>
      </c>
    </row>
    <row r="13" spans="1:3" x14ac:dyDescent="0.35">
      <c r="A13" t="s">
        <v>99</v>
      </c>
      <c r="B13">
        <v>124</v>
      </c>
      <c r="C13">
        <v>3348</v>
      </c>
    </row>
    <row r="14" spans="1:3" x14ac:dyDescent="0.35">
      <c r="A14" t="s">
        <v>100</v>
      </c>
      <c r="B14">
        <v>50</v>
      </c>
      <c r="C14">
        <v>1233</v>
      </c>
    </row>
    <row r="15" spans="1:3" x14ac:dyDescent="0.35">
      <c r="A15" t="s">
        <v>101</v>
      </c>
      <c r="B15">
        <v>291</v>
      </c>
      <c r="C15">
        <v>4365</v>
      </c>
    </row>
    <row r="16" spans="1:3" x14ac:dyDescent="0.35">
      <c r="A16" t="s">
        <v>102</v>
      </c>
      <c r="B16">
        <v>356</v>
      </c>
      <c r="C16">
        <v>5509</v>
      </c>
    </row>
    <row r="17" spans="1:3" x14ac:dyDescent="0.35">
      <c r="A17" t="s">
        <v>103</v>
      </c>
      <c r="B17">
        <v>280</v>
      </c>
      <c r="C17">
        <v>7840</v>
      </c>
    </row>
    <row r="18" spans="1:3" x14ac:dyDescent="0.35">
      <c r="A18" t="s">
        <v>105</v>
      </c>
      <c r="B18">
        <v>191</v>
      </c>
      <c r="C18">
        <v>5348</v>
      </c>
    </row>
    <row r="19" spans="1:3" x14ac:dyDescent="0.35">
      <c r="A19" t="s">
        <v>107</v>
      </c>
      <c r="B19">
        <v>476</v>
      </c>
      <c r="C19">
        <v>13328</v>
      </c>
    </row>
    <row r="20" spans="1:3" x14ac:dyDescent="0.35">
      <c r="A20" t="s">
        <v>111</v>
      </c>
      <c r="B20">
        <v>70</v>
      </c>
      <c r="C20">
        <v>2082</v>
      </c>
    </row>
    <row r="21" spans="1:3" x14ac:dyDescent="0.35">
      <c r="A21" t="s">
        <v>112</v>
      </c>
      <c r="B21">
        <v>110</v>
      </c>
      <c r="C21">
        <v>2640</v>
      </c>
    </row>
    <row r="22" spans="1:3" x14ac:dyDescent="0.35">
      <c r="A22" t="s">
        <v>113</v>
      </c>
      <c r="B22">
        <v>73</v>
      </c>
      <c r="C22">
        <v>1752</v>
      </c>
    </row>
    <row r="23" spans="1:3" x14ac:dyDescent="0.35">
      <c r="A23" t="s">
        <v>114</v>
      </c>
      <c r="B23">
        <v>135</v>
      </c>
      <c r="C23">
        <v>3240</v>
      </c>
    </row>
    <row r="24" spans="1:3" x14ac:dyDescent="0.35">
      <c r="A24" t="s">
        <v>115</v>
      </c>
      <c r="B24">
        <v>140</v>
      </c>
      <c r="C24">
        <v>3360</v>
      </c>
    </row>
    <row r="25" spans="1:3" x14ac:dyDescent="0.35">
      <c r="A25" t="s">
        <v>116</v>
      </c>
      <c r="B25">
        <v>82</v>
      </c>
      <c r="C25">
        <v>1968</v>
      </c>
    </row>
    <row r="26" spans="1:3" x14ac:dyDescent="0.35">
      <c r="A26" t="s">
        <v>117</v>
      </c>
      <c r="B26">
        <v>37</v>
      </c>
      <c r="C26">
        <v>870</v>
      </c>
    </row>
    <row r="27" spans="1:3" x14ac:dyDescent="0.35">
      <c r="A27" t="s">
        <v>118</v>
      </c>
      <c r="B27">
        <v>363</v>
      </c>
      <c r="C27">
        <v>5497</v>
      </c>
    </row>
    <row r="28" spans="1:3" x14ac:dyDescent="0.35">
      <c r="A28" t="s">
        <v>119</v>
      </c>
      <c r="B28">
        <v>330</v>
      </c>
      <c r="C28">
        <v>9240</v>
      </c>
    </row>
    <row r="29" spans="1:3" x14ac:dyDescent="0.35">
      <c r="A29" t="s">
        <v>120</v>
      </c>
      <c r="B29">
        <v>75</v>
      </c>
      <c r="C29">
        <v>2100</v>
      </c>
    </row>
    <row r="30" spans="1:3" x14ac:dyDescent="0.35">
      <c r="A30" t="s">
        <v>121</v>
      </c>
      <c r="B30">
        <v>493</v>
      </c>
      <c r="C30">
        <v>13740</v>
      </c>
    </row>
    <row r="31" spans="1:3" x14ac:dyDescent="0.35">
      <c r="A31" t="s">
        <v>122</v>
      </c>
      <c r="B31">
        <v>838</v>
      </c>
      <c r="C31">
        <v>16760</v>
      </c>
    </row>
    <row r="32" spans="1:3" x14ac:dyDescent="0.35">
      <c r="A32" t="s">
        <v>123</v>
      </c>
      <c r="B32">
        <v>349</v>
      </c>
      <c r="C32">
        <v>6980</v>
      </c>
    </row>
    <row r="33" spans="1:3" x14ac:dyDescent="0.35">
      <c r="A33" t="s">
        <v>124</v>
      </c>
      <c r="B33">
        <v>117</v>
      </c>
      <c r="C33">
        <v>2340</v>
      </c>
    </row>
    <row r="34" spans="1:3" x14ac:dyDescent="0.35">
      <c r="A34" t="s">
        <v>126</v>
      </c>
      <c r="B34">
        <v>93</v>
      </c>
      <c r="C34">
        <v>2625</v>
      </c>
    </row>
    <row r="35" spans="1:3" x14ac:dyDescent="0.35">
      <c r="A35" t="s">
        <v>127</v>
      </c>
      <c r="B35">
        <v>62</v>
      </c>
      <c r="C35">
        <v>1736</v>
      </c>
    </row>
    <row r="36" spans="1:3" x14ac:dyDescent="0.35">
      <c r="A36" t="s">
        <v>128</v>
      </c>
      <c r="B36">
        <v>55</v>
      </c>
      <c r="C36">
        <v>1925</v>
      </c>
    </row>
    <row r="37" spans="1:3" x14ac:dyDescent="0.35">
      <c r="A37" t="s">
        <v>130</v>
      </c>
      <c r="B37">
        <v>58</v>
      </c>
      <c r="C37">
        <v>1955</v>
      </c>
    </row>
    <row r="38" spans="1:3" x14ac:dyDescent="0.35">
      <c r="A38" t="s">
        <v>131</v>
      </c>
      <c r="B38">
        <v>666</v>
      </c>
      <c r="C38">
        <v>12002</v>
      </c>
    </row>
    <row r="39" spans="1:3" x14ac:dyDescent="0.35">
      <c r="A39" t="s">
        <v>132</v>
      </c>
      <c r="B39">
        <v>1241</v>
      </c>
      <c r="C39">
        <v>12410</v>
      </c>
    </row>
    <row r="40" spans="1:3" x14ac:dyDescent="0.35">
      <c r="A40" t="s">
        <v>133</v>
      </c>
      <c r="B40">
        <v>104</v>
      </c>
      <c r="C40">
        <v>2600</v>
      </c>
    </row>
    <row r="41" spans="1:3" x14ac:dyDescent="0.35">
      <c r="A41" t="s">
        <v>136</v>
      </c>
      <c r="B41">
        <v>114</v>
      </c>
      <c r="C41">
        <v>2850</v>
      </c>
    </row>
    <row r="42" spans="1:3" x14ac:dyDescent="0.35">
      <c r="A42" t="s">
        <v>137</v>
      </c>
      <c r="B42">
        <v>142</v>
      </c>
      <c r="C42">
        <v>3976</v>
      </c>
    </row>
    <row r="43" spans="1:3" x14ac:dyDescent="0.35">
      <c r="A43" t="s">
        <v>138</v>
      </c>
      <c r="B43">
        <v>37</v>
      </c>
      <c r="C43">
        <v>1020</v>
      </c>
    </row>
    <row r="44" spans="1:3" x14ac:dyDescent="0.35">
      <c r="A44" t="s">
        <v>139</v>
      </c>
      <c r="B44">
        <v>49</v>
      </c>
      <c r="C44">
        <v>940</v>
      </c>
    </row>
    <row r="45" spans="1:3" x14ac:dyDescent="0.35">
      <c r="A45" t="s">
        <v>140</v>
      </c>
      <c r="B45">
        <v>62</v>
      </c>
      <c r="C45">
        <v>1120</v>
      </c>
    </row>
    <row r="46" spans="1:3" x14ac:dyDescent="0.35">
      <c r="A46" t="s">
        <v>141</v>
      </c>
      <c r="B46">
        <v>268</v>
      </c>
      <c r="C46">
        <v>2720</v>
      </c>
    </row>
    <row r="47" spans="1:3" x14ac:dyDescent="0.35">
      <c r="A47" t="s">
        <v>142</v>
      </c>
      <c r="B47">
        <v>704</v>
      </c>
      <c r="C47">
        <v>7040</v>
      </c>
    </row>
    <row r="48" spans="1:3" x14ac:dyDescent="0.35">
      <c r="A48" t="s">
        <v>143</v>
      </c>
      <c r="B48">
        <v>290</v>
      </c>
      <c r="C48">
        <v>5794</v>
      </c>
    </row>
    <row r="49" spans="1:8" x14ac:dyDescent="0.35">
      <c r="A49" t="s">
        <v>144</v>
      </c>
      <c r="B49">
        <v>187</v>
      </c>
      <c r="C49">
        <v>2805</v>
      </c>
    </row>
    <row r="50" spans="1:8" x14ac:dyDescent="0.35">
      <c r="A50" t="s">
        <v>145</v>
      </c>
      <c r="B50">
        <v>113</v>
      </c>
      <c r="C50">
        <v>2034</v>
      </c>
    </row>
    <row r="51" spans="1:8" x14ac:dyDescent="0.35">
      <c r="A51" t="s">
        <v>146</v>
      </c>
      <c r="B51">
        <v>145</v>
      </c>
      <c r="C51">
        <v>2610</v>
      </c>
    </row>
    <row r="52" spans="1:8" x14ac:dyDescent="0.35">
      <c r="A52" t="s">
        <v>147</v>
      </c>
      <c r="B52">
        <v>145</v>
      </c>
      <c r="C52">
        <v>2610</v>
      </c>
    </row>
    <row r="53" spans="1:8" x14ac:dyDescent="0.35">
      <c r="A53" t="s">
        <v>148</v>
      </c>
      <c r="B53">
        <v>15</v>
      </c>
      <c r="C53">
        <v>375</v>
      </c>
    </row>
    <row r="54" spans="1:8" x14ac:dyDescent="0.35">
      <c r="A54" t="s">
        <v>149</v>
      </c>
      <c r="B54">
        <v>312</v>
      </c>
      <c r="C54">
        <v>5750</v>
      </c>
    </row>
    <row r="55" spans="1:8" x14ac:dyDescent="0.35">
      <c r="A55" t="s">
        <v>150</v>
      </c>
      <c r="B55">
        <v>61</v>
      </c>
      <c r="C55">
        <v>2135</v>
      </c>
    </row>
    <row r="56" spans="1:8" x14ac:dyDescent="0.35">
      <c r="A56" t="s">
        <v>151</v>
      </c>
      <c r="B56">
        <v>617</v>
      </c>
      <c r="C56">
        <v>4936</v>
      </c>
    </row>
    <row r="57" spans="1:8" x14ac:dyDescent="0.35">
      <c r="A57" t="s">
        <v>152</v>
      </c>
      <c r="B57">
        <v>153</v>
      </c>
      <c r="C57">
        <v>2295</v>
      </c>
      <c r="H57" s="83"/>
    </row>
    <row r="58" spans="1:8" x14ac:dyDescent="0.35">
      <c r="A58" t="s">
        <v>153</v>
      </c>
      <c r="B58">
        <v>91</v>
      </c>
      <c r="C58">
        <v>728</v>
      </c>
    </row>
    <row r="59" spans="1:8" x14ac:dyDescent="0.35">
      <c r="A59" t="s">
        <v>154</v>
      </c>
      <c r="B59">
        <v>49</v>
      </c>
      <c r="C59">
        <v>418</v>
      </c>
    </row>
    <row r="60" spans="1:8" x14ac:dyDescent="0.35">
      <c r="A60" t="s">
        <v>155</v>
      </c>
      <c r="B60">
        <v>51</v>
      </c>
      <c r="C60">
        <v>414</v>
      </c>
    </row>
    <row r="61" spans="1:8" x14ac:dyDescent="0.35">
      <c r="A61" t="s">
        <v>156</v>
      </c>
      <c r="B61">
        <v>54</v>
      </c>
      <c r="C61">
        <v>1350</v>
      </c>
    </row>
    <row r="62" spans="1:8" x14ac:dyDescent="0.35">
      <c r="A62" t="s">
        <v>193</v>
      </c>
      <c r="B62">
        <v>67</v>
      </c>
      <c r="C62">
        <v>1807</v>
      </c>
    </row>
    <row r="63" spans="1:8" x14ac:dyDescent="0.35">
      <c r="A63" t="s">
        <v>110</v>
      </c>
      <c r="B63">
        <v>92</v>
      </c>
      <c r="C63">
        <v>2578</v>
      </c>
    </row>
    <row r="64" spans="1:8" x14ac:dyDescent="0.35">
      <c r="A64" t="s">
        <v>108</v>
      </c>
      <c r="B64">
        <v>22</v>
      </c>
      <c r="C64">
        <v>616</v>
      </c>
    </row>
    <row r="65" spans="1:3" x14ac:dyDescent="0.35">
      <c r="A65" t="s">
        <v>125</v>
      </c>
      <c r="B65">
        <v>72</v>
      </c>
      <c r="C65">
        <v>2016</v>
      </c>
    </row>
    <row r="66" spans="1:3" x14ac:dyDescent="0.35">
      <c r="A66" t="s">
        <v>109</v>
      </c>
      <c r="B66">
        <v>6</v>
      </c>
      <c r="C66">
        <v>168</v>
      </c>
    </row>
    <row r="67" spans="1:3" x14ac:dyDescent="0.35">
      <c r="A67" t="s">
        <v>135</v>
      </c>
      <c r="B67">
        <v>91</v>
      </c>
      <c r="C67">
        <v>1836</v>
      </c>
    </row>
    <row r="68" spans="1:3" x14ac:dyDescent="0.35">
      <c r="A68" t="s">
        <v>266</v>
      </c>
      <c r="B68">
        <v>324</v>
      </c>
      <c r="C68">
        <v>15555</v>
      </c>
    </row>
    <row r="69" spans="1:3" x14ac:dyDescent="0.35">
      <c r="A69" t="s">
        <v>129</v>
      </c>
      <c r="B69">
        <v>60</v>
      </c>
      <c r="C69">
        <v>1776</v>
      </c>
    </row>
    <row r="70" spans="1:3" x14ac:dyDescent="0.35">
      <c r="A70" t="s">
        <v>289</v>
      </c>
      <c r="B70">
        <v>48</v>
      </c>
      <c r="C70">
        <v>1440</v>
      </c>
    </row>
    <row r="71" spans="1:3" x14ac:dyDescent="0.35">
      <c r="A71" t="s">
        <v>273</v>
      </c>
      <c r="B71">
        <v>22</v>
      </c>
      <c r="C71">
        <v>660</v>
      </c>
    </row>
    <row r="72" spans="1:3" x14ac:dyDescent="0.35">
      <c r="A72" t="s">
        <v>342</v>
      </c>
      <c r="B72">
        <v>14</v>
      </c>
      <c r="C72">
        <v>280</v>
      </c>
    </row>
    <row r="73" spans="1:3" x14ac:dyDescent="0.35">
      <c r="A73" t="s">
        <v>340</v>
      </c>
      <c r="B73">
        <v>156</v>
      </c>
      <c r="C73">
        <v>3120</v>
      </c>
    </row>
    <row r="74" spans="1:3" x14ac:dyDescent="0.35">
      <c r="A74" t="s">
        <v>344</v>
      </c>
      <c r="B74">
        <v>20</v>
      </c>
      <c r="C74">
        <v>400</v>
      </c>
    </row>
    <row r="75" spans="1:3" x14ac:dyDescent="0.35">
      <c r="A75" t="s">
        <v>345</v>
      </c>
      <c r="B75">
        <v>20</v>
      </c>
      <c r="C75">
        <v>600</v>
      </c>
    </row>
    <row r="76" spans="1:3" x14ac:dyDescent="0.35">
      <c r="A76" t="s">
        <v>134</v>
      </c>
      <c r="C76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3C89D-F556-4442-8C47-A1055AD62436}">
  <sheetPr codeName="Sheet16"/>
  <dimension ref="A1:C75"/>
  <sheetViews>
    <sheetView workbookViewId="0">
      <selection activeCell="D71" sqref="D71"/>
    </sheetView>
  </sheetViews>
  <sheetFormatPr baseColWidth="10" defaultColWidth="8.7265625" defaultRowHeight="14.5" x14ac:dyDescent="0.35"/>
  <cols>
    <col min="1" max="1" width="25.453125" bestFit="1" customWidth="1"/>
    <col min="2" max="2" width="8.1796875" bestFit="1" customWidth="1"/>
    <col min="3" max="5" width="16.453125" bestFit="1" customWidth="1"/>
    <col min="6" max="7" width="11" bestFit="1" customWidth="1"/>
    <col min="8" max="8" width="13.1796875" customWidth="1"/>
  </cols>
  <sheetData>
    <row r="1" spans="1:3" x14ac:dyDescent="0.35">
      <c r="A1" t="s">
        <v>183</v>
      </c>
      <c r="B1" t="s">
        <v>82</v>
      </c>
      <c r="C1" t="s">
        <v>187</v>
      </c>
    </row>
    <row r="2" spans="1:3" x14ac:dyDescent="0.35">
      <c r="A2" t="s">
        <v>88</v>
      </c>
      <c r="B2">
        <v>570</v>
      </c>
      <c r="C2">
        <v>17100</v>
      </c>
    </row>
    <row r="3" spans="1:3" x14ac:dyDescent="0.35">
      <c r="A3" t="s">
        <v>89</v>
      </c>
      <c r="B3">
        <v>495</v>
      </c>
      <c r="C3">
        <v>14850</v>
      </c>
    </row>
    <row r="4" spans="1:3" x14ac:dyDescent="0.35">
      <c r="A4" t="s">
        <v>90</v>
      </c>
      <c r="B4">
        <v>618</v>
      </c>
      <c r="C4">
        <v>18540</v>
      </c>
    </row>
    <row r="5" spans="1:3" x14ac:dyDescent="0.35">
      <c r="A5" t="s">
        <v>91</v>
      </c>
      <c r="B5">
        <v>226</v>
      </c>
      <c r="C5">
        <v>6780</v>
      </c>
    </row>
    <row r="6" spans="1:3" x14ac:dyDescent="0.35">
      <c r="A6" t="s">
        <v>92</v>
      </c>
      <c r="B6">
        <v>430</v>
      </c>
      <c r="C6">
        <v>12900</v>
      </c>
    </row>
    <row r="7" spans="1:3" x14ac:dyDescent="0.35">
      <c r="A7" t="s">
        <v>93</v>
      </c>
      <c r="B7">
        <v>116</v>
      </c>
      <c r="C7">
        <v>3132</v>
      </c>
    </row>
    <row r="8" spans="1:3" x14ac:dyDescent="0.35">
      <c r="A8" t="s">
        <v>94</v>
      </c>
      <c r="B8">
        <v>21</v>
      </c>
      <c r="C8">
        <v>840</v>
      </c>
    </row>
    <row r="9" spans="1:3" x14ac:dyDescent="0.35">
      <c r="A9" t="s">
        <v>95</v>
      </c>
      <c r="B9">
        <v>17</v>
      </c>
      <c r="C9">
        <v>425</v>
      </c>
    </row>
    <row r="10" spans="1:3" x14ac:dyDescent="0.35">
      <c r="A10" t="s">
        <v>96</v>
      </c>
      <c r="B10">
        <v>40</v>
      </c>
      <c r="C10">
        <v>1017</v>
      </c>
    </row>
    <row r="11" spans="1:3" x14ac:dyDescent="0.35">
      <c r="A11" t="s">
        <v>97</v>
      </c>
      <c r="B11">
        <v>101</v>
      </c>
      <c r="C11">
        <v>2727</v>
      </c>
    </row>
    <row r="12" spans="1:3" x14ac:dyDescent="0.35">
      <c r="A12" t="s">
        <v>98</v>
      </c>
      <c r="B12">
        <v>262</v>
      </c>
      <c r="C12">
        <v>7074</v>
      </c>
    </row>
    <row r="13" spans="1:3" x14ac:dyDescent="0.35">
      <c r="A13" t="s">
        <v>99</v>
      </c>
      <c r="B13">
        <v>124</v>
      </c>
      <c r="C13">
        <v>3348</v>
      </c>
    </row>
    <row r="14" spans="1:3" x14ac:dyDescent="0.35">
      <c r="A14" t="s">
        <v>100</v>
      </c>
      <c r="B14">
        <v>49</v>
      </c>
      <c r="C14">
        <v>1218</v>
      </c>
    </row>
    <row r="15" spans="1:3" x14ac:dyDescent="0.35">
      <c r="A15" t="s">
        <v>101</v>
      </c>
      <c r="B15">
        <v>291</v>
      </c>
      <c r="C15">
        <v>4365</v>
      </c>
    </row>
    <row r="16" spans="1:3" x14ac:dyDescent="0.35">
      <c r="A16" t="s">
        <v>102</v>
      </c>
      <c r="B16">
        <v>343</v>
      </c>
      <c r="C16">
        <v>5145</v>
      </c>
    </row>
    <row r="17" spans="1:3" x14ac:dyDescent="0.35">
      <c r="A17" t="s">
        <v>103</v>
      </c>
      <c r="B17">
        <v>278</v>
      </c>
      <c r="C17">
        <v>7784</v>
      </c>
    </row>
    <row r="18" spans="1:3" x14ac:dyDescent="0.35">
      <c r="A18" t="s">
        <v>105</v>
      </c>
      <c r="B18">
        <v>189</v>
      </c>
      <c r="C18">
        <v>5292</v>
      </c>
    </row>
    <row r="19" spans="1:3" x14ac:dyDescent="0.35">
      <c r="A19" t="s">
        <v>107</v>
      </c>
      <c r="B19">
        <v>476</v>
      </c>
      <c r="C19">
        <v>13328</v>
      </c>
    </row>
    <row r="20" spans="1:3" x14ac:dyDescent="0.35">
      <c r="A20" t="s">
        <v>111</v>
      </c>
      <c r="B20">
        <v>67</v>
      </c>
      <c r="C20">
        <v>2010</v>
      </c>
    </row>
    <row r="21" spans="1:3" x14ac:dyDescent="0.35">
      <c r="A21" t="s">
        <v>112</v>
      </c>
      <c r="B21">
        <v>110</v>
      </c>
      <c r="C21">
        <v>2640</v>
      </c>
    </row>
    <row r="22" spans="1:3" x14ac:dyDescent="0.35">
      <c r="A22" t="s">
        <v>113</v>
      </c>
      <c r="B22">
        <v>73</v>
      </c>
      <c r="C22">
        <v>1752</v>
      </c>
    </row>
    <row r="23" spans="1:3" x14ac:dyDescent="0.35">
      <c r="A23" t="s">
        <v>114</v>
      </c>
      <c r="B23">
        <v>130</v>
      </c>
      <c r="C23">
        <v>3120</v>
      </c>
    </row>
    <row r="24" spans="1:3" x14ac:dyDescent="0.35">
      <c r="A24" t="s">
        <v>115</v>
      </c>
      <c r="B24">
        <v>140</v>
      </c>
      <c r="C24">
        <v>3360</v>
      </c>
    </row>
    <row r="25" spans="1:3" x14ac:dyDescent="0.35">
      <c r="A25" t="s">
        <v>116</v>
      </c>
      <c r="B25">
        <v>81</v>
      </c>
      <c r="C25">
        <v>1944</v>
      </c>
    </row>
    <row r="26" spans="1:3" x14ac:dyDescent="0.35">
      <c r="A26" t="s">
        <v>117</v>
      </c>
      <c r="B26">
        <v>35</v>
      </c>
      <c r="C26">
        <v>840</v>
      </c>
    </row>
    <row r="27" spans="1:3" x14ac:dyDescent="0.35">
      <c r="A27" t="s">
        <v>118</v>
      </c>
      <c r="B27">
        <v>359</v>
      </c>
      <c r="C27">
        <v>5385</v>
      </c>
    </row>
    <row r="28" spans="1:3" x14ac:dyDescent="0.35">
      <c r="A28" t="s">
        <v>119</v>
      </c>
      <c r="B28">
        <v>330</v>
      </c>
      <c r="C28">
        <v>9240</v>
      </c>
    </row>
    <row r="29" spans="1:3" x14ac:dyDescent="0.35">
      <c r="A29" t="s">
        <v>120</v>
      </c>
      <c r="B29">
        <v>72</v>
      </c>
      <c r="C29">
        <v>2016</v>
      </c>
    </row>
    <row r="30" spans="1:3" x14ac:dyDescent="0.35">
      <c r="A30" t="s">
        <v>121</v>
      </c>
      <c r="B30">
        <v>485</v>
      </c>
      <c r="C30">
        <v>13580</v>
      </c>
    </row>
    <row r="31" spans="1:3" x14ac:dyDescent="0.35">
      <c r="A31" t="s">
        <v>122</v>
      </c>
      <c r="B31">
        <v>834</v>
      </c>
      <c r="C31">
        <v>16680</v>
      </c>
    </row>
    <row r="32" spans="1:3" x14ac:dyDescent="0.35">
      <c r="A32" t="s">
        <v>123</v>
      </c>
      <c r="B32">
        <v>346</v>
      </c>
      <c r="C32">
        <v>6920</v>
      </c>
    </row>
    <row r="33" spans="1:3" x14ac:dyDescent="0.35">
      <c r="A33" t="s">
        <v>124</v>
      </c>
      <c r="B33">
        <v>117</v>
      </c>
      <c r="C33">
        <v>2340</v>
      </c>
    </row>
    <row r="34" spans="1:3" x14ac:dyDescent="0.35">
      <c r="A34" t="s">
        <v>126</v>
      </c>
      <c r="B34">
        <v>90</v>
      </c>
      <c r="C34">
        <v>2520</v>
      </c>
    </row>
    <row r="35" spans="1:3" x14ac:dyDescent="0.35">
      <c r="A35" t="s">
        <v>127</v>
      </c>
      <c r="B35">
        <v>62</v>
      </c>
      <c r="C35">
        <v>1736</v>
      </c>
    </row>
    <row r="36" spans="1:3" x14ac:dyDescent="0.35">
      <c r="A36" t="s">
        <v>128</v>
      </c>
      <c r="B36">
        <v>52</v>
      </c>
      <c r="C36">
        <v>1820</v>
      </c>
    </row>
    <row r="37" spans="1:3" x14ac:dyDescent="0.35">
      <c r="A37" t="s">
        <v>130</v>
      </c>
      <c r="B37">
        <v>55</v>
      </c>
      <c r="C37">
        <v>1925</v>
      </c>
    </row>
    <row r="38" spans="1:3" x14ac:dyDescent="0.35">
      <c r="A38" t="s">
        <v>131</v>
      </c>
      <c r="B38">
        <v>664</v>
      </c>
      <c r="C38">
        <v>11952</v>
      </c>
    </row>
    <row r="39" spans="1:3" x14ac:dyDescent="0.35">
      <c r="A39" t="s">
        <v>132</v>
      </c>
      <c r="B39">
        <v>1241</v>
      </c>
      <c r="C39">
        <v>12410</v>
      </c>
    </row>
    <row r="40" spans="1:3" x14ac:dyDescent="0.35">
      <c r="A40" t="s">
        <v>133</v>
      </c>
      <c r="B40">
        <v>104</v>
      </c>
      <c r="C40">
        <v>2600</v>
      </c>
    </row>
    <row r="41" spans="1:3" x14ac:dyDescent="0.35">
      <c r="A41" t="s">
        <v>136</v>
      </c>
      <c r="B41">
        <v>114</v>
      </c>
      <c r="C41">
        <v>2850</v>
      </c>
    </row>
    <row r="42" spans="1:3" x14ac:dyDescent="0.35">
      <c r="A42" t="s">
        <v>137</v>
      </c>
      <c r="B42">
        <v>142</v>
      </c>
      <c r="C42">
        <v>3976</v>
      </c>
    </row>
    <row r="43" spans="1:3" x14ac:dyDescent="0.35">
      <c r="A43" t="s">
        <v>138</v>
      </c>
      <c r="B43">
        <v>35</v>
      </c>
      <c r="C43">
        <v>980</v>
      </c>
    </row>
    <row r="44" spans="1:3" x14ac:dyDescent="0.35">
      <c r="A44" t="s">
        <v>139</v>
      </c>
      <c r="B44">
        <v>45</v>
      </c>
      <c r="C44">
        <v>900</v>
      </c>
    </row>
    <row r="45" spans="1:3" x14ac:dyDescent="0.35">
      <c r="A45" t="s">
        <v>140</v>
      </c>
      <c r="B45">
        <v>50</v>
      </c>
      <c r="C45">
        <v>1000</v>
      </c>
    </row>
    <row r="46" spans="1:3" x14ac:dyDescent="0.35">
      <c r="A46" t="s">
        <v>141</v>
      </c>
      <c r="B46">
        <v>264</v>
      </c>
      <c r="C46">
        <v>2640</v>
      </c>
    </row>
    <row r="47" spans="1:3" x14ac:dyDescent="0.35">
      <c r="A47" t="s">
        <v>142</v>
      </c>
      <c r="B47">
        <v>704</v>
      </c>
      <c r="C47">
        <v>7040</v>
      </c>
    </row>
    <row r="48" spans="1:3" x14ac:dyDescent="0.35">
      <c r="A48" t="s">
        <v>143</v>
      </c>
      <c r="B48">
        <v>287</v>
      </c>
      <c r="C48">
        <v>5740</v>
      </c>
    </row>
    <row r="49" spans="1:3" x14ac:dyDescent="0.35">
      <c r="A49" t="s">
        <v>144</v>
      </c>
      <c r="B49">
        <v>187</v>
      </c>
      <c r="C49">
        <v>2805</v>
      </c>
    </row>
    <row r="50" spans="1:3" x14ac:dyDescent="0.35">
      <c r="A50" t="s">
        <v>145</v>
      </c>
      <c r="B50">
        <v>111</v>
      </c>
      <c r="C50">
        <v>1998</v>
      </c>
    </row>
    <row r="51" spans="1:3" x14ac:dyDescent="0.35">
      <c r="A51" t="s">
        <v>146</v>
      </c>
      <c r="B51">
        <v>145</v>
      </c>
      <c r="C51">
        <v>2610</v>
      </c>
    </row>
    <row r="52" spans="1:3" x14ac:dyDescent="0.35">
      <c r="A52" t="s">
        <v>147</v>
      </c>
      <c r="B52">
        <v>143</v>
      </c>
      <c r="C52">
        <v>2574</v>
      </c>
    </row>
    <row r="53" spans="1:3" x14ac:dyDescent="0.35">
      <c r="A53" t="s">
        <v>148</v>
      </c>
      <c r="B53">
        <v>15</v>
      </c>
      <c r="C53">
        <v>375</v>
      </c>
    </row>
    <row r="54" spans="1:3" x14ac:dyDescent="0.35">
      <c r="A54" t="s">
        <v>149</v>
      </c>
      <c r="B54">
        <v>301</v>
      </c>
      <c r="C54">
        <v>5662</v>
      </c>
    </row>
    <row r="55" spans="1:3" x14ac:dyDescent="0.35">
      <c r="A55" t="s">
        <v>150</v>
      </c>
      <c r="B55">
        <v>61</v>
      </c>
      <c r="C55">
        <v>2135</v>
      </c>
    </row>
    <row r="56" spans="1:3" x14ac:dyDescent="0.35">
      <c r="A56" t="s">
        <v>151</v>
      </c>
      <c r="B56">
        <v>609</v>
      </c>
      <c r="C56">
        <v>4872</v>
      </c>
    </row>
    <row r="57" spans="1:3" x14ac:dyDescent="0.35">
      <c r="A57" t="s">
        <v>152</v>
      </c>
      <c r="B57">
        <v>153</v>
      </c>
      <c r="C57">
        <v>2295</v>
      </c>
    </row>
    <row r="58" spans="1:3" x14ac:dyDescent="0.35">
      <c r="A58" t="s">
        <v>153</v>
      </c>
      <c r="B58">
        <v>91</v>
      </c>
      <c r="C58">
        <v>728</v>
      </c>
    </row>
    <row r="59" spans="1:3" x14ac:dyDescent="0.35">
      <c r="A59" t="s">
        <v>154</v>
      </c>
      <c r="B59">
        <v>49</v>
      </c>
      <c r="C59">
        <v>418</v>
      </c>
    </row>
    <row r="60" spans="1:3" x14ac:dyDescent="0.35">
      <c r="A60" t="s">
        <v>155</v>
      </c>
      <c r="B60">
        <v>51</v>
      </c>
      <c r="C60">
        <v>414</v>
      </c>
    </row>
    <row r="61" spans="1:3" x14ac:dyDescent="0.35">
      <c r="A61" t="s">
        <v>156</v>
      </c>
      <c r="B61">
        <v>54</v>
      </c>
      <c r="C61">
        <v>1350</v>
      </c>
    </row>
    <row r="62" spans="1:3" x14ac:dyDescent="0.35">
      <c r="A62" t="s">
        <v>193</v>
      </c>
      <c r="B62">
        <v>67</v>
      </c>
      <c r="C62">
        <v>1807</v>
      </c>
    </row>
    <row r="63" spans="1:3" x14ac:dyDescent="0.35">
      <c r="A63" t="s">
        <v>110</v>
      </c>
      <c r="B63">
        <v>91</v>
      </c>
      <c r="C63">
        <v>2548</v>
      </c>
    </row>
    <row r="64" spans="1:3" x14ac:dyDescent="0.35">
      <c r="A64" t="s">
        <v>108</v>
      </c>
      <c r="B64">
        <v>22</v>
      </c>
      <c r="C64">
        <v>616</v>
      </c>
    </row>
    <row r="65" spans="1:3" x14ac:dyDescent="0.35">
      <c r="A65" t="s">
        <v>125</v>
      </c>
      <c r="B65">
        <v>72</v>
      </c>
      <c r="C65">
        <v>2016</v>
      </c>
    </row>
    <row r="66" spans="1:3" x14ac:dyDescent="0.35">
      <c r="A66" t="s">
        <v>109</v>
      </c>
      <c r="B66">
        <v>6</v>
      </c>
      <c r="C66">
        <v>168</v>
      </c>
    </row>
    <row r="67" spans="1:3" x14ac:dyDescent="0.35">
      <c r="A67" t="s">
        <v>135</v>
      </c>
      <c r="B67">
        <v>89</v>
      </c>
      <c r="C67">
        <v>1780</v>
      </c>
    </row>
    <row r="68" spans="1:3" x14ac:dyDescent="0.35">
      <c r="A68" t="s">
        <v>266</v>
      </c>
      <c r="B68">
        <v>324</v>
      </c>
      <c r="C68">
        <v>15555</v>
      </c>
    </row>
    <row r="69" spans="1:3" x14ac:dyDescent="0.35">
      <c r="A69" t="s">
        <v>129</v>
      </c>
      <c r="B69">
        <v>58</v>
      </c>
      <c r="C69">
        <v>1740</v>
      </c>
    </row>
    <row r="70" spans="1:3" x14ac:dyDescent="0.35">
      <c r="A70" t="s">
        <v>289</v>
      </c>
      <c r="B70">
        <v>48</v>
      </c>
      <c r="C70">
        <v>1440</v>
      </c>
    </row>
    <row r="71" spans="1:3" x14ac:dyDescent="0.35">
      <c r="A71" t="s">
        <v>273</v>
      </c>
      <c r="B71">
        <v>22</v>
      </c>
      <c r="C71">
        <v>660</v>
      </c>
    </row>
    <row r="72" spans="1:3" x14ac:dyDescent="0.35">
      <c r="A72" t="s">
        <v>342</v>
      </c>
      <c r="B72">
        <v>14</v>
      </c>
      <c r="C72">
        <v>280</v>
      </c>
    </row>
    <row r="73" spans="1:3" x14ac:dyDescent="0.35">
      <c r="A73" t="s">
        <v>340</v>
      </c>
      <c r="B73">
        <v>156</v>
      </c>
      <c r="C73">
        <v>3120</v>
      </c>
    </row>
    <row r="74" spans="1:3" x14ac:dyDescent="0.35">
      <c r="A74" t="s">
        <v>344</v>
      </c>
      <c r="B74">
        <v>20</v>
      </c>
      <c r="C74">
        <v>400</v>
      </c>
    </row>
    <row r="75" spans="1:3" x14ac:dyDescent="0.35">
      <c r="A75" t="s">
        <v>345</v>
      </c>
      <c r="B75">
        <v>20</v>
      </c>
      <c r="C75">
        <v>600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/>
  <dimension ref="A1:P1000"/>
  <sheetViews>
    <sheetView topLeftCell="A64" zoomScale="68" workbookViewId="0">
      <selection activeCell="J78" sqref="J78"/>
    </sheetView>
  </sheetViews>
  <sheetFormatPr baseColWidth="10" defaultColWidth="8.81640625" defaultRowHeight="14.5" x14ac:dyDescent="0.35"/>
  <cols>
    <col min="1" max="1" width="26.7265625" bestFit="1" customWidth="1"/>
    <col min="2" max="2" width="15.1796875" bestFit="1" customWidth="1"/>
    <col min="3" max="3" width="15.1796875" customWidth="1"/>
    <col min="4" max="4" width="17.453125" customWidth="1"/>
    <col min="5" max="5" width="12.453125" bestFit="1" customWidth="1"/>
    <col min="8" max="8" width="28.1796875" customWidth="1"/>
    <col min="9" max="10" width="9.54296875" customWidth="1"/>
    <col min="13" max="13" width="32.26953125" customWidth="1"/>
    <col min="14" max="15" width="9.54296875" customWidth="1"/>
    <col min="19" max="19" width="29.81640625" customWidth="1"/>
  </cols>
  <sheetData>
    <row r="1" spans="1:16" x14ac:dyDescent="0.35">
      <c r="A1" s="128" t="s">
        <v>183</v>
      </c>
      <c r="B1" s="129" t="s">
        <v>82</v>
      </c>
      <c r="C1" s="130" t="s">
        <v>202</v>
      </c>
      <c r="D1" s="136"/>
      <c r="H1" s="137" t="s">
        <v>183</v>
      </c>
      <c r="I1" s="137" t="s">
        <v>82</v>
      </c>
      <c r="J1" s="137" t="s">
        <v>202</v>
      </c>
      <c r="K1" s="137" t="s">
        <v>278</v>
      </c>
      <c r="M1" s="137" t="s">
        <v>183</v>
      </c>
      <c r="N1" s="137" t="s">
        <v>82</v>
      </c>
      <c r="O1" s="137" t="s">
        <v>202</v>
      </c>
      <c r="P1" s="137" t="s">
        <v>278</v>
      </c>
    </row>
    <row r="2" spans="1:16" ht="16" customHeight="1" x14ac:dyDescent="0.35">
      <c r="A2" s="146" t="str" cm="1">
        <f t="array" ref="A2:A74">Inkjøp[Produkt]</f>
        <v>Monster White</v>
      </c>
      <c r="B2" s="131">
        <f>SUMIFS(Terminal_Totalraport[Antall],Terminal_Totalraport[Vare],A2)</f>
        <v>6</v>
      </c>
      <c r="C2" s="132">
        <f>SUMIFS(Terminal_Totalraport[Beløp inkl. MVA],Terminal_Totalraport[Vare],A2)</f>
        <v>180</v>
      </c>
      <c r="H2" s="124" t="str">
        <f>Inkjøp[[#This Row],[Produkt]]</f>
        <v>Monster White</v>
      </c>
      <c r="I2">
        <v>4</v>
      </c>
      <c r="J2">
        <f>K2*I2</f>
        <v>120</v>
      </c>
      <c r="K2">
        <v>30</v>
      </c>
      <c r="M2" s="124" t="str">
        <f>Inkjøp[[#This Row],[Produkt]]</f>
        <v>Monster White</v>
      </c>
      <c r="N2">
        <v>2</v>
      </c>
      <c r="O2">
        <f>P2*N2</f>
        <v>60</v>
      </c>
      <c r="P2">
        <v>30</v>
      </c>
    </row>
    <row r="3" spans="1:16" ht="16" customHeight="1" x14ac:dyDescent="0.35">
      <c r="A3" s="147" t="str">
        <v>Monster Mango Loco</v>
      </c>
      <c r="B3" s="131" t="s">
        <v>268</v>
      </c>
      <c r="C3" s="132">
        <f>SUMIFS(Terminal_Totalraport[Beløp inkl. MVA],Terminal_Totalraport[Vare],A3)</f>
        <v>150</v>
      </c>
      <c r="H3" s="125" t="str">
        <f>Inkjøp[[#This Row],[Produkt]]</f>
        <v>Monster Mango Loco</v>
      </c>
      <c r="I3">
        <v>3</v>
      </c>
      <c r="J3">
        <f t="shared" ref="J3:J66" si="0">K3*I3</f>
        <v>90</v>
      </c>
      <c r="K3">
        <v>30</v>
      </c>
      <c r="M3" s="125" t="str">
        <f>Inkjøp[[#This Row],[Produkt]]</f>
        <v>Monster Mango Loco</v>
      </c>
      <c r="N3">
        <v>2</v>
      </c>
      <c r="O3">
        <f t="shared" ref="O3:O66" si="1">P3*N3</f>
        <v>60</v>
      </c>
      <c r="P3">
        <v>30</v>
      </c>
    </row>
    <row r="4" spans="1:16" ht="16" customHeight="1" x14ac:dyDescent="0.35">
      <c r="A4" s="146" t="str">
        <v>Monster Monarch</v>
      </c>
      <c r="B4" s="131">
        <f>SUMIFS(Terminal_Totalraport[Antall],Terminal_Totalraport[Vare],A4)</f>
        <v>10</v>
      </c>
      <c r="C4" s="132">
        <f>SUMIFS(Terminal_Totalraport[Beløp inkl. MVA],Terminal_Totalraport[Vare],A4)</f>
        <v>300</v>
      </c>
      <c r="H4" s="124" t="str">
        <f>Inkjøp[[#This Row],[Produkt]]</f>
        <v>Monster Monarch</v>
      </c>
      <c r="I4">
        <v>6</v>
      </c>
      <c r="J4">
        <f t="shared" si="0"/>
        <v>180</v>
      </c>
      <c r="K4">
        <v>30</v>
      </c>
      <c r="M4" s="124" t="str">
        <f>Inkjøp[[#This Row],[Produkt]]</f>
        <v>Monster Monarch</v>
      </c>
      <c r="N4">
        <v>4</v>
      </c>
      <c r="O4">
        <f t="shared" si="1"/>
        <v>120</v>
      </c>
      <c r="P4">
        <v>30</v>
      </c>
    </row>
    <row r="5" spans="1:16" ht="16" customHeight="1" x14ac:dyDescent="0.35">
      <c r="A5" s="146" t="str">
        <v>Monster Lewis Hamilton</v>
      </c>
      <c r="B5" s="131">
        <f>SUMIFS(Terminal_Totalraport[Antall],Terminal_Totalraport[Vare],A5)</f>
        <v>3</v>
      </c>
      <c r="C5" s="132">
        <f>SUMIFS(Terminal_Totalraport[Beløp inkl. MVA],Terminal_Totalraport[Vare],A5)</f>
        <v>90</v>
      </c>
      <c r="H5" s="124" t="str">
        <f>Inkjøp[[#This Row],[Produkt]]</f>
        <v>Monster Lewis Hamilton</v>
      </c>
      <c r="I5">
        <v>2</v>
      </c>
      <c r="J5">
        <f t="shared" si="0"/>
        <v>60</v>
      </c>
      <c r="K5">
        <v>30</v>
      </c>
      <c r="M5" s="124" t="str">
        <f>Inkjøp[[#This Row],[Produkt]]</f>
        <v>Monster Lewis Hamilton</v>
      </c>
      <c r="N5">
        <v>1</v>
      </c>
      <c r="O5">
        <f t="shared" si="1"/>
        <v>30</v>
      </c>
      <c r="P5">
        <v>30</v>
      </c>
    </row>
    <row r="6" spans="1:16" ht="16" customHeight="1" x14ac:dyDescent="0.35">
      <c r="A6" s="146" t="str">
        <v>Monster Punch</v>
      </c>
      <c r="B6" s="131">
        <f>SUMIFS(Terminal_Totalraport[Antall],Terminal_Totalraport[Vare],A6)</f>
        <v>8</v>
      </c>
      <c r="C6" s="132">
        <f>SUMIFS(Terminal_Totalraport[Beløp inkl. MVA],Terminal_Totalraport[Vare],A6)</f>
        <v>240</v>
      </c>
      <c r="H6" s="124" t="str">
        <f>Inkjøp[[#This Row],[Produkt]]</f>
        <v>Monster Punch</v>
      </c>
      <c r="I6">
        <v>4</v>
      </c>
      <c r="J6">
        <f t="shared" si="0"/>
        <v>120</v>
      </c>
      <c r="K6">
        <v>30</v>
      </c>
      <c r="M6" s="124" t="str">
        <f>Inkjøp[[#This Row],[Produkt]]</f>
        <v>Monster Punch</v>
      </c>
      <c r="N6">
        <v>4</v>
      </c>
      <c r="O6">
        <f t="shared" si="1"/>
        <v>120</v>
      </c>
      <c r="P6">
        <v>30</v>
      </c>
    </row>
    <row r="7" spans="1:16" ht="16" customHeight="1" x14ac:dyDescent="0.35">
      <c r="A7" s="146" t="str">
        <v>Monster Landon Norris</v>
      </c>
      <c r="B7" s="131">
        <f>SUMIFS(Terminal_Totalraport[Antall],Terminal_Totalraport[Vare],A7)</f>
        <v>0</v>
      </c>
      <c r="C7" s="132">
        <f>SUMIFS(Terminal_Totalraport[Beløp inkl. MVA],Terminal_Totalraport[Vare],A7)</f>
        <v>0</v>
      </c>
      <c r="H7" s="124" t="str">
        <f>Inkjøp[[#This Row],[Produkt]]</f>
        <v>Monster Landon Norris</v>
      </c>
      <c r="J7">
        <f t="shared" si="0"/>
        <v>0</v>
      </c>
      <c r="K7">
        <v>27</v>
      </c>
      <c r="M7" s="124" t="str">
        <f>Inkjøp[[#This Row],[Produkt]]</f>
        <v>Monster Landon Norris</v>
      </c>
      <c r="O7">
        <f t="shared" si="1"/>
        <v>0</v>
      </c>
      <c r="P7">
        <v>27</v>
      </c>
    </row>
    <row r="8" spans="1:16" ht="16" customHeight="1" x14ac:dyDescent="0.35">
      <c r="A8" s="146" t="str">
        <v>Redbull Original</v>
      </c>
      <c r="B8" s="131">
        <f>SUMIFS(Terminal_Totalraport[Antall],Terminal_Totalraport[Vare],A8)</f>
        <v>5</v>
      </c>
      <c r="C8" s="132">
        <f>SUMIFS(Terminal_Totalraport[Beløp inkl. MVA],Terminal_Totalraport[Vare],A8)</f>
        <v>200</v>
      </c>
      <c r="H8" s="124" t="str">
        <f>Inkjøp[[#This Row],[Produkt]]</f>
        <v>Redbull Original</v>
      </c>
      <c r="I8">
        <v>3</v>
      </c>
      <c r="J8">
        <f t="shared" si="0"/>
        <v>120</v>
      </c>
      <c r="K8">
        <v>40</v>
      </c>
      <c r="M8" s="124" t="str">
        <f>Inkjøp[[#This Row],[Produkt]]</f>
        <v>Redbull Original</v>
      </c>
      <c r="N8">
        <v>2</v>
      </c>
      <c r="O8">
        <f t="shared" si="1"/>
        <v>80</v>
      </c>
      <c r="P8">
        <v>40</v>
      </c>
    </row>
    <row r="9" spans="1:16" ht="16" customHeight="1" x14ac:dyDescent="0.35">
      <c r="A9" s="146" t="str">
        <v>Redbull 473ml</v>
      </c>
      <c r="B9" s="131">
        <f>SUMIFS(Terminal_Totalraport[Antall],Terminal_Totalraport[Vare],A9)</f>
        <v>0</v>
      </c>
      <c r="C9" s="132">
        <f>SUMIFS(Terminal_Totalraport[Beløp inkl. MVA],Terminal_Totalraport[Vare],A9)</f>
        <v>0</v>
      </c>
      <c r="H9" s="124" t="str">
        <f>Inkjøp[[#This Row],[Produkt]]</f>
        <v>Redbull 473ml</v>
      </c>
      <c r="J9">
        <f t="shared" si="0"/>
        <v>0</v>
      </c>
      <c r="K9">
        <v>27</v>
      </c>
      <c r="M9" s="124" t="str">
        <f>Inkjøp[[#This Row],[Produkt]]</f>
        <v>Redbull 473ml</v>
      </c>
      <c r="O9">
        <f t="shared" si="1"/>
        <v>0</v>
      </c>
      <c r="P9">
        <v>27</v>
      </c>
    </row>
    <row r="10" spans="1:16" ht="16" customHeight="1" x14ac:dyDescent="0.35">
      <c r="A10" s="146" t="str">
        <v>Redbull Sukkerfri</v>
      </c>
      <c r="B10" s="131">
        <f>SUMIFS(Terminal_Totalraport[Antall],Terminal_Totalraport[Vare],A10)</f>
        <v>0</v>
      </c>
      <c r="C10" s="132">
        <f>SUMIFS(Terminal_Totalraport[Beløp inkl. MVA],Terminal_Totalraport[Vare],A10)</f>
        <v>0</v>
      </c>
      <c r="H10" s="124" t="str">
        <f>Inkjøp[[#This Row],[Produkt]]</f>
        <v>Redbull Sukkerfri</v>
      </c>
      <c r="J10">
        <f t="shared" si="0"/>
        <v>0</v>
      </c>
      <c r="K10">
        <v>27</v>
      </c>
      <c r="M10" s="124" t="str">
        <f>Inkjøp[[#This Row],[Produkt]]</f>
        <v>Redbull Sukkerfri</v>
      </c>
      <c r="O10">
        <f t="shared" si="1"/>
        <v>0</v>
      </c>
      <c r="P10">
        <v>27</v>
      </c>
    </row>
    <row r="11" spans="1:16" ht="16" customHeight="1" x14ac:dyDescent="0.35">
      <c r="A11" s="146" t="str">
        <v>Redbull ZERO Cal</v>
      </c>
      <c r="B11" s="131">
        <f>SUMIFS(Terminal_Totalraport[Antall],Terminal_Totalraport[Vare],A11)</f>
        <v>4</v>
      </c>
      <c r="C11" s="132">
        <f>SUMIFS(Terminal_Totalraport[Beløp inkl. MVA],Terminal_Totalraport[Vare],A11)</f>
        <v>108</v>
      </c>
      <c r="H11" s="124" t="str">
        <f>Inkjøp[[#This Row],[Produkt]]</f>
        <v>Redbull ZERO Cal</v>
      </c>
      <c r="I11">
        <v>4</v>
      </c>
      <c r="J11">
        <f t="shared" si="0"/>
        <v>108</v>
      </c>
      <c r="K11">
        <v>27</v>
      </c>
      <c r="M11" s="124" t="str">
        <f>Inkjøp[[#This Row],[Produkt]]</f>
        <v>Redbull ZERO Cal</v>
      </c>
      <c r="O11">
        <f t="shared" si="1"/>
        <v>0</v>
      </c>
      <c r="P11">
        <v>27</v>
      </c>
    </row>
    <row r="12" spans="1:16" ht="16" customHeight="1" x14ac:dyDescent="0.35">
      <c r="A12" s="146" t="str">
        <v>Redbull Yellow</v>
      </c>
      <c r="B12" s="131">
        <f>SUMIFS(Terminal_Totalraport[Antall],Terminal_Totalraport[Vare],A12)</f>
        <v>6</v>
      </c>
      <c r="C12" s="132">
        <f>SUMIFS(Terminal_Totalraport[Beløp inkl. MVA],Terminal_Totalraport[Vare],A12)</f>
        <v>162</v>
      </c>
      <c r="H12" s="124" t="str">
        <f>Inkjøp[[#This Row],[Produkt]]</f>
        <v>Redbull Yellow</v>
      </c>
      <c r="I12">
        <v>3</v>
      </c>
      <c r="J12">
        <f t="shared" si="0"/>
        <v>81</v>
      </c>
      <c r="K12">
        <v>27</v>
      </c>
      <c r="M12" s="124" t="str">
        <f>Inkjøp[[#This Row],[Produkt]]</f>
        <v>Redbull Yellow</v>
      </c>
      <c r="N12">
        <v>3</v>
      </c>
      <c r="O12">
        <f t="shared" si="1"/>
        <v>81</v>
      </c>
      <c r="P12">
        <v>27</v>
      </c>
    </row>
    <row r="13" spans="1:16" ht="16" customHeight="1" x14ac:dyDescent="0.35">
      <c r="A13" s="146" t="str">
        <v>Redbull Peach</v>
      </c>
      <c r="B13" s="131">
        <f>SUMIFS(Terminal_Totalraport[Antall],Terminal_Totalraport[Vare],A13)</f>
        <v>0</v>
      </c>
      <c r="C13" s="132">
        <f>SUMIFS(Terminal_Totalraport[Beløp inkl. MVA],Terminal_Totalraport[Vare],A13)</f>
        <v>0</v>
      </c>
      <c r="H13" s="124" t="str">
        <f>Inkjøp[[#This Row],[Produkt]]</f>
        <v>Redbull Peach</v>
      </c>
      <c r="J13">
        <f t="shared" si="0"/>
        <v>0</v>
      </c>
      <c r="K13">
        <v>27</v>
      </c>
      <c r="M13" s="124" t="str">
        <f>Inkjøp[[#This Row],[Produkt]]</f>
        <v>Redbull Peach</v>
      </c>
      <c r="O13">
        <f t="shared" si="1"/>
        <v>0</v>
      </c>
      <c r="P13">
        <v>27</v>
      </c>
    </row>
    <row r="14" spans="1:16" ht="16" customHeight="1" x14ac:dyDescent="0.35">
      <c r="A14" s="146" t="str">
        <v>Redbull Blue</v>
      </c>
      <c r="B14" s="131">
        <f>SUMIFS(Terminal_Totalraport[Antall],Terminal_Totalraport[Vare],A14)</f>
        <v>0</v>
      </c>
      <c r="C14" s="132">
        <f>SUMIFS(Terminal_Totalraport[Beløp inkl. MVA],Terminal_Totalraport[Vare],A14)</f>
        <v>0</v>
      </c>
      <c r="H14" s="124" t="str">
        <f>Inkjøp[[#This Row],[Produkt]]</f>
        <v>Redbull Blue</v>
      </c>
      <c r="J14">
        <f t="shared" si="0"/>
        <v>0</v>
      </c>
      <c r="K14">
        <v>27</v>
      </c>
      <c r="M14" s="124" t="str">
        <f>Inkjøp[[#This Row],[Produkt]]</f>
        <v>Redbull Blue</v>
      </c>
      <c r="O14">
        <f t="shared" si="1"/>
        <v>0</v>
      </c>
      <c r="P14">
        <v>27</v>
      </c>
    </row>
    <row r="15" spans="1:16" ht="16" customHeight="1" x14ac:dyDescent="0.35">
      <c r="A15" s="146" t="str">
        <v>Redbull Purple</v>
      </c>
      <c r="B15" s="131">
        <f>SUMIFS(Terminal_Totalraport[Antall],Terminal_Totalraport[Vare],A15)</f>
        <v>1</v>
      </c>
      <c r="C15" s="132">
        <f>SUMIFS(Terminal_Totalraport[Beløp inkl. MVA],Terminal_Totalraport[Vare],A15)</f>
        <v>15</v>
      </c>
      <c r="H15" s="124" t="str">
        <f>Inkjøp[[#This Row],[Produkt]]</f>
        <v>Redbull Purple</v>
      </c>
      <c r="J15">
        <f t="shared" si="0"/>
        <v>0</v>
      </c>
      <c r="K15">
        <v>15</v>
      </c>
      <c r="M15" s="124" t="str">
        <f>Inkjøp[[#This Row],[Produkt]]</f>
        <v>Redbull Purple</v>
      </c>
      <c r="N15">
        <v>1</v>
      </c>
      <c r="O15">
        <f t="shared" si="1"/>
        <v>15</v>
      </c>
      <c r="P15">
        <v>15</v>
      </c>
    </row>
    <row r="16" spans="1:16" ht="16" customHeight="1" x14ac:dyDescent="0.35">
      <c r="A16" s="146" t="str">
        <v>Powerking Svart</v>
      </c>
      <c r="B16" s="131">
        <f>SUMIFS(Terminal_Totalraport[Antall],Terminal_Totalraport[Vare],A16)</f>
        <v>0</v>
      </c>
      <c r="C16" s="132">
        <f>SUMIFS(Terminal_Totalraport[Beløp inkl. MVA],Terminal_Totalraport[Vare],A16)</f>
        <v>0</v>
      </c>
      <c r="H16" s="124" t="str">
        <f>Inkjøp[[#This Row],[Produkt]]</f>
        <v>Powerking Svart</v>
      </c>
      <c r="J16">
        <f t="shared" si="0"/>
        <v>0</v>
      </c>
      <c r="K16">
        <v>15</v>
      </c>
      <c r="M16" s="124" t="str">
        <f>Inkjøp[[#This Row],[Produkt]]</f>
        <v>Powerking Svart</v>
      </c>
      <c r="O16">
        <f t="shared" si="1"/>
        <v>0</v>
      </c>
      <c r="P16">
        <v>15</v>
      </c>
    </row>
    <row r="17" spans="1:16" ht="16" customHeight="1" x14ac:dyDescent="0.35">
      <c r="A17" s="146" t="str">
        <v>Powerking Hvit</v>
      </c>
      <c r="B17" s="131">
        <f>SUMIFS(Terminal_Totalraport[Antall],Terminal_Totalraport[Vare],A17)</f>
        <v>13</v>
      </c>
      <c r="C17" s="132">
        <f>SUMIFS(Terminal_Totalraport[Beløp inkl. MVA],Terminal_Totalraport[Vare],A17)</f>
        <v>364</v>
      </c>
      <c r="H17" s="124" t="str">
        <f>Inkjøp[[#This Row],[Produkt]]</f>
        <v>Powerking Hvit</v>
      </c>
      <c r="I17">
        <v>6</v>
      </c>
      <c r="J17">
        <f t="shared" si="0"/>
        <v>168</v>
      </c>
      <c r="K17">
        <v>28</v>
      </c>
      <c r="M17" s="124" t="str">
        <f>Inkjøp[[#This Row],[Produkt]]</f>
        <v>Powerking Hvit</v>
      </c>
      <c r="N17">
        <v>7</v>
      </c>
      <c r="O17">
        <f t="shared" si="1"/>
        <v>196</v>
      </c>
      <c r="P17">
        <v>28</v>
      </c>
    </row>
    <row r="18" spans="1:16" ht="16" customHeight="1" x14ac:dyDescent="0.35">
      <c r="A18" s="146" t="str">
        <v>Battery Fresh</v>
      </c>
      <c r="B18" s="131">
        <f>SUMIFS(Terminal_Totalraport[Antall],Terminal_Totalraport[Vare],A18)</f>
        <v>2</v>
      </c>
      <c r="C18" s="132">
        <f>SUMIFS(Terminal_Totalraport[Beløp inkl. MVA],Terminal_Totalraport[Vare],A18)</f>
        <v>56</v>
      </c>
      <c r="H18" s="124" t="str">
        <f>Inkjøp[[#This Row],[Produkt]]</f>
        <v>Battery Fresh</v>
      </c>
      <c r="I18">
        <v>1</v>
      </c>
      <c r="J18">
        <f t="shared" si="0"/>
        <v>28</v>
      </c>
      <c r="K18">
        <v>28</v>
      </c>
      <c r="M18" s="124" t="str">
        <f>Inkjøp[[#This Row],[Produkt]]</f>
        <v>Battery Fresh</v>
      </c>
      <c r="N18">
        <v>1</v>
      </c>
      <c r="O18">
        <f t="shared" si="1"/>
        <v>28</v>
      </c>
      <c r="P18">
        <v>28</v>
      </c>
    </row>
    <row r="19" spans="1:16" ht="16" customHeight="1" x14ac:dyDescent="0.35">
      <c r="A19" s="146" t="str">
        <v>Battery Original</v>
      </c>
      <c r="B19" s="131">
        <f>SUMIFS(Terminal_Totalraport[Antall],Terminal_Totalraport[Vare],A19)</f>
        <v>2</v>
      </c>
      <c r="C19" s="132">
        <f>SUMIFS(Terminal_Totalraport[Beløp inkl. MVA],Terminal_Totalraport[Vare],A19)</f>
        <v>56</v>
      </c>
      <c r="H19" s="124" t="str">
        <f>Inkjøp[[#This Row],[Produkt]]</f>
        <v>Battery Original</v>
      </c>
      <c r="I19">
        <v>2</v>
      </c>
      <c r="J19">
        <f t="shared" si="0"/>
        <v>56</v>
      </c>
      <c r="K19">
        <v>28</v>
      </c>
      <c r="M19" s="124" t="str">
        <f>Inkjøp[[#This Row],[Produkt]]</f>
        <v>Battery Original</v>
      </c>
      <c r="O19">
        <f t="shared" si="1"/>
        <v>0</v>
      </c>
      <c r="P19">
        <v>28</v>
      </c>
    </row>
    <row r="20" spans="1:16" ht="16" customHeight="1" x14ac:dyDescent="0.35">
      <c r="A20" s="146" t="str">
        <v>Battery Peachberry</v>
      </c>
      <c r="B20" s="131">
        <f>SUMIFS(Terminal_Totalraport[Antall],Terminal_Totalraport[Vare],A20)</f>
        <v>0</v>
      </c>
      <c r="C20" s="132">
        <f>SUMIFS(Terminal_Totalraport[Beløp inkl. MVA],Terminal_Totalraport[Vare],A20)</f>
        <v>0</v>
      </c>
      <c r="H20" s="124" t="str">
        <f>Inkjøp[[#This Row],[Produkt]]</f>
        <v>Battery Peachberry</v>
      </c>
      <c r="J20">
        <f t="shared" si="0"/>
        <v>0</v>
      </c>
      <c r="K20">
        <v>28</v>
      </c>
      <c r="M20" s="124" t="str">
        <f>Inkjøp[[#This Row],[Produkt]]</f>
        <v>Battery Peachberry</v>
      </c>
      <c r="O20">
        <f t="shared" si="1"/>
        <v>0</v>
      </c>
      <c r="P20">
        <v>28</v>
      </c>
    </row>
    <row r="21" spans="1:16" ht="16" customHeight="1" x14ac:dyDescent="0.35">
      <c r="A21" s="146" t="str">
        <v>Battery Yellow</v>
      </c>
      <c r="B21" s="131">
        <f>SUMIFS(Terminal_Totalraport[Antall],Terminal_Totalraport[Vare],A21)</f>
        <v>0</v>
      </c>
      <c r="C21" s="132">
        <f>SUMIFS(Terminal_Totalraport[Beløp inkl. MVA],Terminal_Totalraport[Vare],A21)</f>
        <v>0</v>
      </c>
      <c r="H21" s="124" t="str">
        <f>Inkjøp[[#This Row],[Produkt]]</f>
        <v>Battery Yellow</v>
      </c>
      <c r="J21">
        <f t="shared" si="0"/>
        <v>0</v>
      </c>
      <c r="K21">
        <v>28</v>
      </c>
      <c r="M21" s="124" t="str">
        <f>Inkjøp[[#This Row],[Produkt]]</f>
        <v>Battery Yellow</v>
      </c>
      <c r="O21">
        <f t="shared" si="1"/>
        <v>0</v>
      </c>
      <c r="P21">
        <v>28</v>
      </c>
    </row>
    <row r="22" spans="1:16" ht="16" customHeight="1" x14ac:dyDescent="0.35">
      <c r="A22" s="146" t="str">
        <v>Battery Remix 2.0</v>
      </c>
      <c r="B22" s="131">
        <f>SUMIFS(Terminal_Totalraport[Antall],Terminal_Totalraport[Vare],A22)</f>
        <v>0</v>
      </c>
      <c r="C22" s="132">
        <f>SUMIFS(Terminal_Totalraport[Beløp inkl. MVA],Terminal_Totalraport[Vare],A22)</f>
        <v>0</v>
      </c>
      <c r="H22" s="124" t="str">
        <f>Inkjøp[[#This Row],[Produkt]]</f>
        <v>Battery Remix 2.0</v>
      </c>
      <c r="J22">
        <f t="shared" si="0"/>
        <v>0</v>
      </c>
      <c r="K22">
        <v>28</v>
      </c>
      <c r="M22" s="124" t="str">
        <f>Inkjøp[[#This Row],[Produkt]]</f>
        <v>Battery Remix 2.0</v>
      </c>
      <c r="O22">
        <f t="shared" si="1"/>
        <v>0</v>
      </c>
      <c r="P22">
        <v>28</v>
      </c>
    </row>
    <row r="23" spans="1:16" ht="16" customHeight="1" x14ac:dyDescent="0.35">
      <c r="A23" s="146" t="str">
        <v>Battery Blueberry</v>
      </c>
      <c r="B23" s="131">
        <f>SUMIFS(Terminal_Totalraport[Antall],Terminal_Totalraport[Vare],A23)</f>
        <v>1</v>
      </c>
      <c r="C23" s="132">
        <f>SUMIFS(Terminal_Totalraport[Beløp inkl. MVA],Terminal_Totalraport[Vare],A23)</f>
        <v>30</v>
      </c>
      <c r="H23" s="124" t="str">
        <f>Inkjøp[[#This Row],[Produkt]]</f>
        <v>Battery Blueberry</v>
      </c>
      <c r="J23">
        <f t="shared" si="0"/>
        <v>0</v>
      </c>
      <c r="K23">
        <v>30</v>
      </c>
      <c r="M23" s="124" t="str">
        <f>Inkjøp[[#This Row],[Produkt]]</f>
        <v>Battery Blueberry</v>
      </c>
      <c r="N23">
        <v>1</v>
      </c>
      <c r="O23">
        <f t="shared" si="1"/>
        <v>30</v>
      </c>
      <c r="P23">
        <v>30</v>
      </c>
    </row>
    <row r="24" spans="1:16" ht="16" customHeight="1" x14ac:dyDescent="0.35">
      <c r="A24" s="146" t="str">
        <v>Burn</v>
      </c>
      <c r="B24" s="131">
        <f>SUMIFS(Terminal_Totalraport[Antall],Terminal_Totalraport[Vare],A24)</f>
        <v>3</v>
      </c>
      <c r="C24" s="132">
        <f>SUMIFS(Terminal_Totalraport[Beløp inkl. MVA],Terminal_Totalraport[Vare],A24)</f>
        <v>72</v>
      </c>
      <c r="H24" s="124" t="str">
        <f>Inkjøp[[#This Row],[Produkt]]</f>
        <v>Burn</v>
      </c>
      <c r="I24">
        <v>1</v>
      </c>
      <c r="J24">
        <f t="shared" si="0"/>
        <v>24</v>
      </c>
      <c r="K24">
        <v>24</v>
      </c>
      <c r="M24" s="124" t="str">
        <f>Inkjøp[[#This Row],[Produkt]]</f>
        <v>Burn</v>
      </c>
      <c r="N24">
        <v>2</v>
      </c>
      <c r="O24">
        <f t="shared" si="1"/>
        <v>48</v>
      </c>
      <c r="P24">
        <v>24</v>
      </c>
    </row>
    <row r="25" spans="1:16" ht="16" customHeight="1" x14ac:dyDescent="0.35">
      <c r="A25" s="146" t="str">
        <v>Iskaffe Cappuccino</v>
      </c>
      <c r="B25" s="131">
        <f>SUMIFS(Terminal_Totalraport[Antall],Terminal_Totalraport[Vare],A25)</f>
        <v>0</v>
      </c>
      <c r="C25" s="132">
        <f>SUMIFS(Terminal_Totalraport[Beløp inkl. MVA],Terminal_Totalraport[Vare],A25)</f>
        <v>0</v>
      </c>
      <c r="H25" s="124" t="str">
        <f>Inkjøp[[#This Row],[Produkt]]</f>
        <v>Iskaffe Cappuccino</v>
      </c>
      <c r="J25">
        <f t="shared" si="0"/>
        <v>0</v>
      </c>
      <c r="K25">
        <v>24</v>
      </c>
      <c r="M25" s="124" t="str">
        <f>Inkjøp[[#This Row],[Produkt]]</f>
        <v>Iskaffe Cappuccino</v>
      </c>
      <c r="O25">
        <f t="shared" si="1"/>
        <v>0</v>
      </c>
      <c r="P25">
        <v>24</v>
      </c>
    </row>
    <row r="26" spans="1:16" ht="16" customHeight="1" x14ac:dyDescent="0.35">
      <c r="A26" s="146" t="str">
        <v>Iskaffe Cappuccino U/sukker</v>
      </c>
      <c r="B26" s="131">
        <f>SUMIFS(Terminal_Totalraport[Antall],Terminal_Totalraport[Vare],A26)</f>
        <v>0</v>
      </c>
      <c r="C26" s="132">
        <f>SUMIFS(Terminal_Totalraport[Beløp inkl. MVA],Terminal_Totalraport[Vare],A26)</f>
        <v>0</v>
      </c>
      <c r="H26" s="124" t="str">
        <f>Inkjøp[[#This Row],[Produkt]]</f>
        <v>Iskaffe Cappuccino U/sukker</v>
      </c>
      <c r="J26">
        <f t="shared" si="0"/>
        <v>0</v>
      </c>
      <c r="K26">
        <v>24</v>
      </c>
      <c r="M26" s="124" t="str">
        <f>Inkjøp[[#This Row],[Produkt]]</f>
        <v>Iskaffe Cappuccino U/sukker</v>
      </c>
      <c r="O26">
        <f t="shared" si="1"/>
        <v>0</v>
      </c>
      <c r="P26">
        <v>24</v>
      </c>
    </row>
    <row r="27" spans="1:16" ht="16" customHeight="1" x14ac:dyDescent="0.35">
      <c r="A27" s="146" t="str">
        <v>Iskaffe Latte U/sugar</v>
      </c>
      <c r="B27" s="131">
        <f>SUMIFS(Terminal_Totalraport[Antall],Terminal_Totalraport[Vare],A27)</f>
        <v>5</v>
      </c>
      <c r="C27" s="132">
        <f>SUMIFS(Terminal_Totalraport[Beløp inkl. MVA],Terminal_Totalraport[Vare],A27)</f>
        <v>120</v>
      </c>
      <c r="H27" s="124" t="str">
        <f>Inkjøp[[#This Row],[Produkt]]</f>
        <v>Iskaffe Latte U/sugar</v>
      </c>
      <c r="I27">
        <v>3</v>
      </c>
      <c r="J27">
        <f t="shared" si="0"/>
        <v>72</v>
      </c>
      <c r="K27">
        <v>24</v>
      </c>
      <c r="M27" s="124" t="str">
        <f>Inkjøp[[#This Row],[Produkt]]</f>
        <v>Iskaffe Latte U/sugar</v>
      </c>
      <c r="N27">
        <v>2</v>
      </c>
      <c r="O27">
        <f t="shared" si="1"/>
        <v>48</v>
      </c>
      <c r="P27">
        <v>24</v>
      </c>
    </row>
    <row r="28" spans="1:16" ht="16" customHeight="1" x14ac:dyDescent="0.35">
      <c r="A28" s="146" t="str">
        <v>Iskaffe Salty Caramel</v>
      </c>
      <c r="B28" s="131">
        <f>SUMIFS(Terminal_Totalraport[Antall],Terminal_Totalraport[Vare],A28)</f>
        <v>0</v>
      </c>
      <c r="C28" s="132">
        <f>SUMIFS(Terminal_Totalraport[Beløp inkl. MVA],Terminal_Totalraport[Vare],A28)</f>
        <v>0</v>
      </c>
      <c r="H28" s="124" t="str">
        <f>Inkjøp[[#This Row],[Produkt]]</f>
        <v>Iskaffe Salty Caramel</v>
      </c>
      <c r="J28">
        <f t="shared" si="0"/>
        <v>0</v>
      </c>
      <c r="K28">
        <v>24</v>
      </c>
      <c r="M28" s="124" t="str">
        <f>Inkjøp[[#This Row],[Produkt]]</f>
        <v>Iskaffe Salty Caramel</v>
      </c>
      <c r="O28">
        <f t="shared" si="1"/>
        <v>0</v>
      </c>
      <c r="P28">
        <v>24</v>
      </c>
    </row>
    <row r="29" spans="1:16" ht="16" customHeight="1" x14ac:dyDescent="0.35">
      <c r="A29" s="146" t="str">
        <v>Iskaffe Mocha</v>
      </c>
      <c r="B29" s="131">
        <f>SUMIFS(Terminal_Totalraport[Antall],Terminal_Totalraport[Vare],A29)</f>
        <v>1</v>
      </c>
      <c r="C29" s="132">
        <f>SUMIFS(Terminal_Totalraport[Beløp inkl. MVA],Terminal_Totalraport[Vare],A29)</f>
        <v>24</v>
      </c>
      <c r="H29" s="124" t="str">
        <f>Inkjøp[[#This Row],[Produkt]]</f>
        <v>Iskaffe Mocha</v>
      </c>
      <c r="J29">
        <f t="shared" si="0"/>
        <v>0</v>
      </c>
      <c r="K29">
        <v>24</v>
      </c>
      <c r="M29" s="124" t="str">
        <f>Inkjøp[[#This Row],[Produkt]]</f>
        <v>Iskaffe Mocha</v>
      </c>
      <c r="N29">
        <v>1</v>
      </c>
      <c r="O29">
        <f t="shared" si="1"/>
        <v>24</v>
      </c>
      <c r="P29">
        <v>24</v>
      </c>
    </row>
    <row r="30" spans="1:16" ht="16" customHeight="1" x14ac:dyDescent="0.35">
      <c r="A30" s="146" t="str">
        <v>Iskaffe Pumpkin Spice</v>
      </c>
      <c r="B30" s="131">
        <f>SUMIFS(Terminal_Totalraport[Antall],Terminal_Totalraport[Vare],A30)</f>
        <v>2</v>
      </c>
      <c r="C30" s="132">
        <f>SUMIFS(Terminal_Totalraport[Beløp inkl. MVA],Terminal_Totalraport[Vare],A30)</f>
        <v>30</v>
      </c>
      <c r="H30" s="124" t="str">
        <f>Inkjøp[[#This Row],[Produkt]]</f>
        <v>Iskaffe Pumpkin Spice</v>
      </c>
      <c r="I30">
        <v>1</v>
      </c>
      <c r="J30">
        <f t="shared" si="0"/>
        <v>15</v>
      </c>
      <c r="K30">
        <v>15</v>
      </c>
      <c r="M30" s="124" t="str">
        <f>Inkjøp[[#This Row],[Produkt]]</f>
        <v>Iskaffe Pumpkin Spice</v>
      </c>
      <c r="N30">
        <v>1</v>
      </c>
      <c r="O30">
        <f t="shared" si="1"/>
        <v>15</v>
      </c>
      <c r="P30">
        <v>15</v>
      </c>
    </row>
    <row r="31" spans="1:16" ht="16" customHeight="1" x14ac:dyDescent="0.35">
      <c r="A31" s="146" t="str">
        <v>Sjokomelk</v>
      </c>
      <c r="B31" s="131">
        <f>SUMIFS(Terminal_Totalraport[Antall],Terminal_Totalraport[Vare],A31)</f>
        <v>4</v>
      </c>
      <c r="C31" s="132">
        <f>SUMIFS(Terminal_Totalraport[Beløp inkl. MVA],Terminal_Totalraport[Vare],A31)</f>
        <v>112</v>
      </c>
      <c r="H31" s="124" t="str">
        <f>Inkjøp[[#This Row],[Produkt]]</f>
        <v>Sjokomelk</v>
      </c>
      <c r="I31">
        <v>2</v>
      </c>
      <c r="J31">
        <f t="shared" si="0"/>
        <v>56</v>
      </c>
      <c r="K31">
        <v>28</v>
      </c>
      <c r="M31" s="124" t="str">
        <f>Inkjøp[[#This Row],[Produkt]]</f>
        <v>Sjokomelk</v>
      </c>
      <c r="N31">
        <v>2</v>
      </c>
      <c r="O31">
        <f t="shared" si="1"/>
        <v>56</v>
      </c>
      <c r="P31">
        <v>28</v>
      </c>
    </row>
    <row r="32" spans="1:16" ht="16" customHeight="1" x14ac:dyDescent="0.35">
      <c r="A32" s="146" t="str">
        <v>Fanta Exotic</v>
      </c>
      <c r="B32" s="131">
        <f>SUMIFS(Terminal_Totalraport[Antall],Terminal_Totalraport[Vare],A32)</f>
        <v>0</v>
      </c>
      <c r="C32" s="132">
        <f>SUMIFS(Terminal_Totalraport[Beløp inkl. MVA],Terminal_Totalraport[Vare],A32)</f>
        <v>0</v>
      </c>
      <c r="H32" s="124" t="str">
        <f>Inkjøp[[#This Row],[Produkt]]</f>
        <v>Fanta Exotic</v>
      </c>
      <c r="J32">
        <f t="shared" si="0"/>
        <v>0</v>
      </c>
      <c r="K32">
        <v>28</v>
      </c>
      <c r="M32" s="124" t="str">
        <f>Inkjøp[[#This Row],[Produkt]]</f>
        <v>Fanta Exotic</v>
      </c>
      <c r="O32">
        <f t="shared" si="1"/>
        <v>0</v>
      </c>
      <c r="P32">
        <v>28</v>
      </c>
    </row>
    <row r="33" spans="1:16" ht="16" customHeight="1" x14ac:dyDescent="0.35">
      <c r="A33" s="147" t="str">
        <v>Fanta Orange</v>
      </c>
      <c r="B33" s="131">
        <f>SUMIFS(Terminal_Totalraport[Antall],Terminal_Totalraport[Vare],A33)</f>
        <v>3</v>
      </c>
      <c r="C33" s="132">
        <f>SUMIFS(Terminal_Totalraport[Beløp inkl. MVA],Terminal_Totalraport[Vare],A33)</f>
        <v>84</v>
      </c>
      <c r="H33" s="125" t="str">
        <f>Inkjøp[[#This Row],[Produkt]]</f>
        <v>Fanta Orange</v>
      </c>
      <c r="I33">
        <v>2</v>
      </c>
      <c r="J33">
        <f t="shared" si="0"/>
        <v>56</v>
      </c>
      <c r="K33">
        <v>28</v>
      </c>
      <c r="M33" s="125" t="str">
        <f>Inkjøp[[#This Row],[Produkt]]</f>
        <v>Fanta Orange</v>
      </c>
      <c r="N33">
        <v>1</v>
      </c>
      <c r="O33">
        <f t="shared" si="1"/>
        <v>28</v>
      </c>
      <c r="P33">
        <v>28</v>
      </c>
    </row>
    <row r="34" spans="1:16" ht="16" customHeight="1" x14ac:dyDescent="0.35">
      <c r="A34" s="147" t="str">
        <v>Urge</v>
      </c>
      <c r="B34" s="131">
        <f>SUMIFS(Terminal_Totalraport[Antall],Terminal_Totalraport[Vare],A34)</f>
        <v>8</v>
      </c>
      <c r="C34" s="132">
        <f>SUMIFS(Terminal_Totalraport[Beløp inkl. MVA],Terminal_Totalraport[Vare],A34)</f>
        <v>160</v>
      </c>
      <c r="H34" s="125" t="str">
        <f>Inkjøp[[#This Row],[Produkt]]</f>
        <v>Urge</v>
      </c>
      <c r="I34">
        <v>4</v>
      </c>
      <c r="J34">
        <f t="shared" si="0"/>
        <v>80</v>
      </c>
      <c r="K34">
        <v>20</v>
      </c>
      <c r="M34" s="125" t="str">
        <f>Inkjøp[[#This Row],[Produkt]]</f>
        <v>Urge</v>
      </c>
      <c r="N34">
        <v>4</v>
      </c>
      <c r="O34">
        <f t="shared" si="1"/>
        <v>80</v>
      </c>
      <c r="P34">
        <v>20</v>
      </c>
    </row>
    <row r="35" spans="1:16" ht="16" customHeight="1" x14ac:dyDescent="0.35">
      <c r="A35" s="147" t="str">
        <v>Pepsi Max</v>
      </c>
      <c r="B35" s="131">
        <f>SUMIFS(Terminal_Totalraport[Antall],Terminal_Totalraport[Vare],A35)</f>
        <v>4</v>
      </c>
      <c r="C35" s="132">
        <f>SUMIFS(Terminal_Totalraport[Beløp inkl. MVA],Terminal_Totalraport[Vare],A35)</f>
        <v>80</v>
      </c>
      <c r="H35" s="125" t="str">
        <f>Inkjøp[[#This Row],[Produkt]]</f>
        <v>Pepsi Max</v>
      </c>
      <c r="I35">
        <v>2</v>
      </c>
      <c r="J35">
        <f t="shared" si="0"/>
        <v>40</v>
      </c>
      <c r="K35">
        <v>20</v>
      </c>
      <c r="M35" s="125" t="str">
        <f>Inkjøp[[#This Row],[Produkt]]</f>
        <v>Pepsi Max</v>
      </c>
      <c r="N35">
        <v>2</v>
      </c>
      <c r="O35">
        <f t="shared" si="1"/>
        <v>40</v>
      </c>
      <c r="P35">
        <v>20</v>
      </c>
    </row>
    <row r="36" spans="1:16" ht="16" customHeight="1" x14ac:dyDescent="0.35">
      <c r="A36" s="146" t="str">
        <v>Coca Cola</v>
      </c>
      <c r="B36" s="131">
        <f>SUMIFS(Terminal_Totalraport[Antall],Terminal_Totalraport[Vare],A36)</f>
        <v>3</v>
      </c>
      <c r="C36" s="132">
        <f>SUMIFS(Terminal_Totalraport[Beløp inkl. MVA],Terminal_Totalraport[Vare],A36)</f>
        <v>60</v>
      </c>
      <c r="H36" s="124" t="str">
        <f>Inkjøp[[#This Row],[Produkt]]</f>
        <v>Coca Cola</v>
      </c>
      <c r="I36">
        <v>1</v>
      </c>
      <c r="J36">
        <f t="shared" si="0"/>
        <v>20</v>
      </c>
      <c r="K36">
        <v>20</v>
      </c>
      <c r="M36" s="124" t="str">
        <f>Inkjøp[[#This Row],[Produkt]]</f>
        <v>Coca Cola</v>
      </c>
      <c r="N36">
        <v>2</v>
      </c>
      <c r="O36">
        <f t="shared" si="1"/>
        <v>40</v>
      </c>
      <c r="P36">
        <v>20</v>
      </c>
    </row>
    <row r="37" spans="1:16" ht="16" customHeight="1" x14ac:dyDescent="0.35">
      <c r="A37" s="146" t="str">
        <v>Coca Cola Zero</v>
      </c>
      <c r="B37" s="131">
        <f>SUMIFS(Terminal_Totalraport[Antall],Terminal_Totalraport[Vare],A37)</f>
        <v>0</v>
      </c>
      <c r="C37" s="132">
        <f>SUMIFS(Terminal_Totalraport[Beløp inkl. MVA],Terminal_Totalraport[Vare],A37)</f>
        <v>0</v>
      </c>
      <c r="H37" s="124" t="str">
        <f>Inkjøp[[#This Row],[Produkt]]</f>
        <v>Coca Cola Zero</v>
      </c>
      <c r="J37">
        <f t="shared" si="0"/>
        <v>0</v>
      </c>
      <c r="K37">
        <v>28</v>
      </c>
      <c r="M37" s="124" t="str">
        <f>Inkjøp[[#This Row],[Produkt]]</f>
        <v>Coca Cola Zero</v>
      </c>
      <c r="O37">
        <f t="shared" si="1"/>
        <v>0</v>
      </c>
      <c r="P37">
        <v>28</v>
      </c>
    </row>
    <row r="38" spans="1:16" ht="16" customHeight="1" x14ac:dyDescent="0.35">
      <c r="A38" s="146" t="str">
        <v>Cola zero 0.5</v>
      </c>
      <c r="B38" s="131">
        <f>SUMIFS(Terminal_Totalraport[Antall],Terminal_Totalraport[Vare],A38)</f>
        <v>0</v>
      </c>
      <c r="C38" s="132">
        <f>SUMIFS(Terminal_Totalraport[Beløp inkl. MVA],Terminal_Totalraport[Vare],A38)</f>
        <v>0</v>
      </c>
      <c r="H38" s="124" t="str">
        <f>Inkjøp[[#This Row],[Produkt]]</f>
        <v>Cola zero 0.5</v>
      </c>
      <c r="J38">
        <f t="shared" si="0"/>
        <v>0</v>
      </c>
      <c r="K38">
        <v>28</v>
      </c>
      <c r="M38" s="124" t="str">
        <f>Inkjøp[[#This Row],[Produkt]]</f>
        <v>Cola zero 0.5</v>
      </c>
      <c r="O38">
        <f t="shared" si="1"/>
        <v>0</v>
      </c>
      <c r="P38">
        <v>28</v>
      </c>
    </row>
    <row r="39" spans="1:16" ht="16" customHeight="1" x14ac:dyDescent="0.35">
      <c r="A39" s="146" t="str">
        <v>Julebrus boks</v>
      </c>
      <c r="B39" s="131">
        <f>SUMIFS(Terminal_Totalraport[Antall],Terminal_Totalraport[Vare],A39)</f>
        <v>0</v>
      </c>
      <c r="C39" s="132">
        <f>SUMIFS(Terminal_Totalraport[Beløp inkl. MVA],Terminal_Totalraport[Vare],A39)</f>
        <v>0</v>
      </c>
      <c r="H39" s="124" t="str">
        <f>Inkjøp[[#This Row],[Produkt]]</f>
        <v>Julebrus boks</v>
      </c>
      <c r="J39">
        <f t="shared" si="0"/>
        <v>0</v>
      </c>
      <c r="K39">
        <v>28</v>
      </c>
      <c r="M39" s="124" t="str">
        <f>Inkjøp[[#This Row],[Produkt]]</f>
        <v>Julebrus boks</v>
      </c>
      <c r="O39">
        <f t="shared" si="1"/>
        <v>0</v>
      </c>
      <c r="P39">
        <v>28</v>
      </c>
    </row>
    <row r="40" spans="1:16" ht="16" customHeight="1" x14ac:dyDescent="0.35">
      <c r="A40" s="146" t="str">
        <v>Iste</v>
      </c>
      <c r="B40" s="131">
        <f>SUMIFS(Terminal_Totalraport[Antall],Terminal_Totalraport[Vare],A40)</f>
        <v>3</v>
      </c>
      <c r="C40" s="132">
        <f>SUMIFS(Terminal_Totalraport[Beløp inkl. MVA],Terminal_Totalraport[Vare],A40)</f>
        <v>105</v>
      </c>
      <c r="H40" s="124" t="str">
        <f>Inkjøp[[#This Row],[Produkt]]</f>
        <v>Iste</v>
      </c>
      <c r="I40">
        <v>2</v>
      </c>
      <c r="J40">
        <f t="shared" si="0"/>
        <v>70</v>
      </c>
      <c r="K40">
        <v>35</v>
      </c>
      <c r="M40" s="124" t="str">
        <f>Inkjøp[[#This Row],[Produkt]]</f>
        <v>Iste</v>
      </c>
      <c r="N40">
        <v>1</v>
      </c>
      <c r="O40">
        <f t="shared" si="1"/>
        <v>35</v>
      </c>
      <c r="P40">
        <v>35</v>
      </c>
    </row>
    <row r="41" spans="1:16" ht="16" customHeight="1" x14ac:dyDescent="0.35">
      <c r="A41" s="146" t="str">
        <v>Iste U/sukker</v>
      </c>
      <c r="B41" s="131">
        <f>SUMIFS(Terminal_Totalraport[Antall],Terminal_Totalraport[Vare],A41)</f>
        <v>0</v>
      </c>
      <c r="C41" s="132">
        <f>SUMIFS(Terminal_Totalraport[Beløp inkl. MVA],Terminal_Totalraport[Vare],A41)</f>
        <v>0</v>
      </c>
      <c r="H41" s="124" t="str">
        <f>Inkjøp[[#This Row],[Produkt]]</f>
        <v>Iste U/sukker</v>
      </c>
      <c r="J41">
        <f t="shared" si="0"/>
        <v>0</v>
      </c>
      <c r="K41">
        <v>30</v>
      </c>
      <c r="M41" s="124" t="str">
        <f>Inkjøp[[#This Row],[Produkt]]</f>
        <v>Iste U/sukker</v>
      </c>
      <c r="O41">
        <f t="shared" si="1"/>
        <v>0</v>
      </c>
      <c r="P41">
        <v>30</v>
      </c>
    </row>
    <row r="42" spans="1:16" ht="16" customHeight="1" x14ac:dyDescent="0.35">
      <c r="A42" s="146" t="str">
        <v>Smil</v>
      </c>
      <c r="B42" s="131">
        <f>SUMIFS(Terminal_Totalraport[Antall],Terminal_Totalraport[Vare],A42)</f>
        <v>3</v>
      </c>
      <c r="C42" s="132">
        <f>SUMIFS(Terminal_Totalraport[Beløp inkl. MVA],Terminal_Totalraport[Vare],A42)</f>
        <v>105</v>
      </c>
      <c r="H42" s="124" t="str">
        <f>Inkjøp[[#This Row],[Produkt]]</f>
        <v>Smil</v>
      </c>
      <c r="I42">
        <v>2</v>
      </c>
      <c r="J42">
        <f t="shared" si="0"/>
        <v>70</v>
      </c>
      <c r="K42">
        <v>35</v>
      </c>
      <c r="M42" s="124" t="str">
        <f>Inkjøp[[#This Row],[Produkt]]</f>
        <v>Smil</v>
      </c>
      <c r="N42">
        <v>1</v>
      </c>
      <c r="O42">
        <f t="shared" si="1"/>
        <v>35</v>
      </c>
      <c r="P42">
        <v>35</v>
      </c>
    </row>
    <row r="43" spans="1:16" ht="16" customHeight="1" x14ac:dyDescent="0.35">
      <c r="A43" s="146" t="str">
        <v>Melkesjokolade 100g</v>
      </c>
      <c r="B43" s="131">
        <f>SUMIFS(Terminal_Totalraport[Antall],Terminal_Totalraport[Vare],A43)</f>
        <v>2</v>
      </c>
      <c r="C43" s="132">
        <f>SUMIFS(Terminal_Totalraport[Beløp inkl. MVA],Terminal_Totalraport[Vare],A43)</f>
        <v>36</v>
      </c>
      <c r="H43" s="124" t="str">
        <f>Inkjøp[[#This Row],[Produkt]]</f>
        <v>Melkesjokolade 100g</v>
      </c>
      <c r="I43">
        <v>1</v>
      </c>
      <c r="J43">
        <f t="shared" si="0"/>
        <v>18</v>
      </c>
      <c r="K43">
        <v>18</v>
      </c>
      <c r="M43" s="124" t="str">
        <f>Inkjøp[[#This Row],[Produkt]]</f>
        <v>Melkesjokolade 100g</v>
      </c>
      <c r="N43">
        <v>1</v>
      </c>
      <c r="O43">
        <f t="shared" si="1"/>
        <v>18</v>
      </c>
      <c r="P43">
        <v>18</v>
      </c>
    </row>
    <row r="44" spans="1:16" ht="16" customHeight="1" x14ac:dyDescent="0.35">
      <c r="A44" s="146" t="str">
        <v>Melkerull</v>
      </c>
      <c r="B44" s="131">
        <f>SUMIFS(Terminal_Totalraport[Antall],Terminal_Totalraport[Vare],A44)</f>
        <v>3</v>
      </c>
      <c r="C44" s="132">
        <f>SUMIFS(Terminal_Totalraport[Beløp inkl. MVA],Terminal_Totalraport[Vare],A44)</f>
        <v>30</v>
      </c>
      <c r="H44" s="124" t="str">
        <f>Inkjøp[[#This Row],[Produkt]]</f>
        <v>Melkerull</v>
      </c>
      <c r="I44">
        <v>1</v>
      </c>
      <c r="J44">
        <f t="shared" si="0"/>
        <v>10</v>
      </c>
      <c r="K44">
        <v>10</v>
      </c>
      <c r="M44" s="124" t="str">
        <f>Inkjøp[[#This Row],[Produkt]]</f>
        <v>Melkerull</v>
      </c>
      <c r="N44">
        <v>2</v>
      </c>
      <c r="O44">
        <f t="shared" si="1"/>
        <v>20</v>
      </c>
      <c r="P44">
        <v>10</v>
      </c>
    </row>
    <row r="45" spans="1:16" ht="16" customHeight="1" x14ac:dyDescent="0.35">
      <c r="A45" s="147" t="str">
        <v>Kinder Bueno</v>
      </c>
      <c r="B45" s="131">
        <f>SUMIFS(Terminal_Totalraport[Antall],Terminal_Totalraport[Vare],A45)</f>
        <v>2</v>
      </c>
      <c r="C45" s="132">
        <f>SUMIFS(Terminal_Totalraport[Beløp inkl. MVA],Terminal_Totalraport[Vare],A45)</f>
        <v>50</v>
      </c>
      <c r="H45" s="125" t="str">
        <f>Inkjøp[[#This Row],[Produkt]]</f>
        <v>Kinder Bueno</v>
      </c>
      <c r="I45">
        <v>1</v>
      </c>
      <c r="J45">
        <f t="shared" si="0"/>
        <v>25</v>
      </c>
      <c r="K45">
        <v>25</v>
      </c>
      <c r="M45" s="125" t="str">
        <f>Inkjøp[[#This Row],[Produkt]]</f>
        <v>Kinder Bueno</v>
      </c>
      <c r="N45">
        <v>1</v>
      </c>
      <c r="O45">
        <f t="shared" si="1"/>
        <v>25</v>
      </c>
      <c r="P45">
        <v>25</v>
      </c>
    </row>
    <row r="46" spans="1:16" ht="16" customHeight="1" x14ac:dyDescent="0.35">
      <c r="A46" s="146" t="str">
        <v>Kinder Maxi</v>
      </c>
      <c r="B46" s="131">
        <f>SUMIFS(Terminal_Totalraport[Antall],Terminal_Totalraport[Vare],A46)</f>
        <v>0</v>
      </c>
      <c r="C46" s="132">
        <f>SUMIFS(Terminal_Totalraport[Beløp inkl. MVA],Terminal_Totalraport[Vare],A46)</f>
        <v>0</v>
      </c>
      <c r="H46" s="124" t="str">
        <f>Inkjøp[[#This Row],[Produkt]]</f>
        <v>Kinder Maxi</v>
      </c>
      <c r="J46">
        <f t="shared" si="0"/>
        <v>0</v>
      </c>
      <c r="K46">
        <v>45</v>
      </c>
      <c r="M46" s="124" t="str">
        <f>Inkjøp[[#This Row],[Produkt]]</f>
        <v>Kinder Maxi</v>
      </c>
      <c r="O46">
        <f t="shared" si="1"/>
        <v>0</v>
      </c>
      <c r="P46">
        <v>45</v>
      </c>
    </row>
    <row r="47" spans="1:16" ht="16" customHeight="1" x14ac:dyDescent="0.35">
      <c r="A47" s="146" t="str">
        <v>Snickers</v>
      </c>
      <c r="B47" s="131">
        <f>SUMIFS(Terminal_Totalraport[Antall],Terminal_Totalraport[Vare],A47)</f>
        <v>0</v>
      </c>
      <c r="C47" s="132">
        <f>SUMIFS(Terminal_Totalraport[Beløp inkl. MVA],Terminal_Totalraport[Vare],A47)</f>
        <v>0</v>
      </c>
      <c r="H47" s="124" t="str">
        <f>Inkjøp[[#This Row],[Produkt]]</f>
        <v>Snickers</v>
      </c>
      <c r="J47">
        <f t="shared" si="0"/>
        <v>0</v>
      </c>
      <c r="K47">
        <v>20</v>
      </c>
      <c r="M47" s="124" t="str">
        <f>Inkjøp[[#This Row],[Produkt]]</f>
        <v>Snickers</v>
      </c>
      <c r="O47">
        <f t="shared" si="1"/>
        <v>0</v>
      </c>
      <c r="P47">
        <v>20</v>
      </c>
    </row>
    <row r="48" spans="1:16" ht="16" customHeight="1" x14ac:dyDescent="0.35">
      <c r="A48" s="146" t="str">
        <v>sjokoladeplate 200g</v>
      </c>
      <c r="B48" s="131">
        <f>SUMIFS(Terminal_Totalraport[Antall],Terminal_Totalraport[Vare],A48)</f>
        <v>0</v>
      </c>
      <c r="C48" s="132">
        <f>SUMIFS(Terminal_Totalraport[Beløp inkl. MVA],Terminal_Totalraport[Vare],A48)</f>
        <v>0</v>
      </c>
      <c r="H48" s="124" t="str">
        <f>Inkjøp[[#This Row],[Produkt]]</f>
        <v>sjokoladeplate 200g</v>
      </c>
      <c r="J48">
        <f t="shared" si="0"/>
        <v>0</v>
      </c>
      <c r="K48">
        <v>25</v>
      </c>
      <c r="M48" s="124" t="str">
        <f>Inkjøp[[#This Row],[Produkt]]</f>
        <v>sjokoladeplate 200g</v>
      </c>
      <c r="O48">
        <f t="shared" si="1"/>
        <v>0</v>
      </c>
      <c r="P48">
        <v>25</v>
      </c>
    </row>
    <row r="49" spans="1:16" ht="16" customHeight="1" x14ac:dyDescent="0.35">
      <c r="A49" s="146" t="str">
        <v>Snickers 50g</v>
      </c>
      <c r="B49" s="131">
        <f>SUMIFS(Terminal_Totalraport[Antall],Terminal_Totalraport[Vare],A49)</f>
        <v>2</v>
      </c>
      <c r="C49" s="132">
        <f>SUMIFS(Terminal_Totalraport[Beløp inkl. MVA],Terminal_Totalraport[Vare],A49)</f>
        <v>56</v>
      </c>
      <c r="H49" s="124" t="str">
        <f>Inkjøp[[#This Row],[Produkt]]</f>
        <v>Snickers 50g</v>
      </c>
      <c r="J49">
        <f t="shared" si="0"/>
        <v>0</v>
      </c>
      <c r="K49">
        <v>28</v>
      </c>
      <c r="M49" s="124" t="str">
        <f>Inkjøp[[#This Row],[Produkt]]</f>
        <v>Snickers 50g</v>
      </c>
      <c r="N49">
        <v>2</v>
      </c>
      <c r="O49">
        <f t="shared" si="1"/>
        <v>56</v>
      </c>
      <c r="P49">
        <v>28</v>
      </c>
    </row>
    <row r="50" spans="1:16" ht="16" customHeight="1" x14ac:dyDescent="0.35">
      <c r="A50" s="146" t="str">
        <v>Mars</v>
      </c>
      <c r="B50" s="131">
        <f>SUMIFS(Terminal_Totalraport[Antall],Terminal_Totalraport[Vare],A50)</f>
        <v>0</v>
      </c>
      <c r="C50" s="132">
        <f>SUMIFS(Terminal_Totalraport[Beløp inkl. MVA],Terminal_Totalraport[Vare],A50)</f>
        <v>0</v>
      </c>
      <c r="H50" s="124" t="str">
        <f>Inkjøp[[#This Row],[Produkt]]</f>
        <v>Mars</v>
      </c>
      <c r="J50">
        <f t="shared" si="0"/>
        <v>0</v>
      </c>
      <c r="K50">
        <v>28</v>
      </c>
      <c r="M50" s="124" t="str">
        <f>Inkjøp[[#This Row],[Produkt]]</f>
        <v>Mars</v>
      </c>
      <c r="O50">
        <f t="shared" si="1"/>
        <v>0</v>
      </c>
      <c r="P50">
        <v>28</v>
      </c>
    </row>
    <row r="51" spans="1:16" x14ac:dyDescent="0.35">
      <c r="A51" s="146" t="str">
        <v>Twix</v>
      </c>
      <c r="B51" s="131">
        <f>SUMIFS(Terminal_Totalraport[Antall],Terminal_Totalraport[Vare],A51)</f>
        <v>0</v>
      </c>
      <c r="C51" s="132">
        <f>SUMIFS(Terminal_Totalraport[Beløp inkl. MVA],Terminal_Totalraport[Vare],A51)</f>
        <v>0</v>
      </c>
      <c r="H51" s="124" t="str">
        <f>Inkjøp[[#This Row],[Produkt]]</f>
        <v>Twix</v>
      </c>
      <c r="J51">
        <f t="shared" si="0"/>
        <v>0</v>
      </c>
      <c r="K51">
        <v>20</v>
      </c>
      <c r="M51" s="124" t="str">
        <f>Inkjøp[[#This Row],[Produkt]]</f>
        <v>Twix</v>
      </c>
      <c r="O51">
        <f t="shared" si="1"/>
        <v>0</v>
      </c>
      <c r="P51">
        <v>20</v>
      </c>
    </row>
    <row r="52" spans="1:16" x14ac:dyDescent="0.35">
      <c r="A52" s="146" t="str">
        <v>Japp</v>
      </c>
      <c r="B52" s="131">
        <f>SUMIFS(Terminal_Totalraport[Antall],Terminal_Totalraport[Vare],A52)</f>
        <v>2</v>
      </c>
      <c r="C52" s="132">
        <f>SUMIFS(Terminal_Totalraport[Beløp inkl. MVA],Terminal_Totalraport[Vare],A52)</f>
        <v>40</v>
      </c>
      <c r="H52" s="124" t="str">
        <f>Inkjøp[[#This Row],[Produkt]]</f>
        <v>Japp</v>
      </c>
      <c r="I52">
        <v>1</v>
      </c>
      <c r="J52">
        <f t="shared" si="0"/>
        <v>20</v>
      </c>
      <c r="K52">
        <v>20</v>
      </c>
      <c r="M52" s="124" t="str">
        <f>Inkjøp[[#This Row],[Produkt]]</f>
        <v>Japp</v>
      </c>
      <c r="N52">
        <v>1</v>
      </c>
      <c r="O52">
        <f t="shared" si="1"/>
        <v>20</v>
      </c>
      <c r="P52">
        <v>20</v>
      </c>
    </row>
    <row r="53" spans="1:16" x14ac:dyDescent="0.35">
      <c r="A53" s="146" t="str">
        <v>Lion</v>
      </c>
      <c r="B53" s="131">
        <f>SUMIFS(Terminal_Totalraport[Antall],Terminal_Totalraport[Vare],A53)</f>
        <v>4</v>
      </c>
      <c r="C53" s="132">
        <f>SUMIFS(Terminal_Totalraport[Beløp inkl. MVA],Terminal_Totalraport[Vare],A53)</f>
        <v>40</v>
      </c>
      <c r="H53" s="124" t="str">
        <f>Inkjøp[[#This Row],[Produkt]]</f>
        <v>Lion</v>
      </c>
      <c r="I53">
        <v>2</v>
      </c>
      <c r="J53">
        <f t="shared" si="0"/>
        <v>20</v>
      </c>
      <c r="K53">
        <v>10</v>
      </c>
      <c r="M53" s="124" t="str">
        <f>Inkjøp[[#This Row],[Produkt]]</f>
        <v>Lion</v>
      </c>
      <c r="N53">
        <v>2</v>
      </c>
      <c r="O53">
        <f t="shared" si="1"/>
        <v>20</v>
      </c>
      <c r="P53">
        <v>10</v>
      </c>
    </row>
    <row r="54" spans="1:16" x14ac:dyDescent="0.35">
      <c r="A54" s="146" t="str">
        <v>Smarties</v>
      </c>
      <c r="B54" s="131">
        <f>SUMIFS(Terminal_Totalraport[Antall],Terminal_Totalraport[Vare],A54)</f>
        <v>12</v>
      </c>
      <c r="C54" s="132">
        <f>SUMIFS(Terminal_Totalraport[Beløp inkl. MVA],Terminal_Totalraport[Vare],A54)</f>
        <v>120</v>
      </c>
      <c r="H54" s="124" t="str">
        <f>Inkjøp[[#This Row],[Produkt]]</f>
        <v>Smarties</v>
      </c>
      <c r="J54">
        <f t="shared" si="0"/>
        <v>0</v>
      </c>
      <c r="K54">
        <v>10</v>
      </c>
      <c r="M54" s="124" t="str">
        <f>Inkjøp[[#This Row],[Produkt]]</f>
        <v>Smarties</v>
      </c>
      <c r="N54">
        <v>12</v>
      </c>
      <c r="O54">
        <f t="shared" si="1"/>
        <v>120</v>
      </c>
      <c r="P54">
        <v>10</v>
      </c>
    </row>
    <row r="55" spans="1:16" x14ac:dyDescent="0.35">
      <c r="A55" s="146" t="str">
        <v>Snap n´crackle</v>
      </c>
      <c r="B55" s="131">
        <f>SUMIFS(Terminal_Totalraport[Antall],Terminal_Totalraport[Vare],A55)</f>
        <v>4</v>
      </c>
      <c r="C55" s="132">
        <f>SUMIFS(Terminal_Totalraport[Beløp inkl. MVA],Terminal_Totalraport[Vare],A55)</f>
        <v>80</v>
      </c>
      <c r="H55" s="124" t="str">
        <f>Inkjøp[[#This Row],[Produkt]]</f>
        <v>Snap n´crackle</v>
      </c>
      <c r="I55">
        <v>4</v>
      </c>
      <c r="J55">
        <f t="shared" si="0"/>
        <v>80</v>
      </c>
      <c r="K55">
        <v>20</v>
      </c>
      <c r="M55" s="124" t="str">
        <f>Inkjøp[[#This Row],[Produkt]]</f>
        <v>Snap n´crackle</v>
      </c>
      <c r="O55">
        <f t="shared" si="1"/>
        <v>0</v>
      </c>
      <c r="P55">
        <v>20</v>
      </c>
    </row>
    <row r="56" spans="1:16" x14ac:dyDescent="0.35">
      <c r="A56" s="146" t="str">
        <v>Drumstick</v>
      </c>
      <c r="B56" s="131">
        <f>SUMIFS(Terminal_Totalraport[Antall],Terminal_Totalraport[Vare],A56)</f>
        <v>0</v>
      </c>
      <c r="C56" s="132">
        <f>SUMIFS(Terminal_Totalraport[Beløp inkl. MVA],Terminal_Totalraport[Vare],A56)</f>
        <v>0</v>
      </c>
      <c r="H56" s="124" t="str">
        <f>Inkjøp[[#This Row],[Produkt]]</f>
        <v>Drumstick</v>
      </c>
      <c r="J56">
        <f t="shared" si="0"/>
        <v>0</v>
      </c>
      <c r="K56">
        <v>15</v>
      </c>
      <c r="M56" s="124" t="str">
        <f>Inkjøp[[#This Row],[Produkt]]</f>
        <v>Drumstick</v>
      </c>
      <c r="O56">
        <f t="shared" si="1"/>
        <v>0</v>
      </c>
      <c r="P56">
        <v>15</v>
      </c>
    </row>
    <row r="57" spans="1:16" x14ac:dyDescent="0.35">
      <c r="A57" s="146" t="str">
        <v>Squashies</v>
      </c>
      <c r="B57" s="131">
        <f>SUMIFS(Terminal_Totalraport[Antall],Terminal_Totalraport[Vare],A57)</f>
        <v>3</v>
      </c>
      <c r="C57" s="132">
        <f>SUMIFS(Terminal_Totalraport[Beløp inkl. MVA],Terminal_Totalraport[Vare],A57)</f>
        <v>54</v>
      </c>
      <c r="H57" s="124" t="str">
        <f>Inkjøp[[#This Row],[Produkt]]</f>
        <v>Squashies</v>
      </c>
      <c r="I57">
        <v>2</v>
      </c>
      <c r="J57">
        <f t="shared" si="0"/>
        <v>36</v>
      </c>
      <c r="K57">
        <v>18</v>
      </c>
      <c r="M57" s="124" t="str">
        <f>Inkjøp[[#This Row],[Produkt]]</f>
        <v>Squashies</v>
      </c>
      <c r="N57">
        <v>1</v>
      </c>
      <c r="O57">
        <f t="shared" si="1"/>
        <v>18</v>
      </c>
      <c r="P57">
        <v>18</v>
      </c>
    </row>
    <row r="58" spans="1:16" x14ac:dyDescent="0.35">
      <c r="A58" s="146" t="str">
        <v>Vepsebol</v>
      </c>
      <c r="B58" s="131">
        <f>SUMIFS(Terminal_Totalraport[Antall],Terminal_Totalraport[Vare],A58)</f>
        <v>0</v>
      </c>
      <c r="C58" s="132">
        <f>SUMIFS(Terminal_Totalraport[Beløp inkl. MVA],Terminal_Totalraport[Vare],A58)</f>
        <v>0</v>
      </c>
      <c r="H58" s="124" t="str">
        <f>Inkjøp[[#This Row],[Produkt]]</f>
        <v>Vepsebol</v>
      </c>
      <c r="J58">
        <f t="shared" si="0"/>
        <v>0</v>
      </c>
      <c r="K58">
        <v>18</v>
      </c>
      <c r="M58" s="124" t="str">
        <f>Inkjøp[[#This Row],[Produkt]]</f>
        <v>Vepsebol</v>
      </c>
      <c r="O58">
        <f t="shared" si="1"/>
        <v>0</v>
      </c>
      <c r="P58">
        <v>18</v>
      </c>
    </row>
    <row r="59" spans="1:16" x14ac:dyDescent="0.35">
      <c r="A59" s="147" t="str">
        <v>Pringles Original</v>
      </c>
      <c r="B59" s="131">
        <f>SUMIFS(Terminal_Totalraport[Antall],Terminal_Totalraport[Vare],A59)</f>
        <v>2</v>
      </c>
      <c r="C59" s="132">
        <f>SUMIFS(Terminal_Totalraport[Beløp inkl. MVA],Terminal_Totalraport[Vare],A59)</f>
        <v>36</v>
      </c>
      <c r="H59" s="125" t="str">
        <f>Inkjøp[[#This Row],[Produkt]]</f>
        <v>Pringles Original</v>
      </c>
      <c r="I59">
        <v>1</v>
      </c>
      <c r="J59">
        <f t="shared" si="0"/>
        <v>18</v>
      </c>
      <c r="K59">
        <v>18</v>
      </c>
      <c r="M59" s="125" t="str">
        <f>Inkjøp[[#This Row],[Produkt]]</f>
        <v>Pringles Original</v>
      </c>
      <c r="N59">
        <v>1</v>
      </c>
      <c r="O59">
        <f t="shared" si="1"/>
        <v>18</v>
      </c>
      <c r="P59">
        <v>18</v>
      </c>
    </row>
    <row r="60" spans="1:16" x14ac:dyDescent="0.35">
      <c r="A60" s="147" t="str">
        <v>Pringles Sour Cream</v>
      </c>
      <c r="B60" s="131">
        <f>SUMIFS(Terminal_Totalraport[Antall],Terminal_Totalraport[Vare],A60)</f>
        <v>0</v>
      </c>
      <c r="C60" s="132">
        <f>SUMIFS(Terminal_Totalraport[Beløp inkl. MVA],Terminal_Totalraport[Vare],A60)</f>
        <v>0</v>
      </c>
      <c r="H60" s="125" t="str">
        <f>Inkjøp[[#This Row],[Produkt]]</f>
        <v>Pringles Sour Cream</v>
      </c>
      <c r="J60">
        <f t="shared" si="0"/>
        <v>0</v>
      </c>
      <c r="K60">
        <v>25</v>
      </c>
      <c r="M60" s="125" t="str">
        <f>Inkjøp[[#This Row],[Produkt]]</f>
        <v>Pringles Sour Cream</v>
      </c>
      <c r="O60">
        <f t="shared" si="1"/>
        <v>0</v>
      </c>
      <c r="P60">
        <v>25</v>
      </c>
    </row>
    <row r="61" spans="1:16" x14ac:dyDescent="0.35">
      <c r="A61" s="147" t="str">
        <v>Pringles Paprika</v>
      </c>
      <c r="B61" s="131">
        <f>SUMIFS(Terminal_Totalraport[Antall],Terminal_Totalraport[Vare],A61)</f>
        <v>2</v>
      </c>
      <c r="C61" s="132">
        <f>SUMIFS(Terminal_Totalraport[Beløp inkl. MVA],Terminal_Totalraport[Vare],A61)</f>
        <v>36</v>
      </c>
      <c r="H61" s="125" t="str">
        <f>Inkjøp[[#This Row],[Produkt]]</f>
        <v>Pringles Paprika</v>
      </c>
      <c r="I61">
        <v>1</v>
      </c>
      <c r="J61">
        <f t="shared" si="0"/>
        <v>18</v>
      </c>
      <c r="K61">
        <v>18</v>
      </c>
      <c r="M61" s="125" t="str">
        <f>Inkjøp[[#This Row],[Produkt]]</f>
        <v>Pringles Paprika</v>
      </c>
      <c r="N61">
        <v>1</v>
      </c>
      <c r="O61">
        <f t="shared" si="1"/>
        <v>18</v>
      </c>
      <c r="P61">
        <v>18</v>
      </c>
    </row>
    <row r="62" spans="1:16" x14ac:dyDescent="0.35">
      <c r="A62" s="147" t="str">
        <v>Skittles</v>
      </c>
      <c r="B62" s="131">
        <f>SUMIFS(Terminal_Totalraport[Antall],Terminal_Totalraport[Vare],A62)</f>
        <v>0</v>
      </c>
      <c r="C62" s="132">
        <f>SUMIFS(Terminal_Totalraport[Beløp inkl. MVA],Terminal_Totalraport[Vare],A62)</f>
        <v>0</v>
      </c>
      <c r="H62" s="126" t="str">
        <f>Inkjøp[[#This Row],[Produkt]]</f>
        <v>Skittles</v>
      </c>
      <c r="J62">
        <f t="shared" si="0"/>
        <v>0</v>
      </c>
      <c r="K62">
        <v>35</v>
      </c>
      <c r="M62" s="126" t="str">
        <f>Inkjøp[[#This Row],[Produkt]]</f>
        <v>Skittles</v>
      </c>
      <c r="O62">
        <f t="shared" si="1"/>
        <v>0</v>
      </c>
      <c r="P62">
        <v>35</v>
      </c>
    </row>
    <row r="63" spans="1:16" x14ac:dyDescent="0.35">
      <c r="A63" s="147" t="str">
        <v>Mentos</v>
      </c>
      <c r="B63" s="131">
        <f>SUMIFS(Terminal_Totalraport[Antall],Terminal_Totalraport[Vare],A63)</f>
        <v>11</v>
      </c>
      <c r="C63" s="132">
        <f>SUMIFS(Terminal_Totalraport[Beløp inkl. MVA],Terminal_Totalraport[Vare],A63)</f>
        <v>88</v>
      </c>
      <c r="H63" s="126" t="str">
        <f>Inkjøp[[#This Row],[Produkt]]</f>
        <v>Mentos</v>
      </c>
      <c r="I63">
        <v>6</v>
      </c>
      <c r="J63">
        <f t="shared" si="0"/>
        <v>48</v>
      </c>
      <c r="K63">
        <v>8</v>
      </c>
      <c r="M63" s="126" t="str">
        <f>Inkjøp[[#This Row],[Produkt]]</f>
        <v>Mentos</v>
      </c>
      <c r="N63">
        <v>5</v>
      </c>
      <c r="O63">
        <f t="shared" si="1"/>
        <v>40</v>
      </c>
      <c r="P63">
        <v>8</v>
      </c>
    </row>
    <row r="64" spans="1:16" ht="23.5" customHeight="1" x14ac:dyDescent="0.35">
      <c r="A64" s="147" t="str">
        <v>Bilar</v>
      </c>
      <c r="B64" s="131">
        <f>SUMIFS(Terminal_Totalraport[Antall],Terminal_Totalraport[Vare],A64)</f>
        <v>0</v>
      </c>
      <c r="C64" s="132">
        <f>SUMIFS(Terminal_Totalraport[Beløp inkl. MVA],Terminal_Totalraport[Vare],A64)</f>
        <v>0</v>
      </c>
      <c r="H64" s="126" t="str">
        <f>Inkjøp[[#This Row],[Produkt]]</f>
        <v>Bilar</v>
      </c>
      <c r="J64">
        <f t="shared" si="0"/>
        <v>0</v>
      </c>
      <c r="K64">
        <v>15</v>
      </c>
      <c r="M64" s="126" t="str">
        <f>Inkjøp[[#This Row],[Produkt]]</f>
        <v>Bilar</v>
      </c>
      <c r="O64">
        <f t="shared" si="1"/>
        <v>0</v>
      </c>
      <c r="P64">
        <v>15</v>
      </c>
    </row>
    <row r="65" spans="1:16" x14ac:dyDescent="0.35">
      <c r="A65" s="147" t="str">
        <v>Hockey Pulver</v>
      </c>
      <c r="B65" s="131">
        <f>SUMIFS(Terminal_Totalraport[Antall],Terminal_Totalraport[Vare],A65)</f>
        <v>8</v>
      </c>
      <c r="C65" s="132">
        <f>SUMIFS(Terminal_Totalraport[Beløp inkl. MVA],Terminal_Totalraport[Vare],A65)</f>
        <v>64</v>
      </c>
      <c r="H65" s="126" t="str">
        <f>Inkjøp[[#This Row],[Produkt]]</f>
        <v>Hockey Pulver</v>
      </c>
      <c r="I65">
        <v>4</v>
      </c>
      <c r="J65">
        <f t="shared" si="0"/>
        <v>32</v>
      </c>
      <c r="K65">
        <v>8</v>
      </c>
      <c r="M65" s="126" t="str">
        <f>Inkjøp[[#This Row],[Produkt]]</f>
        <v>Hockey Pulver</v>
      </c>
      <c r="N65">
        <v>4</v>
      </c>
      <c r="O65">
        <f t="shared" si="1"/>
        <v>32</v>
      </c>
      <c r="P65">
        <v>8</v>
      </c>
    </row>
    <row r="66" spans="1:16" x14ac:dyDescent="0.35">
      <c r="A66" s="147" t="str">
        <v>Extra Tyggis</v>
      </c>
      <c r="B66" s="131">
        <f>SUMIFS(Terminal_Totalraport[Antall],Terminal_Totalraport[Vare],A66)</f>
        <v>0</v>
      </c>
      <c r="C66" s="132">
        <f>SUMIFS(Terminal_Totalraport[Beløp inkl. MVA],Terminal_Totalraport[Vare],A66)</f>
        <v>0</v>
      </c>
      <c r="H66" s="126" t="str">
        <f>Inkjøp[[#This Row],[Produkt]]</f>
        <v>Extra Tyggis</v>
      </c>
      <c r="J66">
        <f t="shared" si="0"/>
        <v>0</v>
      </c>
      <c r="K66">
        <v>10</v>
      </c>
      <c r="M66" s="126" t="str">
        <f>Inkjøp[[#This Row],[Produkt]]</f>
        <v>Extra Tyggis</v>
      </c>
      <c r="O66">
        <f t="shared" si="1"/>
        <v>0</v>
      </c>
      <c r="P66">
        <v>10</v>
      </c>
    </row>
    <row r="67" spans="1:16" x14ac:dyDescent="0.35">
      <c r="A67" s="147" t="str">
        <v>Double Dip</v>
      </c>
      <c r="B67" s="131">
        <f>SUMIFS(Terminal_Totalraport[Antall],Terminal_Totalraport[Vare],A67)</f>
        <v>0</v>
      </c>
      <c r="C67" s="132">
        <f>SUMIFS(Terminal_Totalraport[Beløp inkl. MVA],Terminal_Totalraport[Vare],A67)</f>
        <v>0</v>
      </c>
      <c r="H67" s="126" t="str">
        <f>Inkjøp[[#This Row],[Produkt]]</f>
        <v>Double Dip</v>
      </c>
      <c r="J67">
        <f>K67*I67</f>
        <v>0</v>
      </c>
      <c r="K67">
        <v>10</v>
      </c>
      <c r="M67" s="126" t="str">
        <f>Inkjøp[[#This Row],[Produkt]]</f>
        <v>Double Dip</v>
      </c>
      <c r="O67">
        <f>P67*N67</f>
        <v>0</v>
      </c>
      <c r="P67">
        <v>10</v>
      </c>
    </row>
    <row r="68" spans="1:16" x14ac:dyDescent="0.35">
      <c r="A68" s="147" t="str">
        <v>Chili nøtter</v>
      </c>
      <c r="B68" s="131">
        <f>SUMIFS(Terminal_Totalraport[Antall],Terminal_Totalraport[Vare],A68)</f>
        <v>0</v>
      </c>
      <c r="C68" s="132">
        <f>SUMIFS(Terminal_Totalraport[Beløp inkl. MVA],Terminal_Totalraport[Vare],A68)</f>
        <v>0</v>
      </c>
      <c r="I68">
        <f>SUM(I2:I67)</f>
        <v>82</v>
      </c>
      <c r="J68">
        <f>SUM(J1:J67)</f>
        <v>1959</v>
      </c>
      <c r="N68">
        <f>SUM(N2:N67)</f>
        <v>80</v>
      </c>
      <c r="O68">
        <f>SUM(O2:O67)</f>
        <v>1674</v>
      </c>
    </row>
    <row r="69" spans="1:16" x14ac:dyDescent="0.35">
      <c r="A69" t="str">
        <v>Mellombar Orange</v>
      </c>
      <c r="B69" s="131">
        <f>SUMIFS(Terminal_Totalraport[Antall],Terminal_Totalraport[Vare],A69)</f>
        <v>0</v>
      </c>
      <c r="C69" s="132">
        <f>SUMIFS(Terminal_Totalraport[Beløp inkl. MVA],Terminal_Totalraport[Vare],A69)</f>
        <v>0</v>
      </c>
    </row>
    <row r="70" spans="1:16" x14ac:dyDescent="0.35">
      <c r="A70" t="str">
        <v>Mellombar Blå</v>
      </c>
      <c r="B70" s="131">
        <f>SUMIFS(Terminal_Totalraport[Antall],Terminal_Totalraport[Vare],A70)</f>
        <v>0</v>
      </c>
      <c r="C70" s="132">
        <f>SUMIFS(Terminal_Totalraport[Beløp inkl. MVA],Terminal_Totalraport[Vare],A70)</f>
        <v>0</v>
      </c>
    </row>
    <row r="71" spans="1:16" x14ac:dyDescent="0.35">
      <c r="A71" t="str">
        <v>Brus (utgått på dato)</v>
      </c>
      <c r="B71" s="131">
        <f>SUMIFS(Terminal_Totalraport[Antall],Terminal_Totalraport[Vare],A71)</f>
        <v>0</v>
      </c>
      <c r="C71" s="132">
        <f>SUMIFS(Terminal_Totalraport[Beløp inkl. MVA],Terminal_Totalraport[Vare],A71)</f>
        <v>0</v>
      </c>
    </row>
    <row r="72" spans="1:16" x14ac:dyDescent="0.35">
      <c r="A72" t="str">
        <v>Mozell light</v>
      </c>
    </row>
    <row r="73" spans="1:16" x14ac:dyDescent="0.35">
      <c r="A73" t="str">
        <v>Urge Boks</v>
      </c>
    </row>
    <row r="74" spans="1:16" x14ac:dyDescent="0.35">
      <c r="A74" t="str">
        <v>Monster Ultra Fiesta</v>
      </c>
    </row>
    <row r="75" spans="1:16" ht="23.5" x14ac:dyDescent="0.55000000000000004">
      <c r="I75" s="85" t="s">
        <v>198</v>
      </c>
    </row>
    <row r="76" spans="1:16" x14ac:dyDescent="0.35">
      <c r="I76" t="s">
        <v>203</v>
      </c>
      <c r="J76">
        <f>SUM(C2:C68)</f>
        <v>3633</v>
      </c>
    </row>
    <row r="77" spans="1:16" x14ac:dyDescent="0.35">
      <c r="I77" t="s">
        <v>292</v>
      </c>
      <c r="J77">
        <f>SUM(B81:B414)</f>
        <v>6984.9900000000007</v>
      </c>
    </row>
    <row r="78" spans="1:16" x14ac:dyDescent="0.35">
      <c r="I78" t="s">
        <v>9</v>
      </c>
      <c r="J78">
        <f>J77-J76</f>
        <v>3351.9900000000007</v>
      </c>
    </row>
    <row r="80" spans="1:16" x14ac:dyDescent="0.35">
      <c r="A80" t="str" cm="1">
        <f t="array" ref="A80:E1000">'Terminalutskrifter Python'!A80:E1000</f>
        <v>Utført dato</v>
      </c>
      <c r="B80" t="str">
        <v>Beløp inn</v>
      </c>
      <c r="C80" t="str">
        <v>Mottakernavn</v>
      </c>
      <c r="D80" t="str">
        <v>Numref</v>
      </c>
      <c r="E80" t="str">
        <v>Melding/KID/Fakt.nr</v>
      </c>
    </row>
    <row r="81" spans="1:5" x14ac:dyDescent="0.35">
      <c r="A81" t="str">
        <v>31.10.2025</v>
      </c>
      <c r="B81">
        <v>113.92</v>
      </c>
      <c r="C81" t="str">
        <v>Drottningborgrussen</v>
      </c>
      <c r="D81">
        <v>1210905</v>
      </c>
      <c r="E81" t="str">
        <v>Nets 0032 5351127</v>
      </c>
    </row>
    <row r="82" spans="1:5" x14ac:dyDescent="0.35">
      <c r="A82" t="str">
        <v>31.01.2026</v>
      </c>
      <c r="B82">
        <v>78.56</v>
      </c>
      <c r="C82" t="str">
        <v>Drottningborgrussen</v>
      </c>
      <c r="D82">
        <v>609956</v>
      </c>
      <c r="E82" t="str">
        <v>Nets 0041 5351127</v>
      </c>
    </row>
    <row r="83" spans="1:5" x14ac:dyDescent="0.35">
      <c r="A83" t="str">
        <v>30.12.2025</v>
      </c>
      <c r="B83">
        <v>31.43</v>
      </c>
      <c r="C83" t="str">
        <v>Drottningborgrussen</v>
      </c>
      <c r="D83">
        <v>487034</v>
      </c>
      <c r="E83" t="str">
        <v>Nets 0038 5351127</v>
      </c>
    </row>
    <row r="84" spans="1:5" x14ac:dyDescent="0.35">
      <c r="A84" t="str">
        <v>30.11.2025</v>
      </c>
      <c r="B84">
        <v>64.819999999999993</v>
      </c>
      <c r="C84" t="str">
        <v>Drottningborgrussen</v>
      </c>
      <c r="D84">
        <v>1241127</v>
      </c>
      <c r="E84" t="str">
        <v>Nets 0034 5351127</v>
      </c>
    </row>
    <row r="85" spans="1:5" x14ac:dyDescent="0.35">
      <c r="A85" t="str">
        <v>28.02.2026</v>
      </c>
      <c r="B85">
        <v>19.64</v>
      </c>
      <c r="C85" t="str">
        <v>Drottningborgrussen</v>
      </c>
      <c r="D85">
        <v>714500</v>
      </c>
      <c r="E85" t="str">
        <v>Nets 0045 5351127</v>
      </c>
    </row>
    <row r="86" spans="1:5" x14ac:dyDescent="0.35">
      <c r="A86" t="str">
        <v>27.11.2025</v>
      </c>
      <c r="B86">
        <v>402</v>
      </c>
      <c r="C86" t="str">
        <v>Drottningborgrussen</v>
      </c>
      <c r="D86">
        <v>10143</v>
      </c>
      <c r="E86" t="str">
        <v>DROTTNINGBORGRU DROTTNINGBO  769821</v>
      </c>
    </row>
    <row r="87" spans="1:5" x14ac:dyDescent="0.35">
      <c r="A87" t="str">
        <v>27.10.2025</v>
      </c>
      <c r="B87">
        <v>182</v>
      </c>
      <c r="C87" t="str">
        <v>Drottningborgrussen</v>
      </c>
      <c r="D87">
        <v>10141</v>
      </c>
      <c r="E87" t="str">
        <v>DROTTNINGBORGRU DROTTNINGBO  769821</v>
      </c>
    </row>
    <row r="88" spans="1:5" x14ac:dyDescent="0.35">
      <c r="A88" t="str">
        <v>27.03.2026</v>
      </c>
      <c r="B88">
        <v>202.31</v>
      </c>
      <c r="C88" t="str">
        <v>Drottningborgrussen</v>
      </c>
      <c r="D88">
        <v>820777</v>
      </c>
      <c r="E88" t="str">
        <v>Nets 0049 5351127</v>
      </c>
    </row>
    <row r="89" spans="1:5" x14ac:dyDescent="0.35">
      <c r="A89" t="str">
        <v>26.09.2025</v>
      </c>
      <c r="B89">
        <v>85.62</v>
      </c>
      <c r="C89" t="str">
        <v>Drottningborgrussen</v>
      </c>
      <c r="D89">
        <v>391661</v>
      </c>
      <c r="E89" t="str">
        <v>Nets 0030 5351127</v>
      </c>
    </row>
    <row r="90" spans="1:5" x14ac:dyDescent="0.35">
      <c r="A90" t="str">
        <v>26.01.2026</v>
      </c>
      <c r="B90">
        <v>58</v>
      </c>
      <c r="C90" t="str">
        <v>Drottningborgrussen</v>
      </c>
      <c r="D90">
        <v>10147</v>
      </c>
      <c r="E90" t="str">
        <v>DROTTNINGBORGRU DROTTNINGBO  769821</v>
      </c>
    </row>
    <row r="91" spans="1:5" x14ac:dyDescent="0.35">
      <c r="A91" t="str">
        <v>24.10.2025</v>
      </c>
      <c r="B91">
        <v>52.05</v>
      </c>
      <c r="C91" t="str">
        <v>Drottningborgrussen</v>
      </c>
      <c r="D91">
        <v>768485</v>
      </c>
      <c r="E91" t="str">
        <v>Nets 0031 5351127</v>
      </c>
    </row>
    <row r="92" spans="1:5" x14ac:dyDescent="0.35">
      <c r="A92" t="str">
        <v>24.04.2026</v>
      </c>
      <c r="B92">
        <v>61.85</v>
      </c>
      <c r="C92" t="str">
        <v>Drottningborgrussen</v>
      </c>
      <c r="D92">
        <v>922686</v>
      </c>
      <c r="E92" t="str">
        <v>Nets 0052 5351127</v>
      </c>
    </row>
    <row r="93" spans="1:5" x14ac:dyDescent="0.35">
      <c r="A93" t="str">
        <v>23.03.2026</v>
      </c>
      <c r="B93">
        <v>35</v>
      </c>
      <c r="C93" t="str">
        <v>Drottningborgrussen</v>
      </c>
      <c r="D93">
        <v>10153</v>
      </c>
      <c r="E93" t="str">
        <v>DROTTNINGBORGRU DROTTNINGBO  769821</v>
      </c>
    </row>
    <row r="94" spans="1:5" x14ac:dyDescent="0.35">
      <c r="A94" t="str">
        <v>23.03.2026</v>
      </c>
      <c r="B94">
        <v>30</v>
      </c>
      <c r="C94" t="str">
        <v>Drottningborgrussen</v>
      </c>
      <c r="D94">
        <v>10154</v>
      </c>
      <c r="E94" t="str">
        <v>DROTTNINGBORGRU DROTTNINGBO  769821</v>
      </c>
    </row>
    <row r="95" spans="1:5" x14ac:dyDescent="0.35">
      <c r="A95" t="str">
        <v>23.02.2026</v>
      </c>
      <c r="B95">
        <v>54</v>
      </c>
      <c r="C95" t="str">
        <v>Drottningborgrussen</v>
      </c>
      <c r="D95">
        <v>10150</v>
      </c>
      <c r="E95" t="str">
        <v>DROTTNINGBORGRU DROTTNINGBO  769821</v>
      </c>
    </row>
    <row r="96" spans="1:5" x14ac:dyDescent="0.35">
      <c r="A96" t="str">
        <v>23.01.2026</v>
      </c>
      <c r="B96">
        <v>144.37</v>
      </c>
      <c r="C96" t="str">
        <v>Drottningborgrussen</v>
      </c>
      <c r="D96">
        <v>584102</v>
      </c>
      <c r="E96" t="str">
        <v>Nets 0040 5351127</v>
      </c>
    </row>
    <row r="97" spans="1:5" x14ac:dyDescent="0.35">
      <c r="A97" t="str">
        <v>21.10.2025</v>
      </c>
      <c r="B97">
        <v>113</v>
      </c>
      <c r="C97" t="str">
        <v>Drottningborgrussen</v>
      </c>
      <c r="D97">
        <v>10140</v>
      </c>
      <c r="E97" t="str">
        <v>DROTTNINGBORGRU DROTTNINGBO  769821</v>
      </c>
    </row>
    <row r="98" spans="1:5" x14ac:dyDescent="0.35">
      <c r="A98" t="str">
        <v>20.03.2026</v>
      </c>
      <c r="B98">
        <v>49.1</v>
      </c>
      <c r="C98" t="str">
        <v>Drottningborgrussen</v>
      </c>
      <c r="D98">
        <v>793571</v>
      </c>
      <c r="E98" t="str">
        <v>Nets 0048 5351127</v>
      </c>
    </row>
    <row r="99" spans="1:5" x14ac:dyDescent="0.35">
      <c r="A99" t="str">
        <v>20.02.2026</v>
      </c>
      <c r="B99">
        <v>14.73</v>
      </c>
      <c r="C99" t="str">
        <v>Drottningborgrussen</v>
      </c>
      <c r="D99">
        <v>685922</v>
      </c>
      <c r="E99" t="str">
        <v>Nets 0044 5351127</v>
      </c>
    </row>
    <row r="100" spans="1:5" x14ac:dyDescent="0.35">
      <c r="A100" t="str">
        <v>19.12.2025</v>
      </c>
      <c r="B100">
        <v>117.84</v>
      </c>
      <c r="C100" t="str">
        <v>Drottningborgrussen</v>
      </c>
      <c r="D100">
        <v>462516</v>
      </c>
      <c r="E100" t="str">
        <v>Nets 0037 5351127</v>
      </c>
    </row>
    <row r="101" spans="1:5" x14ac:dyDescent="0.35">
      <c r="A101" t="str">
        <v>19.11.2025</v>
      </c>
      <c r="B101">
        <v>96</v>
      </c>
      <c r="C101" t="str">
        <v>Drottningborgrussen</v>
      </c>
      <c r="D101">
        <v>10142</v>
      </c>
      <c r="E101" t="str">
        <v>DROTTNINGBORGRU DROTTNINGBO  769821</v>
      </c>
    </row>
    <row r="102" spans="1:5" x14ac:dyDescent="0.35">
      <c r="A102" t="str">
        <v>19.09.2025</v>
      </c>
      <c r="B102">
        <v>438.56</v>
      </c>
      <c r="C102" t="str">
        <v>Drottningborgrussen</v>
      </c>
      <c r="D102">
        <v>1450281</v>
      </c>
      <c r="E102" t="str">
        <v>Nets 0029 5351127</v>
      </c>
    </row>
    <row r="103" spans="1:5" x14ac:dyDescent="0.35">
      <c r="A103" t="str">
        <v>18.09.2025</v>
      </c>
      <c r="B103">
        <v>1203</v>
      </c>
      <c r="C103" t="str">
        <v>Drottningborgrussen</v>
      </c>
      <c r="D103">
        <v>10138</v>
      </c>
      <c r="E103" t="str">
        <v>DROTTNINGBORGRU DROTTNINGBO  769821</v>
      </c>
    </row>
    <row r="104" spans="1:5" x14ac:dyDescent="0.35">
      <c r="A104" t="str">
        <v>17.04.2026</v>
      </c>
      <c r="B104">
        <v>93.27</v>
      </c>
      <c r="C104" t="str">
        <v>Drottningborgrussen</v>
      </c>
      <c r="D104">
        <v>894617</v>
      </c>
      <c r="E104" t="str">
        <v>Nets 0051 5351127</v>
      </c>
    </row>
    <row r="105" spans="1:5" x14ac:dyDescent="0.35">
      <c r="A105" t="str">
        <v>16.01.2026</v>
      </c>
      <c r="B105">
        <v>120.79</v>
      </c>
      <c r="C105" t="str">
        <v>Drottningborgrussen</v>
      </c>
      <c r="D105">
        <v>556903</v>
      </c>
      <c r="E105" t="str">
        <v>Nets 0039 5351127</v>
      </c>
    </row>
    <row r="106" spans="1:5" x14ac:dyDescent="0.35">
      <c r="A106" t="str">
        <v>15.09.2025</v>
      </c>
      <c r="B106">
        <v>580</v>
      </c>
      <c r="C106" t="str">
        <v>Drottningborgrussen</v>
      </c>
      <c r="D106">
        <v>10137</v>
      </c>
      <c r="E106" t="str">
        <v>DROTTNINGBORGRU DROTTNINGBO  769821</v>
      </c>
    </row>
    <row r="107" spans="1:5" x14ac:dyDescent="0.35">
      <c r="A107" t="str">
        <v>14.01.2026</v>
      </c>
      <c r="B107">
        <v>60</v>
      </c>
      <c r="C107" t="str">
        <v>Drottningborgrussen</v>
      </c>
      <c r="D107">
        <v>10146</v>
      </c>
      <c r="E107" t="str">
        <v>DROTTNINGBORGRU DROTTNINGBO  769821</v>
      </c>
    </row>
    <row r="108" spans="1:5" x14ac:dyDescent="0.35">
      <c r="A108" t="str">
        <v>13.03.2026</v>
      </c>
      <c r="B108">
        <v>29.46</v>
      </c>
      <c r="C108" t="str">
        <v>Drottningborgrussen</v>
      </c>
      <c r="D108">
        <v>766956</v>
      </c>
      <c r="E108" t="str">
        <v>Nets 0047 5351127</v>
      </c>
    </row>
    <row r="109" spans="1:5" x14ac:dyDescent="0.35">
      <c r="A109" t="str">
        <v>13.03.2026</v>
      </c>
      <c r="B109">
        <v>82</v>
      </c>
      <c r="C109" t="str">
        <v>Drottningborgrussen</v>
      </c>
      <c r="D109">
        <v>10152</v>
      </c>
      <c r="E109" t="str">
        <v>DROTTNINGBORGRU DROTTNINGBO  769821</v>
      </c>
    </row>
    <row r="110" spans="1:5" x14ac:dyDescent="0.35">
      <c r="A110" t="str">
        <v>13.02.2026</v>
      </c>
      <c r="B110">
        <v>53.04</v>
      </c>
      <c r="C110" t="str">
        <v>Drottningborgrussen</v>
      </c>
      <c r="D110">
        <v>660991</v>
      </c>
      <c r="E110" t="str">
        <v>Nets 0043 5351127</v>
      </c>
    </row>
    <row r="111" spans="1:5" x14ac:dyDescent="0.35">
      <c r="A111" t="str">
        <v>12.12.2025</v>
      </c>
      <c r="B111">
        <v>81.510000000000005</v>
      </c>
      <c r="C111" t="str">
        <v>Drottningborgrussen</v>
      </c>
      <c r="D111">
        <v>431660</v>
      </c>
      <c r="E111" t="str">
        <v>Nets 0036 5351127</v>
      </c>
    </row>
    <row r="112" spans="1:5" x14ac:dyDescent="0.35">
      <c r="A112" t="str">
        <v>12.09.2025</v>
      </c>
      <c r="B112">
        <v>214.09</v>
      </c>
      <c r="C112" t="str">
        <v>Drottningborgrussen</v>
      </c>
      <c r="D112">
        <v>988727</v>
      </c>
      <c r="E112" t="str">
        <v>Nets 0028 5351127</v>
      </c>
    </row>
    <row r="113" spans="1:5" x14ac:dyDescent="0.35">
      <c r="A113" t="str">
        <v>10.09.2025</v>
      </c>
      <c r="B113">
        <v>44</v>
      </c>
      <c r="C113" t="str">
        <v>Drottningborgrussen</v>
      </c>
      <c r="D113">
        <v>10136</v>
      </c>
      <c r="E113" t="str">
        <v>DROTTNINGBORGRU DROTTNINGBO  769821</v>
      </c>
    </row>
    <row r="114" spans="1:5" x14ac:dyDescent="0.35">
      <c r="A114" t="str">
        <v>10.02.2026</v>
      </c>
      <c r="B114">
        <v>30</v>
      </c>
      <c r="C114" t="str">
        <v>Drottningborgrussen</v>
      </c>
      <c r="D114">
        <v>10149</v>
      </c>
      <c r="E114" t="str">
        <v>DROTTNINGBORGRU DROTTNINGBO  769821</v>
      </c>
    </row>
    <row r="115" spans="1:5" x14ac:dyDescent="0.35">
      <c r="A115" t="str">
        <v>09.12.2025</v>
      </c>
      <c r="B115">
        <v>230</v>
      </c>
      <c r="C115" t="str">
        <v>Drottningborgrussen</v>
      </c>
      <c r="D115">
        <v>10144</v>
      </c>
      <c r="E115" t="str">
        <v>DROTTNINGBORGRU DROTTNINGBO  769821</v>
      </c>
    </row>
    <row r="116" spans="1:5" x14ac:dyDescent="0.35">
      <c r="A116" t="str">
        <v>09.10.2025</v>
      </c>
      <c r="B116">
        <v>62</v>
      </c>
      <c r="C116" t="str">
        <v>Drottningborgrussen</v>
      </c>
      <c r="D116">
        <v>10139</v>
      </c>
      <c r="E116" t="str">
        <v>DROTTNINGBORGRU DROTTNINGBO  769821</v>
      </c>
    </row>
    <row r="117" spans="1:5" x14ac:dyDescent="0.35">
      <c r="A117" t="str">
        <v>09.09.2025</v>
      </c>
      <c r="B117">
        <v>84</v>
      </c>
      <c r="C117" t="str">
        <v>Drottningborgrussen</v>
      </c>
      <c r="D117">
        <v>10135</v>
      </c>
      <c r="E117" t="str">
        <v>DROTTNINGBORGRU DROTTNINGBO  769821</v>
      </c>
    </row>
    <row r="118" spans="1:5" x14ac:dyDescent="0.35">
      <c r="A118" t="str">
        <v>08.09.2025</v>
      </c>
      <c r="B118">
        <v>538</v>
      </c>
      <c r="C118" t="str">
        <v>Drottningborgrussen</v>
      </c>
      <c r="D118">
        <v>10134</v>
      </c>
      <c r="E118" t="str">
        <v>DROTTNINGBORGRU DROTTNINGBO  769821</v>
      </c>
    </row>
    <row r="119" spans="1:5" x14ac:dyDescent="0.35">
      <c r="A119" t="str">
        <v>07.11.2025</v>
      </c>
      <c r="B119">
        <v>118.83</v>
      </c>
      <c r="C119" t="str">
        <v>Drottningborgrussen</v>
      </c>
      <c r="D119">
        <v>124987</v>
      </c>
      <c r="E119" t="str">
        <v>Nets 0033 5351127</v>
      </c>
    </row>
    <row r="120" spans="1:5" x14ac:dyDescent="0.35">
      <c r="A120" t="str">
        <v>07.04.2026</v>
      </c>
      <c r="B120">
        <v>74.64</v>
      </c>
      <c r="C120" t="str">
        <v>Drottningborgrussen</v>
      </c>
      <c r="D120">
        <v>850098</v>
      </c>
      <c r="E120" t="str">
        <v>Nets 0050 5351127</v>
      </c>
    </row>
    <row r="121" spans="1:5" x14ac:dyDescent="0.35">
      <c r="A121" t="str">
        <v>06.03.2026</v>
      </c>
      <c r="B121">
        <v>29.46</v>
      </c>
      <c r="C121" t="str">
        <v>Drottningborgrussen</v>
      </c>
      <c r="D121">
        <v>742401</v>
      </c>
      <c r="E121" t="str">
        <v>Nets 0046 5351127</v>
      </c>
    </row>
    <row r="122" spans="1:5" x14ac:dyDescent="0.35">
      <c r="A122" t="str">
        <v>06.03.2026</v>
      </c>
      <c r="B122">
        <v>29</v>
      </c>
      <c r="C122" t="str">
        <v>Drottningborgrussen</v>
      </c>
      <c r="D122">
        <v>10151</v>
      </c>
      <c r="E122" t="str">
        <v>DROTTNINGBORGRU DROTTNINGBO  769821</v>
      </c>
    </row>
    <row r="123" spans="1:5" x14ac:dyDescent="0.35">
      <c r="A123" t="str">
        <v>06.02.2026</v>
      </c>
      <c r="B123">
        <v>53.04</v>
      </c>
      <c r="C123" t="str">
        <v>Drottningborgrussen</v>
      </c>
      <c r="D123">
        <v>635646</v>
      </c>
      <c r="E123" t="str">
        <v>Nets 0042 5351127</v>
      </c>
    </row>
    <row r="124" spans="1:5" x14ac:dyDescent="0.35">
      <c r="A124" t="str">
        <v>06.01.2026</v>
      </c>
      <c r="B124">
        <v>196</v>
      </c>
      <c r="C124" t="str">
        <v>Drottningborgrussen</v>
      </c>
      <c r="D124">
        <v>10145</v>
      </c>
      <c r="E124" t="str">
        <v>DROTTNINGBORGRU DROTTNINGBO  769821</v>
      </c>
    </row>
    <row r="125" spans="1:5" x14ac:dyDescent="0.35">
      <c r="A125" t="str">
        <v>05.12.2025</v>
      </c>
      <c r="B125">
        <v>63.83</v>
      </c>
      <c r="C125" t="str">
        <v>Drottningborgrussen</v>
      </c>
      <c r="D125">
        <v>131728</v>
      </c>
      <c r="E125" t="str">
        <v>Nets 0035 5351127</v>
      </c>
    </row>
    <row r="126" spans="1:5" x14ac:dyDescent="0.35">
      <c r="A126" t="str">
        <v>05.09.2025</v>
      </c>
      <c r="B126">
        <v>173.83</v>
      </c>
      <c r="C126" t="str">
        <v>Drottningborgrussen</v>
      </c>
      <c r="D126">
        <v>496549</v>
      </c>
      <c r="E126" t="str">
        <v>Nets 0027 5351127</v>
      </c>
    </row>
    <row r="127" spans="1:5" x14ac:dyDescent="0.35">
      <c r="A127" t="str">
        <v>04.05.2026</v>
      </c>
      <c r="B127">
        <v>32.4</v>
      </c>
      <c r="C127" t="str">
        <v>Drottningborgrussen</v>
      </c>
      <c r="D127">
        <v>952187</v>
      </c>
      <c r="E127" t="str">
        <v>Nets 0053 5351127</v>
      </c>
    </row>
    <row r="128" spans="1:5" x14ac:dyDescent="0.35">
      <c r="A128" t="str">
        <v>03.09.2025</v>
      </c>
      <c r="B128">
        <v>234</v>
      </c>
      <c r="C128" t="str">
        <v>Drottningborgrussen</v>
      </c>
      <c r="D128">
        <v>10133</v>
      </c>
      <c r="E128" t="str">
        <v>DROTTNINGBORGRU DROTTNINGBO  769821</v>
      </c>
    </row>
    <row r="129" spans="1:5" x14ac:dyDescent="0.35">
      <c r="A129" t="str">
        <v>02.02.2026</v>
      </c>
      <c r="B129">
        <v>30</v>
      </c>
      <c r="C129" t="str">
        <v>Drottningborgrussen</v>
      </c>
      <c r="D129">
        <v>10148</v>
      </c>
      <c r="E129" t="str">
        <v>DROTTNINGBORGRU DROTTNINGBO  769821</v>
      </c>
    </row>
    <row r="130" spans="1:5" x14ac:dyDescent="0.3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3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3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3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3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3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3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3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3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3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3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3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3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3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3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3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3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3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3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3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3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3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3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3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3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3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3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3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3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3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3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35">
      <c r="A161">
        <v>0</v>
      </c>
      <c r="B161">
        <v>0</v>
      </c>
      <c r="C161">
        <v>0</v>
      </c>
      <c r="D161">
        <v>0</v>
      </c>
      <c r="E161">
        <v>0</v>
      </c>
    </row>
    <row r="162" spans="1:5" x14ac:dyDescent="0.35">
      <c r="A162">
        <v>0</v>
      </c>
      <c r="B162">
        <v>0</v>
      </c>
      <c r="C162">
        <v>0</v>
      </c>
      <c r="D162">
        <v>0</v>
      </c>
      <c r="E162">
        <v>0</v>
      </c>
    </row>
    <row r="163" spans="1:5" x14ac:dyDescent="0.35">
      <c r="A163">
        <v>0</v>
      </c>
      <c r="B163">
        <v>0</v>
      </c>
      <c r="C163">
        <v>0</v>
      </c>
      <c r="D163">
        <v>0</v>
      </c>
      <c r="E163">
        <v>0</v>
      </c>
    </row>
    <row r="164" spans="1:5" x14ac:dyDescent="0.35">
      <c r="A164">
        <v>0</v>
      </c>
      <c r="B164">
        <v>0</v>
      </c>
      <c r="C164">
        <v>0</v>
      </c>
      <c r="D164">
        <v>0</v>
      </c>
      <c r="E164">
        <v>0</v>
      </c>
    </row>
    <row r="165" spans="1:5" x14ac:dyDescent="0.35">
      <c r="A165">
        <v>0</v>
      </c>
      <c r="B165">
        <v>0</v>
      </c>
      <c r="C165">
        <v>0</v>
      </c>
      <c r="D165">
        <v>0</v>
      </c>
      <c r="E165">
        <v>0</v>
      </c>
    </row>
    <row r="166" spans="1:5" x14ac:dyDescent="0.35">
      <c r="A166">
        <v>0</v>
      </c>
      <c r="B166">
        <v>0</v>
      </c>
      <c r="C166">
        <v>0</v>
      </c>
      <c r="D166">
        <v>0</v>
      </c>
      <c r="E166">
        <v>0</v>
      </c>
    </row>
    <row r="167" spans="1:5" x14ac:dyDescent="0.35">
      <c r="A167">
        <v>0</v>
      </c>
      <c r="B167">
        <v>0</v>
      </c>
      <c r="C167">
        <v>0</v>
      </c>
      <c r="D167">
        <v>0</v>
      </c>
      <c r="E167">
        <v>0</v>
      </c>
    </row>
    <row r="168" spans="1:5" x14ac:dyDescent="0.35">
      <c r="A168">
        <v>0</v>
      </c>
      <c r="B168">
        <v>0</v>
      </c>
      <c r="C168">
        <v>0</v>
      </c>
      <c r="D168">
        <v>0</v>
      </c>
      <c r="E168">
        <v>0</v>
      </c>
    </row>
    <row r="169" spans="1:5" x14ac:dyDescent="0.35">
      <c r="A169">
        <v>0</v>
      </c>
      <c r="B169">
        <v>0</v>
      </c>
      <c r="C169">
        <v>0</v>
      </c>
      <c r="D169">
        <v>0</v>
      </c>
      <c r="E169">
        <v>0</v>
      </c>
    </row>
    <row r="170" spans="1:5" x14ac:dyDescent="0.35">
      <c r="A170">
        <v>0</v>
      </c>
      <c r="B170">
        <v>0</v>
      </c>
      <c r="C170">
        <v>0</v>
      </c>
      <c r="D170">
        <v>0</v>
      </c>
      <c r="E170">
        <v>0</v>
      </c>
    </row>
    <row r="171" spans="1:5" x14ac:dyDescent="0.35">
      <c r="A171">
        <v>0</v>
      </c>
      <c r="B171">
        <v>0</v>
      </c>
      <c r="C171">
        <v>0</v>
      </c>
      <c r="D171">
        <v>0</v>
      </c>
      <c r="E171">
        <v>0</v>
      </c>
    </row>
    <row r="172" spans="1:5" x14ac:dyDescent="0.35">
      <c r="A172">
        <v>0</v>
      </c>
      <c r="B172">
        <v>0</v>
      </c>
      <c r="C172">
        <v>0</v>
      </c>
      <c r="D172">
        <v>0</v>
      </c>
      <c r="E172">
        <v>0</v>
      </c>
    </row>
    <row r="173" spans="1:5" x14ac:dyDescent="0.35">
      <c r="A173">
        <v>0</v>
      </c>
      <c r="B173">
        <v>0</v>
      </c>
      <c r="C173">
        <v>0</v>
      </c>
      <c r="D173">
        <v>0</v>
      </c>
      <c r="E173">
        <v>0</v>
      </c>
    </row>
    <row r="174" spans="1:5" x14ac:dyDescent="0.35">
      <c r="A174">
        <v>0</v>
      </c>
      <c r="B174">
        <v>0</v>
      </c>
      <c r="C174">
        <v>0</v>
      </c>
      <c r="D174">
        <v>0</v>
      </c>
      <c r="E174">
        <v>0</v>
      </c>
    </row>
    <row r="175" spans="1:5" x14ac:dyDescent="0.35">
      <c r="A175">
        <v>0</v>
      </c>
      <c r="B175">
        <v>0</v>
      </c>
      <c r="C175">
        <v>0</v>
      </c>
      <c r="D175">
        <v>0</v>
      </c>
      <c r="E175">
        <v>0</v>
      </c>
    </row>
    <row r="176" spans="1:5" x14ac:dyDescent="0.35">
      <c r="A176">
        <v>0</v>
      </c>
      <c r="B176">
        <v>0</v>
      </c>
      <c r="C176">
        <v>0</v>
      </c>
      <c r="D176">
        <v>0</v>
      </c>
      <c r="E176">
        <v>0</v>
      </c>
    </row>
    <row r="177" spans="1:5" x14ac:dyDescent="0.35">
      <c r="A177">
        <v>0</v>
      </c>
      <c r="B177">
        <v>0</v>
      </c>
      <c r="C177">
        <v>0</v>
      </c>
      <c r="D177">
        <v>0</v>
      </c>
      <c r="E177">
        <v>0</v>
      </c>
    </row>
    <row r="178" spans="1:5" x14ac:dyDescent="0.35">
      <c r="A178">
        <v>0</v>
      </c>
      <c r="B178">
        <v>0</v>
      </c>
      <c r="C178">
        <v>0</v>
      </c>
      <c r="D178">
        <v>0</v>
      </c>
      <c r="E178">
        <v>0</v>
      </c>
    </row>
    <row r="179" spans="1:5" x14ac:dyDescent="0.35">
      <c r="A179">
        <v>0</v>
      </c>
      <c r="B179">
        <v>0</v>
      </c>
      <c r="C179">
        <v>0</v>
      </c>
      <c r="D179">
        <v>0</v>
      </c>
      <c r="E179">
        <v>0</v>
      </c>
    </row>
    <row r="180" spans="1:5" x14ac:dyDescent="0.35">
      <c r="A180">
        <v>0</v>
      </c>
      <c r="B180">
        <v>0</v>
      </c>
      <c r="C180">
        <v>0</v>
      </c>
      <c r="D180">
        <v>0</v>
      </c>
      <c r="E180">
        <v>0</v>
      </c>
    </row>
    <row r="181" spans="1:5" x14ac:dyDescent="0.35">
      <c r="A181">
        <v>0</v>
      </c>
      <c r="B181">
        <v>0</v>
      </c>
      <c r="C181">
        <v>0</v>
      </c>
      <c r="D181">
        <v>0</v>
      </c>
      <c r="E181">
        <v>0</v>
      </c>
    </row>
    <row r="182" spans="1:5" x14ac:dyDescent="0.35">
      <c r="A182">
        <v>0</v>
      </c>
      <c r="B182">
        <v>0</v>
      </c>
      <c r="C182">
        <v>0</v>
      </c>
      <c r="D182">
        <v>0</v>
      </c>
      <c r="E182">
        <v>0</v>
      </c>
    </row>
    <row r="183" spans="1:5" x14ac:dyDescent="0.35">
      <c r="A183">
        <v>0</v>
      </c>
      <c r="B183">
        <v>0</v>
      </c>
      <c r="C183">
        <v>0</v>
      </c>
      <c r="D183">
        <v>0</v>
      </c>
      <c r="E183">
        <v>0</v>
      </c>
    </row>
    <row r="184" spans="1:5" x14ac:dyDescent="0.35">
      <c r="A184">
        <v>0</v>
      </c>
      <c r="B184">
        <v>0</v>
      </c>
      <c r="C184">
        <v>0</v>
      </c>
      <c r="D184">
        <v>0</v>
      </c>
      <c r="E184">
        <v>0</v>
      </c>
    </row>
    <row r="185" spans="1:5" x14ac:dyDescent="0.35">
      <c r="A185">
        <v>0</v>
      </c>
      <c r="B185">
        <v>0</v>
      </c>
      <c r="C185">
        <v>0</v>
      </c>
      <c r="D185">
        <v>0</v>
      </c>
      <c r="E185">
        <v>0</v>
      </c>
    </row>
    <row r="186" spans="1:5" x14ac:dyDescent="0.35">
      <c r="A186">
        <v>0</v>
      </c>
      <c r="B186">
        <v>0</v>
      </c>
      <c r="C186">
        <v>0</v>
      </c>
      <c r="D186">
        <v>0</v>
      </c>
      <c r="E186">
        <v>0</v>
      </c>
    </row>
    <row r="187" spans="1:5" x14ac:dyDescent="0.35">
      <c r="A187">
        <v>0</v>
      </c>
      <c r="B187">
        <v>0</v>
      </c>
      <c r="C187">
        <v>0</v>
      </c>
      <c r="D187">
        <v>0</v>
      </c>
      <c r="E187">
        <v>0</v>
      </c>
    </row>
    <row r="188" spans="1:5" x14ac:dyDescent="0.35">
      <c r="A188">
        <v>0</v>
      </c>
      <c r="B188">
        <v>0</v>
      </c>
      <c r="C188">
        <v>0</v>
      </c>
      <c r="D188">
        <v>0</v>
      </c>
      <c r="E188">
        <v>0</v>
      </c>
    </row>
    <row r="189" spans="1:5" x14ac:dyDescent="0.35">
      <c r="A189">
        <v>0</v>
      </c>
      <c r="B189">
        <v>0</v>
      </c>
      <c r="C189">
        <v>0</v>
      </c>
      <c r="D189">
        <v>0</v>
      </c>
      <c r="E189">
        <v>0</v>
      </c>
    </row>
    <row r="190" spans="1:5" x14ac:dyDescent="0.35">
      <c r="A190">
        <v>0</v>
      </c>
      <c r="B190">
        <v>0</v>
      </c>
      <c r="C190">
        <v>0</v>
      </c>
      <c r="D190">
        <v>0</v>
      </c>
      <c r="E190">
        <v>0</v>
      </c>
    </row>
    <row r="191" spans="1:5" x14ac:dyDescent="0.35">
      <c r="A191">
        <v>0</v>
      </c>
      <c r="B191">
        <v>0</v>
      </c>
      <c r="C191">
        <v>0</v>
      </c>
      <c r="D191">
        <v>0</v>
      </c>
      <c r="E191">
        <v>0</v>
      </c>
    </row>
    <row r="192" spans="1:5" x14ac:dyDescent="0.35">
      <c r="A192">
        <v>0</v>
      </c>
      <c r="B192">
        <v>0</v>
      </c>
      <c r="C192">
        <v>0</v>
      </c>
      <c r="D192">
        <v>0</v>
      </c>
      <c r="E192">
        <v>0</v>
      </c>
    </row>
    <row r="193" spans="1:5" x14ac:dyDescent="0.35">
      <c r="A193">
        <v>0</v>
      </c>
      <c r="B193">
        <v>0</v>
      </c>
      <c r="C193">
        <v>0</v>
      </c>
      <c r="D193">
        <v>0</v>
      </c>
      <c r="E193">
        <v>0</v>
      </c>
    </row>
    <row r="194" spans="1:5" x14ac:dyDescent="0.35">
      <c r="A194">
        <v>0</v>
      </c>
      <c r="B194">
        <v>0</v>
      </c>
      <c r="C194">
        <v>0</v>
      </c>
      <c r="D194">
        <v>0</v>
      </c>
      <c r="E194">
        <v>0</v>
      </c>
    </row>
    <row r="195" spans="1:5" x14ac:dyDescent="0.35">
      <c r="A195">
        <v>0</v>
      </c>
      <c r="B195">
        <v>0</v>
      </c>
      <c r="C195">
        <v>0</v>
      </c>
      <c r="D195">
        <v>0</v>
      </c>
      <c r="E195">
        <v>0</v>
      </c>
    </row>
    <row r="196" spans="1:5" x14ac:dyDescent="0.35">
      <c r="A196">
        <v>0</v>
      </c>
      <c r="B196">
        <v>0</v>
      </c>
      <c r="C196">
        <v>0</v>
      </c>
      <c r="D196">
        <v>0</v>
      </c>
      <c r="E196">
        <v>0</v>
      </c>
    </row>
    <row r="197" spans="1:5" x14ac:dyDescent="0.35">
      <c r="A197">
        <v>0</v>
      </c>
      <c r="B197">
        <v>0</v>
      </c>
      <c r="C197">
        <v>0</v>
      </c>
      <c r="D197">
        <v>0</v>
      </c>
      <c r="E197">
        <v>0</v>
      </c>
    </row>
    <row r="198" spans="1:5" x14ac:dyDescent="0.35">
      <c r="A198">
        <v>0</v>
      </c>
      <c r="B198">
        <v>0</v>
      </c>
      <c r="C198">
        <v>0</v>
      </c>
      <c r="D198">
        <v>0</v>
      </c>
      <c r="E198">
        <v>0</v>
      </c>
    </row>
    <row r="199" spans="1:5" x14ac:dyDescent="0.35">
      <c r="A199">
        <v>0</v>
      </c>
      <c r="B199">
        <v>0</v>
      </c>
      <c r="C199">
        <v>0</v>
      </c>
      <c r="D199">
        <v>0</v>
      </c>
      <c r="E199">
        <v>0</v>
      </c>
    </row>
    <row r="200" spans="1:5" x14ac:dyDescent="0.35">
      <c r="A200">
        <v>0</v>
      </c>
      <c r="B200">
        <v>0</v>
      </c>
      <c r="C200">
        <v>0</v>
      </c>
      <c r="D200">
        <v>0</v>
      </c>
      <c r="E200">
        <v>0</v>
      </c>
    </row>
    <row r="201" spans="1:5" x14ac:dyDescent="0.35">
      <c r="A201">
        <v>0</v>
      </c>
      <c r="B201">
        <v>0</v>
      </c>
      <c r="C201">
        <v>0</v>
      </c>
      <c r="D201">
        <v>0</v>
      </c>
      <c r="E201">
        <v>0</v>
      </c>
    </row>
    <row r="202" spans="1:5" x14ac:dyDescent="0.35">
      <c r="A202">
        <v>0</v>
      </c>
      <c r="B202">
        <v>0</v>
      </c>
      <c r="C202">
        <v>0</v>
      </c>
      <c r="D202">
        <v>0</v>
      </c>
      <c r="E202">
        <v>0</v>
      </c>
    </row>
    <row r="203" spans="1:5" x14ac:dyDescent="0.35">
      <c r="A203">
        <v>0</v>
      </c>
      <c r="B203">
        <v>0</v>
      </c>
      <c r="C203">
        <v>0</v>
      </c>
      <c r="D203">
        <v>0</v>
      </c>
      <c r="E203">
        <v>0</v>
      </c>
    </row>
    <row r="204" spans="1:5" x14ac:dyDescent="0.35">
      <c r="A204">
        <v>0</v>
      </c>
      <c r="B204">
        <v>0</v>
      </c>
      <c r="C204">
        <v>0</v>
      </c>
      <c r="D204">
        <v>0</v>
      </c>
      <c r="E204">
        <v>0</v>
      </c>
    </row>
    <row r="205" spans="1:5" x14ac:dyDescent="0.35">
      <c r="A205">
        <v>0</v>
      </c>
      <c r="B205">
        <v>0</v>
      </c>
      <c r="C205">
        <v>0</v>
      </c>
      <c r="D205">
        <v>0</v>
      </c>
      <c r="E205">
        <v>0</v>
      </c>
    </row>
    <row r="206" spans="1:5" x14ac:dyDescent="0.35">
      <c r="A206">
        <v>0</v>
      </c>
      <c r="B206">
        <v>0</v>
      </c>
      <c r="C206">
        <v>0</v>
      </c>
      <c r="D206">
        <v>0</v>
      </c>
      <c r="E206">
        <v>0</v>
      </c>
    </row>
    <row r="207" spans="1:5" x14ac:dyDescent="0.35">
      <c r="A207">
        <v>0</v>
      </c>
      <c r="B207">
        <v>0</v>
      </c>
      <c r="C207">
        <v>0</v>
      </c>
      <c r="D207">
        <v>0</v>
      </c>
      <c r="E207">
        <v>0</v>
      </c>
    </row>
    <row r="208" spans="1:5" x14ac:dyDescent="0.35">
      <c r="A208">
        <v>0</v>
      </c>
      <c r="B208">
        <v>0</v>
      </c>
      <c r="C208">
        <v>0</v>
      </c>
      <c r="D208">
        <v>0</v>
      </c>
      <c r="E208">
        <v>0</v>
      </c>
    </row>
    <row r="209" spans="1:5" x14ac:dyDescent="0.35">
      <c r="A209">
        <v>0</v>
      </c>
      <c r="B209">
        <v>0</v>
      </c>
      <c r="C209">
        <v>0</v>
      </c>
      <c r="D209">
        <v>0</v>
      </c>
      <c r="E209">
        <v>0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</sheetData>
  <phoneticPr fontId="16" type="noConversion"/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B1:AJ168"/>
  <sheetViews>
    <sheetView topLeftCell="P1" zoomScale="38" zoomScaleNormal="85" workbookViewId="0">
      <selection activeCell="Q6" sqref="Q6:AH168"/>
    </sheetView>
  </sheetViews>
  <sheetFormatPr baseColWidth="10" defaultColWidth="8.7265625" defaultRowHeight="14.5" x14ac:dyDescent="0.35"/>
  <cols>
    <col min="2" max="2" width="22.54296875" customWidth="1"/>
    <col min="3" max="3" width="26.81640625" customWidth="1"/>
    <col min="4" max="4" width="25.453125" customWidth="1"/>
    <col min="5" max="5" width="22" customWidth="1"/>
    <col min="6" max="6" width="33.26953125" customWidth="1"/>
    <col min="7" max="7" width="19.1796875" customWidth="1"/>
    <col min="8" max="8" width="12.453125" customWidth="1"/>
    <col min="9" max="9" width="16.453125" customWidth="1"/>
    <col min="12" max="12" width="13.453125" customWidth="1"/>
    <col min="13" max="13" width="8.81640625" bestFit="1" customWidth="1"/>
    <col min="14" max="14" width="11.81640625" bestFit="1" customWidth="1"/>
    <col min="15" max="15" width="8.81640625" bestFit="1" customWidth="1"/>
    <col min="16" max="16" width="15.453125" customWidth="1"/>
    <col min="18" max="18" width="8.81640625" bestFit="1" customWidth="1"/>
    <col min="20" max="20" width="12.7265625" customWidth="1"/>
    <col min="21" max="21" width="28.81640625" customWidth="1"/>
    <col min="23" max="23" width="13.81640625" customWidth="1"/>
    <col min="24" max="24" width="10.1796875" customWidth="1"/>
    <col min="25" max="25" width="13.81640625" bestFit="1" customWidth="1"/>
    <col min="27" max="27" width="37.54296875" customWidth="1"/>
    <col min="28" max="28" width="46.26953125" customWidth="1"/>
    <col min="31" max="31" width="15.26953125" bestFit="1" customWidth="1"/>
    <col min="33" max="33" width="28.54296875" customWidth="1"/>
    <col min="34" max="34" width="56.54296875" customWidth="1"/>
  </cols>
  <sheetData>
    <row r="1" spans="2:36" ht="26.15" customHeight="1" x14ac:dyDescent="0.6">
      <c r="B1" s="67" t="s">
        <v>0</v>
      </c>
      <c r="C1" s="67" t="s">
        <v>1</v>
      </c>
      <c r="D1" s="67" t="s">
        <v>2</v>
      </c>
      <c r="E1" s="67" t="s">
        <v>3</v>
      </c>
      <c r="G1" s="91" t="s">
        <v>4</v>
      </c>
      <c r="H1" s="92"/>
      <c r="L1" s="83"/>
      <c r="M1" s="89"/>
      <c r="N1" s="89"/>
      <c r="O1" s="89"/>
      <c r="P1" s="89"/>
      <c r="Q1" s="90" t="s">
        <v>5</v>
      </c>
      <c r="R1" s="89"/>
      <c r="S1" s="89"/>
      <c r="T1" s="89"/>
      <c r="U1" s="89"/>
      <c r="W1" s="89"/>
      <c r="X1" s="90" t="s">
        <v>6</v>
      </c>
      <c r="Y1" s="89"/>
      <c r="Z1" s="89"/>
      <c r="AA1" s="89"/>
      <c r="AB1" s="89"/>
      <c r="AC1" s="89"/>
      <c r="AD1" s="89"/>
      <c r="AE1" s="89"/>
      <c r="AF1" s="89"/>
      <c r="AG1" s="89"/>
      <c r="AH1" s="89"/>
    </row>
    <row r="2" spans="2:36" x14ac:dyDescent="0.35">
      <c r="B2" s="19" t="s">
        <v>7</v>
      </c>
      <c r="C2" s="86">
        <v>42648</v>
      </c>
      <c r="D2" s="87"/>
      <c r="E2" s="87"/>
      <c r="G2" s="92" t="s">
        <v>8</v>
      </c>
      <c r="H2" s="92" t="s">
        <v>9</v>
      </c>
      <c r="M2" s="89"/>
      <c r="N2" s="89"/>
      <c r="O2" s="89"/>
      <c r="P2" s="89"/>
      <c r="Q2" s="89"/>
      <c r="R2" s="89"/>
      <c r="S2" s="89"/>
      <c r="T2" s="89"/>
      <c r="U2" s="89"/>
      <c r="W2" s="89"/>
      <c r="X2" s="88"/>
      <c r="Y2" s="89"/>
      <c r="Z2" s="89"/>
      <c r="AA2" s="89"/>
      <c r="AB2" s="89"/>
      <c r="AC2" s="89"/>
      <c r="AD2" s="89"/>
      <c r="AE2" s="89"/>
      <c r="AF2" s="89"/>
      <c r="AG2" s="89"/>
      <c r="AH2" s="89"/>
    </row>
    <row r="3" spans="2:36" ht="19.5" customHeight="1" x14ac:dyDescent="0.45">
      <c r="B3" s="19" t="s">
        <v>10</v>
      </c>
      <c r="C3" s="87">
        <f>E3+D3</f>
        <v>-39403</v>
      </c>
      <c r="D3" s="87">
        <v>-39403</v>
      </c>
      <c r="E3" s="87"/>
      <c r="G3" s="92" t="s">
        <v>11</v>
      </c>
      <c r="H3" s="97">
        <f>'Inn Kiosk'!B84</f>
        <v>19832.75</v>
      </c>
      <c r="M3" s="89"/>
      <c r="N3" s="89"/>
      <c r="O3" s="89"/>
      <c r="P3" s="89"/>
      <c r="Q3" s="17"/>
      <c r="R3" s="17"/>
      <c r="S3" s="17"/>
      <c r="T3" s="17"/>
      <c r="U3" s="17"/>
      <c r="W3" s="89"/>
      <c r="X3" s="94" t="s">
        <v>12</v>
      </c>
      <c r="Y3" s="94">
        <f>SUM(Y6:Y500)</f>
        <v>161303.84</v>
      </c>
      <c r="Z3" s="17"/>
      <c r="AA3" s="17"/>
      <c r="AB3" s="17"/>
      <c r="AC3" s="89" t="s">
        <v>13</v>
      </c>
      <c r="AD3" s="95" t="s">
        <v>14</v>
      </c>
      <c r="AE3" s="95">
        <f>SUM(AE4:AE223)</f>
        <v>-52250.68</v>
      </c>
      <c r="AF3" s="73"/>
      <c r="AG3" s="73"/>
      <c r="AH3" s="73"/>
    </row>
    <row r="4" spans="2:36" x14ac:dyDescent="0.35">
      <c r="B4" s="19" t="s">
        <v>15</v>
      </c>
      <c r="C4" s="87">
        <f>E4+D4</f>
        <v>-1357943</v>
      </c>
      <c r="D4" s="87">
        <v>-1357943</v>
      </c>
      <c r="E4" s="87"/>
      <c r="G4" s="92" t="s">
        <v>16</v>
      </c>
      <c r="H4" s="97">
        <f>Vippsutskrifter!I78</f>
        <v>-36893.552972973208</v>
      </c>
      <c r="M4" s="89"/>
      <c r="N4" s="93" t="s">
        <v>17</v>
      </c>
      <c r="O4" s="27"/>
      <c r="P4" s="27"/>
      <c r="Q4" s="17" t="s">
        <v>12</v>
      </c>
      <c r="R4" s="17"/>
      <c r="S4" s="17"/>
      <c r="T4" s="17"/>
      <c r="U4" s="17"/>
      <c r="W4" s="89"/>
      <c r="X4" s="17"/>
      <c r="Y4" s="17"/>
      <c r="Z4" s="17"/>
      <c r="AA4" s="17"/>
      <c r="AB4" s="17"/>
      <c r="AC4" s="89"/>
      <c r="AD4" s="73"/>
      <c r="AE4" s="73"/>
      <c r="AF4" s="73"/>
      <c r="AG4" s="73"/>
      <c r="AH4" s="73"/>
    </row>
    <row r="5" spans="2:36" x14ac:dyDescent="0.35">
      <c r="B5" s="19" t="s">
        <v>18</v>
      </c>
      <c r="C5" s="87">
        <f>E5+D5</f>
        <v>1350000</v>
      </c>
      <c r="D5" s="87"/>
      <c r="E5" s="87">
        <v>1350000</v>
      </c>
      <c r="G5" s="92" t="s">
        <v>19</v>
      </c>
      <c r="H5" s="97">
        <f>Terminalutskrifter!J78</f>
        <v>3351.9900000000007</v>
      </c>
      <c r="M5" s="89"/>
      <c r="N5" s="27" t="s">
        <v>20</v>
      </c>
      <c r="O5" s="27">
        <v>-8175</v>
      </c>
      <c r="P5" s="27"/>
      <c r="Q5" s="17" t="s">
        <v>21</v>
      </c>
      <c r="R5" s="17" t="s">
        <v>22</v>
      </c>
      <c r="S5" s="17" t="s">
        <v>23</v>
      </c>
      <c r="T5" s="17" t="s">
        <v>24</v>
      </c>
      <c r="U5" s="17" t="s">
        <v>25</v>
      </c>
      <c r="W5" s="89"/>
      <c r="X5" s="17" t="s">
        <v>21</v>
      </c>
      <c r="Y5" s="17" t="s">
        <v>22</v>
      </c>
      <c r="Z5" s="17" t="s">
        <v>23</v>
      </c>
      <c r="AA5" s="17" t="s">
        <v>24</v>
      </c>
      <c r="AB5" s="17" t="s">
        <v>25</v>
      </c>
      <c r="AC5" s="89"/>
      <c r="AD5" s="73" t="s">
        <v>21</v>
      </c>
      <c r="AE5" s="73" t="s">
        <v>26</v>
      </c>
      <c r="AF5" s="73" t="s">
        <v>23</v>
      </c>
      <c r="AG5" s="73" t="s">
        <v>24</v>
      </c>
      <c r="AH5" s="73" t="s">
        <v>25</v>
      </c>
    </row>
    <row r="6" spans="2:36" ht="29" x14ac:dyDescent="0.35">
      <c r="G6" s="92" t="s">
        <v>27</v>
      </c>
      <c r="H6" s="110">
        <f>Kjøregodtgjørelse!U2</f>
        <v>0</v>
      </c>
      <c r="M6" s="89"/>
      <c r="N6" s="27" t="s">
        <v>28</v>
      </c>
      <c r="O6" s="27">
        <v>-900</v>
      </c>
      <c r="P6" s="27"/>
      <c r="Q6" s="17" t="s">
        <v>397</v>
      </c>
      <c r="R6" s="17">
        <v>147.37</v>
      </c>
      <c r="S6" s="17" t="s">
        <v>5</v>
      </c>
      <c r="T6" s="17">
        <v>606892</v>
      </c>
      <c r="U6" s="17" t="s">
        <v>1307</v>
      </c>
      <c r="W6" s="89"/>
      <c r="X6" s="17" t="s">
        <v>288</v>
      </c>
      <c r="Y6" s="17">
        <v>500</v>
      </c>
      <c r="Z6" s="17" t="s">
        <v>5</v>
      </c>
      <c r="AA6" s="17">
        <v>49531050001</v>
      </c>
      <c r="AB6" s="207" t="s">
        <v>1195</v>
      </c>
      <c r="AC6" s="89"/>
      <c r="AD6" s="73" t="s">
        <v>376</v>
      </c>
      <c r="AE6" s="73">
        <v>-6261.13</v>
      </c>
      <c r="AF6" s="73"/>
      <c r="AG6" s="17">
        <v>21</v>
      </c>
      <c r="AH6" s="207" t="s">
        <v>1154</v>
      </c>
      <c r="AI6" s="17"/>
      <c r="AJ6" s="17"/>
    </row>
    <row r="7" spans="2:36" ht="29" x14ac:dyDescent="0.35">
      <c r="B7" s="89" t="s">
        <v>30</v>
      </c>
      <c r="C7" s="96">
        <f>E7+D7</f>
        <v>87204.920000000187</v>
      </c>
      <c r="D7" s="96">
        <f>'Inn Kiosk'!B83</f>
        <v>-235300.65</v>
      </c>
      <c r="E7" s="96">
        <f>'Master kiosk'!C83</f>
        <v>322505.57000000018</v>
      </c>
      <c r="M7" s="89"/>
      <c r="N7" s="27"/>
      <c r="O7" s="27"/>
      <c r="P7" s="27"/>
      <c r="Q7" s="17" t="s">
        <v>401</v>
      </c>
      <c r="R7" s="17">
        <v>2033.71</v>
      </c>
      <c r="S7" s="17" t="s">
        <v>5</v>
      </c>
      <c r="T7" s="17">
        <v>256144848</v>
      </c>
      <c r="U7" s="17" t="s">
        <v>1308</v>
      </c>
      <c r="W7" s="89"/>
      <c r="X7" s="17" t="s">
        <v>288</v>
      </c>
      <c r="Y7" s="17">
        <v>500</v>
      </c>
      <c r="Z7" s="17" t="s">
        <v>5</v>
      </c>
      <c r="AA7" s="17">
        <v>387295</v>
      </c>
      <c r="AB7" s="207" t="s">
        <v>1196</v>
      </c>
      <c r="AC7" s="89"/>
      <c r="AD7" s="73" t="s">
        <v>712</v>
      </c>
      <c r="AE7" s="73">
        <v>-3246</v>
      </c>
      <c r="AF7" s="73" t="s">
        <v>1047</v>
      </c>
      <c r="AG7" s="17">
        <v>51702880000</v>
      </c>
      <c r="AH7" s="207" t="s">
        <v>1155</v>
      </c>
      <c r="AI7" s="17"/>
      <c r="AJ7" s="17"/>
    </row>
    <row r="8" spans="2:36" ht="29" x14ac:dyDescent="0.35">
      <c r="B8" s="89" t="s">
        <v>31</v>
      </c>
      <c r="C8" s="96">
        <f t="shared" ref="C8:C22" si="0">E8+D8</f>
        <v>3231.0299999999997</v>
      </c>
      <c r="D8" s="96">
        <f>Isruss!D4</f>
        <v>-4461.8</v>
      </c>
      <c r="E8" s="96">
        <f>Isruss!D5</f>
        <v>7692.83</v>
      </c>
      <c r="M8" s="89"/>
      <c r="N8" s="27" t="s">
        <v>32</v>
      </c>
      <c r="O8" s="27">
        <f>SUM(O5:O6)</f>
        <v>-9075</v>
      </c>
      <c r="P8" s="27"/>
      <c r="Q8" s="17" t="s">
        <v>405</v>
      </c>
      <c r="R8" s="17">
        <v>294.74</v>
      </c>
      <c r="S8" s="17" t="s">
        <v>5</v>
      </c>
      <c r="T8" s="17">
        <v>476321</v>
      </c>
      <c r="U8" s="17" t="s">
        <v>1309</v>
      </c>
      <c r="W8" s="89"/>
      <c r="X8" s="17" t="s">
        <v>288</v>
      </c>
      <c r="Y8" s="17">
        <v>500</v>
      </c>
      <c r="Z8" s="17" t="s">
        <v>5</v>
      </c>
      <c r="AA8" s="17">
        <v>535</v>
      </c>
      <c r="AB8" s="207" t="s">
        <v>1197</v>
      </c>
      <c r="AC8" s="89"/>
      <c r="AD8" s="73" t="s">
        <v>712</v>
      </c>
      <c r="AE8" s="73">
        <v>-4322</v>
      </c>
      <c r="AF8" s="73" t="s">
        <v>843</v>
      </c>
      <c r="AG8" s="17">
        <v>51702870000</v>
      </c>
      <c r="AH8" s="207" t="s">
        <v>1156</v>
      </c>
      <c r="AI8" s="17"/>
      <c r="AJ8" s="17"/>
    </row>
    <row r="9" spans="2:36" ht="29" x14ac:dyDescent="0.35">
      <c r="B9" s="89" t="s">
        <v>33</v>
      </c>
      <c r="C9" s="96">
        <f t="shared" si="0"/>
        <v>18408.969999999994</v>
      </c>
      <c r="D9" s="96">
        <f>Milkshake!D4</f>
        <v>-14927.410000000002</v>
      </c>
      <c r="E9" s="96">
        <f>Milkshake!D5</f>
        <v>33336.379999999997</v>
      </c>
      <c r="M9" s="89"/>
      <c r="N9" s="27" t="s">
        <v>34</v>
      </c>
      <c r="O9" s="27">
        <f>SUM(R3:R400)</f>
        <v>115521.93000000004</v>
      </c>
      <c r="P9" s="27"/>
      <c r="Q9" s="17" t="s">
        <v>409</v>
      </c>
      <c r="R9" s="17">
        <v>196.5</v>
      </c>
      <c r="S9" s="17" t="s">
        <v>5</v>
      </c>
      <c r="T9" s="17">
        <v>271980852</v>
      </c>
      <c r="U9" s="17" t="s">
        <v>1310</v>
      </c>
      <c r="W9" s="89"/>
      <c r="X9" s="17" t="s">
        <v>288</v>
      </c>
      <c r="Y9" s="17">
        <v>500</v>
      </c>
      <c r="Z9" s="17" t="s">
        <v>5</v>
      </c>
      <c r="AA9" s="17">
        <v>151</v>
      </c>
      <c r="AB9" s="207" t="s">
        <v>1198</v>
      </c>
      <c r="AC9" s="89"/>
      <c r="AD9" s="73" t="s">
        <v>708</v>
      </c>
      <c r="AE9" s="73">
        <v>-1378.95</v>
      </c>
      <c r="AF9" s="73" t="s">
        <v>1157</v>
      </c>
      <c r="AG9" s="17">
        <v>26030903751</v>
      </c>
      <c r="AH9" s="207" t="s">
        <v>1158</v>
      </c>
      <c r="AI9" s="17"/>
      <c r="AJ9" s="17"/>
    </row>
    <row r="10" spans="2:36" ht="29" x14ac:dyDescent="0.35">
      <c r="B10" s="89" t="s">
        <v>35</v>
      </c>
      <c r="C10" s="96">
        <f t="shared" si="0"/>
        <v>21336</v>
      </c>
      <c r="D10" s="96">
        <v>0</v>
      </c>
      <c r="E10" s="96">
        <f>Panteruss!D5</f>
        <v>21336</v>
      </c>
      <c r="M10" s="89"/>
      <c r="N10" s="27" t="s">
        <v>36</v>
      </c>
      <c r="O10" s="27">
        <f>O9+O8</f>
        <v>106446.93000000004</v>
      </c>
      <c r="P10" s="27"/>
      <c r="Q10" s="17" t="s">
        <v>413</v>
      </c>
      <c r="R10" s="17">
        <v>1473.75</v>
      </c>
      <c r="S10" s="17" t="s">
        <v>5</v>
      </c>
      <c r="T10" s="17">
        <v>941095</v>
      </c>
      <c r="U10" s="17" t="s">
        <v>1311</v>
      </c>
      <c r="W10" s="89"/>
      <c r="X10" s="17" t="s">
        <v>288</v>
      </c>
      <c r="Y10" s="17">
        <v>500</v>
      </c>
      <c r="Z10" s="17" t="s">
        <v>5</v>
      </c>
      <c r="AA10" s="17">
        <v>3184646516</v>
      </c>
      <c r="AB10" s="207" t="s">
        <v>1199</v>
      </c>
      <c r="AC10" s="89"/>
      <c r="AD10" s="73" t="s">
        <v>700</v>
      </c>
      <c r="AE10" s="73">
        <v>-209.52</v>
      </c>
      <c r="AF10" s="73"/>
      <c r="AG10" s="17">
        <v>172196538</v>
      </c>
      <c r="AH10" s="207" t="s">
        <v>804</v>
      </c>
      <c r="AI10" s="17"/>
      <c r="AJ10" s="17"/>
    </row>
    <row r="11" spans="2:36" ht="29" x14ac:dyDescent="0.35">
      <c r="B11" s="89" t="s">
        <v>38</v>
      </c>
      <c r="C11" s="96">
        <f t="shared" si="0"/>
        <v>136996.28</v>
      </c>
      <c r="D11" s="96">
        <f>Basar!E4</f>
        <v>-13105</v>
      </c>
      <c r="E11" s="96">
        <f>Basar!E5</f>
        <v>150101.28</v>
      </c>
      <c r="M11" s="89"/>
      <c r="N11" s="89"/>
      <c r="O11" s="89"/>
      <c r="P11" s="89"/>
      <c r="Q11" s="17" t="s">
        <v>419</v>
      </c>
      <c r="R11" s="17">
        <v>442.12</v>
      </c>
      <c r="S11" s="17" t="s">
        <v>5</v>
      </c>
      <c r="T11" s="17">
        <v>288078091</v>
      </c>
      <c r="U11" s="17" t="s">
        <v>1312</v>
      </c>
      <c r="W11" s="89"/>
      <c r="X11" s="17" t="s">
        <v>288</v>
      </c>
      <c r="Y11" s="17">
        <v>500</v>
      </c>
      <c r="Z11" s="17" t="s">
        <v>5</v>
      </c>
      <c r="AA11" s="17">
        <v>534</v>
      </c>
      <c r="AB11" s="207" t="s">
        <v>1200</v>
      </c>
      <c r="AC11" s="89"/>
      <c r="AD11" s="73" t="s">
        <v>29</v>
      </c>
      <c r="AE11" s="73">
        <v>-208.1</v>
      </c>
      <c r="AF11" s="73" t="s">
        <v>1159</v>
      </c>
      <c r="AG11" s="17">
        <v>54207430000</v>
      </c>
      <c r="AH11" s="207" t="s">
        <v>1160</v>
      </c>
      <c r="AI11" s="17"/>
      <c r="AJ11" s="17"/>
    </row>
    <row r="12" spans="2:36" ht="29" x14ac:dyDescent="0.35">
      <c r="B12" s="89" t="s">
        <v>40</v>
      </c>
      <c r="C12" s="96">
        <f>E12+D12</f>
        <v>702253.75</v>
      </c>
      <c r="D12" s="96">
        <f>Misjonsløp!C3</f>
        <v>-41390.25</v>
      </c>
      <c r="E12" s="96">
        <f>Misjonsløp!C4</f>
        <v>743644</v>
      </c>
      <c r="M12" s="89"/>
      <c r="N12" s="89"/>
      <c r="O12" s="89"/>
      <c r="P12" s="89"/>
      <c r="Q12" s="17" t="s">
        <v>425</v>
      </c>
      <c r="R12" s="17">
        <v>98.25</v>
      </c>
      <c r="S12" s="17" t="s">
        <v>5</v>
      </c>
      <c r="T12" s="17">
        <v>772351</v>
      </c>
      <c r="U12" s="17" t="s">
        <v>1313</v>
      </c>
      <c r="W12" s="89"/>
      <c r="X12" s="17" t="s">
        <v>288</v>
      </c>
      <c r="Y12" s="17">
        <v>500</v>
      </c>
      <c r="Z12" s="17" t="s">
        <v>5</v>
      </c>
      <c r="AA12" s="17">
        <v>912857</v>
      </c>
      <c r="AB12" s="207" t="s">
        <v>1201</v>
      </c>
      <c r="AC12" s="89"/>
      <c r="AD12" s="73" t="s">
        <v>638</v>
      </c>
      <c r="AE12" s="73">
        <v>-154.08000000000001</v>
      </c>
      <c r="AF12" s="73" t="s">
        <v>1161</v>
      </c>
      <c r="AG12" s="17"/>
      <c r="AH12" s="17" t="s">
        <v>1162</v>
      </c>
      <c r="AI12" s="17"/>
      <c r="AJ12" s="17"/>
    </row>
    <row r="13" spans="2:36" ht="29" x14ac:dyDescent="0.35">
      <c r="B13" s="89" t="s">
        <v>41</v>
      </c>
      <c r="C13" s="96">
        <f t="shared" si="0"/>
        <v>-2225.44</v>
      </c>
      <c r="D13" s="96">
        <f>Kjøregodtgjørelse!B7</f>
        <v>-2225.44</v>
      </c>
      <c r="E13" s="96"/>
      <c r="M13" s="89"/>
      <c r="N13" s="89"/>
      <c r="O13" s="89"/>
      <c r="P13" s="89"/>
      <c r="Q13" s="17" t="s">
        <v>436</v>
      </c>
      <c r="R13" s="17">
        <v>3487.84</v>
      </c>
      <c r="S13" s="17" t="s">
        <v>5</v>
      </c>
      <c r="T13" s="17">
        <v>287546273</v>
      </c>
      <c r="U13" s="17" t="s">
        <v>1314</v>
      </c>
      <c r="W13" s="89"/>
      <c r="X13" s="17" t="s">
        <v>288</v>
      </c>
      <c r="Y13" s="17">
        <v>500</v>
      </c>
      <c r="Z13" s="17" t="s">
        <v>5</v>
      </c>
      <c r="AA13" s="17">
        <v>364206</v>
      </c>
      <c r="AB13" s="207" t="s">
        <v>1202</v>
      </c>
      <c r="AC13" s="89"/>
      <c r="AD13" s="73" t="s">
        <v>867</v>
      </c>
      <c r="AE13" s="73">
        <v>-170.1</v>
      </c>
      <c r="AF13" s="73"/>
      <c r="AG13" s="17">
        <v>92549710000</v>
      </c>
      <c r="AH13" s="17" t="s">
        <v>1163</v>
      </c>
      <c r="AI13" s="17"/>
      <c r="AJ13" s="17"/>
    </row>
    <row r="14" spans="2:36" ht="29" x14ac:dyDescent="0.35">
      <c r="B14" s="89" t="s">
        <v>42</v>
      </c>
      <c r="C14" s="96">
        <f t="shared" si="0"/>
        <v>2021.6199999999994</v>
      </c>
      <c r="D14" s="96">
        <f>Barrista!D4</f>
        <v>-2263.9500000000003</v>
      </c>
      <c r="E14" s="96">
        <f>Barrista!D5</f>
        <v>4285.57</v>
      </c>
      <c r="M14" s="89"/>
      <c r="N14" s="89"/>
      <c r="O14" s="89"/>
      <c r="P14" s="89"/>
      <c r="Q14" s="17" t="s">
        <v>436</v>
      </c>
      <c r="R14" s="17">
        <v>1105.3</v>
      </c>
      <c r="S14" s="17" t="s">
        <v>5</v>
      </c>
      <c r="T14" s="17">
        <v>287510803</v>
      </c>
      <c r="U14" s="17" t="s">
        <v>1315</v>
      </c>
      <c r="W14" s="89"/>
      <c r="X14" s="17" t="s">
        <v>288</v>
      </c>
      <c r="Y14" s="17">
        <v>2500</v>
      </c>
      <c r="Z14" s="17" t="s">
        <v>5</v>
      </c>
      <c r="AA14" s="17">
        <v>266158</v>
      </c>
      <c r="AB14" s="207" t="s">
        <v>1203</v>
      </c>
      <c r="AC14" s="89"/>
      <c r="AD14" s="73" t="s">
        <v>620</v>
      </c>
      <c r="AE14" s="73">
        <v>-84</v>
      </c>
      <c r="AF14" s="73"/>
      <c r="AG14" s="17">
        <v>10913680000</v>
      </c>
      <c r="AH14" s="17" t="s">
        <v>1163</v>
      </c>
      <c r="AI14" s="17"/>
      <c r="AJ14" s="17"/>
    </row>
    <row r="15" spans="2:36" ht="29" x14ac:dyDescent="0.35">
      <c r="B15" s="89" t="s">
        <v>43</v>
      </c>
      <c r="C15" s="96">
        <f t="shared" si="0"/>
        <v>77211.739999999976</v>
      </c>
      <c r="D15" s="96">
        <f>Nattcup!D4</f>
        <v>-10863</v>
      </c>
      <c r="E15" s="96">
        <f>Nattcup!D5</f>
        <v>88074.739999999976</v>
      </c>
      <c r="M15" s="89"/>
      <c r="N15" s="89"/>
      <c r="O15" s="89"/>
      <c r="P15" s="89"/>
      <c r="Q15" s="17" t="s">
        <v>436</v>
      </c>
      <c r="R15" s="17">
        <v>1621.11</v>
      </c>
      <c r="S15" s="17" t="s">
        <v>5</v>
      </c>
      <c r="T15" s="17">
        <v>287572213</v>
      </c>
      <c r="U15" s="17" t="s">
        <v>1316</v>
      </c>
      <c r="W15" s="89"/>
      <c r="X15" s="17" t="s">
        <v>288</v>
      </c>
      <c r="Y15" s="17">
        <v>500</v>
      </c>
      <c r="Z15" s="17" t="s">
        <v>5</v>
      </c>
      <c r="AA15" s="17">
        <v>924552</v>
      </c>
      <c r="AB15" s="207" t="s">
        <v>1204</v>
      </c>
      <c r="AC15" s="89"/>
      <c r="AD15" s="73" t="s">
        <v>618</v>
      </c>
      <c r="AE15" s="73">
        <v>-70</v>
      </c>
      <c r="AF15" s="73"/>
      <c r="AG15" s="17">
        <v>82802400000</v>
      </c>
      <c r="AH15" s="17" t="s">
        <v>1163</v>
      </c>
      <c r="AI15" s="17"/>
      <c r="AJ15" s="17"/>
    </row>
    <row r="16" spans="2:36" ht="29" x14ac:dyDescent="0.35">
      <c r="B16" s="89" t="s">
        <v>44</v>
      </c>
      <c r="C16" s="96">
        <f t="shared" si="0"/>
        <v>10977.66</v>
      </c>
      <c r="D16" s="96"/>
      <c r="E16" s="96">
        <v>10977.66</v>
      </c>
      <c r="M16" s="89"/>
      <c r="N16" s="89"/>
      <c r="O16" s="89"/>
      <c r="P16" s="89"/>
      <c r="Q16" s="17" t="s">
        <v>436</v>
      </c>
      <c r="R16" s="17">
        <v>1105.3</v>
      </c>
      <c r="S16" s="17" t="s">
        <v>5</v>
      </c>
      <c r="T16" s="17">
        <v>287532944</v>
      </c>
      <c r="U16" s="17" t="s">
        <v>1317</v>
      </c>
      <c r="W16" s="89"/>
      <c r="X16" s="17" t="s">
        <v>288</v>
      </c>
      <c r="Y16" s="17">
        <v>500</v>
      </c>
      <c r="Z16" s="17" t="s">
        <v>5</v>
      </c>
      <c r="AA16" s="17">
        <v>663</v>
      </c>
      <c r="AB16" s="207" t="s">
        <v>1205</v>
      </c>
      <c r="AC16" s="89"/>
      <c r="AD16" s="73" t="s">
        <v>37</v>
      </c>
      <c r="AE16" s="73">
        <v>-150.07</v>
      </c>
      <c r="AF16" s="73" t="s">
        <v>1161</v>
      </c>
      <c r="AG16" s="17"/>
      <c r="AH16" s="17" t="s">
        <v>1162</v>
      </c>
      <c r="AI16" s="17"/>
      <c r="AJ16" s="17"/>
    </row>
    <row r="17" spans="2:36" ht="29" x14ac:dyDescent="0.35">
      <c r="B17" s="89" t="s">
        <v>45</v>
      </c>
      <c r="C17" s="96">
        <f t="shared" si="0"/>
        <v>21939.81</v>
      </c>
      <c r="D17" s="96">
        <f>Måneskinstur!D4</f>
        <v>-3099.0400000000004</v>
      </c>
      <c r="E17" s="96">
        <f>Måneskinstur!D5</f>
        <v>25038.850000000002</v>
      </c>
      <c r="M17" s="89"/>
      <c r="N17" s="89"/>
      <c r="O17" s="89"/>
      <c r="P17" s="89"/>
      <c r="Q17" s="17" t="s">
        <v>449</v>
      </c>
      <c r="R17" s="17">
        <v>491.25</v>
      </c>
      <c r="S17" s="17" t="s">
        <v>5</v>
      </c>
      <c r="T17" s="17">
        <v>1098672</v>
      </c>
      <c r="U17" s="17" t="s">
        <v>1318</v>
      </c>
      <c r="W17" s="89"/>
      <c r="X17" s="17" t="s">
        <v>288</v>
      </c>
      <c r="Y17" s="17">
        <v>500</v>
      </c>
      <c r="Z17" s="17" t="s">
        <v>5</v>
      </c>
      <c r="AA17" s="17">
        <v>4772</v>
      </c>
      <c r="AB17" s="207" t="s">
        <v>1206</v>
      </c>
      <c r="AC17" s="89"/>
      <c r="AD17" s="73" t="s">
        <v>613</v>
      </c>
      <c r="AE17" s="73">
        <v>-150.78</v>
      </c>
      <c r="AF17" s="73" t="s">
        <v>1161</v>
      </c>
      <c r="AG17" s="17"/>
      <c r="AH17" s="17" t="s">
        <v>1162</v>
      </c>
      <c r="AI17" s="17"/>
      <c r="AJ17" s="17"/>
    </row>
    <row r="18" spans="2:36" ht="29" x14ac:dyDescent="0.35">
      <c r="B18" s="89" t="s">
        <v>46</v>
      </c>
      <c r="C18" s="96">
        <f t="shared" si="0"/>
        <v>42725</v>
      </c>
      <c r="D18" s="96">
        <f>'Premiere Leaugue'!D4</f>
        <v>-331</v>
      </c>
      <c r="E18" s="96">
        <f>'Premiere Leaugue'!D5</f>
        <v>43056</v>
      </c>
      <c r="G18" s="98"/>
      <c r="M18" s="89"/>
      <c r="N18" s="89"/>
      <c r="O18" s="89"/>
      <c r="P18" s="89"/>
      <c r="Q18" s="17" t="s">
        <v>451</v>
      </c>
      <c r="R18" s="17">
        <v>147.37</v>
      </c>
      <c r="S18" s="17" t="s">
        <v>5</v>
      </c>
      <c r="T18" s="17">
        <v>393270</v>
      </c>
      <c r="U18" s="17" t="s">
        <v>1319</v>
      </c>
      <c r="W18" s="89"/>
      <c r="X18" s="17" t="s">
        <v>288</v>
      </c>
      <c r="Y18" s="17">
        <v>500</v>
      </c>
      <c r="Z18" s="17" t="s">
        <v>5</v>
      </c>
      <c r="AA18" s="17">
        <v>160337</v>
      </c>
      <c r="AB18" s="207" t="s">
        <v>1207</v>
      </c>
      <c r="AC18" s="89"/>
      <c r="AD18" s="73" t="s">
        <v>611</v>
      </c>
      <c r="AE18" s="73">
        <v>-150.46</v>
      </c>
      <c r="AF18" s="73" t="s">
        <v>1161</v>
      </c>
      <c r="AG18" s="17"/>
      <c r="AH18" s="17" t="s">
        <v>1162</v>
      </c>
      <c r="AI18" s="17"/>
      <c r="AJ18" s="17"/>
    </row>
    <row r="19" spans="2:36" ht="29" x14ac:dyDescent="0.35">
      <c r="B19" s="89" t="s">
        <v>47</v>
      </c>
      <c r="C19" s="96">
        <f t="shared" si="0"/>
        <v>823.40999999999985</v>
      </c>
      <c r="D19" s="96">
        <f>Krympefest!D4</f>
        <v>-21602.36</v>
      </c>
      <c r="E19" s="96">
        <f>Krympefest!D5</f>
        <v>22425.77</v>
      </c>
      <c r="M19" s="89"/>
      <c r="N19" s="89"/>
      <c r="O19" s="89"/>
      <c r="P19" s="89"/>
      <c r="Q19" s="17" t="s">
        <v>457</v>
      </c>
      <c r="R19" s="17">
        <v>8572.23</v>
      </c>
      <c r="S19" s="17" t="s">
        <v>5</v>
      </c>
      <c r="T19" s="17">
        <v>286842546</v>
      </c>
      <c r="U19" s="17" t="s">
        <v>1320</v>
      </c>
      <c r="W19" s="89"/>
      <c r="X19" s="17" t="s">
        <v>288</v>
      </c>
      <c r="Y19" s="17">
        <v>500</v>
      </c>
      <c r="Z19" s="17" t="s">
        <v>5</v>
      </c>
      <c r="AA19" s="17">
        <v>3185864192</v>
      </c>
      <c r="AB19" s="207" t="s">
        <v>1208</v>
      </c>
      <c r="AC19" s="89"/>
      <c r="AD19" s="73" t="s">
        <v>611</v>
      </c>
      <c r="AE19" s="73">
        <v>-178.5</v>
      </c>
      <c r="AF19" s="73"/>
      <c r="AG19" s="17">
        <v>98814160000</v>
      </c>
      <c r="AH19" s="17" t="s">
        <v>1163</v>
      </c>
      <c r="AI19" s="17"/>
      <c r="AJ19" s="17"/>
    </row>
    <row r="20" spans="2:36" ht="29" x14ac:dyDescent="0.35">
      <c r="B20" s="89" t="s">
        <v>48</v>
      </c>
      <c r="C20" s="96">
        <f t="shared" si="0"/>
        <v>38023.259999999987</v>
      </c>
      <c r="D20" s="96">
        <f>Redaksjonen!D5</f>
        <v>19011.629999999994</v>
      </c>
      <c r="E20" s="96">
        <f>Redaksjonen!D6</f>
        <v>19011.629999999994</v>
      </c>
      <c r="M20" s="89"/>
      <c r="N20" s="89"/>
      <c r="O20" s="89"/>
      <c r="P20" s="89"/>
      <c r="Q20" s="17" t="s">
        <v>461</v>
      </c>
      <c r="R20" s="17">
        <v>491.25</v>
      </c>
      <c r="S20" s="17" t="s">
        <v>5</v>
      </c>
      <c r="T20" s="17">
        <v>764382</v>
      </c>
      <c r="U20" s="17" t="s">
        <v>1321</v>
      </c>
      <c r="W20" s="89"/>
      <c r="X20" s="17" t="s">
        <v>288</v>
      </c>
      <c r="Y20" s="17">
        <v>500</v>
      </c>
      <c r="Z20" s="17" t="s">
        <v>5</v>
      </c>
      <c r="AA20" s="17">
        <v>285657</v>
      </c>
      <c r="AB20" s="207" t="s">
        <v>1209</v>
      </c>
      <c r="AC20" s="89"/>
      <c r="AD20" s="73" t="s">
        <v>609</v>
      </c>
      <c r="AE20" s="73">
        <v>-150.22</v>
      </c>
      <c r="AF20" s="73" t="s">
        <v>1161</v>
      </c>
      <c r="AG20" s="17"/>
      <c r="AH20" s="17" t="s">
        <v>1162</v>
      </c>
      <c r="AI20" s="17"/>
      <c r="AJ20" s="17"/>
    </row>
    <row r="21" spans="2:36" ht="29" x14ac:dyDescent="0.35">
      <c r="B21" s="89" t="s">
        <v>347</v>
      </c>
      <c r="C21" s="96">
        <f t="shared" si="0"/>
        <v>19929.519999999997</v>
      </c>
      <c r="D21" s="96">
        <f>'Rolle Bryllup'!D5</f>
        <v>-5492.2</v>
      </c>
      <c r="E21" s="96">
        <f>'Rolle Bryllup'!D6</f>
        <v>25421.719999999998</v>
      </c>
      <c r="M21" s="89"/>
      <c r="N21" s="89"/>
      <c r="O21" s="89"/>
      <c r="P21" s="89"/>
      <c r="Q21" s="17" t="s">
        <v>487</v>
      </c>
      <c r="R21" s="17">
        <v>491.25</v>
      </c>
      <c r="S21" s="17" t="s">
        <v>5</v>
      </c>
      <c r="T21" s="17">
        <v>590754</v>
      </c>
      <c r="U21" s="17" t="s">
        <v>1322</v>
      </c>
      <c r="W21" s="89"/>
      <c r="X21" s="17" t="s">
        <v>1210</v>
      </c>
      <c r="Y21" s="17">
        <v>500</v>
      </c>
      <c r="Z21" s="17" t="s">
        <v>5</v>
      </c>
      <c r="AA21" s="17">
        <v>379525</v>
      </c>
      <c r="AB21" s="207" t="s">
        <v>1211</v>
      </c>
      <c r="AC21" s="89"/>
      <c r="AD21" s="73" t="s">
        <v>607</v>
      </c>
      <c r="AE21" s="73">
        <v>-150.16999999999999</v>
      </c>
      <c r="AF21" s="73" t="s">
        <v>1161</v>
      </c>
      <c r="AG21" s="17"/>
      <c r="AH21" s="17" t="s">
        <v>1162</v>
      </c>
      <c r="AI21" s="17"/>
      <c r="AJ21" s="17"/>
    </row>
    <row r="22" spans="2:36" ht="29" x14ac:dyDescent="0.35">
      <c r="B22" s="89" t="s">
        <v>346</v>
      </c>
      <c r="C22" s="96">
        <f t="shared" si="0"/>
        <v>-3298.8700000000099</v>
      </c>
      <c r="D22" s="96">
        <f>Skolegensere!D5</f>
        <v>-89750</v>
      </c>
      <c r="E22" s="96">
        <f>Skolegensere!D6</f>
        <v>86451.12999999999</v>
      </c>
      <c r="M22" s="89"/>
      <c r="N22" s="89"/>
      <c r="O22" s="89"/>
      <c r="P22" s="89"/>
      <c r="Q22" s="17" t="s">
        <v>507</v>
      </c>
      <c r="R22" s="17">
        <v>491.25</v>
      </c>
      <c r="S22" s="17" t="s">
        <v>5</v>
      </c>
      <c r="T22" s="17">
        <v>1526097</v>
      </c>
      <c r="U22" s="17" t="s">
        <v>1323</v>
      </c>
      <c r="W22" s="89"/>
      <c r="X22" s="17" t="s">
        <v>1210</v>
      </c>
      <c r="Y22" s="17">
        <v>500</v>
      </c>
      <c r="Z22" s="17" t="s">
        <v>5</v>
      </c>
      <c r="AA22" s="17">
        <v>636791</v>
      </c>
      <c r="AB22" s="207" t="s">
        <v>1212</v>
      </c>
      <c r="AC22" s="89"/>
      <c r="AD22" s="73" t="s">
        <v>587</v>
      </c>
      <c r="AE22" s="73">
        <v>-140</v>
      </c>
      <c r="AF22" s="73"/>
      <c r="AG22" s="17">
        <v>7935520000</v>
      </c>
      <c r="AH22" s="17" t="s">
        <v>1163</v>
      </c>
      <c r="AI22" s="17"/>
      <c r="AJ22" s="17"/>
    </row>
    <row r="23" spans="2:36" x14ac:dyDescent="0.35">
      <c r="M23" s="89"/>
      <c r="N23" s="89"/>
      <c r="O23" s="89"/>
      <c r="P23" s="89"/>
      <c r="Q23" s="17" t="s">
        <v>511</v>
      </c>
      <c r="R23" s="17">
        <v>32053.71</v>
      </c>
      <c r="S23" s="17" t="s">
        <v>5</v>
      </c>
      <c r="T23" s="17">
        <v>285057029</v>
      </c>
      <c r="U23" s="17" t="s">
        <v>1324</v>
      </c>
      <c r="W23" s="89"/>
      <c r="X23" s="17" t="s">
        <v>351</v>
      </c>
      <c r="Y23" s="17">
        <v>100</v>
      </c>
      <c r="Z23" s="17" t="s">
        <v>5</v>
      </c>
      <c r="AA23" s="17">
        <v>541168</v>
      </c>
      <c r="AB23" s="207" t="s">
        <v>1213</v>
      </c>
      <c r="AC23" s="89"/>
      <c r="AD23" s="73" t="s">
        <v>791</v>
      </c>
      <c r="AE23" s="73">
        <v>-150.59</v>
      </c>
      <c r="AF23" s="73" t="s">
        <v>1161</v>
      </c>
      <c r="AG23" s="17"/>
      <c r="AH23" s="17" t="s">
        <v>1162</v>
      </c>
      <c r="AI23" s="17"/>
      <c r="AJ23" s="17"/>
    </row>
    <row r="24" spans="2:36" ht="29" x14ac:dyDescent="0.35">
      <c r="B24" s="89" t="s">
        <v>5</v>
      </c>
      <c r="C24" s="96">
        <f>E24+D24</f>
        <v>115521.93000000004</v>
      </c>
      <c r="D24" s="96">
        <f>M5</f>
        <v>0</v>
      </c>
      <c r="E24" s="96">
        <f>O9</f>
        <v>115521.93000000004</v>
      </c>
      <c r="M24" s="89"/>
      <c r="N24" s="89"/>
      <c r="O24" s="89"/>
      <c r="P24" s="89"/>
      <c r="Q24" s="17" t="s">
        <v>513</v>
      </c>
      <c r="R24" s="17">
        <v>147.36000000000001</v>
      </c>
      <c r="S24" s="17" t="s">
        <v>5</v>
      </c>
      <c r="T24" s="17">
        <v>268072844</v>
      </c>
      <c r="U24" s="17" t="s">
        <v>1325</v>
      </c>
      <c r="W24" s="89"/>
      <c r="X24" s="17" t="s">
        <v>349</v>
      </c>
      <c r="Y24" s="17">
        <v>500</v>
      </c>
      <c r="Z24" s="17" t="s">
        <v>5</v>
      </c>
      <c r="AA24" s="17">
        <v>566362</v>
      </c>
      <c r="AB24" s="207" t="s">
        <v>1214</v>
      </c>
      <c r="AC24" s="89"/>
      <c r="AD24" s="73" t="s">
        <v>579</v>
      </c>
      <c r="AE24" s="73">
        <v>-450</v>
      </c>
      <c r="AF24" s="73" t="s">
        <v>241</v>
      </c>
      <c r="AG24" s="17">
        <v>79380470000</v>
      </c>
      <c r="AH24" s="17" t="s">
        <v>1164</v>
      </c>
      <c r="AI24" s="17"/>
      <c r="AJ24" s="17"/>
    </row>
    <row r="25" spans="2:36" ht="29" x14ac:dyDescent="0.35">
      <c r="B25" s="89" t="s">
        <v>335</v>
      </c>
      <c r="C25" s="96">
        <f>E25+D25</f>
        <v>109053.16</v>
      </c>
      <c r="D25" s="96">
        <f>AE3</f>
        <v>-52250.68</v>
      </c>
      <c r="E25" s="96">
        <f>Y3</f>
        <v>161303.84</v>
      </c>
      <c r="Q25" t="s">
        <v>521</v>
      </c>
      <c r="R25">
        <v>13.75</v>
      </c>
      <c r="S25" t="s">
        <v>5</v>
      </c>
      <c r="T25">
        <v>517802</v>
      </c>
      <c r="U25" t="s">
        <v>1326</v>
      </c>
      <c r="X25" t="s">
        <v>1215</v>
      </c>
      <c r="Y25">
        <v>2000</v>
      </c>
      <c r="Z25" t="s">
        <v>5</v>
      </c>
      <c r="AA25">
        <v>1909</v>
      </c>
      <c r="AB25" s="183" t="s">
        <v>1216</v>
      </c>
      <c r="AD25" t="s">
        <v>576</v>
      </c>
      <c r="AE25">
        <v>-23250</v>
      </c>
      <c r="AF25" t="s">
        <v>1165</v>
      </c>
      <c r="AG25">
        <v>65069880000</v>
      </c>
      <c r="AH25" s="183" t="s">
        <v>1166</v>
      </c>
    </row>
    <row r="26" spans="2:36" x14ac:dyDescent="0.35">
      <c r="B26" s="92" t="s">
        <v>49</v>
      </c>
      <c r="C26" s="92"/>
      <c r="D26" s="190">
        <f>SUM(D3:D25)</f>
        <v>-1875397.15</v>
      </c>
      <c r="E26" s="190">
        <f>SUM(E4:E25)</f>
        <v>3230184.9000000004</v>
      </c>
      <c r="F26" s="98"/>
      <c r="Q26" t="s">
        <v>527</v>
      </c>
      <c r="R26">
        <v>0.98</v>
      </c>
      <c r="S26" t="s">
        <v>5</v>
      </c>
      <c r="T26">
        <v>284539224</v>
      </c>
      <c r="U26" t="s">
        <v>1327</v>
      </c>
      <c r="X26" t="s">
        <v>1215</v>
      </c>
      <c r="Y26">
        <v>500</v>
      </c>
      <c r="Z26" t="s">
        <v>5</v>
      </c>
      <c r="AB26" s="183" t="s">
        <v>1217</v>
      </c>
      <c r="AD26" t="s">
        <v>553</v>
      </c>
      <c r="AE26">
        <v>-73.5</v>
      </c>
      <c r="AG26">
        <v>86018570000</v>
      </c>
      <c r="AH26" t="s">
        <v>1163</v>
      </c>
    </row>
    <row r="27" spans="2:36" ht="29" x14ac:dyDescent="0.35">
      <c r="D27">
        <v>-1889269.9700000002</v>
      </c>
      <c r="E27" s="208">
        <v>3149381.7800000012</v>
      </c>
      <c r="Q27" t="s">
        <v>541</v>
      </c>
      <c r="R27">
        <v>49.12</v>
      </c>
      <c r="S27" t="s">
        <v>5</v>
      </c>
      <c r="T27">
        <v>267243092</v>
      </c>
      <c r="U27" t="s">
        <v>1328</v>
      </c>
      <c r="X27" t="s">
        <v>758</v>
      </c>
      <c r="Y27">
        <v>500</v>
      </c>
      <c r="Z27" t="s">
        <v>5</v>
      </c>
      <c r="AA27">
        <v>336040</v>
      </c>
      <c r="AB27" s="183" t="s">
        <v>1218</v>
      </c>
      <c r="AD27" t="s">
        <v>549</v>
      </c>
      <c r="AE27">
        <v>-140</v>
      </c>
      <c r="AG27">
        <v>95651990000</v>
      </c>
      <c r="AH27" t="s">
        <v>1163</v>
      </c>
    </row>
    <row r="28" spans="2:36" x14ac:dyDescent="0.35">
      <c r="C28" t="s">
        <v>9</v>
      </c>
      <c r="D28" s="209">
        <f>D26-D27</f>
        <v>13872.820000000298</v>
      </c>
      <c r="E28" s="209">
        <f>E26-E27</f>
        <v>80803.11999999918</v>
      </c>
      <c r="F28" s="54" t="s">
        <v>334</v>
      </c>
      <c r="Q28" t="s">
        <v>553</v>
      </c>
      <c r="R28">
        <v>299.66000000000003</v>
      </c>
      <c r="S28" t="s">
        <v>5</v>
      </c>
      <c r="T28">
        <v>1451306</v>
      </c>
      <c r="U28" t="s">
        <v>1329</v>
      </c>
      <c r="X28" t="s">
        <v>749</v>
      </c>
      <c r="Y28">
        <v>850</v>
      </c>
      <c r="Z28" t="s">
        <v>5</v>
      </c>
      <c r="AA28">
        <v>988491332</v>
      </c>
      <c r="AB28" s="183" t="s">
        <v>1219</v>
      </c>
      <c r="AD28" t="s">
        <v>823</v>
      </c>
      <c r="AE28">
        <v>-84</v>
      </c>
      <c r="AG28">
        <v>1847500000</v>
      </c>
      <c r="AH28" t="s">
        <v>1163</v>
      </c>
    </row>
    <row r="29" spans="2:36" x14ac:dyDescent="0.35">
      <c r="B29" s="191" t="s">
        <v>50</v>
      </c>
      <c r="C29" s="192">
        <f>SUM(C2:C25)</f>
        <v>1397435.75</v>
      </c>
      <c r="Q29" t="s">
        <v>576</v>
      </c>
      <c r="R29">
        <v>171.94</v>
      </c>
      <c r="S29" t="s">
        <v>5</v>
      </c>
      <c r="T29">
        <v>282257859</v>
      </c>
      <c r="U29" t="s">
        <v>1330</v>
      </c>
      <c r="X29" t="s">
        <v>749</v>
      </c>
      <c r="Y29">
        <v>11005</v>
      </c>
      <c r="Z29" t="s">
        <v>5</v>
      </c>
      <c r="AA29">
        <v>264791321</v>
      </c>
      <c r="AB29" s="183" t="s">
        <v>1219</v>
      </c>
      <c r="AD29" t="s">
        <v>543</v>
      </c>
      <c r="AE29">
        <v>-91</v>
      </c>
      <c r="AG29">
        <v>4876700000</v>
      </c>
      <c r="AH29" t="s">
        <v>1163</v>
      </c>
    </row>
    <row r="30" spans="2:36" ht="29" x14ac:dyDescent="0.35">
      <c r="B30" s="191" t="s">
        <v>51</v>
      </c>
      <c r="C30" s="191">
        <v>1269563</v>
      </c>
      <c r="Q30" t="s">
        <v>581</v>
      </c>
      <c r="R30">
        <v>1041.44</v>
      </c>
      <c r="S30" t="s">
        <v>5</v>
      </c>
      <c r="T30">
        <v>685846</v>
      </c>
      <c r="U30" t="s">
        <v>1331</v>
      </c>
      <c r="X30" t="s">
        <v>743</v>
      </c>
      <c r="Y30">
        <v>500</v>
      </c>
      <c r="Z30" t="s">
        <v>5</v>
      </c>
      <c r="AA30">
        <v>248</v>
      </c>
      <c r="AB30" s="183" t="s">
        <v>1220</v>
      </c>
      <c r="AD30" t="s">
        <v>541</v>
      </c>
      <c r="AE30">
        <v>-150.22</v>
      </c>
      <c r="AF30" t="s">
        <v>1161</v>
      </c>
      <c r="AH30" t="s">
        <v>1162</v>
      </c>
    </row>
    <row r="31" spans="2:36" ht="29" x14ac:dyDescent="0.35">
      <c r="B31" s="191" t="s">
        <v>52</v>
      </c>
      <c r="C31" s="193">
        <f>C30-C29</f>
        <v>-127872.75</v>
      </c>
      <c r="Q31" t="s">
        <v>585</v>
      </c>
      <c r="R31">
        <v>343.87</v>
      </c>
      <c r="S31" t="s">
        <v>5</v>
      </c>
      <c r="T31">
        <v>1275771</v>
      </c>
      <c r="U31" t="s">
        <v>1332</v>
      </c>
      <c r="X31" t="s">
        <v>838</v>
      </c>
      <c r="Y31">
        <v>500</v>
      </c>
      <c r="Z31" t="s">
        <v>5</v>
      </c>
      <c r="AA31">
        <v>740368</v>
      </c>
      <c r="AB31" s="183" t="s">
        <v>1221</v>
      </c>
      <c r="AD31" t="s">
        <v>535</v>
      </c>
      <c r="AE31">
        <v>-870</v>
      </c>
      <c r="AF31" t="s">
        <v>1167</v>
      </c>
      <c r="AG31">
        <v>45035890000</v>
      </c>
      <c r="AH31" s="183" t="s">
        <v>1168</v>
      </c>
    </row>
    <row r="32" spans="2:36" ht="29" x14ac:dyDescent="0.35">
      <c r="Q32" t="s">
        <v>593</v>
      </c>
      <c r="R32">
        <v>1513.05</v>
      </c>
      <c r="S32" t="s">
        <v>5</v>
      </c>
      <c r="T32">
        <v>292049</v>
      </c>
      <c r="U32" t="s">
        <v>1333</v>
      </c>
      <c r="X32" t="s">
        <v>741</v>
      </c>
      <c r="Y32">
        <v>500</v>
      </c>
      <c r="Z32" t="s">
        <v>5</v>
      </c>
      <c r="AA32">
        <v>127207</v>
      </c>
      <c r="AB32" s="183" t="s">
        <v>1222</v>
      </c>
      <c r="AD32" t="s">
        <v>535</v>
      </c>
      <c r="AE32">
        <v>-120.05</v>
      </c>
      <c r="AG32">
        <v>89340400000</v>
      </c>
      <c r="AH32" t="s">
        <v>1163</v>
      </c>
    </row>
    <row r="33" spans="17:34" x14ac:dyDescent="0.35">
      <c r="Q33" t="s">
        <v>599</v>
      </c>
      <c r="R33">
        <v>196.5</v>
      </c>
      <c r="S33" t="s">
        <v>5</v>
      </c>
      <c r="T33">
        <v>234408</v>
      </c>
      <c r="U33" t="s">
        <v>1334</v>
      </c>
      <c r="X33" t="s">
        <v>734</v>
      </c>
      <c r="Y33">
        <v>2200</v>
      </c>
      <c r="Z33" t="s">
        <v>5</v>
      </c>
      <c r="AA33">
        <v>880026</v>
      </c>
      <c r="AB33" s="183" t="s">
        <v>1223</v>
      </c>
      <c r="AD33" t="s">
        <v>331</v>
      </c>
      <c r="AE33">
        <v>-148.04</v>
      </c>
      <c r="AG33">
        <v>114690285</v>
      </c>
      <c r="AH33" s="183" t="s">
        <v>783</v>
      </c>
    </row>
    <row r="34" spans="17:34" ht="29" x14ac:dyDescent="0.35">
      <c r="Q34" t="s">
        <v>601</v>
      </c>
      <c r="R34">
        <v>638.62</v>
      </c>
      <c r="S34" t="s">
        <v>5</v>
      </c>
      <c r="T34">
        <v>1169644</v>
      </c>
      <c r="U34" t="s">
        <v>1335</v>
      </c>
      <c r="X34" t="s">
        <v>732</v>
      </c>
      <c r="Y34">
        <v>500</v>
      </c>
      <c r="Z34" t="s">
        <v>5</v>
      </c>
      <c r="AA34">
        <v>384562</v>
      </c>
      <c r="AB34" s="183" t="s">
        <v>1224</v>
      </c>
      <c r="AD34" t="s">
        <v>492</v>
      </c>
      <c r="AE34">
        <v>-1316.8</v>
      </c>
      <c r="AF34" t="s">
        <v>1159</v>
      </c>
      <c r="AG34">
        <v>94483110000</v>
      </c>
      <c r="AH34" s="183" t="s">
        <v>1169</v>
      </c>
    </row>
    <row r="35" spans="17:34" ht="29" x14ac:dyDescent="0.35">
      <c r="Q35" t="s">
        <v>609</v>
      </c>
      <c r="R35">
        <v>550.20000000000005</v>
      </c>
      <c r="S35" t="s">
        <v>5</v>
      </c>
      <c r="T35">
        <v>229887</v>
      </c>
      <c r="U35" t="s">
        <v>1336</v>
      </c>
      <c r="X35" t="s">
        <v>722</v>
      </c>
      <c r="Y35">
        <v>500</v>
      </c>
      <c r="Z35" t="s">
        <v>5</v>
      </c>
      <c r="AA35">
        <v>348695</v>
      </c>
      <c r="AB35" s="183" t="s">
        <v>1225</v>
      </c>
      <c r="AD35" t="s">
        <v>490</v>
      </c>
      <c r="AE35">
        <v>-85</v>
      </c>
      <c r="AF35" t="s">
        <v>1170</v>
      </c>
      <c r="AG35">
        <v>53407460000</v>
      </c>
      <c r="AH35" t="s">
        <v>1171</v>
      </c>
    </row>
    <row r="36" spans="17:34" ht="29" x14ac:dyDescent="0.35">
      <c r="Q36" t="s">
        <v>624</v>
      </c>
      <c r="R36">
        <v>196.5</v>
      </c>
      <c r="S36" t="s">
        <v>5</v>
      </c>
      <c r="T36">
        <v>464037</v>
      </c>
      <c r="U36" t="s">
        <v>1337</v>
      </c>
      <c r="X36" t="s">
        <v>714</v>
      </c>
      <c r="Y36">
        <v>500</v>
      </c>
      <c r="Z36" t="s">
        <v>5</v>
      </c>
      <c r="AA36">
        <v>145604</v>
      </c>
      <c r="AB36" s="183" t="s">
        <v>1226</v>
      </c>
      <c r="AD36" t="s">
        <v>487</v>
      </c>
      <c r="AE36">
        <v>-4722</v>
      </c>
      <c r="AF36" t="s">
        <v>843</v>
      </c>
      <c r="AG36">
        <v>24144750000</v>
      </c>
      <c r="AH36" s="183" t="s">
        <v>1172</v>
      </c>
    </row>
    <row r="37" spans="17:34" ht="29" x14ac:dyDescent="0.35">
      <c r="Q37" t="s">
        <v>626</v>
      </c>
      <c r="R37">
        <v>368.44</v>
      </c>
      <c r="S37" t="s">
        <v>5</v>
      </c>
      <c r="T37">
        <v>1556212</v>
      </c>
      <c r="U37" t="s">
        <v>1338</v>
      </c>
      <c r="X37" t="s">
        <v>714</v>
      </c>
      <c r="Y37">
        <v>500</v>
      </c>
      <c r="Z37" t="s">
        <v>5</v>
      </c>
      <c r="AA37">
        <v>3199650684</v>
      </c>
      <c r="AB37" s="183" t="s">
        <v>1227</v>
      </c>
      <c r="AD37" t="s">
        <v>465</v>
      </c>
      <c r="AE37">
        <v>-300</v>
      </c>
      <c r="AH37" t="s">
        <v>1173</v>
      </c>
    </row>
    <row r="38" spans="17:34" ht="29" x14ac:dyDescent="0.35">
      <c r="Q38" t="s">
        <v>626</v>
      </c>
      <c r="R38">
        <v>98.25</v>
      </c>
      <c r="S38" t="s">
        <v>5</v>
      </c>
      <c r="T38">
        <v>1555163</v>
      </c>
      <c r="U38" t="s">
        <v>1339</v>
      </c>
      <c r="X38" t="s">
        <v>710</v>
      </c>
      <c r="Y38">
        <v>500</v>
      </c>
      <c r="Z38" t="s">
        <v>5</v>
      </c>
      <c r="AA38">
        <v>188</v>
      </c>
      <c r="AB38" s="183" t="s">
        <v>1228</v>
      </c>
      <c r="AD38" t="s">
        <v>449</v>
      </c>
      <c r="AE38">
        <v>-210</v>
      </c>
      <c r="AF38" t="s">
        <v>5</v>
      </c>
      <c r="AH38" s="183" t="s">
        <v>1174</v>
      </c>
    </row>
    <row r="39" spans="17:34" ht="29" x14ac:dyDescent="0.35">
      <c r="Q39" t="s">
        <v>638</v>
      </c>
      <c r="R39">
        <v>835.12</v>
      </c>
      <c r="S39" t="s">
        <v>5</v>
      </c>
      <c r="T39">
        <v>1438142</v>
      </c>
      <c r="U39" t="s">
        <v>1340</v>
      </c>
      <c r="X39" t="s">
        <v>706</v>
      </c>
      <c r="Y39">
        <v>18100</v>
      </c>
      <c r="Z39" t="s">
        <v>5</v>
      </c>
      <c r="AA39">
        <v>27094630001</v>
      </c>
      <c r="AB39" s="183" t="s">
        <v>1229</v>
      </c>
      <c r="AD39" t="s">
        <v>425</v>
      </c>
      <c r="AE39">
        <v>-52.5</v>
      </c>
      <c r="AH39" t="s">
        <v>1175</v>
      </c>
    </row>
    <row r="40" spans="17:34" ht="29" x14ac:dyDescent="0.35">
      <c r="Q40" t="s">
        <v>648</v>
      </c>
      <c r="R40">
        <v>12560.65</v>
      </c>
      <c r="S40" t="s">
        <v>5</v>
      </c>
      <c r="T40">
        <v>168005</v>
      </c>
      <c r="U40" t="s">
        <v>1341</v>
      </c>
      <c r="X40" t="s">
        <v>696</v>
      </c>
      <c r="Y40">
        <v>500</v>
      </c>
      <c r="Z40" t="s">
        <v>5</v>
      </c>
      <c r="AA40">
        <v>107937</v>
      </c>
      <c r="AB40" s="183" t="s">
        <v>1230</v>
      </c>
      <c r="AD40" t="s">
        <v>425</v>
      </c>
      <c r="AE40">
        <v>-4.2</v>
      </c>
      <c r="AH40" t="s">
        <v>1176</v>
      </c>
    </row>
    <row r="41" spans="17:34" ht="29" x14ac:dyDescent="0.35">
      <c r="Q41" t="s">
        <v>660</v>
      </c>
      <c r="R41">
        <v>491.25</v>
      </c>
      <c r="S41" t="s">
        <v>5</v>
      </c>
      <c r="T41">
        <v>1304728</v>
      </c>
      <c r="U41" t="s">
        <v>1342</v>
      </c>
      <c r="X41" t="s">
        <v>692</v>
      </c>
      <c r="Y41">
        <v>500</v>
      </c>
      <c r="Z41" t="s">
        <v>5</v>
      </c>
      <c r="AA41">
        <v>40261263700</v>
      </c>
      <c r="AB41" s="183" t="s">
        <v>1231</v>
      </c>
      <c r="AD41" t="s">
        <v>425</v>
      </c>
      <c r="AE41">
        <v>-3.5</v>
      </c>
      <c r="AH41" t="s">
        <v>1177</v>
      </c>
    </row>
    <row r="42" spans="17:34" ht="29" x14ac:dyDescent="0.35">
      <c r="Q42" t="s">
        <v>662</v>
      </c>
      <c r="R42">
        <v>1945.35</v>
      </c>
      <c r="S42" t="s">
        <v>5</v>
      </c>
      <c r="T42">
        <v>101588</v>
      </c>
      <c r="U42" t="s">
        <v>1343</v>
      </c>
      <c r="X42" t="s">
        <v>690</v>
      </c>
      <c r="Y42">
        <v>3450</v>
      </c>
      <c r="Z42" t="s">
        <v>5</v>
      </c>
      <c r="AA42">
        <v>38626170001</v>
      </c>
      <c r="AB42" s="183" t="s">
        <v>1232</v>
      </c>
      <c r="AD42" t="s">
        <v>425</v>
      </c>
      <c r="AE42">
        <v>-1.6</v>
      </c>
      <c r="AH42" t="s">
        <v>1178</v>
      </c>
    </row>
    <row r="43" spans="17:34" x14ac:dyDescent="0.35">
      <c r="Q43" t="s">
        <v>668</v>
      </c>
      <c r="R43">
        <v>982.5</v>
      </c>
      <c r="S43" t="s">
        <v>5</v>
      </c>
      <c r="T43">
        <v>280431</v>
      </c>
      <c r="U43" t="s">
        <v>1344</v>
      </c>
      <c r="X43" t="s">
        <v>29</v>
      </c>
      <c r="Y43">
        <v>263.7</v>
      </c>
      <c r="Z43" t="s">
        <v>5</v>
      </c>
      <c r="AB43" s="183" t="s">
        <v>1233</v>
      </c>
      <c r="AD43" t="s">
        <v>425</v>
      </c>
      <c r="AE43">
        <v>-0.5</v>
      </c>
      <c r="AH43" t="s">
        <v>1179</v>
      </c>
    </row>
    <row r="44" spans="17:34" ht="29" x14ac:dyDescent="0.35">
      <c r="Q44" t="s">
        <v>678</v>
      </c>
      <c r="R44">
        <v>235.8</v>
      </c>
      <c r="S44" t="s">
        <v>5</v>
      </c>
      <c r="T44">
        <v>1554675</v>
      </c>
      <c r="U44" t="s">
        <v>1345</v>
      </c>
      <c r="X44" t="s">
        <v>676</v>
      </c>
      <c r="Y44">
        <v>2500</v>
      </c>
      <c r="Z44" t="s">
        <v>5</v>
      </c>
      <c r="AA44">
        <v>17328070007</v>
      </c>
      <c r="AB44" s="183" t="s">
        <v>1229</v>
      </c>
      <c r="AD44" t="s">
        <v>399</v>
      </c>
      <c r="AE44">
        <v>-52.5</v>
      </c>
      <c r="AH44" t="s">
        <v>1175</v>
      </c>
    </row>
    <row r="45" spans="17:34" ht="29" x14ac:dyDescent="0.35">
      <c r="Q45" t="s">
        <v>683</v>
      </c>
      <c r="R45">
        <v>811.54</v>
      </c>
      <c r="S45" t="s">
        <v>5</v>
      </c>
      <c r="T45">
        <v>1362518</v>
      </c>
      <c r="U45" t="s">
        <v>1346</v>
      </c>
      <c r="X45" t="s">
        <v>666</v>
      </c>
      <c r="Y45">
        <v>500</v>
      </c>
      <c r="Z45" t="s">
        <v>5</v>
      </c>
      <c r="AA45">
        <v>3209895514</v>
      </c>
      <c r="AB45" s="183" t="s">
        <v>1234</v>
      </c>
      <c r="AD45" t="s">
        <v>397</v>
      </c>
      <c r="AE45">
        <v>-52.5</v>
      </c>
      <c r="AH45" t="s">
        <v>1175</v>
      </c>
    </row>
    <row r="46" spans="17:34" ht="29" x14ac:dyDescent="0.35">
      <c r="Q46" t="s">
        <v>685</v>
      </c>
      <c r="R46">
        <v>8031.84</v>
      </c>
      <c r="S46" t="s">
        <v>5</v>
      </c>
      <c r="T46">
        <v>708562</v>
      </c>
      <c r="U46" t="s">
        <v>1347</v>
      </c>
      <c r="X46" t="s">
        <v>662</v>
      </c>
      <c r="Y46">
        <v>500</v>
      </c>
      <c r="Z46" t="s">
        <v>5</v>
      </c>
      <c r="AA46">
        <v>3347076491</v>
      </c>
      <c r="AB46" s="183" t="s">
        <v>1235</v>
      </c>
      <c r="AD46" t="s">
        <v>397</v>
      </c>
      <c r="AE46">
        <v>-11.9</v>
      </c>
      <c r="AH46" t="s">
        <v>1180</v>
      </c>
    </row>
    <row r="47" spans="17:34" ht="29" x14ac:dyDescent="0.35">
      <c r="Q47" t="s">
        <v>685</v>
      </c>
      <c r="R47">
        <v>98.25</v>
      </c>
      <c r="S47" t="s">
        <v>5</v>
      </c>
      <c r="T47">
        <v>708536</v>
      </c>
      <c r="U47" t="s">
        <v>1348</v>
      </c>
      <c r="X47" t="s">
        <v>662</v>
      </c>
      <c r="Y47">
        <v>8699.74</v>
      </c>
      <c r="Z47" t="s">
        <v>5</v>
      </c>
      <c r="AA47">
        <v>21231650001</v>
      </c>
      <c r="AB47" s="183" t="s">
        <v>1236</v>
      </c>
      <c r="AD47" t="s">
        <v>393</v>
      </c>
      <c r="AE47">
        <v>-158.4</v>
      </c>
      <c r="AH47" t="s">
        <v>1181</v>
      </c>
    </row>
    <row r="48" spans="17:34" ht="29" x14ac:dyDescent="0.35">
      <c r="Q48" t="s">
        <v>696</v>
      </c>
      <c r="R48">
        <v>4421.25</v>
      </c>
      <c r="S48" t="s">
        <v>5</v>
      </c>
      <c r="T48">
        <v>1496126</v>
      </c>
      <c r="U48" t="s">
        <v>1349</v>
      </c>
      <c r="X48" t="s">
        <v>662</v>
      </c>
      <c r="Y48">
        <v>500</v>
      </c>
      <c r="Z48" t="s">
        <v>5</v>
      </c>
      <c r="AA48">
        <v>1420</v>
      </c>
      <c r="AB48" s="183" t="s">
        <v>1237</v>
      </c>
      <c r="AD48" t="s">
        <v>393</v>
      </c>
      <c r="AE48">
        <v>-63</v>
      </c>
      <c r="AH48" t="s">
        <v>1182</v>
      </c>
    </row>
    <row r="49" spans="17:34" ht="29" x14ac:dyDescent="0.35">
      <c r="Q49" t="s">
        <v>696</v>
      </c>
      <c r="R49">
        <v>982.5</v>
      </c>
      <c r="S49" t="s">
        <v>5</v>
      </c>
      <c r="T49">
        <v>1496169</v>
      </c>
      <c r="U49" t="s">
        <v>1350</v>
      </c>
      <c r="X49" t="s">
        <v>648</v>
      </c>
      <c r="Y49">
        <v>500</v>
      </c>
      <c r="Z49" t="s">
        <v>5</v>
      </c>
      <c r="AA49">
        <v>680071</v>
      </c>
      <c r="AB49" s="183" t="s">
        <v>1238</v>
      </c>
      <c r="AD49" t="s">
        <v>393</v>
      </c>
      <c r="AE49">
        <v>-52.5</v>
      </c>
      <c r="AH49" t="s">
        <v>1175</v>
      </c>
    </row>
    <row r="50" spans="17:34" x14ac:dyDescent="0.35">
      <c r="Q50" t="s">
        <v>710</v>
      </c>
      <c r="R50">
        <v>5403.75</v>
      </c>
      <c r="S50" t="s">
        <v>5</v>
      </c>
      <c r="T50">
        <v>1438604</v>
      </c>
      <c r="U50" t="s">
        <v>1351</v>
      </c>
      <c r="X50" t="s">
        <v>1239</v>
      </c>
      <c r="Y50">
        <v>500</v>
      </c>
      <c r="Z50" t="s">
        <v>5</v>
      </c>
      <c r="AA50">
        <v>607991</v>
      </c>
      <c r="AB50" s="183" t="s">
        <v>1213</v>
      </c>
      <c r="AD50" t="s">
        <v>393</v>
      </c>
      <c r="AE50">
        <v>-1.3</v>
      </c>
      <c r="AH50" t="s">
        <v>1183</v>
      </c>
    </row>
    <row r="51" spans="17:34" x14ac:dyDescent="0.35">
      <c r="Q51" t="s">
        <v>716</v>
      </c>
      <c r="R51">
        <v>393</v>
      </c>
      <c r="S51" t="s">
        <v>5</v>
      </c>
      <c r="T51">
        <v>1173563</v>
      </c>
      <c r="U51" t="s">
        <v>1352</v>
      </c>
      <c r="X51" t="s">
        <v>632</v>
      </c>
      <c r="Y51">
        <v>2923</v>
      </c>
      <c r="Z51" t="s">
        <v>5</v>
      </c>
      <c r="AB51" s="183" t="s">
        <v>1240</v>
      </c>
      <c r="AD51" t="s">
        <v>391</v>
      </c>
      <c r="AE51">
        <v>-52.5</v>
      </c>
      <c r="AH51" t="s">
        <v>1175</v>
      </c>
    </row>
    <row r="52" spans="17:34" x14ac:dyDescent="0.35">
      <c r="Q52" t="s">
        <v>724</v>
      </c>
      <c r="R52">
        <v>108.07</v>
      </c>
      <c r="S52" t="s">
        <v>5</v>
      </c>
      <c r="T52">
        <v>125521</v>
      </c>
      <c r="U52" t="s">
        <v>1353</v>
      </c>
      <c r="X52" t="s">
        <v>630</v>
      </c>
      <c r="Y52">
        <v>68.77</v>
      </c>
      <c r="Z52" t="s">
        <v>5</v>
      </c>
      <c r="AA52">
        <v>254875</v>
      </c>
      <c r="AB52" t="s">
        <v>1241</v>
      </c>
      <c r="AD52" t="s">
        <v>391</v>
      </c>
      <c r="AE52">
        <v>-1.1000000000000001</v>
      </c>
      <c r="AH52" t="s">
        <v>1184</v>
      </c>
    </row>
    <row r="53" spans="17:34" x14ac:dyDescent="0.35">
      <c r="Q53" t="s">
        <v>734</v>
      </c>
      <c r="R53">
        <v>294.75</v>
      </c>
      <c r="S53" t="s">
        <v>5</v>
      </c>
      <c r="T53">
        <v>1535172</v>
      </c>
      <c r="U53" t="s">
        <v>1354</v>
      </c>
      <c r="X53" t="s">
        <v>569</v>
      </c>
      <c r="Y53">
        <v>500</v>
      </c>
      <c r="Z53" t="s">
        <v>5</v>
      </c>
      <c r="AA53">
        <v>754077</v>
      </c>
      <c r="AB53" t="s">
        <v>1213</v>
      </c>
      <c r="AD53" t="s">
        <v>388</v>
      </c>
      <c r="AE53">
        <v>-52.5</v>
      </c>
      <c r="AH53" t="s">
        <v>1175</v>
      </c>
    </row>
    <row r="54" spans="17:34" x14ac:dyDescent="0.35">
      <c r="Q54" t="s">
        <v>741</v>
      </c>
      <c r="R54">
        <v>15228.75</v>
      </c>
      <c r="S54" t="s">
        <v>5</v>
      </c>
      <c r="T54">
        <v>1390129</v>
      </c>
      <c r="U54" t="s">
        <v>1355</v>
      </c>
      <c r="X54" t="s">
        <v>569</v>
      </c>
      <c r="Y54">
        <v>500</v>
      </c>
      <c r="Z54" t="s">
        <v>5</v>
      </c>
      <c r="AA54">
        <v>877140</v>
      </c>
      <c r="AB54" t="s">
        <v>1242</v>
      </c>
      <c r="AD54" t="s">
        <v>388</v>
      </c>
      <c r="AE54">
        <v>-4.2</v>
      </c>
      <c r="AH54" t="s">
        <v>1176</v>
      </c>
    </row>
    <row r="55" spans="17:34" x14ac:dyDescent="0.35">
      <c r="Q55" t="s">
        <v>749</v>
      </c>
      <c r="R55">
        <v>321.27</v>
      </c>
      <c r="S55" t="s">
        <v>5</v>
      </c>
      <c r="T55">
        <v>291868259</v>
      </c>
      <c r="U55" t="s">
        <v>1356</v>
      </c>
      <c r="X55" t="s">
        <v>569</v>
      </c>
      <c r="Y55">
        <v>500</v>
      </c>
      <c r="Z55" t="s">
        <v>5</v>
      </c>
      <c r="AA55">
        <v>652265</v>
      </c>
      <c r="AB55" t="s">
        <v>1243</v>
      </c>
      <c r="AD55" t="s">
        <v>388</v>
      </c>
      <c r="AE55">
        <v>-0.7</v>
      </c>
      <c r="AH55" t="s">
        <v>1185</v>
      </c>
    </row>
    <row r="56" spans="17:34" x14ac:dyDescent="0.35">
      <c r="Q56" t="s">
        <v>751</v>
      </c>
      <c r="R56">
        <v>196.5</v>
      </c>
      <c r="S56" t="s">
        <v>5</v>
      </c>
      <c r="T56">
        <v>274134657</v>
      </c>
      <c r="U56" t="s">
        <v>1357</v>
      </c>
      <c r="X56" t="s">
        <v>569</v>
      </c>
      <c r="Y56">
        <v>500</v>
      </c>
      <c r="Z56" t="s">
        <v>5</v>
      </c>
      <c r="AA56">
        <v>858422</v>
      </c>
      <c r="AB56" t="s">
        <v>1244</v>
      </c>
      <c r="AD56" t="s">
        <v>1186</v>
      </c>
      <c r="AE56">
        <v>-52.5</v>
      </c>
      <c r="AH56" t="s">
        <v>1175</v>
      </c>
    </row>
    <row r="57" spans="17:34" x14ac:dyDescent="0.35">
      <c r="Q57" t="s">
        <v>756</v>
      </c>
      <c r="R57">
        <v>491.25</v>
      </c>
      <c r="S57" t="s">
        <v>5</v>
      </c>
      <c r="T57">
        <v>1072563</v>
      </c>
      <c r="U57" t="s">
        <v>1358</v>
      </c>
      <c r="X57" t="s">
        <v>569</v>
      </c>
      <c r="Y57">
        <v>500</v>
      </c>
      <c r="Z57" t="s">
        <v>5</v>
      </c>
      <c r="AA57">
        <v>284386</v>
      </c>
      <c r="AB57" t="s">
        <v>1213</v>
      </c>
      <c r="AD57" t="s">
        <v>386</v>
      </c>
      <c r="AE57">
        <v>-52.5</v>
      </c>
      <c r="AH57" t="s">
        <v>1175</v>
      </c>
    </row>
    <row r="58" spans="17:34" x14ac:dyDescent="0.35">
      <c r="Q58" t="s">
        <v>349</v>
      </c>
      <c r="R58">
        <v>7.86</v>
      </c>
      <c r="S58" t="s">
        <v>5</v>
      </c>
      <c r="T58">
        <v>1485174</v>
      </c>
      <c r="U58" t="s">
        <v>1359</v>
      </c>
      <c r="X58" t="s">
        <v>569</v>
      </c>
      <c r="Y58">
        <v>500</v>
      </c>
      <c r="Z58" t="s">
        <v>5</v>
      </c>
      <c r="AA58">
        <v>563865</v>
      </c>
      <c r="AB58" t="s">
        <v>1245</v>
      </c>
      <c r="AD58" t="s">
        <v>384</v>
      </c>
      <c r="AE58">
        <v>-2064</v>
      </c>
      <c r="AH58" t="s">
        <v>1187</v>
      </c>
    </row>
    <row r="59" spans="17:34" x14ac:dyDescent="0.35">
      <c r="Q59" t="s">
        <v>351</v>
      </c>
      <c r="R59">
        <v>294.75</v>
      </c>
      <c r="S59" t="s">
        <v>5</v>
      </c>
      <c r="T59">
        <v>1296400</v>
      </c>
      <c r="U59" t="s">
        <v>1360</v>
      </c>
      <c r="X59" t="s">
        <v>569</v>
      </c>
      <c r="Y59">
        <v>500</v>
      </c>
      <c r="Z59" t="s">
        <v>5</v>
      </c>
      <c r="AA59">
        <v>536579</v>
      </c>
      <c r="AB59" t="s">
        <v>1246</v>
      </c>
      <c r="AD59" t="s">
        <v>384</v>
      </c>
      <c r="AE59">
        <v>-52.5</v>
      </c>
      <c r="AH59" t="s">
        <v>1175</v>
      </c>
    </row>
    <row r="60" spans="17:34" x14ac:dyDescent="0.35">
      <c r="Q60" t="s">
        <v>362</v>
      </c>
      <c r="R60">
        <v>294.74</v>
      </c>
      <c r="S60" t="s">
        <v>5</v>
      </c>
      <c r="T60">
        <v>192719</v>
      </c>
      <c r="U60" t="s">
        <v>1361</v>
      </c>
      <c r="X60" t="s">
        <v>569</v>
      </c>
      <c r="Y60">
        <v>500</v>
      </c>
      <c r="Z60" t="s">
        <v>5</v>
      </c>
      <c r="AA60">
        <v>526561</v>
      </c>
      <c r="AB60" t="s">
        <v>1247</v>
      </c>
      <c r="AD60" t="s">
        <v>384</v>
      </c>
      <c r="AE60">
        <v>-31.5</v>
      </c>
      <c r="AH60" t="s">
        <v>1188</v>
      </c>
    </row>
    <row r="61" spans="17:34" x14ac:dyDescent="0.35">
      <c r="Q61" t="s">
        <v>378</v>
      </c>
      <c r="R61">
        <v>496.15</v>
      </c>
      <c r="S61" t="s">
        <v>5</v>
      </c>
      <c r="T61">
        <v>290342198</v>
      </c>
      <c r="U61" t="s">
        <v>1362</v>
      </c>
      <c r="X61" t="s">
        <v>569</v>
      </c>
      <c r="Y61">
        <v>500</v>
      </c>
      <c r="Z61" t="s">
        <v>5</v>
      </c>
      <c r="AA61">
        <v>318302</v>
      </c>
      <c r="AB61" t="s">
        <v>1248</v>
      </c>
      <c r="AD61" t="s">
        <v>384</v>
      </c>
      <c r="AE61">
        <v>-2.1</v>
      </c>
      <c r="AH61" t="s">
        <v>1189</v>
      </c>
    </row>
    <row r="62" spans="17:34" ht="29" x14ac:dyDescent="0.35">
      <c r="Q62" t="s">
        <v>382</v>
      </c>
      <c r="R62">
        <v>221.06</v>
      </c>
      <c r="S62" t="s">
        <v>5</v>
      </c>
      <c r="T62">
        <v>289377748</v>
      </c>
      <c r="U62" t="s">
        <v>1363</v>
      </c>
      <c r="X62" t="s">
        <v>563</v>
      </c>
      <c r="Y62">
        <v>6650</v>
      </c>
      <c r="Z62" t="s">
        <v>5</v>
      </c>
      <c r="AA62">
        <v>4351</v>
      </c>
      <c r="AB62" s="183" t="s">
        <v>1249</v>
      </c>
      <c r="AD62" t="s">
        <v>384</v>
      </c>
      <c r="AE62">
        <v>-1.9</v>
      </c>
      <c r="AH62" t="s">
        <v>1190</v>
      </c>
    </row>
    <row r="63" spans="17:34" x14ac:dyDescent="0.35">
      <c r="X63" t="s">
        <v>551</v>
      </c>
      <c r="Y63">
        <v>500</v>
      </c>
      <c r="Z63" t="s">
        <v>5</v>
      </c>
      <c r="AA63">
        <v>173466</v>
      </c>
      <c r="AB63" t="s">
        <v>1248</v>
      </c>
      <c r="AD63" t="s">
        <v>1191</v>
      </c>
      <c r="AE63">
        <v>-52.5</v>
      </c>
      <c r="AH63" t="s">
        <v>1175</v>
      </c>
    </row>
    <row r="64" spans="17:34" x14ac:dyDescent="0.35">
      <c r="X64" t="s">
        <v>551</v>
      </c>
      <c r="Y64">
        <v>500</v>
      </c>
      <c r="Z64" t="s">
        <v>5</v>
      </c>
      <c r="AA64">
        <v>1295</v>
      </c>
      <c r="AB64" t="s">
        <v>1250</v>
      </c>
      <c r="AD64" t="s">
        <v>1191</v>
      </c>
      <c r="AE64">
        <v>-21</v>
      </c>
      <c r="AH64" t="s">
        <v>1192</v>
      </c>
    </row>
    <row r="65" spans="24:34" x14ac:dyDescent="0.35">
      <c r="X65" t="s">
        <v>551</v>
      </c>
      <c r="Y65">
        <v>500</v>
      </c>
      <c r="Z65" t="s">
        <v>5</v>
      </c>
      <c r="AA65">
        <v>608580</v>
      </c>
      <c r="AB65" t="s">
        <v>1251</v>
      </c>
      <c r="AD65" t="s">
        <v>1191</v>
      </c>
      <c r="AE65">
        <v>-14.4</v>
      </c>
      <c r="AH65" t="s">
        <v>1193</v>
      </c>
    </row>
    <row r="66" spans="24:34" x14ac:dyDescent="0.35">
      <c r="X66" t="s">
        <v>551</v>
      </c>
      <c r="Y66">
        <v>500</v>
      </c>
      <c r="Z66" t="s">
        <v>5</v>
      </c>
      <c r="AA66">
        <v>611</v>
      </c>
      <c r="AB66" s="183" t="s">
        <v>1252</v>
      </c>
      <c r="AD66" t="s">
        <v>1191</v>
      </c>
      <c r="AE66">
        <v>-4.2</v>
      </c>
      <c r="AH66" t="s">
        <v>1176</v>
      </c>
    </row>
    <row r="67" spans="24:34" x14ac:dyDescent="0.35">
      <c r="X67" t="s">
        <v>551</v>
      </c>
      <c r="Y67">
        <v>1000</v>
      </c>
      <c r="Z67" t="s">
        <v>5</v>
      </c>
      <c r="AA67">
        <v>851368</v>
      </c>
      <c r="AB67" t="s">
        <v>1253</v>
      </c>
      <c r="AD67" t="s">
        <v>1191</v>
      </c>
      <c r="AE67">
        <v>-0.9</v>
      </c>
      <c r="AH67" t="s">
        <v>1194</v>
      </c>
    </row>
    <row r="68" spans="24:34" x14ac:dyDescent="0.35">
      <c r="X68" t="s">
        <v>551</v>
      </c>
      <c r="Y68">
        <v>500</v>
      </c>
      <c r="Z68" t="s">
        <v>5</v>
      </c>
      <c r="AA68">
        <v>646016</v>
      </c>
      <c r="AB68" t="s">
        <v>1213</v>
      </c>
    </row>
    <row r="69" spans="24:34" x14ac:dyDescent="0.35">
      <c r="X69" t="s">
        <v>551</v>
      </c>
      <c r="Y69">
        <v>500</v>
      </c>
      <c r="Z69" t="s">
        <v>5</v>
      </c>
      <c r="AA69">
        <v>175340</v>
      </c>
      <c r="AB69" t="s">
        <v>1213</v>
      </c>
    </row>
    <row r="70" spans="24:34" x14ac:dyDescent="0.35">
      <c r="X70" t="s">
        <v>551</v>
      </c>
      <c r="Y70">
        <v>500</v>
      </c>
      <c r="Z70" t="s">
        <v>5</v>
      </c>
      <c r="AA70">
        <v>432165</v>
      </c>
      <c r="AB70" t="s">
        <v>1213</v>
      </c>
    </row>
    <row r="71" spans="24:34" x14ac:dyDescent="0.35">
      <c r="X71" t="s">
        <v>551</v>
      </c>
      <c r="Y71">
        <v>500</v>
      </c>
      <c r="Z71" t="s">
        <v>5</v>
      </c>
      <c r="AA71">
        <v>3159040156</v>
      </c>
      <c r="AB71" t="s">
        <v>1254</v>
      </c>
    </row>
    <row r="72" spans="24:34" x14ac:dyDescent="0.35">
      <c r="X72" t="s">
        <v>551</v>
      </c>
      <c r="Y72">
        <v>500</v>
      </c>
      <c r="Z72" t="s">
        <v>5</v>
      </c>
      <c r="AA72">
        <v>476075</v>
      </c>
      <c r="AB72" t="s">
        <v>1213</v>
      </c>
    </row>
    <row r="73" spans="24:34" x14ac:dyDescent="0.35">
      <c r="X73" t="s">
        <v>551</v>
      </c>
      <c r="Y73">
        <v>500</v>
      </c>
      <c r="Z73" t="s">
        <v>5</v>
      </c>
      <c r="AA73">
        <v>318475</v>
      </c>
      <c r="AB73" t="s">
        <v>1213</v>
      </c>
    </row>
    <row r="74" spans="24:34" x14ac:dyDescent="0.35">
      <c r="X74" t="s">
        <v>551</v>
      </c>
      <c r="Y74">
        <v>500</v>
      </c>
      <c r="Z74" t="s">
        <v>5</v>
      </c>
      <c r="AA74">
        <v>392193</v>
      </c>
      <c r="AB74" t="s">
        <v>1213</v>
      </c>
    </row>
    <row r="75" spans="24:34" x14ac:dyDescent="0.35">
      <c r="X75" t="s">
        <v>551</v>
      </c>
      <c r="Y75">
        <v>500</v>
      </c>
      <c r="Z75" t="s">
        <v>5</v>
      </c>
      <c r="AA75">
        <v>1925</v>
      </c>
      <c r="AB75" t="s">
        <v>1255</v>
      </c>
    </row>
    <row r="76" spans="24:34" x14ac:dyDescent="0.35">
      <c r="X76" t="s">
        <v>551</v>
      </c>
      <c r="Y76">
        <v>1500</v>
      </c>
      <c r="Z76" t="s">
        <v>5</v>
      </c>
      <c r="AA76">
        <v>395262</v>
      </c>
      <c r="AB76" t="s">
        <v>1256</v>
      </c>
    </row>
    <row r="77" spans="24:34" x14ac:dyDescent="0.35">
      <c r="X77" t="s">
        <v>551</v>
      </c>
      <c r="Y77">
        <v>500</v>
      </c>
      <c r="Z77" t="s">
        <v>5</v>
      </c>
      <c r="AA77">
        <v>3159558502</v>
      </c>
      <c r="AB77" t="s">
        <v>1257</v>
      </c>
    </row>
    <row r="78" spans="24:34" x14ac:dyDescent="0.35">
      <c r="X78" t="s">
        <v>551</v>
      </c>
      <c r="Y78">
        <v>500</v>
      </c>
      <c r="Z78" t="s">
        <v>5</v>
      </c>
      <c r="AA78">
        <v>188213</v>
      </c>
      <c r="AB78" t="s">
        <v>1213</v>
      </c>
    </row>
    <row r="79" spans="24:34" x14ac:dyDescent="0.35">
      <c r="X79" t="s">
        <v>551</v>
      </c>
      <c r="Y79">
        <v>500</v>
      </c>
      <c r="Z79" t="s">
        <v>5</v>
      </c>
      <c r="AA79">
        <v>3</v>
      </c>
      <c r="AB79" t="s">
        <v>1159</v>
      </c>
    </row>
    <row r="80" spans="24:34" x14ac:dyDescent="0.35">
      <c r="X80" t="s">
        <v>551</v>
      </c>
      <c r="Y80">
        <v>500</v>
      </c>
      <c r="Z80" t="s">
        <v>5</v>
      </c>
      <c r="AA80">
        <v>3158958297</v>
      </c>
      <c r="AB80" t="s">
        <v>1258</v>
      </c>
    </row>
    <row r="81" spans="24:28" x14ac:dyDescent="0.35">
      <c r="X81" t="s">
        <v>551</v>
      </c>
      <c r="Y81">
        <v>500</v>
      </c>
      <c r="Z81" t="s">
        <v>5</v>
      </c>
      <c r="AA81">
        <v>3</v>
      </c>
      <c r="AB81" t="s">
        <v>1159</v>
      </c>
    </row>
    <row r="82" spans="24:28" x14ac:dyDescent="0.35">
      <c r="X82" t="s">
        <v>551</v>
      </c>
      <c r="Y82">
        <v>500</v>
      </c>
      <c r="Z82" t="s">
        <v>5</v>
      </c>
      <c r="AA82">
        <v>462000</v>
      </c>
      <c r="AB82" t="s">
        <v>1259</v>
      </c>
    </row>
    <row r="83" spans="24:28" x14ac:dyDescent="0.35">
      <c r="X83" t="s">
        <v>551</v>
      </c>
      <c r="Y83">
        <v>500</v>
      </c>
      <c r="Z83" t="s">
        <v>5</v>
      </c>
      <c r="AA83">
        <v>384118</v>
      </c>
      <c r="AB83" t="s">
        <v>1260</v>
      </c>
    </row>
    <row r="84" spans="24:28" x14ac:dyDescent="0.35">
      <c r="X84" t="s">
        <v>551</v>
      </c>
      <c r="Y84">
        <v>500</v>
      </c>
      <c r="Z84" t="s">
        <v>5</v>
      </c>
      <c r="AA84">
        <v>337153</v>
      </c>
      <c r="AB84" t="s">
        <v>1261</v>
      </c>
    </row>
    <row r="85" spans="24:28" x14ac:dyDescent="0.35">
      <c r="X85" t="s">
        <v>533</v>
      </c>
      <c r="Y85">
        <v>500</v>
      </c>
      <c r="Z85" t="s">
        <v>5</v>
      </c>
      <c r="AA85">
        <v>6615</v>
      </c>
      <c r="AB85" t="s">
        <v>1159</v>
      </c>
    </row>
    <row r="86" spans="24:28" x14ac:dyDescent="0.35">
      <c r="X86" t="s">
        <v>533</v>
      </c>
      <c r="Y86">
        <v>500</v>
      </c>
      <c r="Z86" t="s">
        <v>5</v>
      </c>
      <c r="AA86">
        <v>197718</v>
      </c>
      <c r="AB86" t="s">
        <v>1262</v>
      </c>
    </row>
    <row r="87" spans="24:28" x14ac:dyDescent="0.35">
      <c r="X87" t="s">
        <v>533</v>
      </c>
      <c r="Y87">
        <v>1000</v>
      </c>
      <c r="Z87" t="s">
        <v>5</v>
      </c>
      <c r="AA87">
        <v>3919</v>
      </c>
      <c r="AB87" t="s">
        <v>1263</v>
      </c>
    </row>
    <row r="88" spans="24:28" x14ac:dyDescent="0.35">
      <c r="X88" t="s">
        <v>533</v>
      </c>
      <c r="Y88">
        <v>500</v>
      </c>
      <c r="Z88" t="s">
        <v>5</v>
      </c>
      <c r="AA88">
        <v>3161529003</v>
      </c>
      <c r="AB88" t="s">
        <v>1264</v>
      </c>
    </row>
    <row r="89" spans="24:28" x14ac:dyDescent="0.35">
      <c r="X89" t="s">
        <v>533</v>
      </c>
      <c r="Y89">
        <v>500</v>
      </c>
      <c r="Z89" t="s">
        <v>5</v>
      </c>
      <c r="AA89">
        <v>943803</v>
      </c>
      <c r="AB89" t="s">
        <v>1213</v>
      </c>
    </row>
    <row r="90" spans="24:28" x14ac:dyDescent="0.35">
      <c r="X90" t="s">
        <v>533</v>
      </c>
      <c r="Y90">
        <v>500</v>
      </c>
      <c r="Z90" t="s">
        <v>5</v>
      </c>
      <c r="AA90">
        <v>593</v>
      </c>
      <c r="AB90" t="s">
        <v>1254</v>
      </c>
    </row>
    <row r="91" spans="24:28" x14ac:dyDescent="0.35">
      <c r="X91" t="s">
        <v>533</v>
      </c>
      <c r="Y91">
        <v>500</v>
      </c>
      <c r="Z91" t="s">
        <v>5</v>
      </c>
      <c r="AA91">
        <v>201</v>
      </c>
      <c r="AB91" t="s">
        <v>1159</v>
      </c>
    </row>
    <row r="92" spans="24:28" x14ac:dyDescent="0.35">
      <c r="X92" t="s">
        <v>533</v>
      </c>
      <c r="Y92">
        <v>500</v>
      </c>
      <c r="Z92" t="s">
        <v>5</v>
      </c>
      <c r="AA92">
        <v>764761</v>
      </c>
      <c r="AB92" t="s">
        <v>1265</v>
      </c>
    </row>
    <row r="93" spans="24:28" x14ac:dyDescent="0.35">
      <c r="X93" t="s">
        <v>533</v>
      </c>
      <c r="Y93">
        <v>500</v>
      </c>
      <c r="Z93" t="s">
        <v>5</v>
      </c>
      <c r="AA93">
        <v>680286</v>
      </c>
      <c r="AB93" t="s">
        <v>1266</v>
      </c>
    </row>
    <row r="94" spans="24:28" x14ac:dyDescent="0.35">
      <c r="X94" t="s">
        <v>521</v>
      </c>
      <c r="Y94">
        <v>1250</v>
      </c>
      <c r="Z94" t="s">
        <v>5</v>
      </c>
      <c r="AA94">
        <v>202</v>
      </c>
      <c r="AB94" t="s">
        <v>40</v>
      </c>
    </row>
    <row r="95" spans="24:28" x14ac:dyDescent="0.35">
      <c r="X95" t="s">
        <v>521</v>
      </c>
      <c r="Y95">
        <v>85</v>
      </c>
      <c r="Z95" t="s">
        <v>5</v>
      </c>
      <c r="AA95">
        <v>969655</v>
      </c>
      <c r="AB95" t="s">
        <v>1267</v>
      </c>
    </row>
    <row r="96" spans="24:28" x14ac:dyDescent="0.35">
      <c r="X96" t="s">
        <v>521</v>
      </c>
      <c r="Y96">
        <v>2720</v>
      </c>
      <c r="Z96" t="s">
        <v>5</v>
      </c>
      <c r="AA96">
        <v>878329</v>
      </c>
      <c r="AB96">
        <v>16741620661</v>
      </c>
    </row>
    <row r="97" spans="24:28" x14ac:dyDescent="0.35">
      <c r="X97" t="s">
        <v>521</v>
      </c>
      <c r="Y97">
        <v>200</v>
      </c>
      <c r="Z97" t="s">
        <v>5</v>
      </c>
      <c r="AA97">
        <v>159950</v>
      </c>
      <c r="AB97" t="s">
        <v>1213</v>
      </c>
    </row>
    <row r="98" spans="24:28" x14ac:dyDescent="0.35">
      <c r="X98" t="s">
        <v>521</v>
      </c>
      <c r="Y98">
        <v>26</v>
      </c>
      <c r="Z98" t="s">
        <v>5</v>
      </c>
      <c r="AA98">
        <v>112621</v>
      </c>
      <c r="AB98">
        <v>167400609126</v>
      </c>
    </row>
    <row r="99" spans="24:28" x14ac:dyDescent="0.35">
      <c r="X99" t="s">
        <v>521</v>
      </c>
      <c r="Y99">
        <v>220</v>
      </c>
      <c r="Z99" t="s">
        <v>5</v>
      </c>
      <c r="AA99">
        <v>833661</v>
      </c>
      <c r="AB99" t="s">
        <v>1213</v>
      </c>
    </row>
    <row r="100" spans="24:28" x14ac:dyDescent="0.35">
      <c r="X100" t="s">
        <v>521</v>
      </c>
      <c r="Y100">
        <v>200</v>
      </c>
      <c r="Z100" t="s">
        <v>5</v>
      </c>
      <c r="AA100">
        <v>101760</v>
      </c>
      <c r="AB100" t="s">
        <v>1268</v>
      </c>
    </row>
    <row r="101" spans="24:28" x14ac:dyDescent="0.35">
      <c r="X101" t="s">
        <v>521</v>
      </c>
      <c r="Y101">
        <v>200</v>
      </c>
      <c r="Z101" t="s">
        <v>5</v>
      </c>
      <c r="AA101">
        <v>377693</v>
      </c>
      <c r="AB101" t="s">
        <v>1269</v>
      </c>
    </row>
    <row r="102" spans="24:28" x14ac:dyDescent="0.35">
      <c r="X102" t="s">
        <v>521</v>
      </c>
      <c r="Y102">
        <v>200</v>
      </c>
      <c r="Z102" t="s">
        <v>5</v>
      </c>
      <c r="AA102">
        <v>907111</v>
      </c>
      <c r="AB102" t="s">
        <v>1270</v>
      </c>
    </row>
    <row r="103" spans="24:28" x14ac:dyDescent="0.35">
      <c r="X103" t="s">
        <v>521</v>
      </c>
      <c r="Y103">
        <v>360</v>
      </c>
      <c r="Z103" t="s">
        <v>5</v>
      </c>
      <c r="AA103">
        <v>239115</v>
      </c>
      <c r="AB103">
        <v>16741696964</v>
      </c>
    </row>
    <row r="104" spans="24:28" x14ac:dyDescent="0.35">
      <c r="X104" t="s">
        <v>521</v>
      </c>
      <c r="Y104">
        <v>100</v>
      </c>
      <c r="Z104" t="s">
        <v>5</v>
      </c>
      <c r="AA104">
        <v>1964</v>
      </c>
      <c r="AB104" t="s">
        <v>1159</v>
      </c>
    </row>
    <row r="105" spans="24:28" x14ac:dyDescent="0.35">
      <c r="X105" t="s">
        <v>521</v>
      </c>
      <c r="Y105">
        <v>200</v>
      </c>
      <c r="Z105" t="s">
        <v>5</v>
      </c>
      <c r="AA105">
        <v>4604</v>
      </c>
      <c r="AB105">
        <v>167992060993</v>
      </c>
    </row>
    <row r="106" spans="24:28" x14ac:dyDescent="0.35">
      <c r="X106" t="s">
        <v>521</v>
      </c>
      <c r="Y106">
        <v>200</v>
      </c>
      <c r="Z106" t="s">
        <v>5</v>
      </c>
      <c r="AA106">
        <v>3097044239</v>
      </c>
      <c r="AB106">
        <v>16795923910</v>
      </c>
    </row>
    <row r="107" spans="24:28" x14ac:dyDescent="0.35">
      <c r="X107" t="s">
        <v>519</v>
      </c>
      <c r="Y107">
        <v>500</v>
      </c>
      <c r="Z107" t="s">
        <v>5</v>
      </c>
      <c r="AA107">
        <v>445296</v>
      </c>
      <c r="AB107" t="s">
        <v>1271</v>
      </c>
    </row>
    <row r="108" spans="24:28" x14ac:dyDescent="0.35">
      <c r="X108" t="s">
        <v>519</v>
      </c>
      <c r="Y108">
        <v>500</v>
      </c>
      <c r="Z108" t="s">
        <v>5</v>
      </c>
      <c r="AA108">
        <v>1388</v>
      </c>
      <c r="AB108" s="183" t="s">
        <v>1272</v>
      </c>
    </row>
    <row r="109" spans="24:28" x14ac:dyDescent="0.35">
      <c r="X109" t="s">
        <v>519</v>
      </c>
      <c r="Y109">
        <v>500</v>
      </c>
      <c r="Z109" t="s">
        <v>5</v>
      </c>
      <c r="AA109">
        <v>679823</v>
      </c>
      <c r="AB109" t="s">
        <v>1273</v>
      </c>
    </row>
    <row r="110" spans="24:28" x14ac:dyDescent="0.35">
      <c r="X110" t="s">
        <v>519</v>
      </c>
      <c r="Y110">
        <v>500</v>
      </c>
      <c r="Z110" t="s">
        <v>5</v>
      </c>
      <c r="AA110">
        <v>777406</v>
      </c>
      <c r="AB110" s="183" t="s">
        <v>1213</v>
      </c>
    </row>
    <row r="111" spans="24:28" x14ac:dyDescent="0.35">
      <c r="X111" t="s">
        <v>519</v>
      </c>
      <c r="Y111">
        <v>500</v>
      </c>
      <c r="Z111" t="s">
        <v>5</v>
      </c>
      <c r="AA111">
        <v>655244</v>
      </c>
      <c r="AB111" t="s">
        <v>1213</v>
      </c>
    </row>
    <row r="112" spans="24:28" x14ac:dyDescent="0.35">
      <c r="X112" t="s">
        <v>519</v>
      </c>
      <c r="Y112">
        <v>500</v>
      </c>
      <c r="Z112" t="s">
        <v>5</v>
      </c>
      <c r="AA112">
        <v>538832</v>
      </c>
      <c r="AB112" t="s">
        <v>1274</v>
      </c>
    </row>
    <row r="113" spans="24:28" x14ac:dyDescent="0.35">
      <c r="X113" t="s">
        <v>519</v>
      </c>
      <c r="Y113">
        <v>1000</v>
      </c>
      <c r="Z113" t="s">
        <v>5</v>
      </c>
      <c r="AA113">
        <v>221263</v>
      </c>
      <c r="AB113" t="s">
        <v>1275</v>
      </c>
    </row>
    <row r="114" spans="24:28" x14ac:dyDescent="0.35">
      <c r="X114" t="s">
        <v>519</v>
      </c>
      <c r="Y114">
        <v>500</v>
      </c>
      <c r="Z114" t="s">
        <v>5</v>
      </c>
      <c r="AA114">
        <v>120302</v>
      </c>
      <c r="AB114" s="183" t="s">
        <v>1213</v>
      </c>
    </row>
    <row r="115" spans="24:28" x14ac:dyDescent="0.35">
      <c r="X115" t="s">
        <v>505</v>
      </c>
      <c r="Y115">
        <v>500</v>
      </c>
      <c r="Z115" t="s">
        <v>5</v>
      </c>
      <c r="AA115">
        <v>3097303040</v>
      </c>
      <c r="AB115">
        <v>197909859875</v>
      </c>
    </row>
    <row r="116" spans="24:28" x14ac:dyDescent="0.35">
      <c r="X116" t="s">
        <v>505</v>
      </c>
      <c r="Y116">
        <v>100</v>
      </c>
      <c r="Z116" t="s">
        <v>5</v>
      </c>
      <c r="AA116">
        <v>683</v>
      </c>
      <c r="AB116" s="183">
        <v>167453731041</v>
      </c>
    </row>
    <row r="117" spans="24:28" x14ac:dyDescent="0.35">
      <c r="X117" t="s">
        <v>492</v>
      </c>
      <c r="Y117">
        <v>1200</v>
      </c>
      <c r="Z117" t="s">
        <v>5</v>
      </c>
      <c r="AA117">
        <v>385738</v>
      </c>
      <c r="AB117">
        <v>16791175512</v>
      </c>
    </row>
    <row r="118" spans="24:28" x14ac:dyDescent="0.35">
      <c r="X118" t="s">
        <v>492</v>
      </c>
      <c r="Y118">
        <v>30</v>
      </c>
      <c r="Z118" t="s">
        <v>5</v>
      </c>
      <c r="AA118">
        <v>315575</v>
      </c>
      <c r="AB118" t="s">
        <v>1213</v>
      </c>
    </row>
    <row r="119" spans="24:28" x14ac:dyDescent="0.35">
      <c r="X119" t="s">
        <v>492</v>
      </c>
      <c r="Y119">
        <v>300</v>
      </c>
      <c r="Z119" t="s">
        <v>5</v>
      </c>
      <c r="AA119">
        <v>3319</v>
      </c>
      <c r="AB119" t="s">
        <v>1159</v>
      </c>
    </row>
    <row r="120" spans="24:28" x14ac:dyDescent="0.35">
      <c r="X120" t="s">
        <v>492</v>
      </c>
      <c r="Y120">
        <v>250</v>
      </c>
      <c r="Z120" t="s">
        <v>5</v>
      </c>
      <c r="AA120">
        <v>892848</v>
      </c>
      <c r="AB120" t="s">
        <v>1276</v>
      </c>
    </row>
    <row r="121" spans="24:28" ht="43.5" x14ac:dyDescent="0.35">
      <c r="X121" t="s">
        <v>490</v>
      </c>
      <c r="Y121">
        <v>500</v>
      </c>
      <c r="Z121" t="s">
        <v>5</v>
      </c>
      <c r="AA121">
        <v>3241504940</v>
      </c>
      <c r="AB121" s="183" t="s">
        <v>1277</v>
      </c>
    </row>
    <row r="122" spans="24:28" x14ac:dyDescent="0.35">
      <c r="X122" t="s">
        <v>479</v>
      </c>
      <c r="Y122">
        <v>200</v>
      </c>
      <c r="Z122" t="s">
        <v>5</v>
      </c>
      <c r="AA122">
        <v>20</v>
      </c>
      <c r="AB122" t="s">
        <v>1159</v>
      </c>
    </row>
    <row r="123" spans="24:28" x14ac:dyDescent="0.35">
      <c r="X123" t="s">
        <v>479</v>
      </c>
      <c r="Y123">
        <v>161</v>
      </c>
      <c r="Z123" t="s">
        <v>5</v>
      </c>
      <c r="AA123">
        <v>105726</v>
      </c>
      <c r="AB123" t="s">
        <v>1213</v>
      </c>
    </row>
    <row r="124" spans="24:28" x14ac:dyDescent="0.35">
      <c r="X124" t="s">
        <v>479</v>
      </c>
      <c r="Y124">
        <v>22</v>
      </c>
      <c r="Z124" t="s">
        <v>5</v>
      </c>
      <c r="AA124">
        <v>749</v>
      </c>
      <c r="AB124" t="s">
        <v>1159</v>
      </c>
    </row>
    <row r="125" spans="24:28" x14ac:dyDescent="0.35">
      <c r="X125" t="s">
        <v>477</v>
      </c>
      <c r="Y125">
        <v>500</v>
      </c>
      <c r="Z125" t="s">
        <v>5</v>
      </c>
      <c r="AA125">
        <v>9</v>
      </c>
      <c r="AB125" s="183" t="s">
        <v>1278</v>
      </c>
    </row>
    <row r="126" spans="24:28" x14ac:dyDescent="0.35">
      <c r="X126" t="s">
        <v>477</v>
      </c>
      <c r="Y126">
        <v>500</v>
      </c>
      <c r="Z126" t="s">
        <v>5</v>
      </c>
      <c r="AA126">
        <v>883389</v>
      </c>
      <c r="AB126" t="s">
        <v>1213</v>
      </c>
    </row>
    <row r="127" spans="24:28" ht="43.5" x14ac:dyDescent="0.35">
      <c r="X127" t="s">
        <v>477</v>
      </c>
      <c r="Y127">
        <v>100</v>
      </c>
      <c r="Z127" t="s">
        <v>5</v>
      </c>
      <c r="AA127">
        <v>774</v>
      </c>
      <c r="AB127" s="183" t="s">
        <v>1279</v>
      </c>
    </row>
    <row r="128" spans="24:28" x14ac:dyDescent="0.35">
      <c r="X128" t="s">
        <v>477</v>
      </c>
      <c r="Y128">
        <v>400</v>
      </c>
      <c r="Z128" t="s">
        <v>5</v>
      </c>
      <c r="AA128">
        <v>773</v>
      </c>
      <c r="AB128" t="s">
        <v>1280</v>
      </c>
    </row>
    <row r="129" spans="24:28" x14ac:dyDescent="0.35">
      <c r="X129" t="s">
        <v>477</v>
      </c>
      <c r="Y129">
        <v>500</v>
      </c>
      <c r="Z129" t="s">
        <v>5</v>
      </c>
      <c r="AA129">
        <v>747285</v>
      </c>
      <c r="AB129" s="183" t="s">
        <v>1281</v>
      </c>
    </row>
    <row r="130" spans="24:28" x14ac:dyDescent="0.35">
      <c r="X130" t="s">
        <v>477</v>
      </c>
      <c r="Y130">
        <v>500</v>
      </c>
      <c r="Z130" t="s">
        <v>5</v>
      </c>
      <c r="AA130">
        <v>592815</v>
      </c>
      <c r="AB130" t="s">
        <v>1282</v>
      </c>
    </row>
    <row r="131" spans="24:28" x14ac:dyDescent="0.35">
      <c r="X131" t="s">
        <v>477</v>
      </c>
      <c r="Y131">
        <v>500</v>
      </c>
      <c r="Z131" t="s">
        <v>5</v>
      </c>
      <c r="AA131">
        <v>720565</v>
      </c>
      <c r="AB131" s="183" t="s">
        <v>1283</v>
      </c>
    </row>
    <row r="132" spans="24:28" x14ac:dyDescent="0.35">
      <c r="X132" t="s">
        <v>477</v>
      </c>
      <c r="Y132">
        <v>500</v>
      </c>
      <c r="Z132" t="s">
        <v>5</v>
      </c>
      <c r="AA132">
        <v>289933</v>
      </c>
      <c r="AB132" t="s">
        <v>1284</v>
      </c>
    </row>
    <row r="133" spans="24:28" x14ac:dyDescent="0.35">
      <c r="X133" t="s">
        <v>465</v>
      </c>
      <c r="Y133">
        <v>500</v>
      </c>
      <c r="Z133" t="s">
        <v>5</v>
      </c>
      <c r="AA133">
        <v>696839</v>
      </c>
      <c r="AB133" s="183" t="s">
        <v>1285</v>
      </c>
    </row>
    <row r="134" spans="24:28" x14ac:dyDescent="0.35">
      <c r="X134" t="s">
        <v>465</v>
      </c>
      <c r="Y134">
        <v>500</v>
      </c>
      <c r="Z134" t="s">
        <v>5</v>
      </c>
      <c r="AA134">
        <v>392460</v>
      </c>
      <c r="AB134" t="s">
        <v>1286</v>
      </c>
    </row>
    <row r="135" spans="24:28" x14ac:dyDescent="0.35">
      <c r="X135" t="s">
        <v>465</v>
      </c>
      <c r="Y135">
        <v>500</v>
      </c>
      <c r="Z135" t="s">
        <v>5</v>
      </c>
      <c r="AA135">
        <v>209857</v>
      </c>
      <c r="AB135" t="s">
        <v>1287</v>
      </c>
    </row>
    <row r="136" spans="24:28" x14ac:dyDescent="0.35">
      <c r="X136" t="s">
        <v>465</v>
      </c>
      <c r="Y136">
        <v>500</v>
      </c>
      <c r="Z136" t="s">
        <v>5</v>
      </c>
      <c r="AA136">
        <v>7564</v>
      </c>
      <c r="AB136" t="s">
        <v>1288</v>
      </c>
    </row>
    <row r="137" spans="24:28" x14ac:dyDescent="0.35">
      <c r="X137" t="s">
        <v>465</v>
      </c>
      <c r="Y137">
        <v>500</v>
      </c>
      <c r="Z137" t="s">
        <v>5</v>
      </c>
      <c r="AA137">
        <v>3173723499</v>
      </c>
      <c r="AB137" t="s">
        <v>1289</v>
      </c>
    </row>
    <row r="138" spans="24:28" x14ac:dyDescent="0.35">
      <c r="X138" t="s">
        <v>465</v>
      </c>
      <c r="Y138">
        <v>500</v>
      </c>
      <c r="Z138" t="s">
        <v>5</v>
      </c>
      <c r="AA138">
        <v>2716</v>
      </c>
      <c r="AB138" t="s">
        <v>1290</v>
      </c>
    </row>
    <row r="139" spans="24:28" x14ac:dyDescent="0.35">
      <c r="X139" t="s">
        <v>465</v>
      </c>
      <c r="Y139">
        <v>500</v>
      </c>
      <c r="Z139" t="s">
        <v>5</v>
      </c>
      <c r="AA139">
        <v>166</v>
      </c>
      <c r="AB139" t="s">
        <v>1291</v>
      </c>
    </row>
    <row r="140" spans="24:28" x14ac:dyDescent="0.35">
      <c r="X140" t="s">
        <v>465</v>
      </c>
      <c r="Y140">
        <v>500</v>
      </c>
      <c r="Z140" t="s">
        <v>5</v>
      </c>
      <c r="AA140">
        <v>338738</v>
      </c>
      <c r="AB140" t="s">
        <v>1292</v>
      </c>
    </row>
    <row r="141" spans="24:28" x14ac:dyDescent="0.35">
      <c r="X141" t="s">
        <v>465</v>
      </c>
      <c r="Y141">
        <v>500</v>
      </c>
      <c r="Z141" t="s">
        <v>5</v>
      </c>
      <c r="AA141">
        <v>22699010001</v>
      </c>
      <c r="AB141" t="s">
        <v>1293</v>
      </c>
    </row>
    <row r="142" spans="24:28" x14ac:dyDescent="0.35">
      <c r="X142" t="s">
        <v>449</v>
      </c>
      <c r="Y142">
        <v>500</v>
      </c>
      <c r="Z142" t="s">
        <v>5</v>
      </c>
      <c r="AA142">
        <v>6289</v>
      </c>
      <c r="AB142" t="s">
        <v>1294</v>
      </c>
    </row>
    <row r="143" spans="24:28" x14ac:dyDescent="0.35">
      <c r="X143" t="s">
        <v>449</v>
      </c>
      <c r="Y143">
        <v>300</v>
      </c>
      <c r="Z143" t="s">
        <v>5</v>
      </c>
      <c r="AB143" t="s">
        <v>1295</v>
      </c>
    </row>
    <row r="144" spans="24:28" x14ac:dyDescent="0.35">
      <c r="X144" t="s">
        <v>449</v>
      </c>
      <c r="Y144">
        <v>500</v>
      </c>
      <c r="Z144" t="s">
        <v>5</v>
      </c>
      <c r="AA144">
        <v>3174590444</v>
      </c>
      <c r="AB144" t="s">
        <v>1296</v>
      </c>
    </row>
    <row r="145" spans="24:28" x14ac:dyDescent="0.35">
      <c r="X145" t="s">
        <v>449</v>
      </c>
      <c r="Y145">
        <v>500</v>
      </c>
      <c r="Z145" t="s">
        <v>5</v>
      </c>
      <c r="AA145">
        <v>3174685268</v>
      </c>
      <c r="AB145" t="s">
        <v>1297</v>
      </c>
    </row>
    <row r="146" spans="24:28" x14ac:dyDescent="0.35">
      <c r="X146" t="s">
        <v>432</v>
      </c>
      <c r="Y146">
        <v>140</v>
      </c>
      <c r="Z146" t="s">
        <v>5</v>
      </c>
      <c r="AA146">
        <v>996770</v>
      </c>
      <c r="AB146" t="s">
        <v>40</v>
      </c>
    </row>
    <row r="147" spans="24:28" x14ac:dyDescent="0.35">
      <c r="X147" t="s">
        <v>432</v>
      </c>
      <c r="Y147">
        <v>200</v>
      </c>
      <c r="Z147" t="s">
        <v>5</v>
      </c>
      <c r="AA147">
        <v>3106077853</v>
      </c>
      <c r="AB147">
        <v>167918253459</v>
      </c>
    </row>
    <row r="148" spans="24:28" x14ac:dyDescent="0.35">
      <c r="X148" t="s">
        <v>432</v>
      </c>
      <c r="Y148">
        <v>34</v>
      </c>
      <c r="Z148" t="s">
        <v>5</v>
      </c>
      <c r="AA148">
        <v>498</v>
      </c>
      <c r="AB148" t="s">
        <v>1298</v>
      </c>
    </row>
    <row r="149" spans="24:28" x14ac:dyDescent="0.35">
      <c r="X149" t="s">
        <v>432</v>
      </c>
      <c r="Y149">
        <v>200</v>
      </c>
      <c r="Z149" t="s">
        <v>5</v>
      </c>
      <c r="AA149">
        <v>6542</v>
      </c>
      <c r="AB149" t="s">
        <v>1159</v>
      </c>
    </row>
    <row r="150" spans="24:28" x14ac:dyDescent="0.35">
      <c r="X150" t="s">
        <v>432</v>
      </c>
      <c r="Y150">
        <v>400</v>
      </c>
      <c r="Z150" t="s">
        <v>5</v>
      </c>
      <c r="AA150">
        <v>240287</v>
      </c>
      <c r="AB150" t="s">
        <v>1213</v>
      </c>
    </row>
    <row r="151" spans="24:28" x14ac:dyDescent="0.35">
      <c r="X151" t="s">
        <v>432</v>
      </c>
      <c r="Y151">
        <v>500</v>
      </c>
      <c r="Z151" t="s">
        <v>5</v>
      </c>
      <c r="AA151">
        <v>456645</v>
      </c>
      <c r="AB151" t="s">
        <v>1299</v>
      </c>
    </row>
    <row r="152" spans="24:28" x14ac:dyDescent="0.35">
      <c r="X152" t="s">
        <v>432</v>
      </c>
      <c r="Y152">
        <v>200</v>
      </c>
      <c r="Z152" t="s">
        <v>5</v>
      </c>
      <c r="AB152" t="s">
        <v>1300</v>
      </c>
    </row>
    <row r="153" spans="24:28" x14ac:dyDescent="0.35">
      <c r="X153" t="s">
        <v>430</v>
      </c>
      <c r="Y153">
        <v>500</v>
      </c>
      <c r="Z153" t="s">
        <v>5</v>
      </c>
      <c r="AA153">
        <v>923480</v>
      </c>
      <c r="AB153" s="183" t="s">
        <v>1301</v>
      </c>
    </row>
    <row r="154" spans="24:28" x14ac:dyDescent="0.35">
      <c r="X154" t="s">
        <v>430</v>
      </c>
      <c r="Y154">
        <v>500</v>
      </c>
      <c r="Z154" t="s">
        <v>5</v>
      </c>
      <c r="AA154">
        <v>977018</v>
      </c>
      <c r="AB154" s="183" t="s">
        <v>1213</v>
      </c>
    </row>
    <row r="155" spans="24:28" x14ac:dyDescent="0.35">
      <c r="X155" t="s">
        <v>413</v>
      </c>
      <c r="Y155">
        <v>25</v>
      </c>
      <c r="Z155" t="s">
        <v>5</v>
      </c>
      <c r="AA155">
        <v>3110053517</v>
      </c>
      <c r="AB155" s="183" t="s">
        <v>1213</v>
      </c>
    </row>
    <row r="156" spans="24:28" x14ac:dyDescent="0.35">
      <c r="X156" t="s">
        <v>403</v>
      </c>
      <c r="Y156">
        <v>98.25</v>
      </c>
      <c r="Z156" t="s">
        <v>5</v>
      </c>
      <c r="AA156">
        <v>1029196</v>
      </c>
      <c r="AB156" s="183" t="s">
        <v>1302</v>
      </c>
    </row>
    <row r="157" spans="24:28" x14ac:dyDescent="0.35">
      <c r="X157" t="s">
        <v>395</v>
      </c>
      <c r="Y157">
        <v>140</v>
      </c>
      <c r="Z157" t="s">
        <v>5</v>
      </c>
      <c r="AA157">
        <v>351886</v>
      </c>
      <c r="AB157" s="183" t="s">
        <v>1213</v>
      </c>
    </row>
    <row r="158" spans="24:28" x14ac:dyDescent="0.35">
      <c r="X158" t="s">
        <v>395</v>
      </c>
      <c r="Y158">
        <v>50</v>
      </c>
      <c r="Z158" t="s">
        <v>5</v>
      </c>
      <c r="AA158">
        <v>333</v>
      </c>
      <c r="AB158" s="183" t="s">
        <v>1159</v>
      </c>
    </row>
    <row r="159" spans="24:28" x14ac:dyDescent="0.35">
      <c r="X159" t="s">
        <v>395</v>
      </c>
      <c r="Y159">
        <v>19.649999999999999</v>
      </c>
      <c r="Z159" t="s">
        <v>5</v>
      </c>
      <c r="AA159">
        <v>1107991</v>
      </c>
      <c r="AB159" s="183" t="s">
        <v>1303</v>
      </c>
    </row>
    <row r="160" spans="24:28" x14ac:dyDescent="0.35">
      <c r="X160" t="s">
        <v>393</v>
      </c>
      <c r="Y160">
        <v>500</v>
      </c>
      <c r="Z160" t="s">
        <v>5</v>
      </c>
      <c r="AA160">
        <v>645201</v>
      </c>
      <c r="AB160" s="183" t="s">
        <v>1304</v>
      </c>
    </row>
    <row r="161" spans="24:28" x14ac:dyDescent="0.35">
      <c r="X161" t="s">
        <v>393</v>
      </c>
      <c r="Y161">
        <v>500</v>
      </c>
      <c r="Z161" t="s">
        <v>5</v>
      </c>
      <c r="AA161">
        <v>3928</v>
      </c>
      <c r="AB161" s="183" t="s">
        <v>1305</v>
      </c>
    </row>
    <row r="162" spans="24:28" x14ac:dyDescent="0.35">
      <c r="X162" t="s">
        <v>1191</v>
      </c>
      <c r="Y162">
        <v>33462.730000000003</v>
      </c>
      <c r="Z162" t="s">
        <v>5</v>
      </c>
      <c r="AB162" s="183" t="s">
        <v>1306</v>
      </c>
    </row>
    <row r="163" spans="24:28" x14ac:dyDescent="0.35">
      <c r="AB163" s="183"/>
    </row>
    <row r="164" spans="24:28" x14ac:dyDescent="0.35">
      <c r="AB164" s="183"/>
    </row>
    <row r="165" spans="24:28" x14ac:dyDescent="0.35">
      <c r="AB165" s="183"/>
    </row>
    <row r="166" spans="24:28" x14ac:dyDescent="0.35">
      <c r="AB166" s="183"/>
    </row>
    <row r="167" spans="24:28" x14ac:dyDescent="0.35">
      <c r="AB167" s="183"/>
    </row>
    <row r="168" spans="24:28" x14ac:dyDescent="0.35">
      <c r="AB168" s="183"/>
    </row>
  </sheetData>
  <phoneticPr fontId="1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F0B3F-EAB6-4BB2-B54A-8C14728A4D9C}">
  <sheetPr codeName="Sheet6"/>
  <dimension ref="A1:C71"/>
  <sheetViews>
    <sheetView topLeftCell="A3" workbookViewId="0">
      <selection activeCell="H14" sqref="H14"/>
    </sheetView>
  </sheetViews>
  <sheetFormatPr baseColWidth="10" defaultColWidth="8.7265625" defaultRowHeight="14.5" x14ac:dyDescent="0.35"/>
  <cols>
    <col min="1" max="1" width="25.453125" bestFit="1" customWidth="1"/>
    <col min="2" max="2" width="13.7265625" bestFit="1" customWidth="1"/>
    <col min="3" max="3" width="15.453125" bestFit="1" customWidth="1"/>
  </cols>
  <sheetData>
    <row r="1" spans="1:3" x14ac:dyDescent="0.35">
      <c r="A1" t="s">
        <v>81</v>
      </c>
      <c r="B1" t="s">
        <v>284</v>
      </c>
      <c r="C1" t="s">
        <v>275</v>
      </c>
    </row>
    <row r="2" spans="1:3" x14ac:dyDescent="0.35">
      <c r="A2" t="s">
        <v>88</v>
      </c>
      <c r="B2">
        <v>408</v>
      </c>
      <c r="C2">
        <v>10702.799999999997</v>
      </c>
    </row>
    <row r="3" spans="1:3" x14ac:dyDescent="0.35">
      <c r="A3" t="s">
        <v>89</v>
      </c>
      <c r="B3">
        <v>360</v>
      </c>
      <c r="C3">
        <v>9097.3799999999974</v>
      </c>
    </row>
    <row r="4" spans="1:3" x14ac:dyDescent="0.35">
      <c r="A4" t="s">
        <v>90</v>
      </c>
      <c r="B4">
        <v>432</v>
      </c>
      <c r="C4">
        <v>10167.659999999998</v>
      </c>
    </row>
    <row r="5" spans="1:3" x14ac:dyDescent="0.35">
      <c r="A5" t="s">
        <v>91</v>
      </c>
      <c r="B5">
        <v>192</v>
      </c>
      <c r="C5">
        <v>6421.6799999999985</v>
      </c>
    </row>
    <row r="6" spans="1:3" x14ac:dyDescent="0.35">
      <c r="A6" t="s">
        <v>92</v>
      </c>
      <c r="B6">
        <v>288</v>
      </c>
      <c r="C6">
        <v>6421.6799999999985</v>
      </c>
    </row>
    <row r="7" spans="1:3" x14ac:dyDescent="0.35">
      <c r="A7" t="s">
        <v>273</v>
      </c>
      <c r="B7">
        <v>24</v>
      </c>
      <c r="C7">
        <v>0</v>
      </c>
    </row>
    <row r="8" spans="1:3" x14ac:dyDescent="0.35">
      <c r="A8" t="s">
        <v>93</v>
      </c>
      <c r="B8">
        <v>144</v>
      </c>
      <c r="C8">
        <v>3810.8159999999998</v>
      </c>
    </row>
    <row r="9" spans="1:3" x14ac:dyDescent="0.35">
      <c r="A9" t="s">
        <v>94</v>
      </c>
      <c r="B9">
        <v>24</v>
      </c>
      <c r="C9">
        <v>782.98799999999994</v>
      </c>
    </row>
    <row r="10" spans="1:3" x14ac:dyDescent="0.35">
      <c r="A10" t="s">
        <v>95</v>
      </c>
      <c r="B10">
        <v>96</v>
      </c>
      <c r="C10">
        <v>1899.8879999999999</v>
      </c>
    </row>
    <row r="11" spans="1:3" x14ac:dyDescent="0.35">
      <c r="A11" t="s">
        <v>96</v>
      </c>
      <c r="B11">
        <v>48</v>
      </c>
      <c r="C11">
        <v>1636.056</v>
      </c>
    </row>
    <row r="12" spans="1:3" x14ac:dyDescent="0.35">
      <c r="A12" t="s">
        <v>97</v>
      </c>
      <c r="B12">
        <v>120</v>
      </c>
      <c r="C12">
        <v>3724.7279999999992</v>
      </c>
    </row>
    <row r="13" spans="1:3" x14ac:dyDescent="0.35">
      <c r="A13" t="s">
        <v>98</v>
      </c>
      <c r="B13">
        <v>264</v>
      </c>
      <c r="C13">
        <v>7449.4559999999992</v>
      </c>
    </row>
    <row r="14" spans="1:3" x14ac:dyDescent="0.35">
      <c r="A14" t="s">
        <v>99</v>
      </c>
      <c r="B14">
        <v>96</v>
      </c>
      <c r="C14">
        <v>1063.6559999999999</v>
      </c>
    </row>
    <row r="15" spans="1:3" x14ac:dyDescent="0.35">
      <c r="A15" t="s">
        <v>100</v>
      </c>
      <c r="B15">
        <v>48</v>
      </c>
      <c r="C15">
        <v>1595.4839999999999</v>
      </c>
    </row>
    <row r="16" spans="1:3" x14ac:dyDescent="0.35">
      <c r="A16" t="s">
        <v>101</v>
      </c>
      <c r="B16">
        <v>216</v>
      </c>
      <c r="C16">
        <v>2326.44</v>
      </c>
    </row>
    <row r="17" spans="1:3" x14ac:dyDescent="0.35">
      <c r="A17" t="s">
        <v>102</v>
      </c>
      <c r="B17">
        <v>216</v>
      </c>
      <c r="C17">
        <v>2174.6400000000003</v>
      </c>
    </row>
    <row r="18" spans="1:3" x14ac:dyDescent="0.35">
      <c r="A18" t="s">
        <v>103</v>
      </c>
      <c r="B18">
        <v>216</v>
      </c>
      <c r="C18">
        <v>5663.9879999999994</v>
      </c>
    </row>
    <row r="19" spans="1:3" x14ac:dyDescent="0.35">
      <c r="A19" t="s">
        <v>105</v>
      </c>
      <c r="B19">
        <v>168</v>
      </c>
      <c r="C19">
        <v>3334.9919999999993</v>
      </c>
    </row>
    <row r="20" spans="1:3" x14ac:dyDescent="0.35">
      <c r="A20" t="s">
        <v>107</v>
      </c>
      <c r="B20">
        <v>360</v>
      </c>
      <c r="C20">
        <v>7740.8639999999987</v>
      </c>
    </row>
    <row r="21" spans="1:3" x14ac:dyDescent="0.35">
      <c r="A21" t="s">
        <v>108</v>
      </c>
      <c r="B21">
        <v>24</v>
      </c>
      <c r="C21">
        <v>676.70399999999995</v>
      </c>
    </row>
    <row r="22" spans="1:3" x14ac:dyDescent="0.35">
      <c r="A22" t="s">
        <v>109</v>
      </c>
      <c r="B22">
        <v>24</v>
      </c>
      <c r="C22">
        <v>699.88799999999992</v>
      </c>
    </row>
    <row r="23" spans="1:3" x14ac:dyDescent="0.35">
      <c r="A23" t="s">
        <v>110</v>
      </c>
      <c r="B23">
        <v>96</v>
      </c>
      <c r="C23">
        <v>2095.2959999999998</v>
      </c>
    </row>
    <row r="24" spans="1:3" x14ac:dyDescent="0.35">
      <c r="A24" t="s">
        <v>111</v>
      </c>
      <c r="B24">
        <v>48</v>
      </c>
      <c r="C24">
        <v>1715.5439999999999</v>
      </c>
    </row>
    <row r="25" spans="1:3" x14ac:dyDescent="0.35">
      <c r="A25" t="s">
        <v>112</v>
      </c>
      <c r="B25">
        <v>96</v>
      </c>
      <c r="C25">
        <v>1963.6019999999999</v>
      </c>
    </row>
    <row r="26" spans="1:3" x14ac:dyDescent="0.35">
      <c r="A26" t="s">
        <v>113</v>
      </c>
      <c r="B26">
        <v>48</v>
      </c>
      <c r="C26">
        <v>1090.8899999999999</v>
      </c>
    </row>
    <row r="27" spans="1:3" x14ac:dyDescent="0.35">
      <c r="A27" t="s">
        <v>114</v>
      </c>
      <c r="B27">
        <v>84</v>
      </c>
      <c r="C27">
        <v>1529.1779999999999</v>
      </c>
    </row>
    <row r="28" spans="1:3" x14ac:dyDescent="0.35">
      <c r="A28" t="s">
        <v>115</v>
      </c>
      <c r="B28">
        <v>82</v>
      </c>
      <c r="C28">
        <v>1692.7999999999997</v>
      </c>
    </row>
    <row r="29" spans="1:3" x14ac:dyDescent="0.35">
      <c r="A29" t="s">
        <v>116</v>
      </c>
      <c r="B29">
        <v>60</v>
      </c>
      <c r="C29">
        <v>1090.8899999999999</v>
      </c>
    </row>
    <row r="30" spans="1:3" x14ac:dyDescent="0.35">
      <c r="A30" t="s">
        <v>117</v>
      </c>
      <c r="B30">
        <v>36</v>
      </c>
      <c r="C30">
        <v>1157.8200000000002</v>
      </c>
    </row>
    <row r="31" spans="1:3" x14ac:dyDescent="0.35">
      <c r="A31" t="s">
        <v>118</v>
      </c>
      <c r="B31">
        <v>306</v>
      </c>
      <c r="C31">
        <v>3378.24</v>
      </c>
    </row>
    <row r="32" spans="1:3" x14ac:dyDescent="0.35">
      <c r="A32" t="s">
        <v>119</v>
      </c>
      <c r="B32">
        <v>264</v>
      </c>
      <c r="C32">
        <v>5497.9319999999998</v>
      </c>
    </row>
    <row r="33" spans="1:3" x14ac:dyDescent="0.35">
      <c r="A33" t="s">
        <v>120</v>
      </c>
      <c r="B33">
        <v>96</v>
      </c>
      <c r="C33">
        <v>2998.8719999999998</v>
      </c>
    </row>
    <row r="34" spans="1:3" x14ac:dyDescent="0.35">
      <c r="A34" t="s">
        <v>121</v>
      </c>
      <c r="B34">
        <v>384</v>
      </c>
      <c r="C34">
        <v>9501.119999999999</v>
      </c>
    </row>
    <row r="35" spans="1:3" x14ac:dyDescent="0.35">
      <c r="A35" t="s">
        <v>122</v>
      </c>
      <c r="B35">
        <v>580</v>
      </c>
      <c r="C35">
        <v>7496.167199999999</v>
      </c>
    </row>
    <row r="36" spans="1:3" x14ac:dyDescent="0.35">
      <c r="A36" t="s">
        <v>123</v>
      </c>
      <c r="B36">
        <v>240</v>
      </c>
      <c r="C36">
        <v>2639.0699999999997</v>
      </c>
    </row>
    <row r="37" spans="1:3" x14ac:dyDescent="0.35">
      <c r="A37" t="s">
        <v>124</v>
      </c>
      <c r="B37">
        <v>60</v>
      </c>
      <c r="C37">
        <v>841.05</v>
      </c>
    </row>
    <row r="38" spans="1:3" x14ac:dyDescent="0.35">
      <c r="A38" t="s">
        <v>125</v>
      </c>
      <c r="B38">
        <v>96</v>
      </c>
      <c r="C38">
        <v>1836.9599999999998</v>
      </c>
    </row>
    <row r="39" spans="1:3" x14ac:dyDescent="0.35">
      <c r="A39" t="s">
        <v>289</v>
      </c>
      <c r="B39">
        <v>48</v>
      </c>
      <c r="C39">
        <v>0</v>
      </c>
    </row>
    <row r="40" spans="1:3" x14ac:dyDescent="0.35">
      <c r="A40" t="s">
        <v>126</v>
      </c>
      <c r="B40">
        <v>72</v>
      </c>
      <c r="C40">
        <v>1538.3519999999999</v>
      </c>
    </row>
    <row r="41" spans="1:3" x14ac:dyDescent="0.35">
      <c r="A41" t="s">
        <v>127</v>
      </c>
      <c r="B41">
        <v>48</v>
      </c>
      <c r="C41">
        <v>762.13799999999992</v>
      </c>
    </row>
    <row r="42" spans="1:3" x14ac:dyDescent="0.35">
      <c r="A42" t="s">
        <v>128</v>
      </c>
      <c r="B42">
        <v>55</v>
      </c>
      <c r="C42">
        <v>1331.9563349999999</v>
      </c>
    </row>
    <row r="43" spans="1:3" x14ac:dyDescent="0.35">
      <c r="A43" t="s">
        <v>129</v>
      </c>
      <c r="B43">
        <v>120</v>
      </c>
      <c r="C43">
        <v>1188</v>
      </c>
    </row>
    <row r="44" spans="1:3" x14ac:dyDescent="0.35">
      <c r="A44" t="s">
        <v>130</v>
      </c>
      <c r="B44">
        <v>55</v>
      </c>
      <c r="C44">
        <v>1406.9823349999999</v>
      </c>
    </row>
    <row r="45" spans="1:3" x14ac:dyDescent="0.35">
      <c r="A45" t="s">
        <v>131</v>
      </c>
      <c r="B45">
        <v>570</v>
      </c>
      <c r="C45">
        <v>6922.079999999999</v>
      </c>
    </row>
    <row r="46" spans="1:3" x14ac:dyDescent="0.35">
      <c r="A46" t="s">
        <v>132</v>
      </c>
      <c r="B46">
        <v>936</v>
      </c>
      <c r="C46">
        <v>4562.2799999999988</v>
      </c>
    </row>
    <row r="47" spans="1:3" x14ac:dyDescent="0.35">
      <c r="A47" t="s">
        <v>133</v>
      </c>
      <c r="B47">
        <v>96</v>
      </c>
      <c r="C47">
        <v>2215.7279999999996</v>
      </c>
    </row>
    <row r="48" spans="1:3" x14ac:dyDescent="0.35">
      <c r="A48" t="s">
        <v>134</v>
      </c>
      <c r="B48">
        <v>504</v>
      </c>
      <c r="C48">
        <v>14471.599999999999</v>
      </c>
    </row>
    <row r="49" spans="1:3" x14ac:dyDescent="0.35">
      <c r="A49" t="s">
        <v>135</v>
      </c>
      <c r="B49">
        <v>128</v>
      </c>
      <c r="C49">
        <v>4395.3919999999998</v>
      </c>
    </row>
    <row r="50" spans="1:3" x14ac:dyDescent="0.35">
      <c r="A50" t="s">
        <v>136</v>
      </c>
      <c r="B50">
        <v>120</v>
      </c>
      <c r="C50">
        <v>3709.4399999999996</v>
      </c>
    </row>
    <row r="51" spans="1:3" x14ac:dyDescent="0.35">
      <c r="A51" t="s">
        <v>137</v>
      </c>
      <c r="B51">
        <v>150</v>
      </c>
      <c r="C51">
        <v>5798.76</v>
      </c>
    </row>
    <row r="52" spans="1:3" x14ac:dyDescent="0.35">
      <c r="A52" t="s">
        <v>138</v>
      </c>
      <c r="B52">
        <v>35</v>
      </c>
      <c r="C52">
        <v>735.52907499999992</v>
      </c>
    </row>
    <row r="53" spans="1:3" x14ac:dyDescent="0.35">
      <c r="A53" t="s">
        <v>139</v>
      </c>
      <c r="B53">
        <v>48</v>
      </c>
      <c r="C53">
        <v>720.91200000000003</v>
      </c>
    </row>
    <row r="54" spans="1:3" x14ac:dyDescent="0.35">
      <c r="A54" t="s">
        <v>140</v>
      </c>
      <c r="B54">
        <v>48</v>
      </c>
      <c r="C54">
        <v>626.52</v>
      </c>
    </row>
    <row r="55" spans="1:3" x14ac:dyDescent="0.35">
      <c r="A55" t="s">
        <v>141</v>
      </c>
      <c r="B55">
        <v>240</v>
      </c>
      <c r="C55">
        <v>626.51999999999987</v>
      </c>
    </row>
    <row r="56" spans="1:3" x14ac:dyDescent="0.35">
      <c r="A56" t="s">
        <v>142</v>
      </c>
      <c r="B56">
        <v>576</v>
      </c>
      <c r="C56">
        <v>2556.0360000000001</v>
      </c>
    </row>
    <row r="57" spans="1:3" x14ac:dyDescent="0.35">
      <c r="A57" t="s">
        <v>143</v>
      </c>
      <c r="B57">
        <v>180</v>
      </c>
      <c r="C57">
        <v>1021.5449999999998</v>
      </c>
    </row>
    <row r="58" spans="1:3" x14ac:dyDescent="0.35">
      <c r="A58" t="s">
        <v>144</v>
      </c>
      <c r="B58">
        <v>150</v>
      </c>
      <c r="C58">
        <v>1421.3999999999999</v>
      </c>
    </row>
    <row r="59" spans="1:3" x14ac:dyDescent="0.35">
      <c r="A59" t="s">
        <v>145</v>
      </c>
      <c r="B59">
        <v>96</v>
      </c>
      <c r="C59">
        <v>1502.8199999999997</v>
      </c>
    </row>
    <row r="60" spans="1:3" x14ac:dyDescent="0.35">
      <c r="A60" t="s">
        <v>146</v>
      </c>
      <c r="B60">
        <v>96</v>
      </c>
      <c r="C60">
        <v>1502.8199999999997</v>
      </c>
    </row>
    <row r="61" spans="1:3" x14ac:dyDescent="0.35">
      <c r="A61" t="s">
        <v>147</v>
      </c>
      <c r="B61">
        <v>96</v>
      </c>
      <c r="C61">
        <v>1502.8199999999997</v>
      </c>
    </row>
    <row r="62" spans="1:3" x14ac:dyDescent="0.35">
      <c r="A62" t="s">
        <v>148</v>
      </c>
      <c r="B62">
        <v>15</v>
      </c>
      <c r="C62">
        <v>311.36250000000001</v>
      </c>
    </row>
    <row r="63" spans="1:3" x14ac:dyDescent="0.35">
      <c r="A63" t="s">
        <v>149</v>
      </c>
      <c r="B63">
        <v>240</v>
      </c>
      <c r="C63">
        <v>4231.08</v>
      </c>
    </row>
    <row r="64" spans="1:3" x14ac:dyDescent="0.35">
      <c r="A64" t="s">
        <v>150</v>
      </c>
      <c r="B64">
        <v>26</v>
      </c>
      <c r="C64">
        <v>747.20099999999991</v>
      </c>
    </row>
    <row r="65" spans="1:3" x14ac:dyDescent="0.35">
      <c r="A65" t="s">
        <v>151</v>
      </c>
      <c r="B65">
        <v>510</v>
      </c>
      <c r="C65">
        <v>1536.63</v>
      </c>
    </row>
    <row r="66" spans="1:3" x14ac:dyDescent="0.35">
      <c r="A66" t="s">
        <v>152</v>
      </c>
      <c r="B66">
        <v>120</v>
      </c>
      <c r="C66">
        <v>1316.5199999999998</v>
      </c>
    </row>
    <row r="67" spans="1:3" x14ac:dyDescent="0.35">
      <c r="A67" t="s">
        <v>153</v>
      </c>
      <c r="B67">
        <v>144</v>
      </c>
      <c r="C67">
        <v>611.06399999999996</v>
      </c>
    </row>
    <row r="68" spans="1:3" x14ac:dyDescent="0.35">
      <c r="A68" t="s">
        <v>156</v>
      </c>
      <c r="B68">
        <v>56</v>
      </c>
      <c r="C68">
        <v>1256.7659999999998</v>
      </c>
    </row>
    <row r="69" spans="1:3" x14ac:dyDescent="0.35">
      <c r="A69" t="s">
        <v>154</v>
      </c>
      <c r="B69">
        <v>60</v>
      </c>
      <c r="C69">
        <v>192.51</v>
      </c>
    </row>
    <row r="70" spans="1:3" x14ac:dyDescent="0.35">
      <c r="A70" t="s">
        <v>155</v>
      </c>
      <c r="B70">
        <v>60</v>
      </c>
      <c r="C70">
        <v>208.79399999999995</v>
      </c>
    </row>
    <row r="71" spans="1:3" x14ac:dyDescent="0.35">
      <c r="A71" t="s">
        <v>342</v>
      </c>
      <c r="B71">
        <v>0</v>
      </c>
      <c r="C71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08CC-D15C-4091-B85B-6A25A4557FC2}">
  <sheetPr codeName="Sheet8"/>
  <dimension ref="A1:C68"/>
  <sheetViews>
    <sheetView workbookViewId="0">
      <selection activeCell="B3" sqref="B3"/>
    </sheetView>
  </sheetViews>
  <sheetFormatPr baseColWidth="10" defaultColWidth="8.7265625"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183</v>
      </c>
      <c r="B1" t="s">
        <v>82</v>
      </c>
      <c r="C1" t="s">
        <v>202</v>
      </c>
    </row>
    <row r="2" spans="1:3" x14ac:dyDescent="0.35">
      <c r="A2" t="s">
        <v>88</v>
      </c>
      <c r="B2">
        <v>293</v>
      </c>
      <c r="C2">
        <v>8790</v>
      </c>
    </row>
    <row r="3" spans="1:3" x14ac:dyDescent="0.35">
      <c r="A3" t="s">
        <v>89</v>
      </c>
      <c r="B3">
        <v>252</v>
      </c>
      <c r="C3">
        <v>7560</v>
      </c>
    </row>
    <row r="4" spans="1:3" x14ac:dyDescent="0.35">
      <c r="A4" t="s">
        <v>90</v>
      </c>
      <c r="B4">
        <v>273</v>
      </c>
      <c r="C4">
        <v>8190</v>
      </c>
    </row>
    <row r="5" spans="1:3" x14ac:dyDescent="0.35">
      <c r="A5" t="s">
        <v>91</v>
      </c>
      <c r="B5">
        <v>142</v>
      </c>
      <c r="C5">
        <v>4260</v>
      </c>
    </row>
    <row r="6" spans="1:3" x14ac:dyDescent="0.35">
      <c r="A6" t="s">
        <v>92</v>
      </c>
      <c r="B6">
        <v>187</v>
      </c>
      <c r="C6">
        <v>5610</v>
      </c>
    </row>
    <row r="7" spans="1:3" x14ac:dyDescent="0.35">
      <c r="A7" t="s">
        <v>93</v>
      </c>
      <c r="B7">
        <v>63</v>
      </c>
      <c r="C7">
        <v>1701</v>
      </c>
    </row>
    <row r="8" spans="1:3" x14ac:dyDescent="0.35">
      <c r="A8" t="s">
        <v>94</v>
      </c>
      <c r="B8">
        <v>21</v>
      </c>
      <c r="C8">
        <v>840</v>
      </c>
    </row>
    <row r="9" spans="1:3" x14ac:dyDescent="0.35">
      <c r="A9" t="s">
        <v>95</v>
      </c>
      <c r="B9">
        <v>45</v>
      </c>
      <c r="C9">
        <v>1179</v>
      </c>
    </row>
    <row r="10" spans="1:3" x14ac:dyDescent="0.35">
      <c r="A10" t="s">
        <v>96</v>
      </c>
      <c r="B10">
        <v>16</v>
      </c>
      <c r="C10">
        <v>432</v>
      </c>
    </row>
    <row r="11" spans="1:3" x14ac:dyDescent="0.35">
      <c r="A11" t="s">
        <v>97</v>
      </c>
      <c r="B11">
        <v>68</v>
      </c>
      <c r="C11">
        <v>1836</v>
      </c>
    </row>
    <row r="12" spans="1:3" x14ac:dyDescent="0.35">
      <c r="A12" t="s">
        <v>98</v>
      </c>
      <c r="B12">
        <v>191</v>
      </c>
      <c r="C12">
        <v>5157</v>
      </c>
    </row>
    <row r="13" spans="1:3" x14ac:dyDescent="0.35">
      <c r="A13" t="s">
        <v>99</v>
      </c>
      <c r="B13">
        <v>64</v>
      </c>
      <c r="C13">
        <v>1728</v>
      </c>
    </row>
    <row r="14" spans="1:3" x14ac:dyDescent="0.35">
      <c r="A14" t="s">
        <v>100</v>
      </c>
      <c r="B14">
        <v>22</v>
      </c>
      <c r="C14">
        <v>594</v>
      </c>
    </row>
    <row r="15" spans="1:3" x14ac:dyDescent="0.35">
      <c r="A15" t="s">
        <v>101</v>
      </c>
      <c r="B15">
        <v>158</v>
      </c>
      <c r="C15">
        <v>2370</v>
      </c>
    </row>
    <row r="16" spans="1:3" x14ac:dyDescent="0.35">
      <c r="A16" t="s">
        <v>102</v>
      </c>
      <c r="B16">
        <v>186</v>
      </c>
      <c r="C16">
        <v>2790</v>
      </c>
    </row>
    <row r="17" spans="1:3" x14ac:dyDescent="0.35">
      <c r="A17" t="s">
        <v>103</v>
      </c>
      <c r="B17">
        <v>157</v>
      </c>
      <c r="C17">
        <v>4396</v>
      </c>
    </row>
    <row r="18" spans="1:3" x14ac:dyDescent="0.35">
      <c r="A18" t="s">
        <v>105</v>
      </c>
      <c r="B18">
        <v>112</v>
      </c>
      <c r="C18">
        <v>3136</v>
      </c>
    </row>
    <row r="19" spans="1:3" x14ac:dyDescent="0.35">
      <c r="A19" t="s">
        <v>107</v>
      </c>
      <c r="B19">
        <v>261</v>
      </c>
      <c r="C19">
        <v>7308</v>
      </c>
    </row>
    <row r="20" spans="1:3" x14ac:dyDescent="0.35">
      <c r="A20" t="s">
        <v>108</v>
      </c>
      <c r="B20">
        <v>21</v>
      </c>
      <c r="C20">
        <v>588</v>
      </c>
    </row>
    <row r="21" spans="1:3" x14ac:dyDescent="0.35">
      <c r="A21" t="s">
        <v>109</v>
      </c>
      <c r="B21">
        <v>6</v>
      </c>
      <c r="C21">
        <v>168</v>
      </c>
    </row>
    <row r="22" spans="1:3" x14ac:dyDescent="0.35">
      <c r="A22" t="s">
        <v>110</v>
      </c>
      <c r="B22">
        <v>46</v>
      </c>
      <c r="C22">
        <v>1288</v>
      </c>
    </row>
    <row r="23" spans="1:3" x14ac:dyDescent="0.35">
      <c r="A23" t="s">
        <v>111</v>
      </c>
      <c r="B23">
        <v>49</v>
      </c>
      <c r="C23">
        <v>1470</v>
      </c>
    </row>
    <row r="24" spans="1:3" x14ac:dyDescent="0.35">
      <c r="A24" t="s">
        <v>112</v>
      </c>
      <c r="B24">
        <v>54</v>
      </c>
      <c r="C24">
        <v>1296</v>
      </c>
    </row>
    <row r="25" spans="1:3" x14ac:dyDescent="0.35">
      <c r="A25" t="s">
        <v>113</v>
      </c>
      <c r="B25">
        <v>47</v>
      </c>
      <c r="C25">
        <v>1128</v>
      </c>
    </row>
    <row r="26" spans="1:3" x14ac:dyDescent="0.35">
      <c r="A26" t="s">
        <v>114</v>
      </c>
      <c r="B26">
        <v>62</v>
      </c>
      <c r="C26">
        <v>1488</v>
      </c>
    </row>
    <row r="27" spans="1:3" x14ac:dyDescent="0.35">
      <c r="A27" t="s">
        <v>115</v>
      </c>
      <c r="B27">
        <v>66</v>
      </c>
      <c r="C27">
        <v>1584</v>
      </c>
    </row>
    <row r="28" spans="1:3" x14ac:dyDescent="0.35">
      <c r="A28" t="s">
        <v>116</v>
      </c>
      <c r="B28">
        <v>38</v>
      </c>
      <c r="C28">
        <v>912</v>
      </c>
    </row>
    <row r="29" spans="1:3" x14ac:dyDescent="0.35">
      <c r="A29" t="s">
        <v>117</v>
      </c>
      <c r="B29">
        <v>33</v>
      </c>
      <c r="C29">
        <v>792</v>
      </c>
    </row>
    <row r="30" spans="1:3" x14ac:dyDescent="0.35">
      <c r="A30" t="s">
        <v>118</v>
      </c>
      <c r="B30">
        <v>222</v>
      </c>
      <c r="C30">
        <v>3330</v>
      </c>
    </row>
    <row r="31" spans="1:3" x14ac:dyDescent="0.35">
      <c r="A31" t="s">
        <v>119</v>
      </c>
      <c r="B31">
        <v>158</v>
      </c>
      <c r="C31">
        <v>4424</v>
      </c>
    </row>
    <row r="32" spans="1:3" x14ac:dyDescent="0.35">
      <c r="A32" t="s">
        <v>120</v>
      </c>
      <c r="B32">
        <v>51</v>
      </c>
      <c r="C32">
        <v>1428</v>
      </c>
    </row>
    <row r="33" spans="1:3" x14ac:dyDescent="0.35">
      <c r="A33" t="s">
        <v>121</v>
      </c>
      <c r="B33">
        <v>276</v>
      </c>
      <c r="C33">
        <v>7728</v>
      </c>
    </row>
    <row r="34" spans="1:3" x14ac:dyDescent="0.35">
      <c r="A34" t="s">
        <v>122</v>
      </c>
      <c r="B34">
        <v>388</v>
      </c>
      <c r="C34">
        <v>7760</v>
      </c>
    </row>
    <row r="35" spans="1:3" x14ac:dyDescent="0.35">
      <c r="A35" t="s">
        <v>123</v>
      </c>
      <c r="B35">
        <v>116</v>
      </c>
      <c r="C35">
        <v>2320</v>
      </c>
    </row>
    <row r="36" spans="1:3" x14ac:dyDescent="0.35">
      <c r="A36" t="s">
        <v>124</v>
      </c>
      <c r="B36">
        <v>65</v>
      </c>
      <c r="C36">
        <v>1300</v>
      </c>
    </row>
    <row r="37" spans="1:3" x14ac:dyDescent="0.35">
      <c r="A37" t="s">
        <v>125</v>
      </c>
      <c r="B37">
        <v>33</v>
      </c>
      <c r="C37">
        <v>924</v>
      </c>
    </row>
    <row r="38" spans="1:3" x14ac:dyDescent="0.35">
      <c r="A38" t="s">
        <v>283</v>
      </c>
      <c r="B38">
        <v>0</v>
      </c>
      <c r="C38">
        <v>0</v>
      </c>
    </row>
    <row r="39" spans="1:3" x14ac:dyDescent="0.35">
      <c r="A39" t="s">
        <v>126</v>
      </c>
      <c r="B39">
        <v>45</v>
      </c>
      <c r="C39">
        <v>1260</v>
      </c>
    </row>
    <row r="40" spans="1:3" x14ac:dyDescent="0.35">
      <c r="A40" t="s">
        <v>127</v>
      </c>
      <c r="B40">
        <v>28</v>
      </c>
      <c r="C40">
        <v>784</v>
      </c>
    </row>
    <row r="41" spans="1:3" x14ac:dyDescent="0.35">
      <c r="A41" t="s">
        <v>128</v>
      </c>
      <c r="B41">
        <v>52</v>
      </c>
      <c r="C41">
        <v>1820</v>
      </c>
    </row>
    <row r="42" spans="1:3" x14ac:dyDescent="0.35">
      <c r="A42" t="s">
        <v>129</v>
      </c>
      <c r="B42">
        <v>57</v>
      </c>
      <c r="C42">
        <v>1710</v>
      </c>
    </row>
    <row r="43" spans="1:3" x14ac:dyDescent="0.35">
      <c r="A43" t="s">
        <v>130</v>
      </c>
      <c r="B43">
        <v>55</v>
      </c>
      <c r="C43">
        <v>1925</v>
      </c>
    </row>
    <row r="44" spans="1:3" x14ac:dyDescent="0.35">
      <c r="A44" t="s">
        <v>131</v>
      </c>
      <c r="B44">
        <v>295</v>
      </c>
      <c r="C44">
        <v>5310</v>
      </c>
    </row>
    <row r="45" spans="1:3" x14ac:dyDescent="0.35">
      <c r="A45" t="s">
        <v>132</v>
      </c>
      <c r="B45">
        <v>461</v>
      </c>
      <c r="C45">
        <v>4610</v>
      </c>
    </row>
    <row r="46" spans="1:3" x14ac:dyDescent="0.35">
      <c r="A46" t="s">
        <v>133</v>
      </c>
      <c r="B46">
        <v>104</v>
      </c>
      <c r="C46">
        <v>2600</v>
      </c>
    </row>
    <row r="47" spans="1:3" x14ac:dyDescent="0.35">
      <c r="A47" t="s">
        <v>134</v>
      </c>
      <c r="B47">
        <v>102</v>
      </c>
      <c r="C47">
        <v>4590</v>
      </c>
    </row>
    <row r="48" spans="1:3" x14ac:dyDescent="0.35">
      <c r="A48" t="s">
        <v>135</v>
      </c>
      <c r="B48">
        <v>85</v>
      </c>
      <c r="C48">
        <v>1700</v>
      </c>
    </row>
    <row r="49" spans="1:3" x14ac:dyDescent="0.35">
      <c r="A49" t="s">
        <v>136</v>
      </c>
      <c r="B49">
        <v>114</v>
      </c>
      <c r="C49">
        <v>2850</v>
      </c>
    </row>
    <row r="50" spans="1:3" x14ac:dyDescent="0.35">
      <c r="A50" t="s">
        <v>137</v>
      </c>
      <c r="B50">
        <v>141</v>
      </c>
      <c r="C50">
        <v>3948</v>
      </c>
    </row>
    <row r="51" spans="1:3" x14ac:dyDescent="0.35">
      <c r="A51" t="s">
        <v>138</v>
      </c>
      <c r="B51">
        <v>35</v>
      </c>
      <c r="C51">
        <v>980</v>
      </c>
    </row>
    <row r="52" spans="1:3" x14ac:dyDescent="0.35">
      <c r="A52" t="s">
        <v>139</v>
      </c>
      <c r="B52">
        <v>45</v>
      </c>
      <c r="C52">
        <v>900</v>
      </c>
    </row>
    <row r="53" spans="1:3" x14ac:dyDescent="0.35">
      <c r="A53" t="s">
        <v>140</v>
      </c>
      <c r="B53">
        <v>50</v>
      </c>
      <c r="C53">
        <v>1000</v>
      </c>
    </row>
    <row r="54" spans="1:3" x14ac:dyDescent="0.35">
      <c r="A54" t="s">
        <v>141</v>
      </c>
      <c r="B54">
        <v>179</v>
      </c>
      <c r="C54">
        <v>1790</v>
      </c>
    </row>
    <row r="55" spans="1:3" x14ac:dyDescent="0.35">
      <c r="A55" t="s">
        <v>142</v>
      </c>
      <c r="B55">
        <v>397</v>
      </c>
      <c r="C55">
        <v>3970</v>
      </c>
    </row>
    <row r="56" spans="1:3" x14ac:dyDescent="0.35">
      <c r="A56" t="s">
        <v>143</v>
      </c>
      <c r="B56">
        <v>86</v>
      </c>
      <c r="C56">
        <v>1720</v>
      </c>
    </row>
    <row r="57" spans="1:3" x14ac:dyDescent="0.35">
      <c r="A57" t="s">
        <v>144</v>
      </c>
      <c r="B57">
        <v>96</v>
      </c>
      <c r="C57">
        <v>1440</v>
      </c>
    </row>
    <row r="58" spans="1:3" x14ac:dyDescent="0.35">
      <c r="A58" t="s">
        <v>145</v>
      </c>
      <c r="B58">
        <v>65</v>
      </c>
      <c r="C58">
        <v>1170</v>
      </c>
    </row>
    <row r="59" spans="1:3" x14ac:dyDescent="0.35">
      <c r="A59" t="s">
        <v>146</v>
      </c>
      <c r="B59">
        <v>68</v>
      </c>
      <c r="C59">
        <v>1224</v>
      </c>
    </row>
    <row r="60" spans="1:3" x14ac:dyDescent="0.35">
      <c r="A60" t="s">
        <v>147</v>
      </c>
      <c r="B60">
        <v>72</v>
      </c>
      <c r="C60">
        <v>1296</v>
      </c>
    </row>
    <row r="61" spans="1:3" x14ac:dyDescent="0.35">
      <c r="A61" t="s">
        <v>148</v>
      </c>
      <c r="B61">
        <v>15</v>
      </c>
      <c r="C61">
        <v>375</v>
      </c>
    </row>
    <row r="62" spans="1:3" x14ac:dyDescent="0.35">
      <c r="A62" t="s">
        <v>149</v>
      </c>
      <c r="B62">
        <v>166</v>
      </c>
      <c r="C62">
        <v>3232</v>
      </c>
    </row>
    <row r="63" spans="1:3" x14ac:dyDescent="0.35">
      <c r="A63" t="s">
        <v>150</v>
      </c>
      <c r="B63">
        <v>26</v>
      </c>
      <c r="C63">
        <v>910</v>
      </c>
    </row>
    <row r="64" spans="1:3" x14ac:dyDescent="0.35">
      <c r="A64" t="s">
        <v>151</v>
      </c>
      <c r="B64">
        <v>336</v>
      </c>
      <c r="C64">
        <v>2688</v>
      </c>
    </row>
    <row r="65" spans="1:3" x14ac:dyDescent="0.35">
      <c r="A65" t="s">
        <v>152</v>
      </c>
      <c r="B65">
        <v>81</v>
      </c>
      <c r="C65">
        <v>1215</v>
      </c>
    </row>
    <row r="66" spans="1:3" x14ac:dyDescent="0.35">
      <c r="A66" t="s">
        <v>153</v>
      </c>
      <c r="B66">
        <v>46</v>
      </c>
      <c r="C66">
        <v>368</v>
      </c>
    </row>
    <row r="67" spans="1:3" x14ac:dyDescent="0.35">
      <c r="A67" t="s">
        <v>156</v>
      </c>
      <c r="B67">
        <v>54</v>
      </c>
      <c r="C67">
        <v>1350</v>
      </c>
    </row>
    <row r="68" spans="1:3" x14ac:dyDescent="0.35">
      <c r="A68" t="s">
        <v>154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0"/>
  <dimension ref="C3:AD90"/>
  <sheetViews>
    <sheetView topLeftCell="A3" zoomScale="63" zoomScaleNormal="56" workbookViewId="0">
      <selection activeCell="B13" sqref="B13:P29"/>
    </sheetView>
  </sheetViews>
  <sheetFormatPr baseColWidth="10" defaultColWidth="8.81640625" defaultRowHeight="14.5" x14ac:dyDescent="0.35"/>
  <cols>
    <col min="3" max="3" width="11.54296875" customWidth="1"/>
    <col min="4" max="4" width="17.26953125" customWidth="1"/>
    <col min="5" max="5" width="12.1796875" customWidth="1"/>
    <col min="6" max="6" width="17.54296875" customWidth="1"/>
    <col min="7" max="7" width="38.26953125" customWidth="1"/>
    <col min="10" max="10" width="11.54296875" customWidth="1"/>
    <col min="11" max="11" width="18.1796875" customWidth="1"/>
    <col min="12" max="12" width="10.81640625" customWidth="1"/>
    <col min="13" max="13" width="12.453125" bestFit="1" customWidth="1"/>
    <col min="14" max="14" width="41.54296875" customWidth="1"/>
    <col min="16" max="16" width="13.7265625" customWidth="1"/>
    <col min="24" max="24" width="8.81640625" bestFit="1" customWidth="1"/>
    <col min="27" max="28" width="13.1796875" bestFit="1" customWidth="1"/>
    <col min="29" max="29" width="40.81640625" customWidth="1"/>
  </cols>
  <sheetData>
    <row r="3" spans="3:30" x14ac:dyDescent="0.35">
      <c r="C3" s="75" t="s">
        <v>70</v>
      </c>
      <c r="D3" s="67"/>
    </row>
    <row r="4" spans="3:30" x14ac:dyDescent="0.35">
      <c r="C4" s="73" t="s">
        <v>71</v>
      </c>
      <c r="D4" s="73">
        <f>SUM(D13:D24)</f>
        <v>-4461.8</v>
      </c>
    </row>
    <row r="5" spans="3:30" x14ac:dyDescent="0.35">
      <c r="C5" s="17" t="s">
        <v>12</v>
      </c>
      <c r="D5" s="73">
        <f>SUM(K13:K51)</f>
        <v>7692.83</v>
      </c>
      <c r="AD5" s="72"/>
    </row>
    <row r="6" spans="3:30" x14ac:dyDescent="0.35">
      <c r="C6" s="27" t="s">
        <v>1</v>
      </c>
      <c r="D6" s="73">
        <f>D4+D5</f>
        <v>3231.0299999999997</v>
      </c>
      <c r="AD6" s="72"/>
    </row>
    <row r="11" spans="3:30" ht="39.65" customHeight="1" x14ac:dyDescent="0.9">
      <c r="C11" s="77" t="s">
        <v>14</v>
      </c>
      <c r="J11" s="77" t="s">
        <v>12</v>
      </c>
    </row>
    <row r="12" spans="3:30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30" ht="29" x14ac:dyDescent="0.35">
      <c r="C13" s="73" t="s">
        <v>432</v>
      </c>
      <c r="D13" s="73">
        <v>-1595.05</v>
      </c>
      <c r="E13" s="73" t="s">
        <v>789</v>
      </c>
      <c r="F13" s="73">
        <v>25926270000</v>
      </c>
      <c r="G13" s="182" t="s">
        <v>842</v>
      </c>
      <c r="J13" s="17" t="s">
        <v>413</v>
      </c>
      <c r="K13" s="17">
        <v>692.62</v>
      </c>
      <c r="L13" s="17" t="s">
        <v>5</v>
      </c>
      <c r="M13" s="17">
        <v>941210</v>
      </c>
      <c r="N13" s="17" t="s">
        <v>848</v>
      </c>
    </row>
    <row r="14" spans="3:30" ht="29" x14ac:dyDescent="0.35">
      <c r="C14" s="73" t="s">
        <v>331</v>
      </c>
      <c r="D14" s="73">
        <v>-543.95000000000005</v>
      </c>
      <c r="E14" s="73" t="s">
        <v>843</v>
      </c>
      <c r="F14" s="73">
        <v>28111030000</v>
      </c>
      <c r="G14" s="182" t="s">
        <v>844</v>
      </c>
      <c r="J14" s="17" t="s">
        <v>413</v>
      </c>
      <c r="K14" s="17">
        <v>456.8</v>
      </c>
      <c r="L14" s="17" t="s">
        <v>5</v>
      </c>
      <c r="M14" s="17">
        <v>941210</v>
      </c>
      <c r="N14" s="17" t="s">
        <v>849</v>
      </c>
    </row>
    <row r="15" spans="3:30" ht="29" x14ac:dyDescent="0.35">
      <c r="C15" s="73" t="s">
        <v>535</v>
      </c>
      <c r="D15" s="73">
        <v>-1017.75</v>
      </c>
      <c r="E15" s="73" t="s">
        <v>789</v>
      </c>
      <c r="F15" s="73">
        <v>45035920000</v>
      </c>
      <c r="G15" s="182" t="s">
        <v>845</v>
      </c>
      <c r="J15" s="17" t="s">
        <v>473</v>
      </c>
      <c r="K15" s="17">
        <v>456.82</v>
      </c>
      <c r="L15" s="17" t="s">
        <v>5</v>
      </c>
      <c r="M15" s="17">
        <v>253419167</v>
      </c>
      <c r="N15" s="17" t="s">
        <v>850</v>
      </c>
    </row>
    <row r="16" spans="3:30" ht="29" x14ac:dyDescent="0.35">
      <c r="C16" s="73" t="s">
        <v>37</v>
      </c>
      <c r="D16" s="78">
        <v>-335.6</v>
      </c>
      <c r="E16" s="79" t="s">
        <v>212</v>
      </c>
      <c r="F16" s="73">
        <v>19204760000</v>
      </c>
      <c r="G16" s="182" t="s">
        <v>846</v>
      </c>
      <c r="J16" s="17" t="s">
        <v>551</v>
      </c>
      <c r="K16" s="17">
        <v>235.78</v>
      </c>
      <c r="L16" s="17" t="s">
        <v>5</v>
      </c>
      <c r="M16" s="17">
        <v>742447</v>
      </c>
      <c r="N16" s="17" t="s">
        <v>851</v>
      </c>
    </row>
    <row r="17" spans="3:14" ht="29" x14ac:dyDescent="0.35">
      <c r="C17" s="73" t="s">
        <v>638</v>
      </c>
      <c r="D17" s="73">
        <v>-969.45</v>
      </c>
      <c r="E17" s="73" t="s">
        <v>789</v>
      </c>
      <c r="F17" s="73">
        <v>61013320000</v>
      </c>
      <c r="G17" s="182" t="s">
        <v>847</v>
      </c>
      <c r="J17" s="17" t="s">
        <v>583</v>
      </c>
      <c r="K17" s="17">
        <v>92.36</v>
      </c>
      <c r="L17" s="17" t="s">
        <v>5</v>
      </c>
      <c r="M17" s="17">
        <v>338604</v>
      </c>
      <c r="N17" s="17" t="s">
        <v>852</v>
      </c>
    </row>
    <row r="18" spans="3:14" x14ac:dyDescent="0.35">
      <c r="C18" s="73"/>
      <c r="D18" s="79"/>
      <c r="E18" s="73"/>
      <c r="F18" s="73"/>
      <c r="G18" s="73"/>
      <c r="J18" s="17" t="s">
        <v>585</v>
      </c>
      <c r="K18" s="17">
        <v>191.68</v>
      </c>
      <c r="L18" s="17" t="s">
        <v>5</v>
      </c>
      <c r="M18" s="17">
        <v>1275771</v>
      </c>
      <c r="N18" s="17" t="s">
        <v>853</v>
      </c>
    </row>
    <row r="19" spans="3:14" x14ac:dyDescent="0.35">
      <c r="C19" s="73"/>
      <c r="D19" s="73"/>
      <c r="E19" s="73"/>
      <c r="F19" s="73"/>
      <c r="G19" s="73"/>
      <c r="J19" s="17" t="s">
        <v>601</v>
      </c>
      <c r="K19" s="17">
        <v>495.17</v>
      </c>
      <c r="L19" s="17" t="s">
        <v>5</v>
      </c>
      <c r="M19" s="17">
        <v>1169651</v>
      </c>
      <c r="N19" s="17" t="s">
        <v>854</v>
      </c>
    </row>
    <row r="20" spans="3:14" x14ac:dyDescent="0.35">
      <c r="C20" s="73"/>
      <c r="D20" s="73"/>
      <c r="E20" s="73"/>
      <c r="F20" s="73"/>
      <c r="G20" s="73"/>
      <c r="J20" s="17" t="s">
        <v>626</v>
      </c>
      <c r="K20" s="17">
        <v>330.12</v>
      </c>
      <c r="L20" s="17" t="s">
        <v>5</v>
      </c>
      <c r="M20" s="17">
        <v>1556215</v>
      </c>
      <c r="N20" s="17" t="s">
        <v>855</v>
      </c>
    </row>
    <row r="21" spans="3:14" x14ac:dyDescent="0.35">
      <c r="C21" s="73"/>
      <c r="D21" s="73"/>
      <c r="E21" s="73"/>
      <c r="F21" s="73"/>
      <c r="G21" s="73"/>
      <c r="J21" s="17" t="s">
        <v>636</v>
      </c>
      <c r="K21" s="17">
        <v>589.46</v>
      </c>
      <c r="L21" s="17" t="s">
        <v>5</v>
      </c>
      <c r="M21" s="17">
        <v>401203</v>
      </c>
      <c r="N21" s="17" t="s">
        <v>856</v>
      </c>
    </row>
    <row r="22" spans="3:14" x14ac:dyDescent="0.35">
      <c r="C22" s="73"/>
      <c r="D22" s="73"/>
      <c r="E22" s="73"/>
      <c r="F22" s="73"/>
      <c r="G22" s="73"/>
      <c r="J22" s="17" t="s">
        <v>666</v>
      </c>
      <c r="K22" s="17">
        <v>338.93</v>
      </c>
      <c r="L22" s="17" t="s">
        <v>5</v>
      </c>
      <c r="M22" s="17">
        <v>401438</v>
      </c>
      <c r="N22" s="17" t="s">
        <v>857</v>
      </c>
    </row>
    <row r="23" spans="3:14" x14ac:dyDescent="0.35">
      <c r="C23" s="73"/>
      <c r="D23" s="73"/>
      <c r="E23" s="73"/>
      <c r="F23" s="73"/>
      <c r="G23" s="73"/>
      <c r="J23" s="17" t="s">
        <v>683</v>
      </c>
      <c r="K23" s="17">
        <v>1584.84</v>
      </c>
      <c r="L23" s="17" t="s">
        <v>5</v>
      </c>
      <c r="M23" s="17">
        <v>1363386</v>
      </c>
      <c r="N23" s="17" t="s">
        <v>858</v>
      </c>
    </row>
    <row r="24" spans="3:14" x14ac:dyDescent="0.35">
      <c r="C24" s="73"/>
      <c r="D24" s="73"/>
      <c r="E24" s="73"/>
      <c r="F24" s="73"/>
      <c r="G24" s="73"/>
      <c r="J24" s="17" t="s">
        <v>716</v>
      </c>
      <c r="K24" s="17">
        <v>245.62</v>
      </c>
      <c r="L24" s="17" t="s">
        <v>5</v>
      </c>
      <c r="M24" s="17">
        <v>1173633</v>
      </c>
      <c r="N24" s="17" t="s">
        <v>859</v>
      </c>
    </row>
    <row r="25" spans="3:14" x14ac:dyDescent="0.35">
      <c r="C25" s="73"/>
      <c r="D25" s="73"/>
      <c r="E25" s="73"/>
      <c r="F25" s="73"/>
      <c r="G25" s="73"/>
      <c r="J25" s="17" t="s">
        <v>730</v>
      </c>
      <c r="K25" s="17">
        <v>9.82</v>
      </c>
      <c r="L25" s="17" t="s">
        <v>5</v>
      </c>
      <c r="M25" s="17">
        <v>258529050</v>
      </c>
      <c r="N25" s="17" t="s">
        <v>860</v>
      </c>
    </row>
    <row r="26" spans="3:14" x14ac:dyDescent="0.35">
      <c r="C26" s="73"/>
      <c r="D26" s="73"/>
      <c r="E26" s="73"/>
      <c r="F26" s="73"/>
      <c r="G26" s="73"/>
      <c r="J26" s="17" t="s">
        <v>774</v>
      </c>
      <c r="K26" s="17">
        <v>191.56</v>
      </c>
      <c r="L26" s="17" t="s">
        <v>5</v>
      </c>
      <c r="M26" s="17">
        <v>994318</v>
      </c>
      <c r="N26" s="17" t="s">
        <v>861</v>
      </c>
    </row>
    <row r="27" spans="3:14" x14ac:dyDescent="0.35">
      <c r="C27" s="73"/>
      <c r="D27" s="73"/>
      <c r="E27" s="73"/>
      <c r="F27" s="73"/>
      <c r="G27" s="73"/>
      <c r="J27" s="17" t="s">
        <v>349</v>
      </c>
      <c r="K27" s="17">
        <v>722.06</v>
      </c>
      <c r="L27" s="17" t="s">
        <v>5</v>
      </c>
      <c r="M27" s="17">
        <v>1501535</v>
      </c>
      <c r="N27" s="17" t="s">
        <v>862</v>
      </c>
    </row>
    <row r="28" spans="3:14" x14ac:dyDescent="0.35">
      <c r="C28" s="73"/>
      <c r="D28" s="73"/>
      <c r="E28" s="73"/>
      <c r="F28" s="73"/>
      <c r="G28" s="73"/>
      <c r="J28" s="17" t="s">
        <v>378</v>
      </c>
      <c r="K28" s="17">
        <v>372.39</v>
      </c>
      <c r="L28" s="17" t="s">
        <v>5</v>
      </c>
      <c r="M28" s="17">
        <v>290360157</v>
      </c>
      <c r="N28" s="17" t="s">
        <v>863</v>
      </c>
    </row>
    <row r="29" spans="3:14" x14ac:dyDescent="0.35">
      <c r="C29" s="73"/>
      <c r="D29" s="73"/>
      <c r="E29" s="73"/>
      <c r="F29" s="73"/>
      <c r="G29" s="73"/>
      <c r="J29" s="17" t="s">
        <v>382</v>
      </c>
      <c r="K29" s="17">
        <v>686.8</v>
      </c>
      <c r="L29" s="17" t="s">
        <v>5</v>
      </c>
      <c r="M29" s="17">
        <v>289386406</v>
      </c>
      <c r="N29" s="17" t="s">
        <v>864</v>
      </c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  <pageSetup paperSize="9" orientation="portrait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8"/>
  <dimension ref="C1:N90"/>
  <sheetViews>
    <sheetView zoomScale="63" workbookViewId="0">
      <selection activeCell="B13" sqref="B13:W49"/>
    </sheetView>
  </sheetViews>
  <sheetFormatPr baseColWidth="10" defaultColWidth="8.81640625" defaultRowHeight="14.5" x14ac:dyDescent="0.35"/>
  <cols>
    <col min="4" max="4" width="13.26953125" bestFit="1" customWidth="1"/>
    <col min="6" max="7" width="30.81640625" customWidth="1"/>
    <col min="11" max="11" width="8.81640625" bestFit="1" customWidth="1"/>
    <col min="13" max="13" width="12.54296875" bestFit="1" customWidth="1"/>
    <col min="17" max="17" width="8.81640625" bestFit="1" customWidth="1"/>
    <col min="19" max="19" width="8.81640625" bestFit="1" customWidth="1"/>
  </cols>
  <sheetData>
    <row r="1" spans="3:14" ht="21" customHeight="1" x14ac:dyDescent="0.35"/>
    <row r="3" spans="3:14" x14ac:dyDescent="0.35">
      <c r="C3" s="75" t="s">
        <v>70</v>
      </c>
      <c r="D3" s="67"/>
    </row>
    <row r="4" spans="3:14" x14ac:dyDescent="0.35">
      <c r="C4" s="73" t="s">
        <v>71</v>
      </c>
      <c r="D4" s="73">
        <f>SUM(D13:D132)</f>
        <v>-14927.410000000002</v>
      </c>
    </row>
    <row r="5" spans="3:14" x14ac:dyDescent="0.35">
      <c r="C5" s="17" t="s">
        <v>12</v>
      </c>
      <c r="D5" s="17">
        <f>SUM(K13:K54)</f>
        <v>33336.379999999997</v>
      </c>
    </row>
    <row r="6" spans="3:14" x14ac:dyDescent="0.35">
      <c r="C6" s="27" t="s">
        <v>1</v>
      </c>
      <c r="D6" s="27">
        <f>D4+D5</f>
        <v>18408.969999999994</v>
      </c>
    </row>
    <row r="11" spans="3:14" ht="39.6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43.5" x14ac:dyDescent="0.35">
      <c r="C13" s="73" t="s">
        <v>413</v>
      </c>
      <c r="D13" s="73">
        <v>-2318.1</v>
      </c>
      <c r="E13" s="73" t="s">
        <v>870</v>
      </c>
      <c r="F13" s="73">
        <v>37873170000</v>
      </c>
      <c r="G13" s="182" t="s">
        <v>904</v>
      </c>
      <c r="J13" s="17" t="s">
        <v>391</v>
      </c>
      <c r="K13" s="17">
        <v>1573.9</v>
      </c>
      <c r="L13" s="17" t="s">
        <v>5</v>
      </c>
      <c r="M13" s="17">
        <v>1098130</v>
      </c>
      <c r="N13" s="17" t="s">
        <v>930</v>
      </c>
    </row>
    <row r="14" spans="3:14" ht="29" x14ac:dyDescent="0.35">
      <c r="C14" s="73" t="s">
        <v>413</v>
      </c>
      <c r="D14" s="73">
        <v>-499</v>
      </c>
      <c r="E14" s="73" t="s">
        <v>870</v>
      </c>
      <c r="F14" s="73">
        <v>37873180000</v>
      </c>
      <c r="G14" s="182" t="s">
        <v>905</v>
      </c>
      <c r="J14" s="17" t="s">
        <v>403</v>
      </c>
      <c r="K14" s="17">
        <v>112</v>
      </c>
      <c r="L14" s="17" t="s">
        <v>5</v>
      </c>
      <c r="M14" s="17">
        <v>1029196</v>
      </c>
      <c r="N14" s="17" t="s">
        <v>931</v>
      </c>
    </row>
    <row r="15" spans="3:14" ht="29" x14ac:dyDescent="0.35">
      <c r="C15" s="73" t="s">
        <v>477</v>
      </c>
      <c r="D15" s="73">
        <v>-1215.1600000000001</v>
      </c>
      <c r="E15" s="73" t="s">
        <v>780</v>
      </c>
      <c r="F15" s="73">
        <v>10042670000</v>
      </c>
      <c r="G15" s="182" t="s">
        <v>906</v>
      </c>
      <c r="J15" s="17" t="s">
        <v>409</v>
      </c>
      <c r="K15" s="17">
        <v>281.99</v>
      </c>
      <c r="L15" s="17" t="s">
        <v>5</v>
      </c>
      <c r="M15" s="17">
        <v>271975255</v>
      </c>
      <c r="N15" s="17" t="s">
        <v>932</v>
      </c>
    </row>
    <row r="16" spans="3:14" ht="29" x14ac:dyDescent="0.35">
      <c r="C16" s="73" t="s">
        <v>487</v>
      </c>
      <c r="D16" s="78">
        <v>-127.6</v>
      </c>
      <c r="E16" s="79" t="s">
        <v>907</v>
      </c>
      <c r="F16" s="73">
        <v>24144760000</v>
      </c>
      <c r="G16" s="182" t="s">
        <v>908</v>
      </c>
      <c r="J16" s="17" t="s">
        <v>413</v>
      </c>
      <c r="K16" s="17">
        <v>5267.01</v>
      </c>
      <c r="L16" s="17" t="s">
        <v>5</v>
      </c>
      <c r="M16" s="17">
        <v>941210</v>
      </c>
      <c r="N16" s="17" t="s">
        <v>933</v>
      </c>
    </row>
    <row r="17" spans="3:14" ht="29" x14ac:dyDescent="0.35">
      <c r="C17" s="73" t="s">
        <v>487</v>
      </c>
      <c r="D17" s="73">
        <v>-1248</v>
      </c>
      <c r="E17" s="73" t="s">
        <v>909</v>
      </c>
      <c r="F17" s="73">
        <v>24144740000</v>
      </c>
      <c r="G17" s="182" t="s">
        <v>910</v>
      </c>
      <c r="J17" s="17" t="s">
        <v>413</v>
      </c>
      <c r="K17" s="17">
        <v>560</v>
      </c>
      <c r="L17" s="17" t="s">
        <v>5</v>
      </c>
      <c r="M17" s="17">
        <v>941210</v>
      </c>
      <c r="N17" s="17" t="s">
        <v>934</v>
      </c>
    </row>
    <row r="18" spans="3:14" ht="43.5" x14ac:dyDescent="0.35">
      <c r="C18" s="73" t="s">
        <v>492</v>
      </c>
      <c r="D18" s="79">
        <v>-50</v>
      </c>
      <c r="E18" s="73" t="s">
        <v>870</v>
      </c>
      <c r="F18" s="73">
        <v>94483080000</v>
      </c>
      <c r="G18" s="182" t="s">
        <v>911</v>
      </c>
      <c r="J18" s="17" t="s">
        <v>425</v>
      </c>
      <c r="K18" s="17">
        <v>67.790000000000006</v>
      </c>
      <c r="L18" s="17" t="s">
        <v>5</v>
      </c>
      <c r="M18" s="17">
        <v>816731</v>
      </c>
      <c r="N18" s="17" t="s">
        <v>935</v>
      </c>
    </row>
    <row r="19" spans="3:14" ht="29" x14ac:dyDescent="0.35">
      <c r="C19" s="73" t="s">
        <v>331</v>
      </c>
      <c r="D19" s="73">
        <v>-401.2</v>
      </c>
      <c r="E19" s="73" t="s">
        <v>870</v>
      </c>
      <c r="F19" s="73">
        <v>28111010000</v>
      </c>
      <c r="G19" s="182" t="s">
        <v>912</v>
      </c>
      <c r="J19" s="17" t="s">
        <v>445</v>
      </c>
      <c r="K19" s="17">
        <v>1842.11</v>
      </c>
      <c r="L19" s="17" t="s">
        <v>5</v>
      </c>
      <c r="M19" s="17">
        <v>930872</v>
      </c>
      <c r="N19" s="17" t="s">
        <v>936</v>
      </c>
    </row>
    <row r="20" spans="3:14" ht="29" x14ac:dyDescent="0.35">
      <c r="C20" s="73" t="s">
        <v>331</v>
      </c>
      <c r="D20" s="73">
        <v>-508.8</v>
      </c>
      <c r="E20" s="73" t="s">
        <v>909</v>
      </c>
      <c r="F20" s="73">
        <v>28111000000</v>
      </c>
      <c r="G20" s="182" t="s">
        <v>913</v>
      </c>
      <c r="J20" s="17" t="s">
        <v>445</v>
      </c>
      <c r="K20" s="17">
        <v>256.43</v>
      </c>
      <c r="L20" s="17" t="s">
        <v>5</v>
      </c>
      <c r="M20" s="17">
        <v>930835</v>
      </c>
      <c r="N20" s="17" t="s">
        <v>937</v>
      </c>
    </row>
    <row r="21" spans="3:14" ht="29" x14ac:dyDescent="0.35">
      <c r="C21" s="73" t="s">
        <v>507</v>
      </c>
      <c r="D21" s="73">
        <v>-186</v>
      </c>
      <c r="E21" s="73" t="s">
        <v>212</v>
      </c>
      <c r="F21" s="73">
        <v>96985710000</v>
      </c>
      <c r="G21" s="182" t="s">
        <v>914</v>
      </c>
      <c r="J21" s="17" t="s">
        <v>445</v>
      </c>
      <c r="K21" s="17">
        <v>612.08000000000004</v>
      </c>
      <c r="L21" s="17" t="s">
        <v>5</v>
      </c>
      <c r="M21" s="17">
        <v>930870</v>
      </c>
      <c r="N21" s="17" t="s">
        <v>938</v>
      </c>
    </row>
    <row r="22" spans="3:14" ht="29" x14ac:dyDescent="0.35">
      <c r="C22" s="73" t="s">
        <v>535</v>
      </c>
      <c r="D22" s="73">
        <v>-595.6</v>
      </c>
      <c r="E22" s="73" t="s">
        <v>870</v>
      </c>
      <c r="F22" s="73">
        <v>45035910000</v>
      </c>
      <c r="G22" s="182" t="s">
        <v>915</v>
      </c>
      <c r="J22" s="17" t="s">
        <v>459</v>
      </c>
      <c r="K22" s="17">
        <v>48.14</v>
      </c>
      <c r="L22" s="17" t="s">
        <v>5</v>
      </c>
      <c r="M22" s="17">
        <v>255004828</v>
      </c>
      <c r="N22" s="17" t="s">
        <v>939</v>
      </c>
    </row>
    <row r="23" spans="3:14" ht="29" x14ac:dyDescent="0.35">
      <c r="C23" s="73" t="s">
        <v>535</v>
      </c>
      <c r="D23" s="73">
        <v>-449</v>
      </c>
      <c r="E23" s="73" t="s">
        <v>870</v>
      </c>
      <c r="F23" s="73">
        <v>45035900000</v>
      </c>
      <c r="G23" s="182" t="s">
        <v>916</v>
      </c>
      <c r="J23" s="17" t="s">
        <v>461</v>
      </c>
      <c r="K23" s="17">
        <v>762.39</v>
      </c>
      <c r="L23" s="17" t="s">
        <v>5</v>
      </c>
      <c r="M23" s="17">
        <v>764382</v>
      </c>
      <c r="N23" s="17" t="s">
        <v>940</v>
      </c>
    </row>
    <row r="24" spans="3:14" ht="29" x14ac:dyDescent="0.35">
      <c r="C24" s="73" t="s">
        <v>535</v>
      </c>
      <c r="D24" s="73">
        <v>-295.45999999999998</v>
      </c>
      <c r="E24" s="73" t="s">
        <v>785</v>
      </c>
      <c r="F24" s="73">
        <v>45035880000</v>
      </c>
      <c r="G24" s="182" t="s">
        <v>917</v>
      </c>
      <c r="J24" s="17" t="s">
        <v>473</v>
      </c>
      <c r="K24" s="17">
        <v>2512.2800000000002</v>
      </c>
      <c r="L24" s="17" t="s">
        <v>5</v>
      </c>
      <c r="M24" s="17">
        <v>253415668</v>
      </c>
      <c r="N24" s="17" t="s">
        <v>941</v>
      </c>
    </row>
    <row r="25" spans="3:14" ht="29" x14ac:dyDescent="0.35">
      <c r="C25" s="73" t="s">
        <v>576</v>
      </c>
      <c r="D25" s="73">
        <v>-694.6</v>
      </c>
      <c r="E25" s="73" t="s">
        <v>780</v>
      </c>
      <c r="F25" s="73">
        <v>65069860000</v>
      </c>
      <c r="G25" s="182" t="s">
        <v>918</v>
      </c>
      <c r="J25" s="17" t="s">
        <v>501</v>
      </c>
      <c r="K25" s="17">
        <v>1354.82</v>
      </c>
      <c r="L25" s="17" t="s">
        <v>5</v>
      </c>
      <c r="M25" s="17">
        <v>831743</v>
      </c>
      <c r="N25" s="17" t="s">
        <v>942</v>
      </c>
    </row>
    <row r="26" spans="3:14" ht="29" x14ac:dyDescent="0.35">
      <c r="C26" s="73" t="s">
        <v>576</v>
      </c>
      <c r="D26" s="73">
        <v>-682.5</v>
      </c>
      <c r="E26" s="73" t="s">
        <v>212</v>
      </c>
      <c r="F26" s="73">
        <v>65069870000</v>
      </c>
      <c r="G26" s="182" t="s">
        <v>919</v>
      </c>
      <c r="J26" s="17" t="s">
        <v>519</v>
      </c>
      <c r="K26" s="17">
        <v>1150.47</v>
      </c>
      <c r="L26" s="17" t="s">
        <v>5</v>
      </c>
      <c r="M26" s="17">
        <v>881776</v>
      </c>
      <c r="N26" s="17" t="s">
        <v>943</v>
      </c>
    </row>
    <row r="27" spans="3:14" ht="29" x14ac:dyDescent="0.35">
      <c r="C27" s="73" t="s">
        <v>791</v>
      </c>
      <c r="D27" s="73">
        <v>-289</v>
      </c>
      <c r="E27" s="73" t="s">
        <v>212</v>
      </c>
      <c r="F27" s="73">
        <v>19136420000</v>
      </c>
      <c r="G27" s="182" t="s">
        <v>920</v>
      </c>
      <c r="J27" s="17" t="s">
        <v>551</v>
      </c>
      <c r="K27" s="17">
        <v>869.48</v>
      </c>
      <c r="L27" s="17" t="s">
        <v>5</v>
      </c>
      <c r="M27" s="17">
        <v>742447</v>
      </c>
      <c r="N27" s="17" t="s">
        <v>944</v>
      </c>
    </row>
    <row r="28" spans="3:14" ht="29" x14ac:dyDescent="0.35">
      <c r="C28" s="73" t="s">
        <v>37</v>
      </c>
      <c r="D28" s="73">
        <v>-1153.03</v>
      </c>
      <c r="E28" s="73" t="s">
        <v>212</v>
      </c>
      <c r="F28" s="73">
        <v>19204750000</v>
      </c>
      <c r="G28" s="182" t="s">
        <v>921</v>
      </c>
      <c r="J28" s="17" t="s">
        <v>576</v>
      </c>
      <c r="K28" s="17">
        <v>34.39</v>
      </c>
      <c r="L28" s="17" t="s">
        <v>5</v>
      </c>
      <c r="M28" s="17">
        <v>282255273</v>
      </c>
      <c r="N28" s="17" t="s">
        <v>945</v>
      </c>
    </row>
    <row r="29" spans="3:14" ht="29" x14ac:dyDescent="0.35">
      <c r="C29" s="73" t="s">
        <v>626</v>
      </c>
      <c r="D29" s="73">
        <v>-80.8</v>
      </c>
      <c r="E29" s="73" t="s">
        <v>212</v>
      </c>
      <c r="F29" s="73">
        <v>85429450000</v>
      </c>
      <c r="G29" s="182" t="s">
        <v>922</v>
      </c>
      <c r="J29" s="17" t="s">
        <v>583</v>
      </c>
      <c r="K29" s="17">
        <v>1492.36</v>
      </c>
      <c r="L29" s="17" t="s">
        <v>5</v>
      </c>
      <c r="M29" s="17">
        <v>338604</v>
      </c>
      <c r="N29" s="17" t="s">
        <v>946</v>
      </c>
    </row>
    <row r="30" spans="3:14" ht="29" x14ac:dyDescent="0.35">
      <c r="C30" s="73" t="s">
        <v>626</v>
      </c>
      <c r="D30" s="73">
        <v>-419.9</v>
      </c>
      <c r="E30" s="73" t="s">
        <v>212</v>
      </c>
      <c r="F30" s="73">
        <v>85429460000</v>
      </c>
      <c r="G30" s="182" t="s">
        <v>923</v>
      </c>
      <c r="J30" s="17" t="s">
        <v>585</v>
      </c>
      <c r="K30" s="17">
        <v>1266.3900000000001</v>
      </c>
      <c r="L30" s="17" t="s">
        <v>5</v>
      </c>
      <c r="M30" s="17">
        <v>1275771</v>
      </c>
      <c r="N30" s="17" t="s">
        <v>947</v>
      </c>
    </row>
    <row r="31" spans="3:14" ht="29" x14ac:dyDescent="0.35">
      <c r="C31" s="73" t="s">
        <v>626</v>
      </c>
      <c r="D31" s="73">
        <v>-429</v>
      </c>
      <c r="E31" s="73" t="s">
        <v>212</v>
      </c>
      <c r="F31" s="73">
        <v>85429440000</v>
      </c>
      <c r="G31" s="182" t="s">
        <v>924</v>
      </c>
      <c r="J31" s="17" t="s">
        <v>587</v>
      </c>
      <c r="K31" s="17">
        <v>1114.1600000000001</v>
      </c>
      <c r="L31" s="17" t="s">
        <v>5</v>
      </c>
      <c r="M31" s="17">
        <v>266677650</v>
      </c>
      <c r="N31" s="17" t="s">
        <v>948</v>
      </c>
    </row>
    <row r="32" spans="3:14" ht="29" x14ac:dyDescent="0.35">
      <c r="C32" s="73" t="s">
        <v>29</v>
      </c>
      <c r="D32" s="73">
        <v>-429</v>
      </c>
      <c r="E32" s="73" t="s">
        <v>212</v>
      </c>
      <c r="F32" s="73">
        <v>50597920000</v>
      </c>
      <c r="G32" s="182" t="s">
        <v>925</v>
      </c>
      <c r="J32" s="17" t="s">
        <v>601</v>
      </c>
      <c r="K32" s="17">
        <v>9.82</v>
      </c>
      <c r="L32" s="17" t="s">
        <v>5</v>
      </c>
      <c r="M32" s="17">
        <v>1169652</v>
      </c>
      <c r="N32" s="17" t="s">
        <v>949</v>
      </c>
    </row>
    <row r="33" spans="3:14" ht="29" x14ac:dyDescent="0.35">
      <c r="C33" s="73" t="s">
        <v>700</v>
      </c>
      <c r="D33" s="73">
        <v>-429</v>
      </c>
      <c r="E33" s="73" t="s">
        <v>212</v>
      </c>
      <c r="F33" s="73">
        <v>99450540000</v>
      </c>
      <c r="G33" s="182" t="s">
        <v>926</v>
      </c>
      <c r="J33" s="17" t="s">
        <v>601</v>
      </c>
      <c r="K33" s="17">
        <v>1681</v>
      </c>
      <c r="L33" s="17" t="s">
        <v>5</v>
      </c>
      <c r="M33" s="17">
        <v>1169651</v>
      </c>
      <c r="N33" s="17" t="s">
        <v>950</v>
      </c>
    </row>
    <row r="34" spans="3:14" ht="29" x14ac:dyDescent="0.35">
      <c r="C34" s="73" t="s">
        <v>708</v>
      </c>
      <c r="D34" s="73">
        <v>-122.7</v>
      </c>
      <c r="E34" s="73" t="s">
        <v>780</v>
      </c>
      <c r="F34" s="73">
        <v>90297910000</v>
      </c>
      <c r="G34" s="182" t="s">
        <v>927</v>
      </c>
      <c r="J34" s="17" t="s">
        <v>640</v>
      </c>
      <c r="K34" s="17">
        <v>14.74</v>
      </c>
      <c r="L34" s="17" t="s">
        <v>5</v>
      </c>
      <c r="M34" s="17">
        <v>280057954</v>
      </c>
      <c r="N34" s="17" t="s">
        <v>951</v>
      </c>
    </row>
    <row r="35" spans="3:14" ht="29" x14ac:dyDescent="0.35">
      <c r="C35" s="73" t="s">
        <v>708</v>
      </c>
      <c r="D35" s="73">
        <v>-122.7</v>
      </c>
      <c r="E35" s="73" t="s">
        <v>780</v>
      </c>
      <c r="F35" s="73">
        <v>90297880000</v>
      </c>
      <c r="G35" s="182" t="s">
        <v>927</v>
      </c>
      <c r="J35" s="17" t="s">
        <v>640</v>
      </c>
      <c r="K35" s="17">
        <v>62.88</v>
      </c>
      <c r="L35" s="17" t="s">
        <v>5</v>
      </c>
      <c r="M35" s="17">
        <v>280043272</v>
      </c>
      <c r="N35" s="17" t="s">
        <v>952</v>
      </c>
    </row>
    <row r="36" spans="3:14" ht="29" x14ac:dyDescent="0.35">
      <c r="C36" s="73" t="s">
        <v>758</v>
      </c>
      <c r="D36" s="73">
        <v>-212.96</v>
      </c>
      <c r="E36" s="73"/>
      <c r="F36" s="73">
        <v>130691942</v>
      </c>
      <c r="G36" s="182" t="s">
        <v>808</v>
      </c>
      <c r="J36" s="17" t="s">
        <v>646</v>
      </c>
      <c r="K36" s="17">
        <v>1180.96</v>
      </c>
      <c r="L36" s="17" t="s">
        <v>5</v>
      </c>
      <c r="M36" s="17">
        <v>1340307</v>
      </c>
      <c r="N36" s="17" t="s">
        <v>953</v>
      </c>
    </row>
    <row r="37" spans="3:14" ht="29" x14ac:dyDescent="0.35">
      <c r="C37" s="73" t="s">
        <v>332</v>
      </c>
      <c r="D37" s="73">
        <v>-1489.7</v>
      </c>
      <c r="E37" s="73" t="s">
        <v>212</v>
      </c>
      <c r="F37" s="73">
        <v>43075640000</v>
      </c>
      <c r="G37" s="182" t="s">
        <v>928</v>
      </c>
      <c r="J37" s="17" t="s">
        <v>648</v>
      </c>
      <c r="K37" s="17">
        <v>854.74</v>
      </c>
      <c r="L37" s="17" t="s">
        <v>5</v>
      </c>
      <c r="M37" s="17">
        <v>167980</v>
      </c>
      <c r="N37" s="17" t="s">
        <v>954</v>
      </c>
    </row>
    <row r="38" spans="3:14" ht="29" x14ac:dyDescent="0.35">
      <c r="C38" s="73" t="s">
        <v>332</v>
      </c>
      <c r="D38" s="73">
        <v>-478.6</v>
      </c>
      <c r="E38" s="73" t="s">
        <v>870</v>
      </c>
      <c r="F38" s="73">
        <v>43075630000</v>
      </c>
      <c r="G38" s="182" t="s">
        <v>929</v>
      </c>
      <c r="J38" s="17" t="s">
        <v>668</v>
      </c>
      <c r="K38" s="17">
        <v>826.26</v>
      </c>
      <c r="L38" s="17" t="s">
        <v>5</v>
      </c>
      <c r="M38" s="17">
        <v>280301</v>
      </c>
      <c r="N38" s="17" t="s">
        <v>955</v>
      </c>
    </row>
    <row r="39" spans="3:14" x14ac:dyDescent="0.35">
      <c r="C39" s="73"/>
      <c r="D39" s="73"/>
      <c r="E39" s="73"/>
      <c r="F39" s="73"/>
      <c r="G39" s="182"/>
      <c r="J39" s="17" t="s">
        <v>683</v>
      </c>
      <c r="K39" s="17">
        <v>1853.93</v>
      </c>
      <c r="L39" s="17" t="s">
        <v>5</v>
      </c>
      <c r="M39" s="17">
        <v>1363386</v>
      </c>
      <c r="N39" s="17" t="s">
        <v>956</v>
      </c>
    </row>
    <row r="40" spans="3:14" x14ac:dyDescent="0.35">
      <c r="C40" s="73"/>
      <c r="D40" s="73"/>
      <c r="E40" s="73"/>
      <c r="F40" s="73"/>
      <c r="G40" s="73"/>
      <c r="J40" s="17" t="s">
        <v>700</v>
      </c>
      <c r="K40" s="17">
        <v>1235.96</v>
      </c>
      <c r="L40" s="17" t="s">
        <v>5</v>
      </c>
      <c r="M40" s="17">
        <v>258165</v>
      </c>
      <c r="N40" s="17" t="s">
        <v>957</v>
      </c>
    </row>
    <row r="41" spans="3:14" x14ac:dyDescent="0.35">
      <c r="C41" s="73"/>
      <c r="D41" s="73"/>
      <c r="E41" s="73"/>
      <c r="F41" s="73"/>
      <c r="G41" s="73"/>
      <c r="J41" s="17" t="s">
        <v>720</v>
      </c>
      <c r="K41" s="17">
        <v>1135.75</v>
      </c>
      <c r="L41" s="17" t="s">
        <v>5</v>
      </c>
      <c r="M41" s="17">
        <v>277708359</v>
      </c>
      <c r="N41" s="17" t="s">
        <v>958</v>
      </c>
    </row>
    <row r="42" spans="3:14" x14ac:dyDescent="0.35">
      <c r="C42" s="73"/>
      <c r="D42" s="73"/>
      <c r="E42" s="73"/>
      <c r="F42" s="73"/>
      <c r="G42" s="73"/>
      <c r="J42" s="17" t="s">
        <v>724</v>
      </c>
      <c r="K42" s="17">
        <v>1712.44</v>
      </c>
      <c r="L42" s="17" t="s">
        <v>5</v>
      </c>
      <c r="M42" s="17">
        <v>125520</v>
      </c>
      <c r="N42" s="17" t="s">
        <v>959</v>
      </c>
    </row>
    <row r="43" spans="3:14" x14ac:dyDescent="0.35">
      <c r="C43" s="73"/>
      <c r="D43" s="73"/>
      <c r="E43" s="73"/>
      <c r="F43" s="73"/>
      <c r="G43" s="73"/>
      <c r="J43" s="17" t="s">
        <v>739</v>
      </c>
      <c r="K43" s="17">
        <v>702.49</v>
      </c>
      <c r="L43" s="17" t="s">
        <v>5</v>
      </c>
      <c r="M43" s="17">
        <v>1165039</v>
      </c>
      <c r="N43" s="17" t="s">
        <v>960</v>
      </c>
    </row>
    <row r="44" spans="3:14" x14ac:dyDescent="0.35">
      <c r="C44" s="73"/>
      <c r="D44" s="73"/>
      <c r="E44" s="73"/>
      <c r="F44" s="73"/>
      <c r="G44" s="73"/>
      <c r="J44" s="17" t="s">
        <v>772</v>
      </c>
      <c r="K44" s="17">
        <v>887.22</v>
      </c>
      <c r="L44" s="17" t="s">
        <v>5</v>
      </c>
      <c r="M44" s="17">
        <v>273201053</v>
      </c>
      <c r="N44" s="17" t="s">
        <v>961</v>
      </c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9"/>
  <dimension ref="C3:N90"/>
  <sheetViews>
    <sheetView zoomScale="56" zoomScaleNormal="57" workbookViewId="0">
      <selection activeCell="B13" sqref="B13:AC32"/>
    </sheetView>
  </sheetViews>
  <sheetFormatPr baseColWidth="10" defaultColWidth="8.7265625" defaultRowHeight="14.5" x14ac:dyDescent="0.35"/>
  <cols>
    <col min="2" max="2" width="15.81640625" customWidth="1"/>
    <col min="5" max="5" width="16.453125" customWidth="1"/>
  </cols>
  <sheetData>
    <row r="3" spans="3:14" x14ac:dyDescent="0.35">
      <c r="C3" s="75" t="s">
        <v>70</v>
      </c>
      <c r="D3" s="67"/>
    </row>
    <row r="4" spans="3:14" x14ac:dyDescent="0.35">
      <c r="C4" s="73" t="s">
        <v>71</v>
      </c>
      <c r="D4" s="73">
        <f>SUM(K13:K30)</f>
        <v>0</v>
      </c>
    </row>
    <row r="5" spans="3:14" x14ac:dyDescent="0.35">
      <c r="C5" s="17" t="s">
        <v>12</v>
      </c>
      <c r="D5" s="17">
        <f>SUM(D13:D59)</f>
        <v>21336</v>
      </c>
    </row>
    <row r="6" spans="3:14" x14ac:dyDescent="0.35">
      <c r="C6" s="27" t="s">
        <v>1</v>
      </c>
      <c r="D6" s="27">
        <f>D4+D5</f>
        <v>21336</v>
      </c>
    </row>
    <row r="11" spans="3:14" ht="39.65" customHeight="1" x14ac:dyDescent="0.9">
      <c r="C11" s="77" t="s">
        <v>12</v>
      </c>
    </row>
    <row r="12" spans="3:14" x14ac:dyDescent="0.35">
      <c r="C12" s="8" t="s">
        <v>21</v>
      </c>
      <c r="D12" s="8" t="s">
        <v>22</v>
      </c>
      <c r="E12" s="8" t="s">
        <v>23</v>
      </c>
      <c r="F12" s="8" t="s">
        <v>24</v>
      </c>
      <c r="G12" s="8" t="s">
        <v>25</v>
      </c>
      <c r="J12" t="s">
        <v>21</v>
      </c>
      <c r="K12" t="s">
        <v>26</v>
      </c>
      <c r="L12" t="s">
        <v>23</v>
      </c>
      <c r="M12" t="s">
        <v>24</v>
      </c>
      <c r="N12" t="s">
        <v>25</v>
      </c>
    </row>
    <row r="13" spans="3:14" ht="101.5" x14ac:dyDescent="0.35">
      <c r="C13" s="17" t="s">
        <v>401</v>
      </c>
      <c r="D13" s="17">
        <v>2300</v>
      </c>
      <c r="E13" s="17" t="s">
        <v>5</v>
      </c>
      <c r="F13" s="17">
        <v>788577</v>
      </c>
      <c r="G13" s="207" t="s">
        <v>888</v>
      </c>
    </row>
    <row r="14" spans="3:14" x14ac:dyDescent="0.35">
      <c r="C14" s="17" t="s">
        <v>413</v>
      </c>
      <c r="D14" s="17">
        <v>1877</v>
      </c>
      <c r="E14" s="17" t="s">
        <v>5</v>
      </c>
      <c r="F14" s="17">
        <v>533860</v>
      </c>
      <c r="G14" s="17" t="s">
        <v>889</v>
      </c>
    </row>
    <row r="15" spans="3:14" x14ac:dyDescent="0.35">
      <c r="C15" s="17" t="s">
        <v>505</v>
      </c>
      <c r="D15" s="17">
        <v>1819</v>
      </c>
      <c r="E15" s="17" t="s">
        <v>5</v>
      </c>
      <c r="F15" s="17">
        <v>905464</v>
      </c>
      <c r="G15" s="207" t="s">
        <v>890</v>
      </c>
    </row>
    <row r="16" spans="3:14" ht="101.5" x14ac:dyDescent="0.35">
      <c r="C16" s="17" t="s">
        <v>549</v>
      </c>
      <c r="D16" s="17">
        <v>611</v>
      </c>
      <c r="E16" s="17" t="s">
        <v>5</v>
      </c>
      <c r="F16" s="17">
        <v>334208</v>
      </c>
      <c r="G16" s="207" t="s">
        <v>891</v>
      </c>
    </row>
    <row r="17" spans="3:7" ht="101.5" x14ac:dyDescent="0.35">
      <c r="C17" s="17" t="s">
        <v>567</v>
      </c>
      <c r="D17" s="17">
        <v>1317</v>
      </c>
      <c r="E17" s="17" t="s">
        <v>5</v>
      </c>
      <c r="F17" s="17">
        <v>779272</v>
      </c>
      <c r="G17" s="207" t="s">
        <v>892</v>
      </c>
    </row>
    <row r="18" spans="3:7" ht="101.5" x14ac:dyDescent="0.35">
      <c r="C18" s="17" t="s">
        <v>893</v>
      </c>
      <c r="D18" s="17">
        <v>796</v>
      </c>
      <c r="E18" s="17" t="s">
        <v>5</v>
      </c>
      <c r="F18" s="17">
        <v>133508</v>
      </c>
      <c r="G18" s="207" t="s">
        <v>894</v>
      </c>
    </row>
    <row r="19" spans="3:7" ht="101.5" x14ac:dyDescent="0.35">
      <c r="C19" s="17" t="s">
        <v>609</v>
      </c>
      <c r="D19" s="17">
        <v>630</v>
      </c>
      <c r="E19" s="17" t="s">
        <v>5</v>
      </c>
      <c r="F19" s="17">
        <v>919703</v>
      </c>
      <c r="G19" s="207" t="s">
        <v>895</v>
      </c>
    </row>
    <row r="20" spans="3:7" ht="29" x14ac:dyDescent="0.35">
      <c r="C20" s="17" t="s">
        <v>626</v>
      </c>
      <c r="D20" s="17">
        <v>3568</v>
      </c>
      <c r="E20" s="17" t="s">
        <v>5</v>
      </c>
      <c r="F20" s="17">
        <v>242304</v>
      </c>
      <c r="G20" s="207" t="s">
        <v>896</v>
      </c>
    </row>
    <row r="21" spans="3:7" ht="101.5" x14ac:dyDescent="0.35">
      <c r="C21" s="17" t="s">
        <v>664</v>
      </c>
      <c r="D21" s="17">
        <v>417</v>
      </c>
      <c r="E21" s="17" t="s">
        <v>5</v>
      </c>
      <c r="F21" s="17">
        <v>945753</v>
      </c>
      <c r="G21" s="207" t="s">
        <v>897</v>
      </c>
    </row>
    <row r="22" spans="3:7" ht="72.5" x14ac:dyDescent="0.35">
      <c r="C22" s="17" t="s">
        <v>712</v>
      </c>
      <c r="D22" s="17">
        <v>3205</v>
      </c>
      <c r="E22" s="17" t="s">
        <v>5</v>
      </c>
      <c r="F22" s="17">
        <v>112657</v>
      </c>
      <c r="G22" s="207" t="s">
        <v>898</v>
      </c>
    </row>
    <row r="23" spans="3:7" ht="101.5" x14ac:dyDescent="0.35">
      <c r="C23" s="17" t="s">
        <v>899</v>
      </c>
      <c r="D23" s="17">
        <v>650</v>
      </c>
      <c r="E23" s="17" t="s">
        <v>5</v>
      </c>
      <c r="F23" s="17">
        <v>104080</v>
      </c>
      <c r="G23" s="207" t="s">
        <v>900</v>
      </c>
    </row>
    <row r="24" spans="3:7" ht="101.5" x14ac:dyDescent="0.35">
      <c r="C24" s="17" t="s">
        <v>722</v>
      </c>
      <c r="D24" s="17">
        <v>945</v>
      </c>
      <c r="E24" s="17" t="s">
        <v>5</v>
      </c>
      <c r="F24" s="17">
        <v>235516</v>
      </c>
      <c r="G24" s="207" t="s">
        <v>901</v>
      </c>
    </row>
    <row r="25" spans="3:7" ht="101.5" x14ac:dyDescent="0.35">
      <c r="C25" s="17" t="s">
        <v>730</v>
      </c>
      <c r="D25" s="17">
        <v>2007</v>
      </c>
      <c r="E25" s="17" t="s">
        <v>5</v>
      </c>
      <c r="F25" s="17">
        <v>496420</v>
      </c>
      <c r="G25" s="207" t="s">
        <v>902</v>
      </c>
    </row>
    <row r="26" spans="3:7" ht="101.5" x14ac:dyDescent="0.35">
      <c r="C26" s="17" t="s">
        <v>372</v>
      </c>
      <c r="D26" s="17">
        <v>1194</v>
      </c>
      <c r="E26" s="17" t="s">
        <v>5</v>
      </c>
      <c r="F26" s="17">
        <v>935987</v>
      </c>
      <c r="G26" s="207" t="s">
        <v>903</v>
      </c>
    </row>
    <row r="27" spans="3:7" x14ac:dyDescent="0.35">
      <c r="C27" s="17"/>
      <c r="D27" s="17"/>
      <c r="E27" s="17"/>
      <c r="F27" s="17"/>
      <c r="G27" s="17"/>
    </row>
    <row r="28" spans="3:7" x14ac:dyDescent="0.35">
      <c r="C28" s="17"/>
      <c r="D28" s="17"/>
      <c r="E28" s="17"/>
      <c r="F28" s="17"/>
      <c r="G28" s="17"/>
    </row>
    <row r="29" spans="3:7" x14ac:dyDescent="0.35">
      <c r="C29" s="17"/>
      <c r="D29" s="17"/>
      <c r="E29" s="17"/>
      <c r="F29" s="17"/>
      <c r="G29" s="17"/>
    </row>
    <row r="30" spans="3:7" x14ac:dyDescent="0.35">
      <c r="C30" s="17"/>
      <c r="D30" s="17"/>
      <c r="E30" s="17"/>
      <c r="F30" s="17"/>
      <c r="G30" s="17"/>
    </row>
    <row r="31" spans="3:7" x14ac:dyDescent="0.35">
      <c r="C31" s="17"/>
      <c r="D31" s="17"/>
      <c r="E31" s="17"/>
      <c r="F31" s="17"/>
      <c r="G31" s="17"/>
    </row>
    <row r="32" spans="3:7" x14ac:dyDescent="0.35">
      <c r="C32" s="17"/>
      <c r="D32" s="17"/>
      <c r="E32" s="17"/>
      <c r="F32" s="17"/>
      <c r="G32" s="17"/>
    </row>
    <row r="33" spans="3:7" x14ac:dyDescent="0.35">
      <c r="C33" s="17"/>
      <c r="D33" s="17"/>
      <c r="E33" s="17"/>
      <c r="F33" s="17"/>
      <c r="G33" s="17"/>
    </row>
    <row r="34" spans="3:7" x14ac:dyDescent="0.35">
      <c r="C34" s="17"/>
      <c r="D34" s="17"/>
      <c r="E34" s="17"/>
      <c r="F34" s="17"/>
      <c r="G34" s="17"/>
    </row>
    <row r="35" spans="3:7" x14ac:dyDescent="0.35">
      <c r="C35" s="17"/>
      <c r="D35" s="17"/>
      <c r="E35" s="17"/>
      <c r="F35" s="17"/>
      <c r="G35" s="17"/>
    </row>
    <row r="36" spans="3:7" x14ac:dyDescent="0.35">
      <c r="C36" s="17"/>
      <c r="D36" s="17"/>
      <c r="E36" s="17"/>
      <c r="F36" s="17"/>
      <c r="G36" s="17"/>
    </row>
    <row r="37" spans="3:7" x14ac:dyDescent="0.35">
      <c r="C37" s="17"/>
      <c r="D37" s="17"/>
      <c r="E37" s="17"/>
      <c r="F37" s="17"/>
      <c r="G37" s="17"/>
    </row>
    <row r="38" spans="3:7" x14ac:dyDescent="0.35">
      <c r="C38" s="17"/>
      <c r="D38" s="17"/>
      <c r="E38" s="17"/>
      <c r="F38" s="17"/>
      <c r="G38" s="17"/>
    </row>
    <row r="39" spans="3:7" x14ac:dyDescent="0.35">
      <c r="C39" s="17"/>
      <c r="D39" s="17"/>
      <c r="E39" s="17"/>
      <c r="F39" s="17"/>
      <c r="G39" s="17"/>
    </row>
    <row r="40" spans="3:7" x14ac:dyDescent="0.35">
      <c r="C40" s="17"/>
      <c r="D40" s="17"/>
      <c r="E40" s="17"/>
      <c r="F40" s="17"/>
      <c r="G40" s="17"/>
    </row>
    <row r="41" spans="3:7" x14ac:dyDescent="0.35">
      <c r="C41" s="17"/>
      <c r="D41" s="17"/>
      <c r="E41" s="17"/>
      <c r="F41" s="17"/>
      <c r="G41" s="17"/>
    </row>
    <row r="42" spans="3:7" x14ac:dyDescent="0.35">
      <c r="C42" s="17"/>
      <c r="D42" s="17"/>
      <c r="E42" s="17"/>
      <c r="F42" s="17"/>
      <c r="G42" s="17"/>
    </row>
    <row r="43" spans="3:7" x14ac:dyDescent="0.35">
      <c r="C43" s="17"/>
      <c r="D43" s="17"/>
      <c r="E43" s="17"/>
      <c r="F43" s="17"/>
      <c r="G43" s="17"/>
    </row>
    <row r="44" spans="3:7" x14ac:dyDescent="0.35">
      <c r="C44" s="17"/>
      <c r="D44" s="17"/>
      <c r="E44" s="17"/>
      <c r="F44" s="17"/>
      <c r="G44" s="17"/>
    </row>
    <row r="45" spans="3:7" x14ac:dyDescent="0.35">
      <c r="C45" s="17"/>
      <c r="D45" s="17"/>
      <c r="E45" s="17"/>
      <c r="F45" s="17"/>
      <c r="G45" s="17"/>
    </row>
    <row r="46" spans="3:7" x14ac:dyDescent="0.35">
      <c r="C46" s="17"/>
      <c r="D46" s="17"/>
      <c r="E46" s="17"/>
      <c r="F46" s="17"/>
      <c r="G46" s="17"/>
    </row>
    <row r="47" spans="3:7" x14ac:dyDescent="0.35">
      <c r="C47" s="17"/>
      <c r="D47" s="17"/>
      <c r="E47" s="17"/>
      <c r="F47" s="17"/>
      <c r="G47" s="17"/>
    </row>
    <row r="48" spans="3:7" x14ac:dyDescent="0.35">
      <c r="C48" s="17"/>
      <c r="D48" s="17"/>
      <c r="E48" s="17"/>
      <c r="F48" s="17"/>
      <c r="G48" s="17"/>
    </row>
    <row r="49" spans="3:7" x14ac:dyDescent="0.35">
      <c r="C49" s="17"/>
      <c r="D49" s="17"/>
      <c r="E49" s="17"/>
      <c r="F49" s="17"/>
      <c r="G49" s="17"/>
    </row>
    <row r="50" spans="3:7" x14ac:dyDescent="0.35">
      <c r="C50" s="17"/>
      <c r="D50" s="17"/>
      <c r="E50" s="17"/>
      <c r="F50" s="17"/>
      <c r="G50" s="17"/>
    </row>
    <row r="51" spans="3:7" x14ac:dyDescent="0.35">
      <c r="C51" s="17"/>
      <c r="D51" s="17"/>
      <c r="E51" s="17"/>
      <c r="F51" s="17"/>
      <c r="G51" s="17"/>
    </row>
    <row r="52" spans="3:7" x14ac:dyDescent="0.35">
      <c r="C52" s="17"/>
      <c r="D52" s="17"/>
      <c r="E52" s="17"/>
      <c r="F52" s="17"/>
      <c r="G52" s="17"/>
    </row>
    <row r="53" spans="3:7" x14ac:dyDescent="0.35">
      <c r="C53" s="17"/>
      <c r="D53" s="17"/>
      <c r="E53" s="17"/>
      <c r="F53" s="17"/>
      <c r="G53" s="17"/>
    </row>
    <row r="54" spans="3:7" x14ac:dyDescent="0.35">
      <c r="C54" s="17"/>
      <c r="D54" s="17"/>
      <c r="E54" s="17"/>
      <c r="F54" s="17"/>
      <c r="G54" s="17"/>
    </row>
    <row r="55" spans="3:7" x14ac:dyDescent="0.35">
      <c r="C55" s="17"/>
      <c r="D55" s="17"/>
      <c r="E55" s="17"/>
      <c r="F55" s="17"/>
      <c r="G55" s="17"/>
    </row>
    <row r="56" spans="3:7" x14ac:dyDescent="0.35">
      <c r="C56" s="17"/>
      <c r="D56" s="17"/>
      <c r="E56" s="17"/>
      <c r="F56" s="17"/>
      <c r="G56" s="17"/>
    </row>
    <row r="57" spans="3:7" x14ac:dyDescent="0.35">
      <c r="C57" s="17"/>
      <c r="D57" s="17"/>
      <c r="E57" s="17"/>
      <c r="F57" s="17"/>
      <c r="G57" s="17"/>
    </row>
    <row r="58" spans="3:7" x14ac:dyDescent="0.35">
      <c r="C58" s="17"/>
      <c r="D58" s="17"/>
      <c r="E58" s="17"/>
      <c r="F58" s="17"/>
      <c r="G58" s="17"/>
    </row>
    <row r="59" spans="3:7" x14ac:dyDescent="0.35">
      <c r="C59" s="17"/>
      <c r="D59" s="17"/>
      <c r="E59" s="17"/>
      <c r="F59" s="17"/>
      <c r="G59" s="17"/>
    </row>
    <row r="60" spans="3:7" x14ac:dyDescent="0.35">
      <c r="C60" s="17"/>
      <c r="D60" s="17"/>
      <c r="E60" s="17"/>
      <c r="F60" s="17"/>
      <c r="G60" s="17"/>
    </row>
    <row r="61" spans="3:7" x14ac:dyDescent="0.35">
      <c r="C61" s="17"/>
      <c r="D61" s="17"/>
      <c r="E61" s="17"/>
      <c r="F61" s="17"/>
      <c r="G61" s="17"/>
    </row>
    <row r="62" spans="3:7" x14ac:dyDescent="0.35">
      <c r="C62" s="17"/>
      <c r="D62" s="17"/>
      <c r="E62" s="17"/>
      <c r="F62" s="17"/>
      <c r="G62" s="17"/>
    </row>
    <row r="63" spans="3:7" x14ac:dyDescent="0.35">
      <c r="C63" s="17"/>
      <c r="D63" s="17"/>
      <c r="E63" s="17"/>
      <c r="F63" s="17"/>
      <c r="G63" s="17"/>
    </row>
    <row r="64" spans="3:7" x14ac:dyDescent="0.35">
      <c r="C64" s="17"/>
      <c r="D64" s="17"/>
      <c r="E64" s="17"/>
      <c r="F64" s="17"/>
      <c r="G64" s="17"/>
    </row>
    <row r="65" spans="3:7" x14ac:dyDescent="0.35">
      <c r="C65" s="17"/>
      <c r="D65" s="17"/>
      <c r="E65" s="17"/>
      <c r="F65" s="17"/>
      <c r="G65" s="17"/>
    </row>
    <row r="66" spans="3:7" x14ac:dyDescent="0.35">
      <c r="C66" s="17"/>
      <c r="D66" s="17"/>
      <c r="E66" s="17"/>
      <c r="F66" s="17"/>
      <c r="G66" s="17"/>
    </row>
    <row r="67" spans="3:7" x14ac:dyDescent="0.35">
      <c r="C67" s="17"/>
      <c r="D67" s="17"/>
      <c r="E67" s="17"/>
      <c r="F67" s="17"/>
      <c r="G67" s="17"/>
    </row>
    <row r="68" spans="3:7" x14ac:dyDescent="0.35">
      <c r="C68" s="17"/>
      <c r="D68" s="17"/>
      <c r="E68" s="17"/>
      <c r="F68" s="17"/>
      <c r="G68" s="17"/>
    </row>
    <row r="69" spans="3:7" x14ac:dyDescent="0.35">
      <c r="C69" s="17"/>
      <c r="D69" s="17"/>
      <c r="E69" s="17"/>
      <c r="F69" s="17"/>
      <c r="G69" s="17"/>
    </row>
    <row r="70" spans="3:7" x14ac:dyDescent="0.35">
      <c r="C70" s="17"/>
      <c r="D70" s="17"/>
      <c r="E70" s="17"/>
      <c r="F70" s="17"/>
      <c r="G70" s="17"/>
    </row>
    <row r="71" spans="3:7" x14ac:dyDescent="0.35">
      <c r="C71" s="17"/>
      <c r="D71" s="17"/>
      <c r="E71" s="17"/>
      <c r="F71" s="17"/>
      <c r="G71" s="17"/>
    </row>
    <row r="72" spans="3:7" x14ac:dyDescent="0.35">
      <c r="C72" s="17"/>
      <c r="D72" s="17"/>
      <c r="E72" s="17"/>
      <c r="F72" s="17"/>
      <c r="G72" s="17"/>
    </row>
    <row r="73" spans="3:7" x14ac:dyDescent="0.35">
      <c r="C73" s="17"/>
      <c r="D73" s="17"/>
      <c r="E73" s="17"/>
      <c r="F73" s="17"/>
      <c r="G73" s="17"/>
    </row>
    <row r="74" spans="3:7" x14ac:dyDescent="0.35">
      <c r="C74" s="17"/>
      <c r="D74" s="17"/>
      <c r="E74" s="17"/>
      <c r="F74" s="17"/>
      <c r="G74" s="17"/>
    </row>
    <row r="75" spans="3:7" x14ac:dyDescent="0.35">
      <c r="C75" s="17"/>
      <c r="D75" s="17"/>
      <c r="E75" s="17"/>
      <c r="F75" s="17"/>
      <c r="G75" s="17"/>
    </row>
    <row r="76" spans="3:7" x14ac:dyDescent="0.35">
      <c r="C76" s="17"/>
      <c r="D76" s="17"/>
      <c r="E76" s="17"/>
      <c r="F76" s="17"/>
      <c r="G76" s="17"/>
    </row>
    <row r="77" spans="3:7" x14ac:dyDescent="0.35">
      <c r="C77" s="17"/>
      <c r="D77" s="17"/>
      <c r="E77" s="17"/>
      <c r="F77" s="17"/>
      <c r="G77" s="17"/>
    </row>
    <row r="78" spans="3:7" x14ac:dyDescent="0.35">
      <c r="C78" s="17"/>
      <c r="D78" s="17"/>
      <c r="E78" s="17"/>
      <c r="F78" s="17"/>
      <c r="G78" s="17"/>
    </row>
    <row r="79" spans="3:7" x14ac:dyDescent="0.35">
      <c r="C79" s="17"/>
      <c r="D79" s="17"/>
      <c r="E79" s="17"/>
      <c r="F79" s="17"/>
      <c r="G79" s="17"/>
    </row>
    <row r="80" spans="3:7" x14ac:dyDescent="0.35">
      <c r="C80" s="17"/>
      <c r="D80" s="17"/>
      <c r="E80" s="17"/>
      <c r="F80" s="17"/>
      <c r="G80" s="17"/>
    </row>
    <row r="81" spans="3:7" x14ac:dyDescent="0.35">
      <c r="C81" s="17"/>
      <c r="D81" s="17"/>
      <c r="E81" s="17"/>
      <c r="F81" s="17"/>
      <c r="G81" s="17"/>
    </row>
    <row r="82" spans="3:7" x14ac:dyDescent="0.35">
      <c r="C82" s="17"/>
      <c r="D82" s="17"/>
      <c r="E82" s="17"/>
      <c r="F82" s="17"/>
      <c r="G82" s="17"/>
    </row>
    <row r="83" spans="3:7" x14ac:dyDescent="0.35">
      <c r="C83" s="17"/>
      <c r="D83" s="17"/>
      <c r="E83" s="17"/>
      <c r="F83" s="17"/>
      <c r="G83" s="17"/>
    </row>
    <row r="84" spans="3:7" x14ac:dyDescent="0.35">
      <c r="C84" s="17"/>
      <c r="D84" s="17"/>
      <c r="E84" s="17"/>
      <c r="F84" s="17"/>
      <c r="G84" s="17"/>
    </row>
    <row r="85" spans="3:7" x14ac:dyDescent="0.35">
      <c r="C85" s="17"/>
      <c r="D85" s="17"/>
      <c r="E85" s="17"/>
      <c r="F85" s="17"/>
      <c r="G85" s="17"/>
    </row>
    <row r="86" spans="3:7" x14ac:dyDescent="0.35">
      <c r="C86" s="17"/>
      <c r="D86" s="17"/>
      <c r="E86" s="17"/>
      <c r="F86" s="17"/>
      <c r="G86" s="17"/>
    </row>
    <row r="87" spans="3:7" x14ac:dyDescent="0.35">
      <c r="C87" s="17"/>
      <c r="D87" s="17"/>
      <c r="E87" s="17"/>
      <c r="F87" s="17"/>
      <c r="G87" s="17"/>
    </row>
    <row r="88" spans="3:7" x14ac:dyDescent="0.35">
      <c r="C88" s="17"/>
      <c r="D88" s="17"/>
      <c r="E88" s="17"/>
      <c r="F88" s="17"/>
      <c r="G88" s="17"/>
    </row>
    <row r="89" spans="3:7" x14ac:dyDescent="0.35">
      <c r="C89" s="17"/>
      <c r="D89" s="17"/>
      <c r="E89" s="17"/>
      <c r="F89" s="17"/>
      <c r="G89" s="17"/>
    </row>
    <row r="90" spans="3:7" x14ac:dyDescent="0.35">
      <c r="C90" s="17"/>
      <c r="D90" s="17"/>
      <c r="E90" s="17"/>
      <c r="F90" s="17"/>
      <c r="G90" s="17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26"/>
  <dimension ref="C3:O90"/>
  <sheetViews>
    <sheetView zoomScale="51" zoomScaleNormal="100" workbookViewId="0">
      <selection activeCell="B13" sqref="B13:Q22"/>
    </sheetView>
  </sheetViews>
  <sheetFormatPr baseColWidth="10" defaultColWidth="10.81640625" defaultRowHeight="14.5" x14ac:dyDescent="0.35"/>
  <cols>
    <col min="2" max="2" width="15.453125" customWidth="1"/>
    <col min="4" max="4" width="11.1796875" bestFit="1" customWidth="1"/>
    <col min="5" max="5" width="11" bestFit="1" customWidth="1"/>
    <col min="6" max="6" width="20.1796875" bestFit="1" customWidth="1"/>
    <col min="11" max="11" width="11.1796875" bestFit="1" customWidth="1"/>
    <col min="13" max="13" width="11.453125" bestFit="1" customWidth="1"/>
  </cols>
  <sheetData>
    <row r="3" spans="3:15" x14ac:dyDescent="0.35">
      <c r="D3" s="75" t="s">
        <v>70</v>
      </c>
      <c r="E3" s="67"/>
    </row>
    <row r="4" spans="3:15" x14ac:dyDescent="0.35">
      <c r="D4" s="73" t="s">
        <v>71</v>
      </c>
      <c r="E4" s="73">
        <f>SUM(D13:D40)</f>
        <v>-13105</v>
      </c>
      <c r="H4">
        <f>K13+E4</f>
        <v>85074.11</v>
      </c>
    </row>
    <row r="5" spans="3:15" x14ac:dyDescent="0.35">
      <c r="D5" s="17" t="s">
        <v>12</v>
      </c>
      <c r="E5" s="17">
        <f>SUM(K13:K50)</f>
        <v>150101.28</v>
      </c>
    </row>
    <row r="6" spans="3:15" x14ac:dyDescent="0.35">
      <c r="D6" s="27" t="s">
        <v>1</v>
      </c>
      <c r="E6" s="27">
        <f>E4+E5</f>
        <v>136996.28</v>
      </c>
    </row>
    <row r="11" spans="3:15" ht="39.65" customHeight="1" x14ac:dyDescent="0.9">
      <c r="D11" s="77" t="s">
        <v>14</v>
      </c>
      <c r="K11" s="77" t="s">
        <v>12</v>
      </c>
    </row>
    <row r="12" spans="3:15" x14ac:dyDescent="0.35">
      <c r="C12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H12" s="74" t="s">
        <v>25</v>
      </c>
      <c r="J12" t="s">
        <v>21</v>
      </c>
      <c r="K12" s="8" t="s">
        <v>22</v>
      </c>
      <c r="L12" s="8" t="s">
        <v>23</v>
      </c>
      <c r="M12" s="8" t="s">
        <v>24</v>
      </c>
      <c r="N12" s="8" t="s">
        <v>25</v>
      </c>
      <c r="O12" s="8" t="s">
        <v>25</v>
      </c>
    </row>
    <row r="13" spans="3:15" ht="58" x14ac:dyDescent="0.35">
      <c r="C13" t="s">
        <v>331</v>
      </c>
      <c r="D13" s="73">
        <v>-766.8</v>
      </c>
      <c r="E13" s="73" t="s">
        <v>972</v>
      </c>
      <c r="F13" s="73">
        <v>28110970000</v>
      </c>
      <c r="G13" s="182" t="s">
        <v>986</v>
      </c>
      <c r="H13" s="73"/>
      <c r="J13" t="s">
        <v>473</v>
      </c>
      <c r="K13" s="17">
        <v>98179.11</v>
      </c>
      <c r="L13" s="17" t="s">
        <v>5</v>
      </c>
      <c r="M13" s="17">
        <v>253415596</v>
      </c>
      <c r="N13" s="17" t="s">
        <v>994</v>
      </c>
      <c r="O13" s="17"/>
    </row>
    <row r="14" spans="3:15" ht="58" x14ac:dyDescent="0.35">
      <c r="C14" t="s">
        <v>331</v>
      </c>
      <c r="D14" s="73">
        <v>-501.05</v>
      </c>
      <c r="E14" s="73" t="s">
        <v>987</v>
      </c>
      <c r="F14" s="73">
        <v>28110990000</v>
      </c>
      <c r="G14" s="182" t="s">
        <v>988</v>
      </c>
      <c r="H14" s="73"/>
      <c r="J14" t="s">
        <v>553</v>
      </c>
      <c r="K14" s="17">
        <v>294.75</v>
      </c>
      <c r="L14" s="17" t="s">
        <v>5</v>
      </c>
      <c r="M14" s="17">
        <v>1451924</v>
      </c>
      <c r="N14" s="17" t="s">
        <v>995</v>
      </c>
      <c r="O14" s="17"/>
    </row>
    <row r="15" spans="3:15" ht="72.5" x14ac:dyDescent="0.35">
      <c r="C15" t="s">
        <v>331</v>
      </c>
      <c r="D15" s="73">
        <v>-468</v>
      </c>
      <c r="E15" s="73" t="s">
        <v>989</v>
      </c>
      <c r="F15" s="73">
        <v>28111020000</v>
      </c>
      <c r="G15" s="182" t="s">
        <v>990</v>
      </c>
      <c r="H15" s="73"/>
      <c r="J15" t="s">
        <v>601</v>
      </c>
      <c r="K15" s="17">
        <v>51627.42</v>
      </c>
      <c r="L15" s="17" t="s">
        <v>5</v>
      </c>
      <c r="M15" s="17">
        <v>1169651</v>
      </c>
      <c r="N15" s="17" t="s">
        <v>996</v>
      </c>
      <c r="O15" s="17"/>
    </row>
    <row r="16" spans="3:15" ht="58" x14ac:dyDescent="0.35">
      <c r="C16" t="s">
        <v>331</v>
      </c>
      <c r="D16" s="73">
        <v>-1243.1500000000001</v>
      </c>
      <c r="E16" s="78" t="s">
        <v>241</v>
      </c>
      <c r="F16" s="79">
        <v>28110980000</v>
      </c>
      <c r="G16" s="182" t="s">
        <v>991</v>
      </c>
      <c r="H16" s="73"/>
      <c r="K16" s="17"/>
      <c r="L16" s="17"/>
      <c r="M16" s="17"/>
      <c r="N16" s="17"/>
      <c r="O16" s="17"/>
    </row>
    <row r="17" spans="3:15" ht="43.5" x14ac:dyDescent="0.35">
      <c r="C17" t="s">
        <v>579</v>
      </c>
      <c r="D17" s="73">
        <v>-5628</v>
      </c>
      <c r="E17" s="73" t="s">
        <v>241</v>
      </c>
      <c r="F17" s="73">
        <v>79380490000</v>
      </c>
      <c r="G17" s="182" t="s">
        <v>992</v>
      </c>
      <c r="H17" s="73"/>
      <c r="K17" s="17"/>
      <c r="L17" s="17"/>
      <c r="M17" s="17"/>
      <c r="N17" s="17"/>
      <c r="O17" s="17"/>
    </row>
    <row r="18" spans="3:15" ht="58" x14ac:dyDescent="0.35">
      <c r="C18" t="s">
        <v>354</v>
      </c>
      <c r="D18" s="73">
        <v>-4498</v>
      </c>
      <c r="E18" s="79" t="s">
        <v>241</v>
      </c>
      <c r="F18" s="73">
        <v>68414170000</v>
      </c>
      <c r="G18" s="182" t="s">
        <v>993</v>
      </c>
      <c r="H18" s="73"/>
      <c r="K18" s="17"/>
      <c r="L18" s="17"/>
      <c r="M18" s="17"/>
      <c r="N18" s="17"/>
      <c r="O18" s="17"/>
    </row>
    <row r="19" spans="3:15" x14ac:dyDescent="0.35">
      <c r="D19" s="73"/>
      <c r="E19" s="73"/>
      <c r="F19" s="73"/>
      <c r="G19" s="73"/>
      <c r="H19" s="73"/>
      <c r="K19" s="17"/>
      <c r="L19" s="17"/>
      <c r="M19" s="17"/>
      <c r="N19" s="17"/>
      <c r="O19" s="17"/>
    </row>
    <row r="20" spans="3:15" x14ac:dyDescent="0.35">
      <c r="D20" s="73"/>
      <c r="E20" s="73"/>
      <c r="F20" s="73"/>
      <c r="G20" s="73"/>
      <c r="H20" s="73"/>
      <c r="K20" s="17"/>
      <c r="L20" s="17"/>
      <c r="M20" s="17"/>
      <c r="N20" s="17"/>
      <c r="O20" s="17"/>
    </row>
    <row r="21" spans="3:15" x14ac:dyDescent="0.35">
      <c r="D21" s="73"/>
      <c r="E21" s="73"/>
      <c r="F21" s="73"/>
      <c r="G21" s="73"/>
      <c r="H21" s="73"/>
      <c r="K21" s="17"/>
      <c r="L21" s="17"/>
      <c r="M21" s="17"/>
      <c r="N21" s="17"/>
      <c r="O21" s="17"/>
    </row>
    <row r="22" spans="3:15" x14ac:dyDescent="0.35">
      <c r="D22" s="73"/>
      <c r="E22" s="73"/>
      <c r="F22" s="73"/>
      <c r="G22" s="73"/>
      <c r="H22" s="73"/>
      <c r="K22" s="17"/>
      <c r="L22" s="17"/>
      <c r="M22" s="17"/>
      <c r="N22" s="17"/>
      <c r="O22" s="17"/>
    </row>
    <row r="23" spans="3:15" x14ac:dyDescent="0.35">
      <c r="D23" s="73"/>
      <c r="E23" s="73"/>
      <c r="F23" s="73"/>
      <c r="G23" s="73"/>
      <c r="H23" s="73"/>
      <c r="K23" s="17"/>
      <c r="L23" s="17"/>
      <c r="M23" s="17"/>
      <c r="N23" s="17"/>
      <c r="O23" s="17"/>
    </row>
    <row r="24" spans="3:15" x14ac:dyDescent="0.35">
      <c r="D24" s="73"/>
      <c r="E24" s="73"/>
      <c r="F24" s="73"/>
      <c r="G24" s="73"/>
      <c r="H24" s="73"/>
      <c r="K24" s="17"/>
      <c r="L24" s="17"/>
      <c r="M24" s="17"/>
      <c r="N24" s="17"/>
      <c r="O24" s="17"/>
    </row>
    <row r="25" spans="3:15" x14ac:dyDescent="0.35">
      <c r="D25" s="73"/>
      <c r="E25" s="73"/>
      <c r="F25" s="73"/>
      <c r="G25" s="73"/>
      <c r="H25" s="73"/>
      <c r="K25" s="17"/>
      <c r="L25" s="17"/>
      <c r="M25" s="17"/>
      <c r="N25" s="17"/>
      <c r="O25" s="17"/>
    </row>
    <row r="26" spans="3:15" x14ac:dyDescent="0.35">
      <c r="D26" s="73"/>
      <c r="E26" s="73"/>
      <c r="F26" s="73"/>
      <c r="G26" s="73"/>
      <c r="H26" s="73"/>
      <c r="K26" s="17"/>
      <c r="L26" s="17"/>
      <c r="M26" s="17"/>
      <c r="N26" s="17"/>
      <c r="O26" s="17"/>
    </row>
    <row r="27" spans="3:15" x14ac:dyDescent="0.35">
      <c r="D27" s="73"/>
      <c r="E27" s="73"/>
      <c r="F27" s="73"/>
      <c r="G27" s="73"/>
      <c r="H27" s="73"/>
      <c r="K27" s="17"/>
      <c r="L27" s="17"/>
      <c r="M27" s="17"/>
      <c r="N27" s="17"/>
      <c r="O27" s="17"/>
    </row>
    <row r="28" spans="3:15" x14ac:dyDescent="0.35">
      <c r="D28" s="73"/>
      <c r="E28" s="73"/>
      <c r="F28" s="73"/>
      <c r="G28" s="73"/>
      <c r="H28" s="73"/>
      <c r="K28" s="17"/>
      <c r="L28" s="17"/>
      <c r="M28" s="17"/>
      <c r="N28" s="17"/>
      <c r="O28" s="17"/>
    </row>
    <row r="29" spans="3:15" x14ac:dyDescent="0.35">
      <c r="D29" s="73"/>
      <c r="E29" s="73"/>
      <c r="F29" s="73"/>
      <c r="G29" s="73"/>
      <c r="H29" s="73"/>
      <c r="K29" s="17"/>
      <c r="L29" s="17"/>
      <c r="M29" s="17"/>
      <c r="N29" s="17"/>
      <c r="O29" s="17"/>
    </row>
    <row r="30" spans="3:15" x14ac:dyDescent="0.35">
      <c r="D30" s="73"/>
      <c r="E30" s="73"/>
      <c r="F30" s="73"/>
      <c r="G30" s="73"/>
      <c r="H30" s="73"/>
      <c r="K30" s="17"/>
      <c r="L30" s="17"/>
      <c r="M30" s="17"/>
      <c r="N30" s="17"/>
      <c r="O30" s="17"/>
    </row>
    <row r="31" spans="3:15" x14ac:dyDescent="0.35">
      <c r="D31" s="73"/>
      <c r="E31" s="73"/>
      <c r="F31" s="73"/>
      <c r="G31" s="73"/>
      <c r="H31" s="73"/>
      <c r="K31" s="17"/>
      <c r="L31" s="17"/>
      <c r="M31" s="17"/>
      <c r="N31" s="17"/>
      <c r="O31" s="17"/>
    </row>
    <row r="32" spans="3:15" x14ac:dyDescent="0.35">
      <c r="D32" s="73"/>
      <c r="E32" s="73"/>
      <c r="F32" s="73"/>
      <c r="G32" s="73"/>
      <c r="H32" s="73"/>
      <c r="K32" s="17"/>
      <c r="L32" s="17"/>
      <c r="M32" s="17"/>
      <c r="N32" s="17"/>
      <c r="O32" s="17"/>
    </row>
    <row r="33" spans="4:15" x14ac:dyDescent="0.35">
      <c r="D33" s="73"/>
      <c r="E33" s="73"/>
      <c r="F33" s="73"/>
      <c r="G33" s="73"/>
      <c r="H33" s="73"/>
      <c r="K33" s="17"/>
      <c r="L33" s="17"/>
      <c r="M33" s="17"/>
      <c r="N33" s="17"/>
      <c r="O33" s="17"/>
    </row>
    <row r="34" spans="4:15" x14ac:dyDescent="0.35">
      <c r="D34" s="73"/>
      <c r="E34" s="73"/>
      <c r="F34" s="73"/>
      <c r="G34" s="73"/>
      <c r="H34" s="73"/>
      <c r="K34" s="17"/>
      <c r="L34" s="17"/>
      <c r="M34" s="17"/>
      <c r="N34" s="17"/>
      <c r="O34" s="17"/>
    </row>
    <row r="35" spans="4:15" x14ac:dyDescent="0.35">
      <c r="D35" s="73"/>
      <c r="E35" s="73"/>
      <c r="F35" s="73"/>
      <c r="G35" s="73"/>
      <c r="H35" s="73"/>
      <c r="K35" s="17"/>
      <c r="L35" s="17"/>
      <c r="M35" s="17"/>
      <c r="N35" s="17"/>
      <c r="O35" s="17"/>
    </row>
    <row r="36" spans="4:15" x14ac:dyDescent="0.35">
      <c r="D36" s="73"/>
      <c r="E36" s="73"/>
      <c r="F36" s="73"/>
      <c r="G36" s="73"/>
      <c r="H36" s="73"/>
      <c r="K36" s="17"/>
      <c r="L36" s="17"/>
      <c r="M36" s="17"/>
      <c r="N36" s="17"/>
      <c r="O36" s="17"/>
    </row>
    <row r="37" spans="4:15" x14ac:dyDescent="0.35">
      <c r="D37" s="73"/>
      <c r="E37" s="73"/>
      <c r="F37" s="73"/>
      <c r="G37" s="73"/>
      <c r="H37" s="73"/>
      <c r="K37" s="17"/>
      <c r="L37" s="17"/>
      <c r="M37" s="17"/>
      <c r="N37" s="17"/>
      <c r="O37" s="17"/>
    </row>
    <row r="38" spans="4:15" x14ac:dyDescent="0.35">
      <c r="D38" s="73"/>
      <c r="E38" s="73"/>
      <c r="F38" s="73"/>
      <c r="G38" s="73"/>
      <c r="H38" s="73"/>
      <c r="K38" s="17"/>
      <c r="L38" s="17"/>
      <c r="M38" s="17"/>
      <c r="N38" s="17"/>
      <c r="O38" s="17"/>
    </row>
    <row r="39" spans="4:15" x14ac:dyDescent="0.35">
      <c r="D39" s="73"/>
      <c r="E39" s="73"/>
      <c r="F39" s="73"/>
      <c r="G39" s="73"/>
      <c r="H39" s="73"/>
      <c r="K39" s="17"/>
      <c r="L39" s="17"/>
      <c r="M39" s="17"/>
      <c r="N39" s="17"/>
      <c r="O39" s="17"/>
    </row>
    <row r="40" spans="4:15" x14ac:dyDescent="0.35">
      <c r="D40" s="73"/>
      <c r="E40" s="73"/>
      <c r="F40" s="73"/>
      <c r="G40" s="73"/>
      <c r="H40" s="73"/>
      <c r="K40" s="17"/>
      <c r="L40" s="17"/>
      <c r="M40" s="17"/>
      <c r="N40" s="17"/>
      <c r="O40" s="17"/>
    </row>
    <row r="41" spans="4:15" x14ac:dyDescent="0.35">
      <c r="D41" s="73"/>
      <c r="E41" s="73"/>
      <c r="F41" s="73"/>
      <c r="G41" s="73"/>
      <c r="H41" s="73"/>
      <c r="K41" s="17"/>
      <c r="L41" s="17"/>
      <c r="M41" s="17"/>
      <c r="N41" s="17"/>
      <c r="O41" s="17"/>
    </row>
    <row r="42" spans="4:15" x14ac:dyDescent="0.35">
      <c r="D42" s="73"/>
      <c r="E42" s="73"/>
      <c r="F42" s="73"/>
      <c r="G42" s="73"/>
      <c r="H42" s="73"/>
      <c r="K42" s="17"/>
      <c r="L42" s="17"/>
      <c r="M42" s="17"/>
      <c r="N42" s="17"/>
      <c r="O42" s="17"/>
    </row>
    <row r="43" spans="4:15" x14ac:dyDescent="0.35">
      <c r="D43" s="73"/>
      <c r="E43" s="73"/>
      <c r="F43" s="73"/>
      <c r="G43" s="73"/>
      <c r="H43" s="73"/>
      <c r="K43" s="17"/>
      <c r="L43" s="17"/>
      <c r="M43" s="17"/>
      <c r="N43" s="17"/>
      <c r="O43" s="17"/>
    </row>
    <row r="44" spans="4:15" x14ac:dyDescent="0.35">
      <c r="D44" s="73"/>
      <c r="E44" s="73"/>
      <c r="F44" s="73"/>
      <c r="G44" s="73"/>
      <c r="H44" s="73"/>
      <c r="K44" s="17"/>
      <c r="L44" s="17"/>
      <c r="M44" s="17"/>
      <c r="N44" s="17"/>
      <c r="O44" s="17"/>
    </row>
    <row r="45" spans="4:15" x14ac:dyDescent="0.35">
      <c r="D45" s="73"/>
      <c r="E45" s="73"/>
      <c r="F45" s="73"/>
      <c r="G45" s="73"/>
      <c r="H45" s="73"/>
      <c r="K45" s="17"/>
      <c r="L45" s="17"/>
      <c r="M45" s="17"/>
      <c r="N45" s="17"/>
      <c r="O45" s="17"/>
    </row>
    <row r="46" spans="4:15" x14ac:dyDescent="0.35">
      <c r="D46" s="73"/>
      <c r="E46" s="73"/>
      <c r="F46" s="73"/>
      <c r="G46" s="73"/>
      <c r="H46" s="73"/>
      <c r="K46" s="17"/>
      <c r="L46" s="17"/>
      <c r="M46" s="17"/>
      <c r="N46" s="17"/>
      <c r="O46" s="17"/>
    </row>
    <row r="47" spans="4:15" x14ac:dyDescent="0.35">
      <c r="D47" s="73"/>
      <c r="E47" s="73"/>
      <c r="F47" s="73"/>
      <c r="G47" s="73"/>
      <c r="H47" s="73"/>
      <c r="K47" s="17"/>
      <c r="L47" s="17"/>
      <c r="M47" s="17"/>
      <c r="N47" s="17"/>
      <c r="O47" s="17"/>
    </row>
    <row r="48" spans="4:15" x14ac:dyDescent="0.35">
      <c r="D48" s="73"/>
      <c r="E48" s="73"/>
      <c r="F48" s="73"/>
      <c r="G48" s="73"/>
      <c r="H48" s="73"/>
      <c r="K48" s="17"/>
      <c r="L48" s="17"/>
      <c r="M48" s="17"/>
      <c r="N48" s="17"/>
      <c r="O48" s="17"/>
    </row>
    <row r="49" spans="4:15" x14ac:dyDescent="0.35">
      <c r="D49" s="73"/>
      <c r="E49" s="73"/>
      <c r="F49" s="73"/>
      <c r="G49" s="73"/>
      <c r="H49" s="73"/>
      <c r="K49" s="17"/>
      <c r="L49" s="17"/>
      <c r="M49" s="17"/>
      <c r="N49" s="17"/>
      <c r="O49" s="17"/>
    </row>
    <row r="50" spans="4:15" x14ac:dyDescent="0.35">
      <c r="D50" s="73"/>
      <c r="E50" s="73"/>
      <c r="F50" s="73"/>
      <c r="G50" s="73"/>
      <c r="H50" s="73"/>
      <c r="K50" s="17"/>
      <c r="L50" s="17"/>
      <c r="M50" s="17"/>
      <c r="N50" s="17"/>
      <c r="O50" s="17"/>
    </row>
    <row r="51" spans="4:15" x14ac:dyDescent="0.35">
      <c r="D51" s="73"/>
      <c r="E51" s="73"/>
      <c r="F51" s="73"/>
      <c r="G51" s="73"/>
      <c r="H51" s="73"/>
      <c r="K51" s="17"/>
      <c r="L51" s="17"/>
      <c r="M51" s="17"/>
      <c r="N51" s="17"/>
      <c r="O51" s="17"/>
    </row>
    <row r="52" spans="4:15" x14ac:dyDescent="0.35">
      <c r="D52" s="73"/>
      <c r="E52" s="73"/>
      <c r="F52" s="73"/>
      <c r="G52" s="73"/>
      <c r="H52" s="73"/>
      <c r="K52" s="17"/>
      <c r="L52" s="17"/>
      <c r="M52" s="17"/>
      <c r="N52" s="17"/>
      <c r="O52" s="17"/>
    </row>
    <row r="53" spans="4:15" x14ac:dyDescent="0.35">
      <c r="D53" s="73"/>
      <c r="E53" s="73"/>
      <c r="F53" s="73"/>
      <c r="G53" s="73"/>
      <c r="H53" s="73"/>
      <c r="K53" s="17"/>
      <c r="L53" s="17"/>
      <c r="M53" s="17"/>
      <c r="N53" s="17"/>
      <c r="O53" s="17"/>
    </row>
    <row r="54" spans="4:15" x14ac:dyDescent="0.35">
      <c r="D54" s="73"/>
      <c r="E54" s="73"/>
      <c r="F54" s="73"/>
      <c r="G54" s="73"/>
      <c r="H54" s="73"/>
      <c r="K54" s="17"/>
      <c r="L54" s="17"/>
      <c r="M54" s="17"/>
      <c r="N54" s="17"/>
      <c r="O54" s="17"/>
    </row>
    <row r="55" spans="4:15" x14ac:dyDescent="0.35">
      <c r="D55" s="73"/>
      <c r="E55" s="73"/>
      <c r="F55" s="73"/>
      <c r="G55" s="73"/>
      <c r="H55" s="73"/>
      <c r="K55" s="17"/>
      <c r="L55" s="17"/>
      <c r="M55" s="17"/>
      <c r="N55" s="17"/>
      <c r="O55" s="17"/>
    </row>
    <row r="56" spans="4:15" x14ac:dyDescent="0.35">
      <c r="D56" s="73"/>
      <c r="E56" s="73"/>
      <c r="F56" s="73"/>
      <c r="G56" s="73"/>
      <c r="H56" s="73"/>
      <c r="K56" s="17"/>
      <c r="L56" s="17"/>
      <c r="M56" s="17"/>
      <c r="N56" s="17"/>
      <c r="O56" s="17"/>
    </row>
    <row r="57" spans="4:15" x14ac:dyDescent="0.35">
      <c r="D57" s="73"/>
      <c r="E57" s="73"/>
      <c r="F57" s="73"/>
      <c r="G57" s="73"/>
      <c r="H57" s="73"/>
      <c r="K57" s="17"/>
      <c r="L57" s="17"/>
      <c r="M57" s="17"/>
      <c r="N57" s="17"/>
      <c r="O57" s="17"/>
    </row>
    <row r="58" spans="4:15" x14ac:dyDescent="0.35">
      <c r="D58" s="73"/>
      <c r="E58" s="73"/>
      <c r="F58" s="73"/>
      <c r="G58" s="73"/>
      <c r="H58" s="73"/>
      <c r="K58" s="17"/>
      <c r="L58" s="17"/>
      <c r="M58" s="17"/>
      <c r="N58" s="17"/>
      <c r="O58" s="17"/>
    </row>
    <row r="59" spans="4:15" x14ac:dyDescent="0.35">
      <c r="D59" s="73"/>
      <c r="E59" s="73"/>
      <c r="F59" s="73"/>
      <c r="G59" s="73"/>
      <c r="H59" s="73"/>
      <c r="K59" s="17"/>
      <c r="L59" s="17"/>
      <c r="M59" s="17"/>
      <c r="N59" s="17"/>
      <c r="O59" s="17"/>
    </row>
    <row r="60" spans="4:15" x14ac:dyDescent="0.35">
      <c r="D60" s="73"/>
      <c r="E60" s="73"/>
      <c r="F60" s="73"/>
      <c r="G60" s="73"/>
      <c r="H60" s="73"/>
      <c r="K60" s="17"/>
      <c r="L60" s="17"/>
      <c r="M60" s="17"/>
      <c r="N60" s="17"/>
      <c r="O60" s="17"/>
    </row>
    <row r="61" spans="4:15" x14ac:dyDescent="0.35">
      <c r="D61" s="73"/>
      <c r="E61" s="73"/>
      <c r="F61" s="73"/>
      <c r="G61" s="73"/>
      <c r="H61" s="73"/>
      <c r="K61" s="17"/>
      <c r="L61" s="17"/>
      <c r="M61" s="17"/>
      <c r="N61" s="17"/>
      <c r="O61" s="17"/>
    </row>
    <row r="62" spans="4:15" x14ac:dyDescent="0.35">
      <c r="D62" s="73"/>
      <c r="E62" s="73"/>
      <c r="F62" s="73"/>
      <c r="G62" s="73"/>
      <c r="H62" s="73"/>
      <c r="K62" s="17"/>
      <c r="L62" s="17"/>
      <c r="M62" s="17"/>
      <c r="N62" s="17"/>
      <c r="O62" s="17"/>
    </row>
    <row r="63" spans="4:15" x14ac:dyDescent="0.35">
      <c r="D63" s="73"/>
      <c r="E63" s="73"/>
      <c r="F63" s="73"/>
      <c r="G63" s="73"/>
      <c r="H63" s="73"/>
      <c r="K63" s="17"/>
      <c r="L63" s="17"/>
      <c r="M63" s="17"/>
      <c r="N63" s="17"/>
      <c r="O63" s="17"/>
    </row>
    <row r="64" spans="4:15" x14ac:dyDescent="0.35">
      <c r="D64" s="73"/>
      <c r="E64" s="73"/>
      <c r="F64" s="73"/>
      <c r="G64" s="73"/>
      <c r="H64" s="73"/>
      <c r="K64" s="17"/>
      <c r="L64" s="17"/>
      <c r="M64" s="17"/>
      <c r="N64" s="17"/>
      <c r="O64" s="17"/>
    </row>
    <row r="65" spans="4:15" x14ac:dyDescent="0.35">
      <c r="D65" s="73"/>
      <c r="E65" s="73"/>
      <c r="F65" s="73"/>
      <c r="G65" s="73"/>
      <c r="H65" s="73"/>
      <c r="K65" s="17"/>
      <c r="L65" s="17"/>
      <c r="M65" s="17"/>
      <c r="N65" s="17"/>
      <c r="O65" s="17"/>
    </row>
    <row r="66" spans="4:15" x14ac:dyDescent="0.35">
      <c r="D66" s="73"/>
      <c r="E66" s="73"/>
      <c r="F66" s="73"/>
      <c r="G66" s="73"/>
      <c r="H66" s="73"/>
      <c r="K66" s="17"/>
      <c r="L66" s="17"/>
      <c r="M66" s="17"/>
      <c r="N66" s="17"/>
      <c r="O66" s="17"/>
    </row>
    <row r="67" spans="4:15" x14ac:dyDescent="0.35">
      <c r="D67" s="73"/>
      <c r="E67" s="73"/>
      <c r="F67" s="73"/>
      <c r="G67" s="73"/>
      <c r="H67" s="73"/>
      <c r="K67" s="17"/>
      <c r="L67" s="17"/>
      <c r="M67" s="17"/>
      <c r="N67" s="17"/>
      <c r="O67" s="17"/>
    </row>
    <row r="68" spans="4:15" x14ac:dyDescent="0.35">
      <c r="D68" s="73"/>
      <c r="E68" s="73"/>
      <c r="F68" s="73"/>
      <c r="G68" s="73"/>
      <c r="H68" s="73"/>
      <c r="K68" s="17"/>
      <c r="L68" s="17"/>
      <c r="M68" s="17"/>
      <c r="N68" s="17"/>
      <c r="O68" s="17"/>
    </row>
    <row r="69" spans="4:15" x14ac:dyDescent="0.35">
      <c r="D69" s="73"/>
      <c r="E69" s="73"/>
      <c r="F69" s="73"/>
      <c r="G69" s="73"/>
      <c r="H69" s="73"/>
      <c r="K69" s="17"/>
      <c r="L69" s="17"/>
      <c r="M69" s="17"/>
      <c r="N69" s="17"/>
      <c r="O69" s="17"/>
    </row>
    <row r="70" spans="4:15" x14ac:dyDescent="0.35">
      <c r="D70" s="73"/>
      <c r="E70" s="73"/>
      <c r="F70" s="73"/>
      <c r="G70" s="73"/>
      <c r="H70" s="73"/>
      <c r="K70" s="17"/>
      <c r="L70" s="17"/>
      <c r="M70" s="17"/>
      <c r="N70" s="17"/>
      <c r="O70" s="17"/>
    </row>
    <row r="71" spans="4:15" x14ac:dyDescent="0.35">
      <c r="D71" s="73"/>
      <c r="E71" s="73"/>
      <c r="F71" s="73"/>
      <c r="G71" s="73"/>
      <c r="H71" s="73"/>
      <c r="K71" s="17"/>
      <c r="L71" s="17"/>
      <c r="M71" s="17"/>
      <c r="N71" s="17"/>
      <c r="O71" s="17"/>
    </row>
    <row r="72" spans="4:15" x14ac:dyDescent="0.35">
      <c r="D72" s="73"/>
      <c r="E72" s="73"/>
      <c r="F72" s="73"/>
      <c r="G72" s="73"/>
      <c r="H72" s="73"/>
      <c r="K72" s="17"/>
      <c r="L72" s="17"/>
      <c r="M72" s="17"/>
      <c r="N72" s="17"/>
      <c r="O72" s="17"/>
    </row>
    <row r="73" spans="4:15" x14ac:dyDescent="0.35">
      <c r="D73" s="73"/>
      <c r="E73" s="73"/>
      <c r="F73" s="73"/>
      <c r="G73" s="73"/>
      <c r="H73" s="73"/>
      <c r="K73" s="17"/>
      <c r="L73" s="17"/>
      <c r="M73" s="17"/>
      <c r="N73" s="17"/>
      <c r="O73" s="17"/>
    </row>
    <row r="74" spans="4:15" x14ac:dyDescent="0.35">
      <c r="D74" s="73"/>
      <c r="E74" s="73"/>
      <c r="F74" s="73"/>
      <c r="G74" s="73"/>
      <c r="H74" s="73"/>
      <c r="K74" s="17"/>
      <c r="L74" s="17"/>
      <c r="M74" s="17"/>
      <c r="N74" s="17"/>
      <c r="O74" s="17"/>
    </row>
    <row r="75" spans="4:15" x14ac:dyDescent="0.35">
      <c r="D75" s="73"/>
      <c r="E75" s="73"/>
      <c r="F75" s="73"/>
      <c r="G75" s="73"/>
      <c r="H75" s="73"/>
      <c r="K75" s="17"/>
      <c r="L75" s="17"/>
      <c r="M75" s="17"/>
      <c r="N75" s="17"/>
      <c r="O75" s="17"/>
    </row>
    <row r="76" spans="4:15" x14ac:dyDescent="0.35">
      <c r="D76" s="73"/>
      <c r="E76" s="73"/>
      <c r="F76" s="73"/>
      <c r="G76" s="73"/>
      <c r="H76" s="73"/>
      <c r="K76" s="17"/>
      <c r="L76" s="17"/>
      <c r="M76" s="17"/>
      <c r="N76" s="17"/>
      <c r="O76" s="17"/>
    </row>
    <row r="77" spans="4:15" x14ac:dyDescent="0.35">
      <c r="D77" s="73"/>
      <c r="E77" s="73"/>
      <c r="F77" s="73"/>
      <c r="G77" s="73"/>
      <c r="H77" s="73"/>
      <c r="K77" s="17"/>
      <c r="L77" s="17"/>
      <c r="M77" s="17"/>
      <c r="N77" s="17"/>
      <c r="O77" s="17"/>
    </row>
    <row r="78" spans="4:15" x14ac:dyDescent="0.35">
      <c r="D78" s="73"/>
      <c r="E78" s="73"/>
      <c r="F78" s="73"/>
      <c r="G78" s="73"/>
      <c r="H78" s="73"/>
      <c r="K78" s="17"/>
      <c r="L78" s="17"/>
      <c r="M78" s="17"/>
      <c r="N78" s="17"/>
      <c r="O78" s="17"/>
    </row>
    <row r="79" spans="4:15" x14ac:dyDescent="0.35">
      <c r="D79" s="73"/>
      <c r="E79" s="73"/>
      <c r="F79" s="73"/>
      <c r="G79" s="73"/>
      <c r="H79" s="73"/>
      <c r="K79" s="17"/>
      <c r="L79" s="17"/>
      <c r="M79" s="17"/>
      <c r="N79" s="17"/>
      <c r="O79" s="17"/>
    </row>
    <row r="80" spans="4:15" x14ac:dyDescent="0.35">
      <c r="D80" s="73"/>
      <c r="E80" s="73"/>
      <c r="F80" s="73"/>
      <c r="G80" s="73"/>
      <c r="H80" s="73"/>
      <c r="K80" s="17"/>
      <c r="L80" s="17"/>
      <c r="M80" s="17"/>
      <c r="N80" s="17"/>
      <c r="O80" s="17"/>
    </row>
    <row r="81" spans="4:15" x14ac:dyDescent="0.35">
      <c r="D81" s="73"/>
      <c r="E81" s="73"/>
      <c r="F81" s="73"/>
      <c r="G81" s="73"/>
      <c r="H81" s="73"/>
      <c r="K81" s="17"/>
      <c r="L81" s="17"/>
      <c r="M81" s="17"/>
      <c r="N81" s="17"/>
      <c r="O81" s="17"/>
    </row>
    <row r="82" spans="4:15" x14ac:dyDescent="0.35">
      <c r="D82" s="73"/>
      <c r="E82" s="73"/>
      <c r="F82" s="73"/>
      <c r="G82" s="73"/>
      <c r="H82" s="73"/>
      <c r="K82" s="17"/>
      <c r="L82" s="17"/>
      <c r="M82" s="17"/>
      <c r="N82" s="17"/>
      <c r="O82" s="17"/>
    </row>
    <row r="83" spans="4:15" x14ac:dyDescent="0.35">
      <c r="D83" s="73"/>
      <c r="E83" s="73"/>
      <c r="F83" s="73"/>
      <c r="G83" s="73"/>
      <c r="H83" s="73"/>
      <c r="K83" s="17"/>
      <c r="L83" s="17"/>
      <c r="M83" s="17"/>
      <c r="N83" s="17"/>
      <c r="O83" s="17"/>
    </row>
    <row r="84" spans="4:15" x14ac:dyDescent="0.35">
      <c r="D84" s="73"/>
      <c r="E84" s="73"/>
      <c r="F84" s="73"/>
      <c r="G84" s="73"/>
      <c r="H84" s="73"/>
      <c r="K84" s="17"/>
      <c r="L84" s="17"/>
      <c r="M84" s="17"/>
      <c r="N84" s="17"/>
      <c r="O84" s="17"/>
    </row>
    <row r="85" spans="4:15" x14ac:dyDescent="0.35">
      <c r="D85" s="73"/>
      <c r="E85" s="73"/>
      <c r="F85" s="73"/>
      <c r="G85" s="73"/>
      <c r="H85" s="73"/>
      <c r="K85" s="17"/>
      <c r="L85" s="17"/>
      <c r="M85" s="17"/>
      <c r="N85" s="17"/>
      <c r="O85" s="17"/>
    </row>
    <row r="86" spans="4:15" x14ac:dyDescent="0.35">
      <c r="D86" s="73"/>
      <c r="E86" s="73"/>
      <c r="F86" s="73"/>
      <c r="G86" s="73"/>
      <c r="H86" s="73"/>
      <c r="K86" s="17"/>
      <c r="L86" s="17"/>
      <c r="M86" s="17"/>
      <c r="N86" s="17"/>
      <c r="O86" s="17"/>
    </row>
    <row r="87" spans="4:15" x14ac:dyDescent="0.35">
      <c r="D87" s="73"/>
      <c r="E87" s="73"/>
      <c r="F87" s="73"/>
      <c r="G87" s="73"/>
      <c r="H87" s="73"/>
      <c r="K87" s="17"/>
      <c r="L87" s="17"/>
      <c r="M87" s="17"/>
      <c r="N87" s="17"/>
      <c r="O87" s="17"/>
    </row>
    <row r="88" spans="4:15" x14ac:dyDescent="0.35">
      <c r="D88" s="73"/>
      <c r="E88" s="73"/>
      <c r="F88" s="73"/>
      <c r="G88" s="73"/>
      <c r="H88" s="73"/>
      <c r="K88" s="17"/>
      <c r="L88" s="17"/>
      <c r="M88" s="17"/>
      <c r="N88" s="17"/>
      <c r="O88" s="17"/>
    </row>
    <row r="89" spans="4:15" x14ac:dyDescent="0.35">
      <c r="D89" s="73"/>
      <c r="E89" s="73"/>
      <c r="F89" s="73"/>
      <c r="G89" s="73"/>
      <c r="H89" s="73"/>
      <c r="K89" s="17"/>
      <c r="L89" s="17"/>
      <c r="M89" s="17"/>
      <c r="N89" s="17"/>
      <c r="O89" s="17"/>
    </row>
    <row r="90" spans="4:15" x14ac:dyDescent="0.35">
      <c r="D90" s="73"/>
      <c r="E90" s="73"/>
      <c r="F90" s="73"/>
      <c r="G90" s="73"/>
      <c r="H90" s="73"/>
      <c r="K90" s="17"/>
      <c r="L90" s="17"/>
      <c r="M90" s="17"/>
      <c r="N90" s="17"/>
      <c r="O90" s="1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4"/>
  <dimension ref="A1:O88"/>
  <sheetViews>
    <sheetView zoomScale="48" workbookViewId="0">
      <selection activeCell="G19" sqref="G19:Q92"/>
    </sheetView>
  </sheetViews>
  <sheetFormatPr baseColWidth="10" defaultColWidth="8.81640625" defaultRowHeight="14.5" x14ac:dyDescent="0.35"/>
  <cols>
    <col min="1" max="1" width="19.81640625" customWidth="1"/>
    <col min="2" max="3" width="15.453125" customWidth="1"/>
    <col min="4" max="4" width="16.453125" customWidth="1"/>
    <col min="5" max="5" width="17.26953125" customWidth="1"/>
    <col min="6" max="6" width="21.453125" customWidth="1"/>
    <col min="7" max="7" width="25.81640625" customWidth="1"/>
    <col min="9" max="9" width="8.81640625" bestFit="1" customWidth="1"/>
    <col min="12" max="12" width="34.54296875" customWidth="1"/>
    <col min="13" max="13" width="26.7265625" customWidth="1"/>
    <col min="30" max="30" width="21.1796875" customWidth="1"/>
    <col min="31" max="31" width="17.453125" customWidth="1"/>
    <col min="32" max="32" width="19" customWidth="1"/>
    <col min="33" max="33" width="12.54296875" customWidth="1"/>
    <col min="34" max="34" width="22.453125" customWidth="1"/>
  </cols>
  <sheetData>
    <row r="1" spans="1:15" x14ac:dyDescent="0.35">
      <c r="A1" s="67" t="s">
        <v>14</v>
      </c>
    </row>
    <row r="3" spans="1:15" x14ac:dyDescent="0.35">
      <c r="B3" t="s">
        <v>243</v>
      </c>
      <c r="C3">
        <f>SUM(B11:B21)</f>
        <v>-41390.25</v>
      </c>
    </row>
    <row r="4" spans="1:15" x14ac:dyDescent="0.35">
      <c r="B4" t="s">
        <v>244</v>
      </c>
      <c r="C4">
        <f>SUM(I11:I1000)</f>
        <v>743644</v>
      </c>
    </row>
    <row r="5" spans="1:15" x14ac:dyDescent="0.35">
      <c r="B5" t="s">
        <v>245</v>
      </c>
      <c r="C5">
        <f>C3+C4</f>
        <v>702253.75</v>
      </c>
    </row>
    <row r="10" spans="1:15" x14ac:dyDescent="0.35">
      <c r="A10" s="80" t="s">
        <v>246</v>
      </c>
      <c r="B10" s="80" t="s">
        <v>26</v>
      </c>
      <c r="C10" s="80" t="s">
        <v>23</v>
      </c>
      <c r="D10" s="80" t="s">
        <v>247</v>
      </c>
      <c r="E10" s="80" t="s">
        <v>24</v>
      </c>
      <c r="F10" s="80" t="s">
        <v>21</v>
      </c>
      <c r="G10" s="80" t="s">
        <v>25</v>
      </c>
      <c r="I10" s="8" t="s">
        <v>22</v>
      </c>
      <c r="J10" s="8" t="s">
        <v>23</v>
      </c>
      <c r="K10" s="8" t="s">
        <v>247</v>
      </c>
      <c r="L10" s="8" t="s">
        <v>24</v>
      </c>
      <c r="M10" s="8" t="s">
        <v>21</v>
      </c>
      <c r="N10" s="8" t="s">
        <v>25</v>
      </c>
      <c r="O10" s="8"/>
    </row>
    <row r="11" spans="1:15" x14ac:dyDescent="0.35">
      <c r="A11" s="73"/>
      <c r="B11" s="73">
        <v>-2395</v>
      </c>
      <c r="C11" s="73" t="s">
        <v>1364</v>
      </c>
      <c r="D11" s="81" t="s">
        <v>1365</v>
      </c>
      <c r="E11" s="73">
        <v>19204770000</v>
      </c>
      <c r="F11" s="81" t="s">
        <v>37</v>
      </c>
      <c r="G11" s="73" t="s">
        <v>1366</v>
      </c>
      <c r="I11" s="17">
        <v>5257</v>
      </c>
      <c r="J11" s="17" t="s">
        <v>5</v>
      </c>
      <c r="K11" s="17" t="s">
        <v>1375</v>
      </c>
      <c r="L11" s="17">
        <v>8031115316</v>
      </c>
      <c r="M11" s="17" t="s">
        <v>384</v>
      </c>
      <c r="N11" s="17"/>
      <c r="O11" s="17"/>
    </row>
    <row r="12" spans="1:15" ht="29" x14ac:dyDescent="0.35">
      <c r="A12" s="73"/>
      <c r="B12" s="73">
        <v>-12689</v>
      </c>
      <c r="C12" s="81" t="s">
        <v>1067</v>
      </c>
      <c r="D12" s="81" t="s">
        <v>1367</v>
      </c>
      <c r="E12" s="73">
        <v>22959020000</v>
      </c>
      <c r="F12" s="81" t="s">
        <v>1368</v>
      </c>
      <c r="G12" s="182" t="s">
        <v>1369</v>
      </c>
      <c r="I12" s="17">
        <v>1240</v>
      </c>
      <c r="J12" s="17" t="s">
        <v>5</v>
      </c>
      <c r="K12" s="17" t="s">
        <v>1375</v>
      </c>
      <c r="L12" s="17">
        <v>8031951642</v>
      </c>
      <c r="M12" s="17" t="s">
        <v>384</v>
      </c>
      <c r="N12" s="17"/>
      <c r="O12" s="17"/>
    </row>
    <row r="13" spans="1:15" ht="29" x14ac:dyDescent="0.35">
      <c r="A13" s="73"/>
      <c r="B13" s="73">
        <v>-5980</v>
      </c>
      <c r="C13" s="73" t="s">
        <v>1067</v>
      </c>
      <c r="D13" s="81" t="s">
        <v>1367</v>
      </c>
      <c r="E13" s="73">
        <v>22959030000</v>
      </c>
      <c r="F13" s="73" t="s">
        <v>1368</v>
      </c>
      <c r="G13" s="182" t="s">
        <v>1370</v>
      </c>
      <c r="I13" s="17">
        <v>1000</v>
      </c>
      <c r="J13" s="17" t="s">
        <v>5</v>
      </c>
      <c r="K13" s="17" t="s">
        <v>1375</v>
      </c>
      <c r="L13" s="17">
        <v>8031984939</v>
      </c>
      <c r="M13" s="17" t="s">
        <v>384</v>
      </c>
      <c r="N13" s="17"/>
      <c r="O13" s="17"/>
    </row>
    <row r="14" spans="1:15" x14ac:dyDescent="0.35">
      <c r="A14" s="73"/>
      <c r="B14" s="73">
        <v>-556.25</v>
      </c>
      <c r="C14" s="73" t="s">
        <v>1364</v>
      </c>
      <c r="D14" s="73" t="s">
        <v>1365</v>
      </c>
      <c r="E14" s="73">
        <v>22959010000</v>
      </c>
      <c r="F14" s="73" t="s">
        <v>1368</v>
      </c>
      <c r="G14" s="73" t="s">
        <v>1366</v>
      </c>
      <c r="I14" s="17">
        <v>3540</v>
      </c>
      <c r="J14" s="17" t="s">
        <v>5</v>
      </c>
      <c r="K14" s="17" t="s">
        <v>1375</v>
      </c>
      <c r="L14" s="17">
        <v>8030968226</v>
      </c>
      <c r="M14" s="17" t="s">
        <v>395</v>
      </c>
      <c r="N14" s="17"/>
      <c r="O14" s="17"/>
    </row>
    <row r="15" spans="1:15" ht="29" x14ac:dyDescent="0.35">
      <c r="A15" s="73"/>
      <c r="B15" s="73">
        <v>-5990</v>
      </c>
      <c r="C15" s="73" t="s">
        <v>907</v>
      </c>
      <c r="D15" s="73" t="s">
        <v>1371</v>
      </c>
      <c r="E15" s="73">
        <v>22959040000</v>
      </c>
      <c r="F15" s="73" t="s">
        <v>1368</v>
      </c>
      <c r="G15" s="182" t="s">
        <v>1372</v>
      </c>
      <c r="I15" s="17">
        <v>1200</v>
      </c>
      <c r="J15" s="17" t="s">
        <v>5</v>
      </c>
      <c r="K15" s="17" t="s">
        <v>1375</v>
      </c>
      <c r="L15" s="17">
        <v>8030999053</v>
      </c>
      <c r="M15" s="17" t="s">
        <v>395</v>
      </c>
      <c r="N15" s="17"/>
      <c r="O15" s="17"/>
    </row>
    <row r="16" spans="1:15" ht="29" x14ac:dyDescent="0.35">
      <c r="A16" s="73"/>
      <c r="B16" s="73">
        <v>-8905</v>
      </c>
      <c r="C16" s="73" t="s">
        <v>1364</v>
      </c>
      <c r="D16" s="73" t="s">
        <v>1365</v>
      </c>
      <c r="E16" s="73">
        <v>11235680000</v>
      </c>
      <c r="F16" s="73" t="s">
        <v>763</v>
      </c>
      <c r="G16" s="182" t="s">
        <v>1373</v>
      </c>
      <c r="I16" s="17">
        <v>3478</v>
      </c>
      <c r="J16" s="17" t="s">
        <v>5</v>
      </c>
      <c r="K16" s="17" t="s">
        <v>1375</v>
      </c>
      <c r="L16" s="17">
        <v>8030917211</v>
      </c>
      <c r="M16" s="17" t="s">
        <v>395</v>
      </c>
      <c r="N16" s="17"/>
      <c r="O16" s="17"/>
    </row>
    <row r="17" spans="2:13" x14ac:dyDescent="0.35">
      <c r="B17">
        <v>-4875</v>
      </c>
      <c r="C17" t="s">
        <v>1364</v>
      </c>
      <c r="D17" t="s">
        <v>1365</v>
      </c>
      <c r="E17">
        <v>94480440000</v>
      </c>
      <c r="F17" t="s">
        <v>1374</v>
      </c>
      <c r="G17" t="s">
        <v>1366</v>
      </c>
      <c r="I17">
        <v>1400</v>
      </c>
      <c r="J17" t="s">
        <v>5</v>
      </c>
      <c r="K17" t="s">
        <v>1375</v>
      </c>
      <c r="L17">
        <v>8030982824</v>
      </c>
      <c r="M17" t="s">
        <v>395</v>
      </c>
    </row>
    <row r="18" spans="2:13" x14ac:dyDescent="0.35">
      <c r="I18">
        <v>2740</v>
      </c>
      <c r="J18" t="s">
        <v>5</v>
      </c>
      <c r="K18" t="s">
        <v>1375</v>
      </c>
      <c r="L18">
        <v>8030115751</v>
      </c>
      <c r="M18" t="s">
        <v>395</v>
      </c>
    </row>
    <row r="19" spans="2:13" x14ac:dyDescent="0.35">
      <c r="I19">
        <v>44</v>
      </c>
      <c r="J19" t="s">
        <v>5</v>
      </c>
      <c r="K19" t="s">
        <v>1375</v>
      </c>
      <c r="L19">
        <v>8029120845</v>
      </c>
      <c r="M19" t="s">
        <v>1376</v>
      </c>
    </row>
    <row r="20" spans="2:13" x14ac:dyDescent="0.35">
      <c r="I20">
        <v>4349</v>
      </c>
      <c r="J20" t="s">
        <v>5</v>
      </c>
      <c r="K20" t="s">
        <v>1375</v>
      </c>
      <c r="L20">
        <v>8029111959</v>
      </c>
      <c r="M20" t="s">
        <v>403</v>
      </c>
    </row>
    <row r="21" spans="2:13" x14ac:dyDescent="0.35">
      <c r="I21">
        <v>1600</v>
      </c>
      <c r="J21" t="s">
        <v>5</v>
      </c>
      <c r="K21" t="s">
        <v>1375</v>
      </c>
      <c r="L21">
        <v>8029952151</v>
      </c>
      <c r="M21" t="s">
        <v>403</v>
      </c>
    </row>
    <row r="22" spans="2:13" x14ac:dyDescent="0.35">
      <c r="I22">
        <v>1130</v>
      </c>
      <c r="J22" t="s">
        <v>5</v>
      </c>
      <c r="K22" t="s">
        <v>1375</v>
      </c>
      <c r="L22">
        <v>8029922654</v>
      </c>
      <c r="M22" t="s">
        <v>403</v>
      </c>
    </row>
    <row r="23" spans="2:13" x14ac:dyDescent="0.35">
      <c r="I23">
        <v>660</v>
      </c>
      <c r="J23" t="s">
        <v>5</v>
      </c>
      <c r="K23" t="s">
        <v>1375</v>
      </c>
      <c r="L23">
        <v>8028974343</v>
      </c>
      <c r="M23" t="s">
        <v>413</v>
      </c>
    </row>
    <row r="24" spans="2:13" x14ac:dyDescent="0.35">
      <c r="I24">
        <v>540</v>
      </c>
      <c r="J24" t="s">
        <v>5</v>
      </c>
      <c r="K24" t="s">
        <v>1375</v>
      </c>
      <c r="L24">
        <v>8028946311</v>
      </c>
      <c r="M24" t="s">
        <v>413</v>
      </c>
    </row>
    <row r="25" spans="2:13" x14ac:dyDescent="0.35">
      <c r="I25">
        <v>2100</v>
      </c>
      <c r="J25" t="s">
        <v>5</v>
      </c>
      <c r="K25" t="s">
        <v>1375</v>
      </c>
      <c r="L25">
        <v>8028960202</v>
      </c>
      <c r="M25" t="s">
        <v>413</v>
      </c>
    </row>
    <row r="26" spans="2:13" x14ac:dyDescent="0.35">
      <c r="I26">
        <v>19215</v>
      </c>
      <c r="J26" t="s">
        <v>5</v>
      </c>
      <c r="K26" t="s">
        <v>1375</v>
      </c>
      <c r="L26">
        <v>8028111826</v>
      </c>
      <c r="M26" t="s">
        <v>413</v>
      </c>
    </row>
    <row r="27" spans="2:13" x14ac:dyDescent="0.35">
      <c r="I27">
        <v>500</v>
      </c>
      <c r="J27" t="s">
        <v>5</v>
      </c>
      <c r="K27" t="s">
        <v>1375</v>
      </c>
      <c r="L27">
        <v>8027113509</v>
      </c>
      <c r="M27" t="s">
        <v>430</v>
      </c>
    </row>
    <row r="28" spans="2:13" x14ac:dyDescent="0.35">
      <c r="I28">
        <v>616</v>
      </c>
      <c r="J28" t="s">
        <v>5</v>
      </c>
      <c r="K28" t="s">
        <v>1375</v>
      </c>
      <c r="L28">
        <v>8027908004</v>
      </c>
      <c r="M28" t="s">
        <v>432</v>
      </c>
    </row>
    <row r="29" spans="2:13" x14ac:dyDescent="0.35">
      <c r="I29">
        <v>4746</v>
      </c>
      <c r="J29" t="s">
        <v>5</v>
      </c>
      <c r="K29" t="s">
        <v>1375</v>
      </c>
      <c r="L29">
        <v>8027977461</v>
      </c>
      <c r="M29" t="s">
        <v>432</v>
      </c>
    </row>
    <row r="30" spans="2:13" x14ac:dyDescent="0.35">
      <c r="I30">
        <v>655</v>
      </c>
      <c r="J30" t="s">
        <v>5</v>
      </c>
      <c r="K30" t="s">
        <v>1375</v>
      </c>
      <c r="L30">
        <v>8027991323</v>
      </c>
      <c r="M30" t="s">
        <v>432</v>
      </c>
    </row>
    <row r="31" spans="2:13" x14ac:dyDescent="0.35">
      <c r="I31">
        <v>5035</v>
      </c>
      <c r="J31" t="s">
        <v>5</v>
      </c>
      <c r="K31" t="s">
        <v>1375</v>
      </c>
      <c r="L31">
        <v>8027927353</v>
      </c>
      <c r="M31" t="s">
        <v>432</v>
      </c>
    </row>
    <row r="32" spans="2:13" x14ac:dyDescent="0.35">
      <c r="I32">
        <v>42170</v>
      </c>
      <c r="J32" t="s">
        <v>5</v>
      </c>
      <c r="K32" t="s">
        <v>1375</v>
      </c>
      <c r="L32">
        <v>8027119746</v>
      </c>
      <c r="M32" t="s">
        <v>432</v>
      </c>
    </row>
    <row r="33" spans="9:13" x14ac:dyDescent="0.35">
      <c r="I33">
        <v>780</v>
      </c>
      <c r="J33" t="s">
        <v>5</v>
      </c>
      <c r="K33" t="s">
        <v>1375</v>
      </c>
      <c r="L33">
        <v>8024119742</v>
      </c>
      <c r="M33" t="s">
        <v>477</v>
      </c>
    </row>
    <row r="34" spans="9:13" x14ac:dyDescent="0.35">
      <c r="I34">
        <v>28554</v>
      </c>
      <c r="J34" t="s">
        <v>5</v>
      </c>
      <c r="K34" t="s">
        <v>1375</v>
      </c>
      <c r="L34">
        <v>8024113194</v>
      </c>
      <c r="M34" t="s">
        <v>479</v>
      </c>
    </row>
    <row r="35" spans="9:13" x14ac:dyDescent="0.35">
      <c r="I35">
        <v>2350</v>
      </c>
      <c r="J35" t="s">
        <v>5</v>
      </c>
      <c r="K35" t="s">
        <v>1375</v>
      </c>
      <c r="L35">
        <v>8024907957</v>
      </c>
      <c r="M35" t="s">
        <v>479</v>
      </c>
    </row>
    <row r="36" spans="9:13" x14ac:dyDescent="0.35">
      <c r="I36">
        <v>2956</v>
      </c>
      <c r="J36" t="s">
        <v>5</v>
      </c>
      <c r="K36" t="s">
        <v>1375</v>
      </c>
      <c r="L36">
        <v>8024951821</v>
      </c>
      <c r="M36" t="s">
        <v>479</v>
      </c>
    </row>
    <row r="37" spans="9:13" x14ac:dyDescent="0.35">
      <c r="I37">
        <v>1150</v>
      </c>
      <c r="J37" t="s">
        <v>5</v>
      </c>
      <c r="K37" t="s">
        <v>1375</v>
      </c>
      <c r="L37">
        <v>8024936193</v>
      </c>
      <c r="M37" t="s">
        <v>479</v>
      </c>
    </row>
    <row r="38" spans="9:13" x14ac:dyDescent="0.35">
      <c r="I38">
        <v>3925</v>
      </c>
      <c r="J38" t="s">
        <v>5</v>
      </c>
      <c r="K38" t="s">
        <v>1375</v>
      </c>
      <c r="L38">
        <v>8024921375</v>
      </c>
      <c r="M38" t="s">
        <v>479</v>
      </c>
    </row>
    <row r="39" spans="9:13" x14ac:dyDescent="0.35">
      <c r="I39">
        <v>1240</v>
      </c>
      <c r="J39" t="s">
        <v>5</v>
      </c>
      <c r="K39" t="s">
        <v>1375</v>
      </c>
      <c r="L39">
        <v>8023950498</v>
      </c>
      <c r="M39" t="s">
        <v>492</v>
      </c>
    </row>
    <row r="40" spans="9:13" x14ac:dyDescent="0.35">
      <c r="I40">
        <v>48311</v>
      </c>
      <c r="J40" t="s">
        <v>5</v>
      </c>
      <c r="K40" t="s">
        <v>1375</v>
      </c>
      <c r="L40">
        <v>8023113140</v>
      </c>
      <c r="M40" t="s">
        <v>492</v>
      </c>
    </row>
    <row r="41" spans="9:13" x14ac:dyDescent="0.35">
      <c r="I41">
        <v>6975</v>
      </c>
      <c r="J41" t="s">
        <v>5</v>
      </c>
      <c r="K41" t="s">
        <v>1375</v>
      </c>
      <c r="L41">
        <v>8023991880</v>
      </c>
      <c r="M41" t="s">
        <v>492</v>
      </c>
    </row>
    <row r="42" spans="9:13" x14ac:dyDescent="0.35">
      <c r="I42">
        <v>7630</v>
      </c>
      <c r="J42" t="s">
        <v>5</v>
      </c>
      <c r="K42" t="s">
        <v>1375</v>
      </c>
      <c r="L42">
        <v>8023976130</v>
      </c>
      <c r="M42" t="s">
        <v>492</v>
      </c>
    </row>
    <row r="43" spans="9:13" x14ac:dyDescent="0.35">
      <c r="I43">
        <v>9316</v>
      </c>
      <c r="J43" t="s">
        <v>5</v>
      </c>
      <c r="K43" t="s">
        <v>1375</v>
      </c>
      <c r="L43">
        <v>8023962234</v>
      </c>
      <c r="M43" t="s">
        <v>492</v>
      </c>
    </row>
    <row r="44" spans="9:13" x14ac:dyDescent="0.35">
      <c r="I44">
        <v>11890</v>
      </c>
      <c r="J44" t="s">
        <v>5</v>
      </c>
      <c r="K44" t="s">
        <v>1375</v>
      </c>
      <c r="L44">
        <v>8022904938</v>
      </c>
      <c r="M44" t="s">
        <v>505</v>
      </c>
    </row>
    <row r="45" spans="9:13" x14ac:dyDescent="0.35">
      <c r="I45">
        <v>177414</v>
      </c>
      <c r="J45" t="s">
        <v>5</v>
      </c>
      <c r="K45" t="s">
        <v>1375</v>
      </c>
      <c r="L45">
        <v>8022113608</v>
      </c>
      <c r="M45" t="s">
        <v>505</v>
      </c>
    </row>
    <row r="46" spans="9:13" x14ac:dyDescent="0.35">
      <c r="I46">
        <v>7100</v>
      </c>
      <c r="J46" t="s">
        <v>5</v>
      </c>
      <c r="K46" t="s">
        <v>1375</v>
      </c>
      <c r="L46">
        <v>8022992299</v>
      </c>
      <c r="M46" t="s">
        <v>505</v>
      </c>
    </row>
    <row r="47" spans="9:13" x14ac:dyDescent="0.35">
      <c r="I47">
        <v>5570</v>
      </c>
      <c r="J47" t="s">
        <v>5</v>
      </c>
      <c r="K47" t="s">
        <v>1375</v>
      </c>
      <c r="L47">
        <v>8022935214</v>
      </c>
      <c r="M47" t="s">
        <v>505</v>
      </c>
    </row>
    <row r="48" spans="9:13" x14ac:dyDescent="0.35">
      <c r="I48">
        <v>10425</v>
      </c>
      <c r="J48" t="s">
        <v>5</v>
      </c>
      <c r="K48" t="s">
        <v>1375</v>
      </c>
      <c r="L48">
        <v>8022919540</v>
      </c>
      <c r="M48" t="s">
        <v>505</v>
      </c>
    </row>
    <row r="49" spans="9:13" x14ac:dyDescent="0.35">
      <c r="I49">
        <v>1725</v>
      </c>
      <c r="J49" t="s">
        <v>5</v>
      </c>
      <c r="K49" t="s">
        <v>1375</v>
      </c>
      <c r="L49">
        <v>8021115323</v>
      </c>
      <c r="M49" t="s">
        <v>519</v>
      </c>
    </row>
    <row r="50" spans="9:13" x14ac:dyDescent="0.35">
      <c r="I50">
        <v>55380</v>
      </c>
      <c r="J50" t="s">
        <v>5</v>
      </c>
      <c r="K50" t="s">
        <v>1375</v>
      </c>
      <c r="L50">
        <v>8021956835</v>
      </c>
      <c r="M50" t="s">
        <v>521</v>
      </c>
    </row>
    <row r="51" spans="9:13" x14ac:dyDescent="0.35">
      <c r="I51">
        <v>177935</v>
      </c>
      <c r="J51" t="s">
        <v>5</v>
      </c>
      <c r="K51" t="s">
        <v>1375</v>
      </c>
      <c r="L51">
        <v>8021974574</v>
      </c>
      <c r="M51" t="s">
        <v>521</v>
      </c>
    </row>
    <row r="52" spans="9:13" x14ac:dyDescent="0.35">
      <c r="I52">
        <v>2820</v>
      </c>
      <c r="J52" t="s">
        <v>5</v>
      </c>
      <c r="K52" t="s">
        <v>1375</v>
      </c>
      <c r="L52">
        <v>8021940906</v>
      </c>
      <c r="M52" t="s">
        <v>521</v>
      </c>
    </row>
    <row r="53" spans="9:13" x14ac:dyDescent="0.35">
      <c r="I53">
        <v>500</v>
      </c>
      <c r="J53" t="s">
        <v>5</v>
      </c>
      <c r="K53" t="s">
        <v>1375</v>
      </c>
      <c r="L53">
        <v>8020117971</v>
      </c>
      <c r="M53" t="s">
        <v>533</v>
      </c>
    </row>
    <row r="54" spans="9:13" x14ac:dyDescent="0.35">
      <c r="I54">
        <v>1600</v>
      </c>
      <c r="J54" t="s">
        <v>5</v>
      </c>
      <c r="K54" t="s">
        <v>1375</v>
      </c>
      <c r="L54">
        <v>8020913893</v>
      </c>
      <c r="M54" t="s">
        <v>533</v>
      </c>
    </row>
    <row r="55" spans="9:13" x14ac:dyDescent="0.35">
      <c r="I55">
        <v>2300</v>
      </c>
      <c r="J55" t="s">
        <v>5</v>
      </c>
      <c r="K55" t="s">
        <v>1375</v>
      </c>
      <c r="L55">
        <v>8020972254</v>
      </c>
      <c r="M55" t="s">
        <v>533</v>
      </c>
    </row>
    <row r="56" spans="9:13" x14ac:dyDescent="0.35">
      <c r="I56">
        <v>1520</v>
      </c>
      <c r="J56" t="s">
        <v>5</v>
      </c>
      <c r="K56" t="s">
        <v>1375</v>
      </c>
      <c r="L56">
        <v>8019113484</v>
      </c>
      <c r="M56" t="s">
        <v>551</v>
      </c>
    </row>
    <row r="57" spans="9:13" x14ac:dyDescent="0.35">
      <c r="I57">
        <v>2150</v>
      </c>
      <c r="J57" t="s">
        <v>5</v>
      </c>
      <c r="K57" t="s">
        <v>1375</v>
      </c>
      <c r="L57">
        <v>8018112901</v>
      </c>
      <c r="M57" t="s">
        <v>569</v>
      </c>
    </row>
    <row r="58" spans="9:13" x14ac:dyDescent="0.35">
      <c r="I58">
        <v>250</v>
      </c>
      <c r="J58" t="s">
        <v>5</v>
      </c>
      <c r="K58" t="s">
        <v>1375</v>
      </c>
      <c r="L58">
        <v>8018984704</v>
      </c>
      <c r="M58" t="s">
        <v>569</v>
      </c>
    </row>
    <row r="59" spans="9:13" x14ac:dyDescent="0.35">
      <c r="I59">
        <v>1260</v>
      </c>
      <c r="J59" t="s">
        <v>5</v>
      </c>
      <c r="K59" t="s">
        <v>1375</v>
      </c>
      <c r="L59">
        <v>8017982693</v>
      </c>
      <c r="M59" t="s">
        <v>791</v>
      </c>
    </row>
    <row r="60" spans="9:13" x14ac:dyDescent="0.35">
      <c r="I60">
        <v>1867</v>
      </c>
      <c r="J60" t="s">
        <v>5</v>
      </c>
      <c r="K60" t="s">
        <v>1375</v>
      </c>
      <c r="L60">
        <v>8017123814</v>
      </c>
      <c r="M60" t="s">
        <v>791</v>
      </c>
    </row>
    <row r="61" spans="9:13" x14ac:dyDescent="0.35">
      <c r="I61">
        <v>1300</v>
      </c>
      <c r="J61" t="s">
        <v>5</v>
      </c>
      <c r="K61" t="s">
        <v>1375</v>
      </c>
      <c r="L61">
        <v>8016934193</v>
      </c>
      <c r="M61" t="s">
        <v>599</v>
      </c>
    </row>
    <row r="62" spans="9:13" x14ac:dyDescent="0.35">
      <c r="I62">
        <v>355</v>
      </c>
      <c r="J62" t="s">
        <v>5</v>
      </c>
      <c r="K62" t="s">
        <v>1375</v>
      </c>
      <c r="L62">
        <v>8015124026</v>
      </c>
      <c r="M62" t="s">
        <v>613</v>
      </c>
    </row>
    <row r="63" spans="9:13" x14ac:dyDescent="0.35">
      <c r="I63">
        <v>520</v>
      </c>
      <c r="J63" t="s">
        <v>5</v>
      </c>
      <c r="K63" t="s">
        <v>1375</v>
      </c>
      <c r="L63">
        <v>8014928769</v>
      </c>
      <c r="M63" t="s">
        <v>867</v>
      </c>
    </row>
    <row r="64" spans="9:13" x14ac:dyDescent="0.35">
      <c r="I64">
        <v>1500</v>
      </c>
      <c r="J64" t="s">
        <v>5</v>
      </c>
      <c r="K64" t="s">
        <v>1375</v>
      </c>
      <c r="L64">
        <v>8014117719</v>
      </c>
      <c r="M64" t="s">
        <v>867</v>
      </c>
    </row>
    <row r="65" spans="9:13" x14ac:dyDescent="0.35">
      <c r="I65">
        <v>3827</v>
      </c>
      <c r="J65" t="s">
        <v>5</v>
      </c>
      <c r="K65" t="s">
        <v>1375</v>
      </c>
      <c r="L65">
        <v>8013114633</v>
      </c>
      <c r="M65" t="s">
        <v>1239</v>
      </c>
    </row>
    <row r="66" spans="9:13" x14ac:dyDescent="0.35">
      <c r="I66">
        <v>3307</v>
      </c>
      <c r="J66" t="s">
        <v>5</v>
      </c>
      <c r="K66" t="s">
        <v>1375</v>
      </c>
      <c r="L66">
        <v>8012114793</v>
      </c>
      <c r="M66" t="s">
        <v>1377</v>
      </c>
    </row>
    <row r="67" spans="9:13" x14ac:dyDescent="0.35">
      <c r="I67">
        <v>500</v>
      </c>
      <c r="J67" t="s">
        <v>5</v>
      </c>
      <c r="K67" t="s">
        <v>1375</v>
      </c>
      <c r="L67">
        <v>8011980503</v>
      </c>
      <c r="M67" t="s">
        <v>666</v>
      </c>
    </row>
    <row r="68" spans="9:13" x14ac:dyDescent="0.35">
      <c r="I68">
        <v>1050</v>
      </c>
      <c r="J68" t="s">
        <v>5</v>
      </c>
      <c r="K68" t="s">
        <v>1375</v>
      </c>
      <c r="L68">
        <v>8011946399</v>
      </c>
      <c r="M68" t="s">
        <v>666</v>
      </c>
    </row>
    <row r="69" spans="9:13" x14ac:dyDescent="0.35">
      <c r="I69">
        <v>1126</v>
      </c>
      <c r="J69" t="s">
        <v>5</v>
      </c>
      <c r="K69" t="s">
        <v>1375</v>
      </c>
      <c r="L69">
        <v>8011113035</v>
      </c>
      <c r="M69" t="s">
        <v>668</v>
      </c>
    </row>
    <row r="70" spans="9:13" x14ac:dyDescent="0.35">
      <c r="I70">
        <v>500</v>
      </c>
      <c r="J70" t="s">
        <v>5</v>
      </c>
      <c r="K70" t="s">
        <v>1375</v>
      </c>
      <c r="L70">
        <v>8010115066</v>
      </c>
      <c r="M70" t="s">
        <v>680</v>
      </c>
    </row>
    <row r="71" spans="9:13" x14ac:dyDescent="0.35">
      <c r="I71">
        <v>2340</v>
      </c>
      <c r="J71" t="s">
        <v>5</v>
      </c>
      <c r="K71" t="s">
        <v>1375</v>
      </c>
      <c r="L71">
        <v>8010964885</v>
      </c>
      <c r="M71" t="s">
        <v>29</v>
      </c>
    </row>
    <row r="72" spans="9:13" x14ac:dyDescent="0.35">
      <c r="I72">
        <v>9999</v>
      </c>
      <c r="J72" t="s">
        <v>5</v>
      </c>
      <c r="K72" t="s">
        <v>1375</v>
      </c>
      <c r="L72">
        <v>8010944595</v>
      </c>
      <c r="M72" t="s">
        <v>29</v>
      </c>
    </row>
    <row r="73" spans="9:13" x14ac:dyDescent="0.35">
      <c r="I73">
        <v>13664</v>
      </c>
      <c r="J73" t="s">
        <v>5</v>
      </c>
      <c r="K73" t="s">
        <v>1375</v>
      </c>
      <c r="L73">
        <v>8010119939</v>
      </c>
      <c r="M73" t="s">
        <v>29</v>
      </c>
    </row>
    <row r="74" spans="9:13" x14ac:dyDescent="0.35">
      <c r="I74">
        <v>800</v>
      </c>
      <c r="J74" t="s">
        <v>5</v>
      </c>
      <c r="K74" t="s">
        <v>1375</v>
      </c>
      <c r="L74">
        <v>8007113314</v>
      </c>
      <c r="M74" t="s">
        <v>724</v>
      </c>
    </row>
    <row r="75" spans="9:13" x14ac:dyDescent="0.35">
      <c r="I75">
        <v>1200</v>
      </c>
      <c r="J75" t="s">
        <v>5</v>
      </c>
      <c r="K75" t="s">
        <v>1375</v>
      </c>
      <c r="L75">
        <v>8007972144</v>
      </c>
      <c r="M75" t="s">
        <v>724</v>
      </c>
    </row>
    <row r="76" spans="9:13" x14ac:dyDescent="0.35">
      <c r="I76">
        <v>1860</v>
      </c>
      <c r="J76" t="s">
        <v>5</v>
      </c>
      <c r="K76" t="s">
        <v>1375</v>
      </c>
      <c r="L76">
        <v>8006113083</v>
      </c>
      <c r="M76" t="s">
        <v>734</v>
      </c>
    </row>
    <row r="77" spans="9:13" x14ac:dyDescent="0.35">
      <c r="I77">
        <v>400</v>
      </c>
      <c r="J77" t="s">
        <v>5</v>
      </c>
      <c r="K77" t="s">
        <v>1375</v>
      </c>
      <c r="L77">
        <v>8006956146</v>
      </c>
      <c r="M77" t="s">
        <v>734</v>
      </c>
    </row>
    <row r="78" spans="9:13" x14ac:dyDescent="0.35">
      <c r="I78">
        <v>60</v>
      </c>
      <c r="J78" t="s">
        <v>5</v>
      </c>
      <c r="K78" t="s">
        <v>1375</v>
      </c>
      <c r="L78">
        <v>8005113786</v>
      </c>
      <c r="M78" t="s">
        <v>743</v>
      </c>
    </row>
    <row r="79" spans="9:13" x14ac:dyDescent="0.35">
      <c r="I79">
        <v>200</v>
      </c>
      <c r="J79" t="s">
        <v>5</v>
      </c>
      <c r="K79" t="s">
        <v>1375</v>
      </c>
      <c r="L79">
        <v>8005998028</v>
      </c>
      <c r="M79" t="s">
        <v>39</v>
      </c>
    </row>
    <row r="80" spans="9:13" x14ac:dyDescent="0.35">
      <c r="I80">
        <v>900</v>
      </c>
      <c r="J80" t="s">
        <v>5</v>
      </c>
      <c r="K80" t="s">
        <v>1375</v>
      </c>
      <c r="L80">
        <v>8005112844</v>
      </c>
      <c r="M80" t="s">
        <v>39</v>
      </c>
    </row>
    <row r="81" spans="9:13" x14ac:dyDescent="0.35">
      <c r="I81">
        <v>800</v>
      </c>
      <c r="J81" t="s">
        <v>5</v>
      </c>
      <c r="K81" t="s">
        <v>1375</v>
      </c>
      <c r="L81">
        <v>8004937946</v>
      </c>
      <c r="M81" t="s">
        <v>763</v>
      </c>
    </row>
    <row r="82" spans="9:13" x14ac:dyDescent="0.35">
      <c r="I82">
        <v>3330</v>
      </c>
      <c r="J82" t="s">
        <v>5</v>
      </c>
      <c r="K82" t="s">
        <v>1375</v>
      </c>
      <c r="L82">
        <v>8004112980</v>
      </c>
      <c r="M82" t="s">
        <v>763</v>
      </c>
    </row>
    <row r="83" spans="9:13" x14ac:dyDescent="0.35">
      <c r="I83">
        <v>1675</v>
      </c>
      <c r="J83" t="s">
        <v>5</v>
      </c>
      <c r="K83" t="s">
        <v>1375</v>
      </c>
      <c r="L83">
        <v>8004112754</v>
      </c>
      <c r="M83" t="s">
        <v>770</v>
      </c>
    </row>
    <row r="84" spans="9:13" x14ac:dyDescent="0.35">
      <c r="I84">
        <v>200</v>
      </c>
      <c r="J84" t="s">
        <v>5</v>
      </c>
      <c r="K84" t="s">
        <v>1375</v>
      </c>
      <c r="L84">
        <v>8004111804</v>
      </c>
      <c r="M84" t="s">
        <v>776</v>
      </c>
    </row>
    <row r="85" spans="9:13" x14ac:dyDescent="0.35">
      <c r="I85">
        <v>4500</v>
      </c>
      <c r="J85" t="s">
        <v>5</v>
      </c>
      <c r="K85" t="s">
        <v>1375</v>
      </c>
      <c r="L85">
        <v>8003949983</v>
      </c>
      <c r="M85" t="s">
        <v>351</v>
      </c>
    </row>
    <row r="86" spans="9:13" x14ac:dyDescent="0.35">
      <c r="I86">
        <v>9227</v>
      </c>
      <c r="J86" t="s">
        <v>5</v>
      </c>
      <c r="K86" t="s">
        <v>1375</v>
      </c>
      <c r="L86">
        <v>8003123810</v>
      </c>
      <c r="M86" t="s">
        <v>351</v>
      </c>
    </row>
    <row r="87" spans="9:13" x14ac:dyDescent="0.35">
      <c r="I87">
        <v>300</v>
      </c>
      <c r="J87" t="s">
        <v>5</v>
      </c>
      <c r="K87" t="s">
        <v>1375</v>
      </c>
      <c r="L87">
        <v>8001126355</v>
      </c>
      <c r="M87" t="s">
        <v>288</v>
      </c>
    </row>
    <row r="88" spans="9:13" x14ac:dyDescent="0.35">
      <c r="I88">
        <v>96</v>
      </c>
      <c r="J88" t="s">
        <v>5</v>
      </c>
      <c r="K88" t="s">
        <v>1375</v>
      </c>
      <c r="L88">
        <v>8001991189</v>
      </c>
      <c r="M88" t="s">
        <v>288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3"/>
  <dimension ref="A1:V13"/>
  <sheetViews>
    <sheetView zoomScale="42" zoomScaleNormal="42" workbookViewId="0">
      <selection activeCell="AM104" sqref="AM104"/>
    </sheetView>
  </sheetViews>
  <sheetFormatPr baseColWidth="10" defaultColWidth="8.81640625" defaultRowHeight="14.5" x14ac:dyDescent="0.35"/>
  <cols>
    <col min="1" max="1" width="19.7265625" bestFit="1" customWidth="1"/>
    <col min="2" max="2" width="11.26953125" bestFit="1" customWidth="1"/>
    <col min="3" max="3" width="11.1796875" bestFit="1" customWidth="1"/>
    <col min="4" max="4" width="8.54296875" bestFit="1" customWidth="1"/>
    <col min="5" max="6" width="11.1796875" bestFit="1" customWidth="1"/>
    <col min="7" max="7" width="11.26953125" bestFit="1" customWidth="1"/>
    <col min="8" max="8" width="12.81640625" bestFit="1" customWidth="1"/>
    <col min="9" max="9" width="11.1796875" bestFit="1" customWidth="1"/>
    <col min="10" max="10" width="12.1796875" bestFit="1" customWidth="1"/>
    <col min="11" max="11" width="14.1796875" bestFit="1" customWidth="1"/>
    <col min="12" max="13" width="12.1796875" bestFit="1" customWidth="1"/>
    <col min="14" max="14" width="12.26953125" bestFit="1" customWidth="1"/>
    <col min="15" max="15" width="12.1796875" bestFit="1" customWidth="1"/>
    <col min="16" max="16" width="5.81640625" customWidth="1"/>
    <col min="17" max="17" width="8.54296875" customWidth="1"/>
    <col min="18" max="18" width="19.1796875" customWidth="1"/>
    <col min="19" max="19" width="8.81640625" bestFit="1" customWidth="1"/>
    <col min="20" max="20" width="13.1796875" customWidth="1"/>
    <col min="21" max="21" width="12.7265625" bestFit="1" customWidth="1"/>
    <col min="22" max="22" width="17.81640625" customWidth="1"/>
  </cols>
  <sheetData>
    <row r="1" spans="1:22" ht="15" customHeight="1" thickBot="1" x14ac:dyDescent="0.4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66"/>
    </row>
    <row r="2" spans="1:22" ht="15" customHeight="1" thickBot="1" x14ac:dyDescent="0.4">
      <c r="A2" s="100" t="s">
        <v>204</v>
      </c>
      <c r="B2" s="99"/>
      <c r="C2" s="99"/>
      <c r="D2" s="100" t="s">
        <v>205</v>
      </c>
      <c r="E2" s="99"/>
      <c r="F2" s="99"/>
      <c r="G2" s="99"/>
      <c r="H2" s="99"/>
      <c r="I2" s="99"/>
      <c r="J2" s="99"/>
      <c r="K2" s="101" t="s">
        <v>206</v>
      </c>
      <c r="L2" s="99"/>
      <c r="M2" s="99"/>
      <c r="N2" s="99"/>
      <c r="O2" s="99"/>
      <c r="P2" s="66"/>
      <c r="R2" s="83" t="s">
        <v>198</v>
      </c>
      <c r="T2" t="s">
        <v>9</v>
      </c>
      <c r="U2" s="108">
        <f>SUM(S4:S15)+SUM(G5:G13)+SUM(N5:N11)</f>
        <v>0</v>
      </c>
    </row>
    <row r="3" spans="1:22" ht="15" customHeight="1" thickBot="1" x14ac:dyDescent="0.4">
      <c r="A3" s="99"/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R3" s="76" t="s">
        <v>21</v>
      </c>
      <c r="S3" s="8" t="s">
        <v>26</v>
      </c>
      <c r="T3" s="8" t="s">
        <v>23</v>
      </c>
      <c r="U3" s="8" t="s">
        <v>24</v>
      </c>
      <c r="V3" s="8" t="s">
        <v>25</v>
      </c>
    </row>
    <row r="4" spans="1:22" ht="15" customHeight="1" thickBot="1" x14ac:dyDescent="0.4">
      <c r="A4" s="59" t="s">
        <v>207</v>
      </c>
      <c r="B4" s="59" t="s">
        <v>80</v>
      </c>
      <c r="C4" s="99"/>
      <c r="D4" s="60" t="s">
        <v>208</v>
      </c>
      <c r="E4" s="60" t="s">
        <v>208</v>
      </c>
      <c r="F4" s="60" t="s">
        <v>209</v>
      </c>
      <c r="G4" s="60" t="s">
        <v>80</v>
      </c>
      <c r="H4" s="60" t="s">
        <v>210</v>
      </c>
      <c r="I4" s="60" t="s">
        <v>177</v>
      </c>
      <c r="J4" s="99"/>
      <c r="K4" s="61" t="s">
        <v>211</v>
      </c>
      <c r="L4" s="61" t="s">
        <v>208</v>
      </c>
      <c r="M4" s="61" t="s">
        <v>209</v>
      </c>
      <c r="N4" s="61" t="s">
        <v>80</v>
      </c>
      <c r="O4" s="61" t="s">
        <v>177</v>
      </c>
      <c r="R4" t="s">
        <v>331</v>
      </c>
      <c r="S4">
        <v>-405</v>
      </c>
      <c r="T4" t="s">
        <v>290</v>
      </c>
      <c r="U4">
        <v>28110960000</v>
      </c>
      <c r="V4" s="183" t="s">
        <v>333</v>
      </c>
    </row>
    <row r="5" spans="1:22" ht="15" customHeight="1" thickBot="1" x14ac:dyDescent="0.4">
      <c r="A5" s="62" t="s">
        <v>214</v>
      </c>
      <c r="B5" s="102">
        <f>SUM(G5:G30)</f>
        <v>1010.44</v>
      </c>
      <c r="C5" s="99"/>
      <c r="D5" s="63" t="s">
        <v>215</v>
      </c>
      <c r="E5" s="63" t="s">
        <v>216</v>
      </c>
      <c r="F5" s="63" t="s">
        <v>217</v>
      </c>
      <c r="G5" s="104">
        <v>315</v>
      </c>
      <c r="H5" s="64">
        <v>30007202462</v>
      </c>
      <c r="I5" s="63" t="s">
        <v>218</v>
      </c>
      <c r="J5" s="99"/>
      <c r="K5" s="65" t="s">
        <v>219</v>
      </c>
      <c r="L5" s="65" t="s">
        <v>220</v>
      </c>
      <c r="M5" s="65" t="s">
        <v>217</v>
      </c>
      <c r="N5" s="106">
        <v>405</v>
      </c>
      <c r="O5" s="65" t="s">
        <v>218</v>
      </c>
      <c r="R5" t="s">
        <v>37</v>
      </c>
      <c r="S5">
        <v>-30</v>
      </c>
      <c r="T5" t="s">
        <v>212</v>
      </c>
      <c r="U5">
        <v>19204740000</v>
      </c>
      <c r="V5" s="183" t="s">
        <v>213</v>
      </c>
    </row>
    <row r="6" spans="1:22" ht="15" customHeight="1" thickBot="1" x14ac:dyDescent="0.4">
      <c r="A6" s="62" t="s">
        <v>224</v>
      </c>
      <c r="B6" s="102">
        <f>SUM(N5:N12)</f>
        <v>1215</v>
      </c>
      <c r="C6" s="99"/>
      <c r="D6" s="63" t="s">
        <v>225</v>
      </c>
      <c r="E6" s="63" t="s">
        <v>226</v>
      </c>
      <c r="F6" s="63" t="s">
        <v>217</v>
      </c>
      <c r="G6" s="104">
        <v>315</v>
      </c>
      <c r="H6" s="64">
        <v>30303937613</v>
      </c>
      <c r="I6" s="63" t="s">
        <v>218</v>
      </c>
      <c r="J6" s="99"/>
      <c r="K6" s="65" t="s">
        <v>227</v>
      </c>
      <c r="L6" s="65" t="s">
        <v>228</v>
      </c>
      <c r="M6" s="65" t="s">
        <v>217</v>
      </c>
      <c r="N6" s="106">
        <v>405</v>
      </c>
      <c r="O6" s="65" t="s">
        <v>218</v>
      </c>
      <c r="R6" t="s">
        <v>29</v>
      </c>
      <c r="S6">
        <v>-114.24</v>
      </c>
      <c r="T6" t="s">
        <v>222</v>
      </c>
      <c r="U6">
        <v>50597930000</v>
      </c>
      <c r="V6" s="183" t="s">
        <v>223</v>
      </c>
    </row>
    <row r="7" spans="1:22" ht="15" customHeight="1" thickBot="1" x14ac:dyDescent="0.4">
      <c r="A7" s="62" t="s">
        <v>231</v>
      </c>
      <c r="B7" s="102">
        <f>SUM(S4:S16)</f>
        <v>-2225.44</v>
      </c>
      <c r="C7" s="99"/>
      <c r="D7" s="63" t="s">
        <v>232</v>
      </c>
      <c r="E7" s="63" t="s">
        <v>233</v>
      </c>
      <c r="F7" s="63" t="s">
        <v>234</v>
      </c>
      <c r="G7" s="104">
        <v>30</v>
      </c>
      <c r="H7" s="64">
        <v>30005311655</v>
      </c>
      <c r="I7" s="63" t="s">
        <v>218</v>
      </c>
      <c r="J7" s="99"/>
      <c r="K7" s="65" t="s">
        <v>328</v>
      </c>
      <c r="L7" s="65" t="s">
        <v>329</v>
      </c>
      <c r="M7" s="65" t="s">
        <v>330</v>
      </c>
      <c r="N7" s="106">
        <v>405</v>
      </c>
      <c r="O7" s="65" t="s">
        <v>218</v>
      </c>
      <c r="R7" t="s">
        <v>29</v>
      </c>
      <c r="S7">
        <v>-67.2</v>
      </c>
      <c r="T7" t="s">
        <v>229</v>
      </c>
      <c r="U7">
        <v>50597940000</v>
      </c>
      <c r="V7" s="183" t="s">
        <v>230</v>
      </c>
    </row>
    <row r="8" spans="1:22" ht="15" customHeight="1" thickBot="1" x14ac:dyDescent="0.4">
      <c r="A8" s="99" t="s">
        <v>248</v>
      </c>
      <c r="B8" s="103">
        <f>B5+B6+B7</f>
        <v>0</v>
      </c>
      <c r="C8" s="99"/>
      <c r="D8" s="63" t="s">
        <v>237</v>
      </c>
      <c r="E8" s="63" t="s">
        <v>238</v>
      </c>
      <c r="F8" s="63" t="s">
        <v>42</v>
      </c>
      <c r="G8" s="104">
        <v>169</v>
      </c>
      <c r="H8" s="64">
        <v>28016632246</v>
      </c>
      <c r="I8" s="63" t="s">
        <v>221</v>
      </c>
      <c r="J8" s="99"/>
      <c r="K8" s="65"/>
      <c r="L8" s="65"/>
      <c r="M8" s="65"/>
      <c r="N8" s="106">
        <v>0</v>
      </c>
      <c r="O8" s="65" t="s">
        <v>221</v>
      </c>
      <c r="R8" t="s">
        <v>39</v>
      </c>
      <c r="S8">
        <v>-169</v>
      </c>
      <c r="T8" t="s">
        <v>235</v>
      </c>
      <c r="U8">
        <v>12605890000</v>
      </c>
      <c r="V8" s="183" t="s">
        <v>236</v>
      </c>
    </row>
    <row r="9" spans="1:22" ht="15" customHeight="1" thickBot="1" x14ac:dyDescent="0.4">
      <c r="A9" s="99"/>
      <c r="B9" s="103"/>
      <c r="C9" s="99"/>
      <c r="D9" s="63" t="s">
        <v>323</v>
      </c>
      <c r="E9" s="63" t="s">
        <v>324</v>
      </c>
      <c r="F9" s="63" t="s">
        <v>325</v>
      </c>
      <c r="G9" s="104">
        <v>114.24</v>
      </c>
      <c r="H9" s="63"/>
      <c r="I9" s="63" t="s">
        <v>218</v>
      </c>
      <c r="J9" s="99"/>
      <c r="K9" s="65"/>
      <c r="L9" s="65"/>
      <c r="M9" s="65"/>
      <c r="N9" s="106">
        <v>0</v>
      </c>
      <c r="O9" s="65" t="s">
        <v>221</v>
      </c>
      <c r="R9" t="s">
        <v>201</v>
      </c>
      <c r="S9">
        <v>-315</v>
      </c>
      <c r="T9" t="s">
        <v>239</v>
      </c>
      <c r="U9">
        <v>57384120000</v>
      </c>
      <c r="V9" s="183" t="s">
        <v>240</v>
      </c>
    </row>
    <row r="10" spans="1:22" ht="15" customHeight="1" thickBot="1" x14ac:dyDescent="0.4">
      <c r="A10" s="99"/>
      <c r="B10" s="103"/>
      <c r="C10" s="99"/>
      <c r="D10" s="63" t="s">
        <v>326</v>
      </c>
      <c r="E10" s="63" t="s">
        <v>327</v>
      </c>
      <c r="F10" s="63"/>
      <c r="G10" s="104">
        <v>67.2</v>
      </c>
      <c r="H10" s="63"/>
      <c r="I10" s="63" t="s">
        <v>218</v>
      </c>
      <c r="J10" s="99"/>
      <c r="K10" s="65"/>
      <c r="L10" s="65"/>
      <c r="M10" s="65"/>
      <c r="N10" s="107"/>
      <c r="O10" s="65" t="s">
        <v>221</v>
      </c>
      <c r="R10" t="s">
        <v>201</v>
      </c>
      <c r="S10">
        <v>-315</v>
      </c>
      <c r="T10" t="s">
        <v>241</v>
      </c>
      <c r="U10">
        <v>57384110000</v>
      </c>
      <c r="V10" s="183" t="s">
        <v>242</v>
      </c>
    </row>
    <row r="11" spans="1:22" ht="15" customHeight="1" thickBot="1" x14ac:dyDescent="0.4">
      <c r="A11" s="99"/>
      <c r="B11" s="99"/>
      <c r="C11" s="99"/>
      <c r="D11" s="63"/>
      <c r="E11" s="63"/>
      <c r="F11" s="63"/>
      <c r="G11" s="105"/>
      <c r="H11" s="63"/>
      <c r="I11" s="63"/>
      <c r="J11" s="99"/>
      <c r="K11" s="65"/>
      <c r="L11" s="65"/>
      <c r="M11" s="65"/>
      <c r="N11" s="107"/>
      <c r="O11" s="65" t="s">
        <v>221</v>
      </c>
      <c r="R11" t="s">
        <v>288</v>
      </c>
      <c r="S11">
        <v>-810</v>
      </c>
      <c r="T11" t="s">
        <v>290</v>
      </c>
      <c r="U11">
        <v>47188440000</v>
      </c>
      <c r="V11" s="183" t="s">
        <v>291</v>
      </c>
    </row>
    <row r="12" spans="1:22" x14ac:dyDescent="0.35">
      <c r="A12" s="109"/>
      <c r="N12" s="108"/>
    </row>
    <row r="13" spans="1:22" x14ac:dyDescent="0.35">
      <c r="N13" s="108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7"/>
  <dimension ref="C3:N90"/>
  <sheetViews>
    <sheetView topLeftCell="A4" zoomScale="65" zoomScaleNormal="65" workbookViewId="0">
      <selection activeCell="B13" sqref="B13:W26"/>
    </sheetView>
  </sheetViews>
  <sheetFormatPr baseColWidth="10" defaultColWidth="8.7265625" defaultRowHeight="14.5" x14ac:dyDescent="0.35"/>
  <cols>
    <col min="3" max="3" width="10.54296875" customWidth="1"/>
    <col min="4" max="4" width="15.1796875" customWidth="1"/>
    <col min="5" max="5" width="37.7265625" customWidth="1"/>
    <col min="6" max="6" width="12.26953125" customWidth="1"/>
    <col min="7" max="7" width="46.81640625" customWidth="1"/>
    <col min="8" max="8" width="7.453125" customWidth="1"/>
  </cols>
  <sheetData>
    <row r="3" spans="3:14" x14ac:dyDescent="0.35">
      <c r="C3" s="75" t="s">
        <v>70</v>
      </c>
      <c r="D3" s="67"/>
    </row>
    <row r="4" spans="3:14" x14ac:dyDescent="0.35">
      <c r="C4" s="73" t="s">
        <v>71</v>
      </c>
      <c r="D4" s="73">
        <f>SUM(D13:D55)</f>
        <v>-2263.9500000000003</v>
      </c>
    </row>
    <row r="5" spans="3:14" x14ac:dyDescent="0.35">
      <c r="C5" s="17" t="s">
        <v>12</v>
      </c>
      <c r="D5" s="17">
        <f>SUM(K13:K93)</f>
        <v>4285.57</v>
      </c>
    </row>
    <row r="6" spans="3:14" x14ac:dyDescent="0.35">
      <c r="C6" s="27" t="s">
        <v>1</v>
      </c>
      <c r="D6" s="27">
        <f>D4+D5</f>
        <v>2021.6199999999994</v>
      </c>
    </row>
    <row r="11" spans="3:14" ht="39.6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413</v>
      </c>
      <c r="D13" s="73">
        <v>-242</v>
      </c>
      <c r="E13" s="73" t="s">
        <v>962</v>
      </c>
      <c r="F13" s="73">
        <v>39541090000</v>
      </c>
      <c r="G13" s="182" t="s">
        <v>963</v>
      </c>
      <c r="J13" s="17" t="s">
        <v>403</v>
      </c>
      <c r="K13" s="17">
        <v>71.62</v>
      </c>
      <c r="L13" s="17" t="s">
        <v>5</v>
      </c>
      <c r="M13" s="17">
        <v>1029118</v>
      </c>
      <c r="N13" s="17" t="s">
        <v>974</v>
      </c>
    </row>
    <row r="14" spans="3:14" ht="29" x14ac:dyDescent="0.35">
      <c r="C14" s="73" t="s">
        <v>413</v>
      </c>
      <c r="D14" s="73">
        <v>-308.2</v>
      </c>
      <c r="E14" s="73" t="s">
        <v>964</v>
      </c>
      <c r="F14" s="73">
        <v>37873150000</v>
      </c>
      <c r="G14" s="182" t="s">
        <v>965</v>
      </c>
      <c r="J14" s="17" t="s">
        <v>413</v>
      </c>
      <c r="K14" s="17">
        <v>1563.15</v>
      </c>
      <c r="L14" s="17" t="s">
        <v>5</v>
      </c>
      <c r="M14" s="17">
        <v>941095</v>
      </c>
      <c r="N14" s="17" t="s">
        <v>975</v>
      </c>
    </row>
    <row r="15" spans="3:14" ht="29" x14ac:dyDescent="0.35">
      <c r="C15" s="73" t="s">
        <v>492</v>
      </c>
      <c r="D15" s="73">
        <v>-982.78</v>
      </c>
      <c r="E15" s="73" t="s">
        <v>966</v>
      </c>
      <c r="F15" s="73">
        <v>94483100000</v>
      </c>
      <c r="G15" s="182" t="s">
        <v>967</v>
      </c>
      <c r="J15" s="17" t="s">
        <v>413</v>
      </c>
      <c r="K15" s="17">
        <v>317.33999999999997</v>
      </c>
      <c r="L15" s="17" t="s">
        <v>5</v>
      </c>
      <c r="M15" s="17">
        <v>941218</v>
      </c>
      <c r="N15" s="17" t="s">
        <v>976</v>
      </c>
    </row>
    <row r="16" spans="3:14" ht="29" x14ac:dyDescent="0.35">
      <c r="C16" s="73" t="s">
        <v>507</v>
      </c>
      <c r="D16" s="78">
        <v>-189.9</v>
      </c>
      <c r="E16" s="79" t="s">
        <v>968</v>
      </c>
      <c r="F16" s="73">
        <v>96985720000</v>
      </c>
      <c r="G16" s="182" t="s">
        <v>969</v>
      </c>
      <c r="J16" s="17" t="s">
        <v>413</v>
      </c>
      <c r="K16" s="17">
        <v>4.91</v>
      </c>
      <c r="L16" s="17" t="s">
        <v>5</v>
      </c>
      <c r="M16" s="17">
        <v>941218</v>
      </c>
      <c r="N16" s="17" t="s">
        <v>977</v>
      </c>
    </row>
    <row r="17" spans="3:14" ht="29" x14ac:dyDescent="0.35">
      <c r="C17" s="73" t="s">
        <v>507</v>
      </c>
      <c r="D17" s="73">
        <v>-117</v>
      </c>
      <c r="E17" s="73" t="s">
        <v>968</v>
      </c>
      <c r="F17" s="73">
        <v>96985730000</v>
      </c>
      <c r="G17" s="182" t="s">
        <v>970</v>
      </c>
      <c r="J17" s="17" t="s">
        <v>479</v>
      </c>
      <c r="K17" s="17">
        <v>39.299999999999997</v>
      </c>
      <c r="L17" s="17" t="s">
        <v>5</v>
      </c>
      <c r="M17" s="17">
        <v>770103</v>
      </c>
      <c r="N17" s="17" t="s">
        <v>978</v>
      </c>
    </row>
    <row r="18" spans="3:14" ht="29" x14ac:dyDescent="0.35">
      <c r="C18" s="73" t="s">
        <v>535</v>
      </c>
      <c r="D18" s="79">
        <v>-230.07</v>
      </c>
      <c r="E18" s="73" t="s">
        <v>785</v>
      </c>
      <c r="F18" s="73">
        <v>45035870000</v>
      </c>
      <c r="G18" s="182" t="s">
        <v>971</v>
      </c>
      <c r="J18" s="17" t="s">
        <v>519</v>
      </c>
      <c r="K18" s="17">
        <v>29.47</v>
      </c>
      <c r="L18" s="17" t="s">
        <v>5</v>
      </c>
      <c r="M18" s="17">
        <v>881847</v>
      </c>
      <c r="N18" s="17" t="s">
        <v>979</v>
      </c>
    </row>
    <row r="19" spans="3:14" ht="29" x14ac:dyDescent="0.35">
      <c r="C19" s="73" t="s">
        <v>626</v>
      </c>
      <c r="D19" s="73">
        <v>-194</v>
      </c>
      <c r="E19" s="73" t="s">
        <v>972</v>
      </c>
      <c r="F19" s="73">
        <v>85429430000</v>
      </c>
      <c r="G19" s="182" t="s">
        <v>973</v>
      </c>
      <c r="J19" s="17" t="s">
        <v>581</v>
      </c>
      <c r="K19" s="17">
        <v>319.31</v>
      </c>
      <c r="L19" s="17" t="s">
        <v>5</v>
      </c>
      <c r="M19" s="17">
        <v>685846</v>
      </c>
      <c r="N19" s="17" t="s">
        <v>980</v>
      </c>
    </row>
    <row r="20" spans="3:14" x14ac:dyDescent="0.35">
      <c r="C20" s="73"/>
      <c r="D20" s="73"/>
      <c r="E20" s="73"/>
      <c r="F20" s="73"/>
      <c r="G20" s="73"/>
      <c r="J20" s="17" t="s">
        <v>585</v>
      </c>
      <c r="K20" s="17">
        <v>281.98</v>
      </c>
      <c r="L20" s="17" t="s">
        <v>5</v>
      </c>
      <c r="M20" s="17">
        <v>1276017</v>
      </c>
      <c r="N20" s="17" t="s">
        <v>981</v>
      </c>
    </row>
    <row r="21" spans="3:14" x14ac:dyDescent="0.35">
      <c r="C21" s="73"/>
      <c r="D21" s="73"/>
      <c r="E21" s="73"/>
      <c r="F21" s="73"/>
      <c r="G21" s="73"/>
      <c r="J21" s="17" t="s">
        <v>626</v>
      </c>
      <c r="K21" s="17">
        <v>481.45</v>
      </c>
      <c r="L21" s="17" t="s">
        <v>5</v>
      </c>
      <c r="M21" s="17">
        <v>1556211</v>
      </c>
      <c r="N21" s="17" t="s">
        <v>982</v>
      </c>
    </row>
    <row r="22" spans="3:14" x14ac:dyDescent="0.35">
      <c r="C22" s="73"/>
      <c r="D22" s="73"/>
      <c r="E22" s="73"/>
      <c r="F22" s="73"/>
      <c r="G22" s="73"/>
      <c r="J22" s="17" t="s">
        <v>668</v>
      </c>
      <c r="K22" s="17">
        <v>12.77</v>
      </c>
      <c r="L22" s="17" t="s">
        <v>5</v>
      </c>
      <c r="M22" s="17">
        <v>280430</v>
      </c>
      <c r="N22" s="17" t="s">
        <v>983</v>
      </c>
    </row>
    <row r="23" spans="3:14" x14ac:dyDescent="0.35">
      <c r="C23" s="73"/>
      <c r="D23" s="73"/>
      <c r="E23" s="73"/>
      <c r="F23" s="73"/>
      <c r="G23" s="73"/>
      <c r="J23" s="17" t="s">
        <v>683</v>
      </c>
      <c r="K23" s="17">
        <v>338.98</v>
      </c>
      <c r="L23" s="17" t="s">
        <v>5</v>
      </c>
      <c r="M23" s="17">
        <v>1363386</v>
      </c>
      <c r="N23" s="17" t="s">
        <v>984</v>
      </c>
    </row>
    <row r="24" spans="3:14" x14ac:dyDescent="0.35">
      <c r="C24" s="73"/>
      <c r="D24" s="73"/>
      <c r="E24" s="73"/>
      <c r="F24" s="73"/>
      <c r="G24" s="73"/>
      <c r="J24" s="17" t="s">
        <v>351</v>
      </c>
      <c r="K24" s="17">
        <v>825.29</v>
      </c>
      <c r="L24" s="17" t="s">
        <v>5</v>
      </c>
      <c r="M24" s="17">
        <v>1296222</v>
      </c>
      <c r="N24" s="17" t="s">
        <v>985</v>
      </c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  <pageSetup paperSize="9" orientation="portrait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5"/>
  <dimension ref="C3:N90"/>
  <sheetViews>
    <sheetView zoomScale="43" zoomScaleNormal="70" workbookViewId="0">
      <selection activeCell="B13" sqref="B13:W52"/>
    </sheetView>
  </sheetViews>
  <sheetFormatPr baseColWidth="10" defaultColWidth="8.7265625" defaultRowHeight="14.5" x14ac:dyDescent="0.35"/>
  <cols>
    <col min="4" max="4" width="13.26953125" customWidth="1"/>
    <col min="6" max="6" width="11.81640625" bestFit="1" customWidth="1"/>
    <col min="7" max="7" width="28.453125" customWidth="1"/>
    <col min="11" max="11" width="8.81640625" bestFit="1" customWidth="1"/>
    <col min="13" max="13" width="8.81640625" bestFit="1" customWidth="1"/>
  </cols>
  <sheetData>
    <row r="3" spans="3:14" x14ac:dyDescent="0.35">
      <c r="C3" s="75" t="s">
        <v>70</v>
      </c>
      <c r="D3" s="67"/>
    </row>
    <row r="4" spans="3:14" x14ac:dyDescent="0.35">
      <c r="C4" s="73" t="s">
        <v>71</v>
      </c>
      <c r="D4" s="73">
        <f>SUM(D13:D38)</f>
        <v>-10863</v>
      </c>
    </row>
    <row r="5" spans="3:14" x14ac:dyDescent="0.35">
      <c r="C5" s="17" t="s">
        <v>12</v>
      </c>
      <c r="D5" s="17">
        <f>SUM(K13:K66)</f>
        <v>88074.739999999976</v>
      </c>
    </row>
    <row r="6" spans="3:14" x14ac:dyDescent="0.35">
      <c r="C6" s="27" t="s">
        <v>1</v>
      </c>
      <c r="D6" s="27">
        <f>D4+D5</f>
        <v>77211.739999999976</v>
      </c>
    </row>
    <row r="11" spans="3:14" ht="39.6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32.5" customHeight="1" x14ac:dyDescent="0.35">
      <c r="C13" s="73" t="s">
        <v>413</v>
      </c>
      <c r="D13" s="73">
        <v>-119</v>
      </c>
      <c r="E13" s="73" t="s">
        <v>989</v>
      </c>
      <c r="F13" s="73">
        <v>37873160000</v>
      </c>
      <c r="G13" s="182" t="s">
        <v>997</v>
      </c>
      <c r="J13" s="17" t="s">
        <v>384</v>
      </c>
      <c r="K13" s="17">
        <v>98.25</v>
      </c>
      <c r="L13" s="17" t="s">
        <v>5</v>
      </c>
      <c r="M13" s="17">
        <v>1212071</v>
      </c>
      <c r="N13" s="17" t="s">
        <v>1007</v>
      </c>
    </row>
    <row r="14" spans="3:14" ht="43.5" x14ac:dyDescent="0.35">
      <c r="C14" s="73" t="s">
        <v>413</v>
      </c>
      <c r="D14" s="73">
        <v>-903.8</v>
      </c>
      <c r="E14" s="73" t="s">
        <v>962</v>
      </c>
      <c r="F14" s="73">
        <v>39541100000</v>
      </c>
      <c r="G14" s="182" t="s">
        <v>998</v>
      </c>
      <c r="J14" s="17" t="s">
        <v>395</v>
      </c>
      <c r="K14" s="17">
        <v>19.649999999999999</v>
      </c>
      <c r="L14" s="17" t="s">
        <v>5</v>
      </c>
      <c r="M14" s="17">
        <v>1108088</v>
      </c>
      <c r="N14" s="17" t="s">
        <v>1008</v>
      </c>
    </row>
    <row r="15" spans="3:14" ht="23.5" customHeight="1" x14ac:dyDescent="0.35">
      <c r="C15" s="73" t="s">
        <v>492</v>
      </c>
      <c r="D15" s="73">
        <v>-156</v>
      </c>
      <c r="E15" s="73" t="s">
        <v>999</v>
      </c>
      <c r="F15" s="73">
        <v>94483090000</v>
      </c>
      <c r="G15" s="182" t="s">
        <v>1000</v>
      </c>
      <c r="J15" s="17" t="s">
        <v>397</v>
      </c>
      <c r="K15" s="17">
        <v>294.74</v>
      </c>
      <c r="L15" s="17" t="s">
        <v>5</v>
      </c>
      <c r="M15" s="17">
        <v>607968</v>
      </c>
      <c r="N15" s="17" t="s">
        <v>1009</v>
      </c>
    </row>
    <row r="16" spans="3:14" ht="29.5" customHeight="1" x14ac:dyDescent="0.35">
      <c r="C16" s="73" t="s">
        <v>615</v>
      </c>
      <c r="D16" s="78">
        <v>-5443</v>
      </c>
      <c r="E16" s="79" t="s">
        <v>1001</v>
      </c>
      <c r="F16" s="73">
        <v>85523960000</v>
      </c>
      <c r="G16" s="182" t="s">
        <v>1002</v>
      </c>
      <c r="J16" s="17" t="s">
        <v>397</v>
      </c>
      <c r="K16" s="17">
        <v>442.11</v>
      </c>
      <c r="L16" s="17" t="s">
        <v>5</v>
      </c>
      <c r="M16" s="17">
        <v>607955</v>
      </c>
      <c r="N16" s="17" t="s">
        <v>1010</v>
      </c>
    </row>
    <row r="17" spans="3:14" ht="16.5" customHeight="1" x14ac:dyDescent="0.35">
      <c r="C17" s="73" t="s">
        <v>351</v>
      </c>
      <c r="D17" s="73">
        <v>-239.7</v>
      </c>
      <c r="E17" s="73" t="s">
        <v>876</v>
      </c>
      <c r="F17" s="73">
        <v>70956900000</v>
      </c>
      <c r="G17" s="182" t="s">
        <v>1003</v>
      </c>
      <c r="J17" s="17" t="s">
        <v>403</v>
      </c>
      <c r="K17" s="17">
        <v>501.07</v>
      </c>
      <c r="L17" s="17" t="s">
        <v>5</v>
      </c>
      <c r="M17" s="17">
        <v>1029196</v>
      </c>
      <c r="N17" s="17" t="s">
        <v>1011</v>
      </c>
    </row>
    <row r="18" spans="3:14" ht="26.15" customHeight="1" x14ac:dyDescent="0.35">
      <c r="C18" s="73" t="s">
        <v>351</v>
      </c>
      <c r="D18" s="79">
        <v>-3800</v>
      </c>
      <c r="E18" s="73" t="s">
        <v>1004</v>
      </c>
      <c r="F18" s="73">
        <v>70956920000</v>
      </c>
      <c r="G18" s="182" t="s">
        <v>1005</v>
      </c>
      <c r="J18" s="17" t="s">
        <v>413</v>
      </c>
      <c r="K18" s="17">
        <v>6631.7</v>
      </c>
      <c r="L18" s="17" t="s">
        <v>5</v>
      </c>
      <c r="M18" s="17">
        <v>941095</v>
      </c>
      <c r="N18" s="17" t="s">
        <v>1012</v>
      </c>
    </row>
    <row r="19" spans="3:14" ht="29" x14ac:dyDescent="0.35">
      <c r="C19" s="73" t="s">
        <v>351</v>
      </c>
      <c r="D19" s="73">
        <v>-201.5</v>
      </c>
      <c r="E19" s="73" t="s">
        <v>229</v>
      </c>
      <c r="F19" s="73">
        <v>70956910000</v>
      </c>
      <c r="G19" s="182" t="s">
        <v>1006</v>
      </c>
      <c r="J19" s="17" t="s">
        <v>413</v>
      </c>
      <c r="K19" s="17">
        <v>38350.1</v>
      </c>
      <c r="L19" s="17" t="s">
        <v>5</v>
      </c>
      <c r="M19" s="17">
        <v>941221</v>
      </c>
      <c r="N19" s="17" t="s">
        <v>1013</v>
      </c>
    </row>
    <row r="20" spans="3:14" x14ac:dyDescent="0.35">
      <c r="C20" s="73"/>
      <c r="D20" s="73"/>
      <c r="E20" s="73"/>
      <c r="F20" s="73"/>
      <c r="G20" s="73"/>
      <c r="J20" s="17" t="s">
        <v>413</v>
      </c>
      <c r="K20" s="17">
        <v>7694.23</v>
      </c>
      <c r="L20" s="17" t="s">
        <v>5</v>
      </c>
      <c r="M20" s="17">
        <v>941220</v>
      </c>
      <c r="N20" s="17" t="s">
        <v>1014</v>
      </c>
    </row>
    <row r="21" spans="3:14" x14ac:dyDescent="0.35">
      <c r="C21" s="73"/>
      <c r="D21" s="73"/>
      <c r="E21" s="73"/>
      <c r="F21" s="73"/>
      <c r="G21" s="73"/>
      <c r="J21" s="17" t="s">
        <v>432</v>
      </c>
      <c r="K21" s="17">
        <v>7565.09</v>
      </c>
      <c r="L21" s="17" t="s">
        <v>5</v>
      </c>
      <c r="M21" s="17">
        <v>836512</v>
      </c>
      <c r="N21" s="17" t="s">
        <v>1015</v>
      </c>
    </row>
    <row r="22" spans="3:14" x14ac:dyDescent="0.35">
      <c r="C22" s="73"/>
      <c r="D22" s="73"/>
      <c r="E22" s="73"/>
      <c r="F22" s="73"/>
      <c r="G22" s="73"/>
      <c r="J22" s="17" t="s">
        <v>479</v>
      </c>
      <c r="K22" s="17">
        <v>4421.21</v>
      </c>
      <c r="L22" s="17" t="s">
        <v>5</v>
      </c>
      <c r="M22" s="17">
        <v>770108</v>
      </c>
      <c r="N22" s="17" t="s">
        <v>1016</v>
      </c>
    </row>
    <row r="23" spans="3:14" x14ac:dyDescent="0.35">
      <c r="C23" s="73"/>
      <c r="D23" s="73"/>
      <c r="E23" s="73"/>
      <c r="F23" s="73"/>
      <c r="G23" s="73"/>
      <c r="J23" s="17" t="s">
        <v>492</v>
      </c>
      <c r="K23" s="17">
        <v>2259.71</v>
      </c>
      <c r="L23" s="17" t="s">
        <v>5</v>
      </c>
      <c r="M23" s="17">
        <v>672524</v>
      </c>
      <c r="N23" s="17" t="s">
        <v>1017</v>
      </c>
    </row>
    <row r="24" spans="3:14" x14ac:dyDescent="0.35">
      <c r="C24" s="73"/>
      <c r="D24" s="73"/>
      <c r="E24" s="73"/>
      <c r="F24" s="73"/>
      <c r="G24" s="73"/>
      <c r="J24" s="17" t="s">
        <v>505</v>
      </c>
      <c r="K24" s="17">
        <v>1031.5899999999999</v>
      </c>
      <c r="L24" s="17" t="s">
        <v>5</v>
      </c>
      <c r="M24" s="17">
        <v>596605</v>
      </c>
      <c r="N24" s="17" t="s">
        <v>1018</v>
      </c>
    </row>
    <row r="25" spans="3:14" x14ac:dyDescent="0.35">
      <c r="C25" s="73"/>
      <c r="D25" s="73"/>
      <c r="E25" s="73"/>
      <c r="F25" s="73"/>
      <c r="G25" s="73"/>
      <c r="J25" s="17" t="s">
        <v>521</v>
      </c>
      <c r="K25" s="17">
        <v>3536.91</v>
      </c>
      <c r="L25" s="17" t="s">
        <v>5</v>
      </c>
      <c r="M25" s="17">
        <v>517324</v>
      </c>
      <c r="N25" s="17" t="s">
        <v>1019</v>
      </c>
    </row>
    <row r="26" spans="3:14" x14ac:dyDescent="0.35">
      <c r="C26" s="73"/>
      <c r="D26" s="73"/>
      <c r="E26" s="73"/>
      <c r="F26" s="73"/>
      <c r="G26" s="73"/>
      <c r="J26" s="17" t="s">
        <v>521</v>
      </c>
      <c r="K26" s="17">
        <v>1866.71</v>
      </c>
      <c r="L26" s="17" t="s">
        <v>5</v>
      </c>
      <c r="M26" s="17">
        <v>517804</v>
      </c>
      <c r="N26" s="17" t="s">
        <v>1020</v>
      </c>
    </row>
    <row r="27" spans="3:14" x14ac:dyDescent="0.35">
      <c r="C27" s="73"/>
      <c r="D27" s="73"/>
      <c r="E27" s="73"/>
      <c r="F27" s="73"/>
      <c r="G27" s="73"/>
      <c r="J27" s="17" t="s">
        <v>521</v>
      </c>
      <c r="K27" s="17">
        <v>1473.7</v>
      </c>
      <c r="L27" s="17" t="s">
        <v>5</v>
      </c>
      <c r="M27" s="17">
        <v>517799</v>
      </c>
      <c r="N27" s="17" t="s">
        <v>1021</v>
      </c>
    </row>
    <row r="28" spans="3:14" x14ac:dyDescent="0.35">
      <c r="C28" s="73"/>
      <c r="D28" s="73"/>
      <c r="E28" s="73"/>
      <c r="F28" s="73"/>
      <c r="G28" s="73"/>
      <c r="J28" s="17" t="s">
        <v>535</v>
      </c>
      <c r="K28" s="17">
        <v>3242.23</v>
      </c>
      <c r="L28" s="17" t="s">
        <v>5</v>
      </c>
      <c r="M28" s="17">
        <v>414192</v>
      </c>
      <c r="N28" s="17" t="s">
        <v>1022</v>
      </c>
    </row>
    <row r="29" spans="3:14" x14ac:dyDescent="0.35">
      <c r="C29" s="73"/>
      <c r="D29" s="73"/>
      <c r="E29" s="73"/>
      <c r="F29" s="73"/>
      <c r="G29" s="73"/>
      <c r="J29" s="17" t="s">
        <v>583</v>
      </c>
      <c r="K29" s="17">
        <v>2800.05</v>
      </c>
      <c r="L29" s="17" t="s">
        <v>5</v>
      </c>
      <c r="M29" s="17">
        <v>339492</v>
      </c>
      <c r="N29" s="17" t="s">
        <v>1023</v>
      </c>
    </row>
    <row r="30" spans="3:14" x14ac:dyDescent="0.35">
      <c r="C30" s="73"/>
      <c r="D30" s="73"/>
      <c r="E30" s="73"/>
      <c r="F30" s="73"/>
      <c r="G30" s="73"/>
      <c r="J30" s="17" t="s">
        <v>599</v>
      </c>
      <c r="K30" s="17">
        <v>1031.5899999999999</v>
      </c>
      <c r="L30" s="17" t="s">
        <v>5</v>
      </c>
      <c r="M30" s="17">
        <v>234407</v>
      </c>
      <c r="N30" s="17" t="s">
        <v>1024</v>
      </c>
    </row>
    <row r="31" spans="3:14" x14ac:dyDescent="0.35">
      <c r="C31" s="73"/>
      <c r="D31" s="73"/>
      <c r="E31" s="73"/>
      <c r="F31" s="73"/>
      <c r="G31" s="73"/>
      <c r="J31" s="17" t="s">
        <v>615</v>
      </c>
      <c r="K31" s="17">
        <v>147.37</v>
      </c>
      <c r="L31" s="17" t="s">
        <v>5</v>
      </c>
      <c r="M31" s="17">
        <v>147914</v>
      </c>
      <c r="N31" s="17" t="s">
        <v>1025</v>
      </c>
    </row>
    <row r="32" spans="3:14" x14ac:dyDescent="0.35">
      <c r="C32" s="73"/>
      <c r="D32" s="73"/>
      <c r="E32" s="73"/>
      <c r="F32" s="73"/>
      <c r="G32" s="73"/>
      <c r="J32" s="17" t="s">
        <v>626</v>
      </c>
      <c r="K32" s="17">
        <v>147.37</v>
      </c>
      <c r="L32" s="17" t="s">
        <v>5</v>
      </c>
      <c r="M32" s="17">
        <v>1556209</v>
      </c>
      <c r="N32" s="17" t="s">
        <v>1026</v>
      </c>
    </row>
    <row r="33" spans="3:14" x14ac:dyDescent="0.35">
      <c r="C33" s="73"/>
      <c r="D33" s="73"/>
      <c r="E33" s="73"/>
      <c r="F33" s="73"/>
      <c r="G33" s="73"/>
      <c r="J33" s="17" t="s">
        <v>626</v>
      </c>
      <c r="K33" s="17">
        <v>442.11</v>
      </c>
      <c r="L33" s="17" t="s">
        <v>5</v>
      </c>
      <c r="M33" s="17">
        <v>1556213</v>
      </c>
      <c r="N33" s="17" t="s">
        <v>1027</v>
      </c>
    </row>
    <row r="34" spans="3:14" x14ac:dyDescent="0.35">
      <c r="C34" s="73"/>
      <c r="D34" s="73"/>
      <c r="E34" s="73"/>
      <c r="F34" s="73"/>
      <c r="G34" s="73"/>
      <c r="J34" s="17" t="s">
        <v>626</v>
      </c>
      <c r="K34" s="17">
        <v>1719.33</v>
      </c>
      <c r="L34" s="17" t="s">
        <v>5</v>
      </c>
      <c r="M34" s="17">
        <v>1555163</v>
      </c>
      <c r="N34" s="17" t="s">
        <v>1028</v>
      </c>
    </row>
    <row r="35" spans="3:14" x14ac:dyDescent="0.35">
      <c r="C35" s="73"/>
      <c r="D35" s="73"/>
      <c r="E35" s="73"/>
      <c r="F35" s="73"/>
      <c r="G35" s="73"/>
      <c r="J35" s="17" t="s">
        <v>683</v>
      </c>
      <c r="K35" s="17">
        <v>884.22</v>
      </c>
      <c r="L35" s="17" t="s">
        <v>5</v>
      </c>
      <c r="M35" s="17">
        <v>1363385</v>
      </c>
      <c r="N35" s="17" t="s">
        <v>1029</v>
      </c>
    </row>
    <row r="36" spans="3:14" x14ac:dyDescent="0.35">
      <c r="C36" s="73"/>
      <c r="D36" s="73"/>
      <c r="E36" s="73"/>
      <c r="F36" s="73"/>
      <c r="G36" s="73"/>
      <c r="J36" s="17" t="s">
        <v>716</v>
      </c>
      <c r="K36" s="17">
        <v>1031.5899999999999</v>
      </c>
      <c r="L36" s="17" t="s">
        <v>5</v>
      </c>
      <c r="M36" s="17">
        <v>1173632</v>
      </c>
      <c r="N36" s="17" t="s">
        <v>1030</v>
      </c>
    </row>
    <row r="37" spans="3:14" x14ac:dyDescent="0.35">
      <c r="C37" s="73"/>
      <c r="D37" s="73"/>
      <c r="E37" s="73"/>
      <c r="F37" s="73"/>
      <c r="G37" s="73"/>
      <c r="J37" s="17" t="s">
        <v>726</v>
      </c>
      <c r="K37" s="17">
        <v>147.37</v>
      </c>
      <c r="L37" s="17" t="s">
        <v>5</v>
      </c>
      <c r="M37" s="17">
        <v>1091666</v>
      </c>
      <c r="N37" s="17" t="s">
        <v>1031</v>
      </c>
    </row>
    <row r="38" spans="3:14" x14ac:dyDescent="0.35">
      <c r="C38" s="73"/>
      <c r="D38" s="73"/>
      <c r="E38" s="73"/>
      <c r="F38" s="73"/>
      <c r="G38" s="73"/>
      <c r="J38" s="17" t="s">
        <v>726</v>
      </c>
      <c r="K38" s="17">
        <v>147.37</v>
      </c>
      <c r="L38" s="17" t="s">
        <v>5</v>
      </c>
      <c r="M38" s="17">
        <v>1091666</v>
      </c>
      <c r="N38" s="17" t="s">
        <v>1032</v>
      </c>
    </row>
    <row r="39" spans="3:14" x14ac:dyDescent="0.35">
      <c r="C39" s="73"/>
      <c r="D39" s="73"/>
      <c r="E39" s="73"/>
      <c r="F39" s="73"/>
      <c r="G39" s="73"/>
      <c r="J39" s="17" t="s">
        <v>1033</v>
      </c>
      <c r="K39" s="17">
        <v>147.37</v>
      </c>
      <c r="L39" s="17" t="s">
        <v>5</v>
      </c>
      <c r="M39" s="17">
        <v>910158</v>
      </c>
      <c r="N39" s="17" t="s">
        <v>1034</v>
      </c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1"/>
  <dimension ref="C3:N82"/>
  <sheetViews>
    <sheetView zoomScale="57" workbookViewId="0">
      <selection activeCell="B13" sqref="B13:S30"/>
    </sheetView>
  </sheetViews>
  <sheetFormatPr baseColWidth="10" defaultColWidth="8.7265625" defaultRowHeight="14.5" x14ac:dyDescent="0.35"/>
  <cols>
    <col min="3" max="3" width="11.453125" customWidth="1"/>
    <col min="4" max="4" width="14.54296875" customWidth="1"/>
    <col min="5" max="5" width="12.81640625" customWidth="1"/>
    <col min="6" max="6" width="12.453125" bestFit="1" customWidth="1"/>
    <col min="7" max="7" width="19.1796875" customWidth="1"/>
    <col min="11" max="11" width="8.81640625" bestFit="1" customWidth="1"/>
    <col min="13" max="13" width="8.81640625" bestFit="1" customWidth="1"/>
    <col min="14" max="14" width="37.81640625" customWidth="1"/>
  </cols>
  <sheetData>
    <row r="3" spans="3:14" x14ac:dyDescent="0.35">
      <c r="C3" s="75" t="s">
        <v>70</v>
      </c>
      <c r="D3" s="67"/>
    </row>
    <row r="4" spans="3:14" x14ac:dyDescent="0.35">
      <c r="C4" s="73" t="s">
        <v>71</v>
      </c>
      <c r="D4" s="73">
        <f>SUM(D13:D24)</f>
        <v>-3099.0400000000004</v>
      </c>
    </row>
    <row r="5" spans="3:14" x14ac:dyDescent="0.35">
      <c r="C5" s="17" t="s">
        <v>12</v>
      </c>
      <c r="D5" s="73">
        <f>SUM(K13:K32)</f>
        <v>25038.850000000002</v>
      </c>
    </row>
    <row r="6" spans="3:14" x14ac:dyDescent="0.35">
      <c r="C6" s="27" t="s">
        <v>1</v>
      </c>
      <c r="D6" s="73">
        <f>D4+D5</f>
        <v>21939.81</v>
      </c>
    </row>
    <row r="11" spans="3:14" ht="39.6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490</v>
      </c>
      <c r="D13" s="73">
        <v>-300</v>
      </c>
      <c r="E13" s="73" t="s">
        <v>865</v>
      </c>
      <c r="F13" s="73">
        <v>53407450000</v>
      </c>
      <c r="G13" s="182" t="s">
        <v>866</v>
      </c>
      <c r="J13" s="17" t="s">
        <v>395</v>
      </c>
      <c r="K13" s="17">
        <v>884.25</v>
      </c>
      <c r="L13" s="17" t="s">
        <v>5</v>
      </c>
      <c r="M13" s="17">
        <v>1107991</v>
      </c>
      <c r="N13" s="17" t="s">
        <v>878</v>
      </c>
    </row>
    <row r="14" spans="3:14" ht="58" x14ac:dyDescent="0.35">
      <c r="C14" s="73" t="s">
        <v>867</v>
      </c>
      <c r="D14" s="73">
        <v>-263.7</v>
      </c>
      <c r="E14" s="73" t="s">
        <v>868</v>
      </c>
      <c r="F14" s="73">
        <v>17090610000</v>
      </c>
      <c r="G14" s="182" t="s">
        <v>869</v>
      </c>
      <c r="J14" s="17" t="s">
        <v>403</v>
      </c>
      <c r="K14" s="17">
        <v>294.75</v>
      </c>
      <c r="L14" s="17" t="s">
        <v>5</v>
      </c>
      <c r="M14" s="17">
        <v>1029196</v>
      </c>
      <c r="N14" s="17" t="s">
        <v>879</v>
      </c>
    </row>
    <row r="15" spans="3:14" ht="43.5" x14ac:dyDescent="0.35">
      <c r="C15" s="73" t="s">
        <v>29</v>
      </c>
      <c r="D15" s="73">
        <v>-89.8</v>
      </c>
      <c r="E15" s="73" t="s">
        <v>870</v>
      </c>
      <c r="F15" s="73">
        <v>50597910000</v>
      </c>
      <c r="G15" s="182" t="s">
        <v>871</v>
      </c>
      <c r="J15" s="17" t="s">
        <v>413</v>
      </c>
      <c r="K15" s="17">
        <v>1768.5</v>
      </c>
      <c r="L15" s="17" t="s">
        <v>5</v>
      </c>
      <c r="M15" s="17">
        <v>941210</v>
      </c>
      <c r="N15" s="17" t="s">
        <v>880</v>
      </c>
    </row>
    <row r="16" spans="3:14" ht="43.5" x14ac:dyDescent="0.35">
      <c r="C16" s="73" t="s">
        <v>29</v>
      </c>
      <c r="D16" s="78">
        <v>-263.7</v>
      </c>
      <c r="E16" s="79" t="s">
        <v>872</v>
      </c>
      <c r="F16" s="73">
        <v>50597900000</v>
      </c>
      <c r="G16" s="182" t="s">
        <v>873</v>
      </c>
      <c r="J16" s="17" t="s">
        <v>413</v>
      </c>
      <c r="K16" s="17">
        <v>14152.94</v>
      </c>
      <c r="L16" s="17" t="s">
        <v>5</v>
      </c>
      <c r="M16" s="17">
        <v>941219</v>
      </c>
      <c r="N16" s="17" t="s">
        <v>881</v>
      </c>
    </row>
    <row r="17" spans="3:14" ht="43.5" x14ac:dyDescent="0.35">
      <c r="C17" s="73" t="s">
        <v>29</v>
      </c>
      <c r="D17" s="73">
        <v>-2151.94</v>
      </c>
      <c r="E17" s="73" t="s">
        <v>874</v>
      </c>
      <c r="F17" s="73">
        <v>54207420000</v>
      </c>
      <c r="G17" s="182" t="s">
        <v>875</v>
      </c>
      <c r="J17" s="17" t="s">
        <v>413</v>
      </c>
      <c r="K17" s="17">
        <v>1326.37</v>
      </c>
      <c r="L17" s="17" t="s">
        <v>5</v>
      </c>
      <c r="M17" s="17">
        <v>941210</v>
      </c>
      <c r="N17" s="17" t="s">
        <v>882</v>
      </c>
    </row>
    <row r="18" spans="3:14" ht="29" x14ac:dyDescent="0.35">
      <c r="C18" s="73" t="s">
        <v>39</v>
      </c>
      <c r="D18" s="79">
        <v>-29.9</v>
      </c>
      <c r="E18" s="73" t="s">
        <v>876</v>
      </c>
      <c r="F18" s="73">
        <v>17978120000</v>
      </c>
      <c r="G18" s="182" t="s">
        <v>877</v>
      </c>
      <c r="J18" s="17" t="s">
        <v>432</v>
      </c>
      <c r="K18" s="17">
        <v>2348.1799999999998</v>
      </c>
      <c r="L18" s="17" t="s">
        <v>5</v>
      </c>
      <c r="M18" s="17">
        <v>836512</v>
      </c>
      <c r="N18" s="17" t="s">
        <v>883</v>
      </c>
    </row>
    <row r="19" spans="3:14" x14ac:dyDescent="0.35">
      <c r="C19" s="73"/>
      <c r="D19" s="73"/>
      <c r="E19" s="73"/>
      <c r="F19" s="73"/>
      <c r="G19" s="73"/>
      <c r="J19" s="17" t="s">
        <v>479</v>
      </c>
      <c r="K19" s="17">
        <v>599.32000000000005</v>
      </c>
      <c r="L19" s="17" t="s">
        <v>5</v>
      </c>
      <c r="M19" s="17">
        <v>770109</v>
      </c>
      <c r="N19" s="17" t="s">
        <v>884</v>
      </c>
    </row>
    <row r="20" spans="3:14" x14ac:dyDescent="0.35">
      <c r="C20" s="73"/>
      <c r="D20" s="73"/>
      <c r="E20" s="73"/>
      <c r="F20" s="73"/>
      <c r="G20" s="73"/>
      <c r="J20" s="17" t="s">
        <v>734</v>
      </c>
      <c r="K20" s="17">
        <v>24.56</v>
      </c>
      <c r="L20" s="17" t="s">
        <v>5</v>
      </c>
      <c r="M20" s="17">
        <v>1535103</v>
      </c>
      <c r="N20" s="17" t="s">
        <v>885</v>
      </c>
    </row>
    <row r="21" spans="3:14" x14ac:dyDescent="0.35">
      <c r="C21" s="73"/>
      <c r="D21" s="73"/>
      <c r="E21" s="73"/>
      <c r="F21" s="73"/>
      <c r="G21" s="73"/>
      <c r="J21" s="17" t="s">
        <v>39</v>
      </c>
      <c r="K21" s="17">
        <v>3001.36</v>
      </c>
      <c r="L21" s="17" t="s">
        <v>5</v>
      </c>
      <c r="M21" s="17">
        <v>1464690</v>
      </c>
      <c r="N21" s="17" t="s">
        <v>886</v>
      </c>
    </row>
    <row r="22" spans="3:14" x14ac:dyDescent="0.35">
      <c r="C22" s="73"/>
      <c r="D22" s="73"/>
      <c r="E22" s="73"/>
      <c r="F22" s="73"/>
      <c r="G22" s="73"/>
      <c r="J22" s="17" t="s">
        <v>351</v>
      </c>
      <c r="K22" s="17">
        <v>638.62</v>
      </c>
      <c r="L22" s="17" t="s">
        <v>5</v>
      </c>
      <c r="M22" s="17">
        <v>1296400</v>
      </c>
      <c r="N22" s="17" t="s">
        <v>887</v>
      </c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/>
  <dimension ref="C3:N90"/>
  <sheetViews>
    <sheetView zoomScale="45" workbookViewId="0">
      <selection activeCell="C13" sqref="C13:W58"/>
    </sheetView>
  </sheetViews>
  <sheetFormatPr baseColWidth="10" defaultColWidth="8.7265625" defaultRowHeight="14.5" x14ac:dyDescent="0.35"/>
  <cols>
    <col min="4" max="4" width="8.81640625" bestFit="1" customWidth="1"/>
    <col min="6" max="6" width="12.1796875" bestFit="1" customWidth="1"/>
    <col min="8" max="8" width="35.81640625" customWidth="1"/>
    <col min="11" max="11" width="8.81640625" bestFit="1" customWidth="1"/>
    <col min="13" max="13" width="8.81640625" bestFit="1" customWidth="1"/>
  </cols>
  <sheetData>
    <row r="3" spans="3:14" x14ac:dyDescent="0.35">
      <c r="C3" s="75" t="s">
        <v>70</v>
      </c>
      <c r="D3" s="67"/>
    </row>
    <row r="4" spans="3:14" x14ac:dyDescent="0.35">
      <c r="C4" s="73" t="s">
        <v>71</v>
      </c>
      <c r="D4" s="73">
        <f>SUM(D13:D38)</f>
        <v>-331</v>
      </c>
    </row>
    <row r="5" spans="3:14" x14ac:dyDescent="0.35">
      <c r="C5" s="17" t="s">
        <v>12</v>
      </c>
      <c r="D5" s="17">
        <f>SUM(K13:K55)</f>
        <v>43056</v>
      </c>
    </row>
    <row r="6" spans="3:14" x14ac:dyDescent="0.35">
      <c r="C6" s="27" t="s">
        <v>1</v>
      </c>
      <c r="D6" s="27">
        <f>D4+D5</f>
        <v>42725</v>
      </c>
    </row>
    <row r="11" spans="3:14" ht="39.65" customHeight="1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116" x14ac:dyDescent="0.35">
      <c r="C13" s="73" t="s">
        <v>791</v>
      </c>
      <c r="D13" s="73">
        <v>-331</v>
      </c>
      <c r="E13" s="73" t="s">
        <v>989</v>
      </c>
      <c r="F13" s="73">
        <v>19136410000</v>
      </c>
      <c r="G13" s="182" t="s">
        <v>1085</v>
      </c>
      <c r="J13" s="17" t="s">
        <v>393</v>
      </c>
      <c r="K13" s="17">
        <v>1621.12</v>
      </c>
      <c r="L13" s="17" t="s">
        <v>5</v>
      </c>
      <c r="M13" s="17">
        <v>1242038</v>
      </c>
      <c r="N13" s="17" t="s">
        <v>1086</v>
      </c>
    </row>
    <row r="14" spans="3:14" x14ac:dyDescent="0.35">
      <c r="C14" s="73"/>
      <c r="D14" s="73"/>
      <c r="E14" s="73"/>
      <c r="F14" s="73"/>
      <c r="G14" s="73"/>
      <c r="J14" s="17" t="s">
        <v>428</v>
      </c>
      <c r="K14" s="17">
        <v>294.75</v>
      </c>
      <c r="L14" s="17" t="s">
        <v>5</v>
      </c>
      <c r="M14" s="17">
        <v>985325</v>
      </c>
      <c r="N14" s="17" t="s">
        <v>1087</v>
      </c>
    </row>
    <row r="15" spans="3:14" x14ac:dyDescent="0.35">
      <c r="C15" s="73"/>
      <c r="D15" s="73"/>
      <c r="E15" s="73"/>
      <c r="F15" s="73"/>
      <c r="G15" s="73"/>
      <c r="J15" s="17" t="s">
        <v>430</v>
      </c>
      <c r="K15" s="17">
        <v>1965</v>
      </c>
      <c r="L15" s="17" t="s">
        <v>5</v>
      </c>
      <c r="M15" s="17">
        <v>1158313</v>
      </c>
      <c r="N15" s="17" t="s">
        <v>1088</v>
      </c>
    </row>
    <row r="16" spans="3:14" x14ac:dyDescent="0.35">
      <c r="C16" s="73"/>
      <c r="D16" s="78"/>
      <c r="E16" s="79"/>
      <c r="F16" s="73"/>
      <c r="G16" s="73"/>
      <c r="J16" s="17" t="s">
        <v>449</v>
      </c>
      <c r="K16" s="17">
        <v>5000</v>
      </c>
      <c r="L16" s="17" t="s">
        <v>5</v>
      </c>
      <c r="M16" s="17">
        <v>841614</v>
      </c>
      <c r="N16" s="17" t="s">
        <v>1089</v>
      </c>
    </row>
    <row r="17" spans="3:14" x14ac:dyDescent="0.35">
      <c r="C17" s="73"/>
      <c r="D17" s="73"/>
      <c r="E17" s="73"/>
      <c r="F17" s="73"/>
      <c r="G17" s="73"/>
      <c r="J17" s="17" t="s">
        <v>449</v>
      </c>
      <c r="K17" s="17">
        <v>3733.5</v>
      </c>
      <c r="L17" s="17" t="s">
        <v>5</v>
      </c>
      <c r="M17" s="17">
        <v>1098734</v>
      </c>
      <c r="N17" s="17" t="s">
        <v>1090</v>
      </c>
    </row>
    <row r="18" spans="3:14" x14ac:dyDescent="0.35">
      <c r="C18" s="73"/>
      <c r="D18" s="79"/>
      <c r="E18" s="73"/>
      <c r="F18" s="73"/>
      <c r="G18" s="73"/>
      <c r="J18" s="17" t="s">
        <v>465</v>
      </c>
      <c r="K18" s="17">
        <v>393</v>
      </c>
      <c r="L18" s="17" t="s">
        <v>5</v>
      </c>
      <c r="M18" s="17">
        <v>1025806</v>
      </c>
      <c r="N18" s="17" t="s">
        <v>1091</v>
      </c>
    </row>
    <row r="19" spans="3:14" x14ac:dyDescent="0.35">
      <c r="C19" s="73"/>
      <c r="D19" s="73"/>
      <c r="E19" s="73"/>
      <c r="F19" s="73"/>
      <c r="G19" s="73"/>
      <c r="J19" s="17" t="s">
        <v>477</v>
      </c>
      <c r="K19" s="17">
        <v>294.72000000000003</v>
      </c>
      <c r="L19" s="17" t="s">
        <v>5</v>
      </c>
      <c r="M19" s="17">
        <v>938940</v>
      </c>
      <c r="N19" s="17" t="s">
        <v>1092</v>
      </c>
    </row>
    <row r="20" spans="3:14" x14ac:dyDescent="0.35">
      <c r="C20" s="73"/>
      <c r="D20" s="73"/>
      <c r="E20" s="73"/>
      <c r="F20" s="73"/>
      <c r="G20" s="73"/>
      <c r="J20" s="17" t="s">
        <v>519</v>
      </c>
      <c r="K20" s="17">
        <v>393</v>
      </c>
      <c r="L20" s="17" t="s">
        <v>5</v>
      </c>
      <c r="M20" s="17">
        <v>881776</v>
      </c>
      <c r="N20" s="17" t="s">
        <v>1093</v>
      </c>
    </row>
    <row r="21" spans="3:14" x14ac:dyDescent="0.35">
      <c r="C21" s="73"/>
      <c r="D21" s="73"/>
      <c r="E21" s="73"/>
      <c r="F21" s="73"/>
      <c r="G21" s="73"/>
      <c r="J21" s="17" t="s">
        <v>533</v>
      </c>
      <c r="K21" s="17">
        <v>294.75</v>
      </c>
      <c r="L21" s="17" t="s">
        <v>5</v>
      </c>
      <c r="M21" s="17">
        <v>807235</v>
      </c>
      <c r="N21" s="17" t="s">
        <v>1094</v>
      </c>
    </row>
    <row r="22" spans="3:14" x14ac:dyDescent="0.35">
      <c r="C22" s="73"/>
      <c r="D22" s="73"/>
      <c r="E22" s="73"/>
      <c r="F22" s="73"/>
      <c r="G22" s="73"/>
      <c r="J22" s="17" t="s">
        <v>551</v>
      </c>
      <c r="K22" s="17">
        <v>687.75</v>
      </c>
      <c r="L22" s="17" t="s">
        <v>5</v>
      </c>
      <c r="M22" s="17">
        <v>742447</v>
      </c>
      <c r="N22" s="17" t="s">
        <v>1095</v>
      </c>
    </row>
    <row r="23" spans="3:14" x14ac:dyDescent="0.35">
      <c r="C23" s="73"/>
      <c r="D23" s="73"/>
      <c r="E23" s="73"/>
      <c r="F23" s="73"/>
      <c r="G23" s="73"/>
      <c r="J23" s="17" t="s">
        <v>565</v>
      </c>
      <c r="K23" s="17">
        <v>98.25</v>
      </c>
      <c r="L23" s="17" t="s">
        <v>5</v>
      </c>
      <c r="M23" s="17">
        <v>582051</v>
      </c>
      <c r="N23" s="17" t="s">
        <v>1096</v>
      </c>
    </row>
    <row r="24" spans="3:14" x14ac:dyDescent="0.35">
      <c r="C24" s="73"/>
      <c r="D24" s="73"/>
      <c r="E24" s="73"/>
      <c r="F24" s="73"/>
      <c r="G24" s="73"/>
      <c r="J24" s="17" t="s">
        <v>569</v>
      </c>
      <c r="K24" s="17">
        <v>294.75</v>
      </c>
      <c r="L24" s="17" t="s">
        <v>5</v>
      </c>
      <c r="M24" s="17">
        <v>663584</v>
      </c>
      <c r="N24" s="17" t="s">
        <v>1097</v>
      </c>
    </row>
    <row r="25" spans="3:14" x14ac:dyDescent="0.35">
      <c r="C25" s="73"/>
      <c r="D25" s="73"/>
      <c r="E25" s="73"/>
      <c r="F25" s="73"/>
      <c r="G25" s="73"/>
      <c r="J25" s="17" t="s">
        <v>569</v>
      </c>
      <c r="K25" s="17">
        <v>540.37</v>
      </c>
      <c r="L25" s="17" t="s">
        <v>5</v>
      </c>
      <c r="M25" s="17">
        <v>663579</v>
      </c>
      <c r="N25" s="17" t="s">
        <v>1098</v>
      </c>
    </row>
    <row r="26" spans="3:14" x14ac:dyDescent="0.35">
      <c r="C26" s="73"/>
      <c r="D26" s="73"/>
      <c r="E26" s="73"/>
      <c r="F26" s="73"/>
      <c r="G26" s="73"/>
      <c r="J26" s="17" t="s">
        <v>581</v>
      </c>
      <c r="K26" s="17">
        <v>294.75</v>
      </c>
      <c r="L26" s="17" t="s">
        <v>5</v>
      </c>
      <c r="M26" s="17">
        <v>685964</v>
      </c>
      <c r="N26" s="17" t="s">
        <v>1099</v>
      </c>
    </row>
    <row r="27" spans="3:14" x14ac:dyDescent="0.35">
      <c r="C27" s="73"/>
      <c r="D27" s="73"/>
      <c r="E27" s="73"/>
      <c r="F27" s="73"/>
      <c r="G27" s="73"/>
      <c r="J27" s="17" t="s">
        <v>611</v>
      </c>
      <c r="K27" s="17">
        <v>982.45</v>
      </c>
      <c r="L27" s="17" t="s">
        <v>5</v>
      </c>
      <c r="M27" s="17">
        <v>528361</v>
      </c>
      <c r="N27" s="17" t="s">
        <v>1100</v>
      </c>
    </row>
    <row r="28" spans="3:14" x14ac:dyDescent="0.35">
      <c r="C28" s="73"/>
      <c r="D28" s="73"/>
      <c r="E28" s="73"/>
      <c r="F28" s="73"/>
      <c r="G28" s="73"/>
      <c r="J28" s="17" t="s">
        <v>636</v>
      </c>
      <c r="K28" s="17">
        <v>442.11</v>
      </c>
      <c r="L28" s="17" t="s">
        <v>5</v>
      </c>
      <c r="M28" s="17">
        <v>401203</v>
      </c>
      <c r="N28" s="17" t="s">
        <v>1101</v>
      </c>
    </row>
    <row r="29" spans="3:14" x14ac:dyDescent="0.35">
      <c r="C29" s="73"/>
      <c r="D29" s="73"/>
      <c r="E29" s="73"/>
      <c r="F29" s="73"/>
      <c r="G29" s="73"/>
      <c r="J29" s="17" t="s">
        <v>648</v>
      </c>
      <c r="K29" s="17">
        <v>2210.62</v>
      </c>
      <c r="L29" s="17" t="s">
        <v>5</v>
      </c>
      <c r="M29" s="17">
        <v>167980</v>
      </c>
      <c r="N29" s="17" t="s">
        <v>1102</v>
      </c>
    </row>
    <row r="30" spans="3:14" x14ac:dyDescent="0.35">
      <c r="C30" s="73"/>
      <c r="D30" s="73"/>
      <c r="E30" s="73"/>
      <c r="F30" s="73"/>
      <c r="G30" s="73"/>
      <c r="J30" s="17" t="s">
        <v>668</v>
      </c>
      <c r="K30" s="17">
        <v>393</v>
      </c>
      <c r="L30" s="17" t="s">
        <v>5</v>
      </c>
      <c r="M30" s="17">
        <v>280433</v>
      </c>
      <c r="N30" s="17" t="s">
        <v>1103</v>
      </c>
    </row>
    <row r="31" spans="3:14" x14ac:dyDescent="0.35">
      <c r="C31" s="73"/>
      <c r="D31" s="73"/>
      <c r="E31" s="73"/>
      <c r="F31" s="73"/>
      <c r="G31" s="73"/>
      <c r="J31" s="17" t="s">
        <v>678</v>
      </c>
      <c r="K31" s="17">
        <v>49.12</v>
      </c>
      <c r="L31" s="17" t="s">
        <v>5</v>
      </c>
      <c r="M31" s="17">
        <v>1554674</v>
      </c>
      <c r="N31" s="17" t="s">
        <v>1104</v>
      </c>
    </row>
    <row r="32" spans="3:14" x14ac:dyDescent="0.35">
      <c r="C32" s="73"/>
      <c r="D32" s="73"/>
      <c r="E32" s="73"/>
      <c r="F32" s="73"/>
      <c r="G32" s="73"/>
      <c r="J32" s="17" t="s">
        <v>680</v>
      </c>
      <c r="K32" s="17">
        <v>147.37</v>
      </c>
      <c r="L32" s="17" t="s">
        <v>5</v>
      </c>
      <c r="M32" s="17">
        <v>336299</v>
      </c>
      <c r="N32" s="17" t="s">
        <v>1105</v>
      </c>
    </row>
    <row r="33" spans="3:14" x14ac:dyDescent="0.35">
      <c r="C33" s="73"/>
      <c r="D33" s="73"/>
      <c r="E33" s="73"/>
      <c r="F33" s="73"/>
      <c r="G33" s="73"/>
      <c r="J33" s="17" t="s">
        <v>696</v>
      </c>
      <c r="K33" s="17">
        <v>982.5</v>
      </c>
      <c r="L33" s="17" t="s">
        <v>5</v>
      </c>
      <c r="M33" s="17">
        <v>1496167</v>
      </c>
      <c r="N33" s="17" t="s">
        <v>1106</v>
      </c>
    </row>
    <row r="34" spans="3:14" x14ac:dyDescent="0.35">
      <c r="C34" s="73"/>
      <c r="D34" s="73"/>
      <c r="E34" s="73"/>
      <c r="F34" s="73"/>
      <c r="G34" s="73"/>
      <c r="J34" s="17" t="s">
        <v>700</v>
      </c>
      <c r="K34" s="17">
        <v>1228.1199999999999</v>
      </c>
      <c r="L34" s="17" t="s">
        <v>5</v>
      </c>
      <c r="M34" s="17">
        <v>258169</v>
      </c>
      <c r="N34" s="17" t="s">
        <v>1107</v>
      </c>
    </row>
    <row r="35" spans="3:14" x14ac:dyDescent="0.35">
      <c r="C35" s="73"/>
      <c r="D35" s="73"/>
      <c r="E35" s="73"/>
      <c r="F35" s="73"/>
      <c r="G35" s="73"/>
      <c r="J35" s="17" t="s">
        <v>710</v>
      </c>
      <c r="K35" s="17">
        <v>196.5</v>
      </c>
      <c r="L35" s="17" t="s">
        <v>5</v>
      </c>
      <c r="M35" s="17">
        <v>1438604</v>
      </c>
      <c r="N35" s="17" t="s">
        <v>1108</v>
      </c>
    </row>
    <row r="36" spans="3:14" x14ac:dyDescent="0.35">
      <c r="C36" s="73"/>
      <c r="D36" s="73"/>
      <c r="E36" s="73"/>
      <c r="F36" s="73"/>
      <c r="G36" s="73"/>
      <c r="J36" s="17" t="s">
        <v>743</v>
      </c>
      <c r="K36" s="17">
        <v>196.5</v>
      </c>
      <c r="L36" s="17" t="s">
        <v>5</v>
      </c>
      <c r="M36" s="17">
        <v>131877</v>
      </c>
      <c r="N36" s="17" t="s">
        <v>1109</v>
      </c>
    </row>
    <row r="37" spans="3:14" x14ac:dyDescent="0.35">
      <c r="C37" s="73"/>
      <c r="D37" s="73"/>
      <c r="E37" s="73"/>
      <c r="F37" s="73"/>
      <c r="G37" s="73"/>
      <c r="J37" s="17" t="s">
        <v>756</v>
      </c>
      <c r="K37" s="17">
        <v>243.66</v>
      </c>
      <c r="L37" s="17" t="s">
        <v>5</v>
      </c>
      <c r="M37" s="17">
        <v>1072550</v>
      </c>
      <c r="N37" s="17" t="s">
        <v>1110</v>
      </c>
    </row>
    <row r="38" spans="3:14" x14ac:dyDescent="0.35">
      <c r="C38" s="73"/>
      <c r="D38" s="73"/>
      <c r="E38" s="73"/>
      <c r="F38" s="73"/>
      <c r="G38" s="73"/>
      <c r="J38" s="17" t="s">
        <v>760</v>
      </c>
      <c r="K38" s="17">
        <v>245.62</v>
      </c>
      <c r="L38" s="17" t="s">
        <v>5</v>
      </c>
      <c r="M38" s="17">
        <v>1569757</v>
      </c>
      <c r="N38" s="17" t="s">
        <v>1111</v>
      </c>
    </row>
    <row r="39" spans="3:14" x14ac:dyDescent="0.35">
      <c r="C39" s="73"/>
      <c r="D39" s="73"/>
      <c r="E39" s="73"/>
      <c r="F39" s="73"/>
      <c r="G39" s="73"/>
      <c r="J39" s="17" t="s">
        <v>349</v>
      </c>
      <c r="K39" s="17">
        <v>1165.24</v>
      </c>
      <c r="L39" s="17" t="s">
        <v>5</v>
      </c>
      <c r="M39" s="17">
        <v>1501535</v>
      </c>
      <c r="N39" s="17" t="s">
        <v>1112</v>
      </c>
    </row>
    <row r="40" spans="3:14" x14ac:dyDescent="0.35">
      <c r="C40" s="73"/>
      <c r="D40" s="73"/>
      <c r="E40" s="73"/>
      <c r="F40" s="73"/>
      <c r="G40" s="73"/>
      <c r="J40" s="17" t="s">
        <v>349</v>
      </c>
      <c r="K40" s="17">
        <v>3782.62</v>
      </c>
      <c r="L40" s="17" t="s">
        <v>5</v>
      </c>
      <c r="M40" s="17">
        <v>1490517</v>
      </c>
      <c r="N40" s="17" t="s">
        <v>1113</v>
      </c>
    </row>
    <row r="41" spans="3:14" x14ac:dyDescent="0.35">
      <c r="C41" s="73"/>
      <c r="D41" s="73"/>
      <c r="E41" s="73"/>
      <c r="F41" s="73"/>
      <c r="G41" s="73"/>
      <c r="J41" s="17" t="s">
        <v>349</v>
      </c>
      <c r="K41" s="17">
        <v>1179</v>
      </c>
      <c r="L41" s="17" t="s">
        <v>5</v>
      </c>
      <c r="M41" s="17">
        <v>1490543</v>
      </c>
      <c r="N41" s="17" t="s">
        <v>1114</v>
      </c>
    </row>
    <row r="42" spans="3:14" x14ac:dyDescent="0.35">
      <c r="C42" s="73"/>
      <c r="D42" s="73"/>
      <c r="E42" s="73"/>
      <c r="F42" s="73"/>
      <c r="G42" s="73"/>
      <c r="J42" s="17" t="s">
        <v>288</v>
      </c>
      <c r="K42" s="17">
        <v>13705.86</v>
      </c>
      <c r="L42" s="17" t="s">
        <v>5</v>
      </c>
      <c r="M42" s="17">
        <v>1340193</v>
      </c>
      <c r="N42" s="17" t="s">
        <v>1115</v>
      </c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0ADE-DA4C-43D8-830F-C4F32E842338}">
  <sheetPr codeName="Sheet11"/>
  <dimension ref="A1:D59"/>
  <sheetViews>
    <sheetView workbookViewId="0">
      <selection sqref="A1:D62"/>
    </sheetView>
  </sheetViews>
  <sheetFormatPr baseColWidth="10" defaultColWidth="8.7265625" defaultRowHeight="14.5" x14ac:dyDescent="0.35"/>
  <cols>
    <col min="1" max="1" width="25.453125" bestFit="1" customWidth="1"/>
    <col min="2" max="2" width="13.1796875" bestFit="1" customWidth="1"/>
    <col min="3" max="3" width="8.1796875" bestFit="1" customWidth="1"/>
    <col min="4" max="4" width="16.453125" bestFit="1" customWidth="1"/>
    <col min="5" max="5" width="11" bestFit="1" customWidth="1"/>
  </cols>
  <sheetData>
    <row r="1" spans="1:4" x14ac:dyDescent="0.35">
      <c r="A1" t="s">
        <v>183</v>
      </c>
      <c r="B1" t="s">
        <v>186</v>
      </c>
      <c r="C1" t="s">
        <v>82</v>
      </c>
      <c r="D1" t="s">
        <v>187</v>
      </c>
    </row>
    <row r="2" spans="1:4" x14ac:dyDescent="0.35">
      <c r="A2" t="s">
        <v>132</v>
      </c>
      <c r="B2" t="s">
        <v>188</v>
      </c>
      <c r="C2">
        <v>249</v>
      </c>
      <c r="D2">
        <v>2490</v>
      </c>
    </row>
    <row r="3" spans="1:4" x14ac:dyDescent="0.35">
      <c r="A3" t="s">
        <v>151</v>
      </c>
      <c r="B3" t="s">
        <v>69</v>
      </c>
      <c r="C3">
        <v>149</v>
      </c>
      <c r="D3">
        <v>1192</v>
      </c>
    </row>
    <row r="4" spans="1:4" x14ac:dyDescent="0.35">
      <c r="A4" t="s">
        <v>122</v>
      </c>
      <c r="B4" t="s">
        <v>68</v>
      </c>
      <c r="C4">
        <v>130</v>
      </c>
      <c r="D4">
        <v>2600</v>
      </c>
    </row>
    <row r="5" spans="1:4" x14ac:dyDescent="0.35">
      <c r="A5" t="s">
        <v>107</v>
      </c>
      <c r="B5" t="s">
        <v>189</v>
      </c>
      <c r="C5">
        <v>122</v>
      </c>
      <c r="D5">
        <v>3416</v>
      </c>
    </row>
    <row r="6" spans="1:4" x14ac:dyDescent="0.35">
      <c r="A6" t="s">
        <v>131</v>
      </c>
      <c r="B6" t="s">
        <v>188</v>
      </c>
      <c r="C6">
        <v>118</v>
      </c>
      <c r="D6">
        <v>2124</v>
      </c>
    </row>
    <row r="7" spans="1:4" x14ac:dyDescent="0.35">
      <c r="A7" t="s">
        <v>92</v>
      </c>
      <c r="B7" t="s">
        <v>189</v>
      </c>
      <c r="C7">
        <v>93</v>
      </c>
      <c r="D7">
        <v>2790</v>
      </c>
    </row>
    <row r="8" spans="1:4" x14ac:dyDescent="0.35">
      <c r="A8" t="s">
        <v>90</v>
      </c>
      <c r="B8" t="s">
        <v>189</v>
      </c>
      <c r="C8">
        <v>91</v>
      </c>
      <c r="D8">
        <v>2730</v>
      </c>
    </row>
    <row r="9" spans="1:4" x14ac:dyDescent="0.35">
      <c r="A9" t="s">
        <v>89</v>
      </c>
      <c r="B9" t="s">
        <v>189</v>
      </c>
      <c r="C9">
        <v>78</v>
      </c>
      <c r="D9">
        <v>2340</v>
      </c>
    </row>
    <row r="10" spans="1:4" x14ac:dyDescent="0.35">
      <c r="A10" t="s">
        <v>142</v>
      </c>
      <c r="B10" t="s">
        <v>69</v>
      </c>
      <c r="C10">
        <v>77</v>
      </c>
      <c r="D10">
        <v>770</v>
      </c>
    </row>
    <row r="11" spans="1:4" x14ac:dyDescent="0.35">
      <c r="A11" t="s">
        <v>88</v>
      </c>
      <c r="B11" t="s">
        <v>189</v>
      </c>
      <c r="C11">
        <v>76</v>
      </c>
      <c r="D11">
        <v>2280</v>
      </c>
    </row>
    <row r="12" spans="1:4" x14ac:dyDescent="0.35">
      <c r="A12" t="s">
        <v>137</v>
      </c>
      <c r="B12" t="s">
        <v>188</v>
      </c>
      <c r="C12">
        <v>70</v>
      </c>
      <c r="D12">
        <v>1960</v>
      </c>
    </row>
    <row r="13" spans="1:4" x14ac:dyDescent="0.35">
      <c r="A13" t="s">
        <v>121</v>
      </c>
      <c r="B13" t="s">
        <v>68</v>
      </c>
      <c r="C13">
        <v>70</v>
      </c>
      <c r="D13">
        <v>1960</v>
      </c>
    </row>
    <row r="14" spans="1:4" x14ac:dyDescent="0.35">
      <c r="A14" t="s">
        <v>123</v>
      </c>
      <c r="B14" t="s">
        <v>68</v>
      </c>
      <c r="C14">
        <v>68</v>
      </c>
      <c r="D14">
        <v>1360</v>
      </c>
    </row>
    <row r="15" spans="1:4" x14ac:dyDescent="0.35">
      <c r="A15" t="s">
        <v>118</v>
      </c>
      <c r="B15" t="s">
        <v>190</v>
      </c>
      <c r="C15">
        <v>60</v>
      </c>
      <c r="D15">
        <v>900</v>
      </c>
    </row>
    <row r="16" spans="1:4" x14ac:dyDescent="0.35">
      <c r="A16" t="s">
        <v>101</v>
      </c>
      <c r="B16" t="s">
        <v>189</v>
      </c>
      <c r="C16">
        <v>51</v>
      </c>
      <c r="D16">
        <v>765</v>
      </c>
    </row>
    <row r="17" spans="1:4" x14ac:dyDescent="0.35">
      <c r="A17" t="s">
        <v>102</v>
      </c>
      <c r="B17" t="s">
        <v>189</v>
      </c>
      <c r="C17">
        <v>47</v>
      </c>
      <c r="D17">
        <v>705</v>
      </c>
    </row>
    <row r="18" spans="1:4" x14ac:dyDescent="0.35">
      <c r="A18" t="s">
        <v>136</v>
      </c>
      <c r="B18" t="s">
        <v>188</v>
      </c>
      <c r="C18">
        <v>46</v>
      </c>
      <c r="D18">
        <v>1150</v>
      </c>
    </row>
    <row r="19" spans="1:4" x14ac:dyDescent="0.35">
      <c r="A19" t="s">
        <v>149</v>
      </c>
      <c r="B19" t="s">
        <v>69</v>
      </c>
      <c r="C19">
        <v>46</v>
      </c>
      <c r="D19">
        <v>920</v>
      </c>
    </row>
    <row r="20" spans="1:4" x14ac:dyDescent="0.35">
      <c r="A20" t="s">
        <v>119</v>
      </c>
      <c r="B20" t="s">
        <v>68</v>
      </c>
      <c r="C20">
        <v>42</v>
      </c>
      <c r="D20">
        <v>1176</v>
      </c>
    </row>
    <row r="21" spans="1:4" x14ac:dyDescent="0.35">
      <c r="A21" t="s">
        <v>141</v>
      </c>
      <c r="B21" t="s">
        <v>69</v>
      </c>
      <c r="C21">
        <v>40</v>
      </c>
      <c r="D21">
        <v>400</v>
      </c>
    </row>
    <row r="22" spans="1:4" x14ac:dyDescent="0.35">
      <c r="A22" t="s">
        <v>91</v>
      </c>
      <c r="B22" t="s">
        <v>189</v>
      </c>
      <c r="C22">
        <v>39</v>
      </c>
      <c r="D22">
        <v>1170</v>
      </c>
    </row>
    <row r="23" spans="1:4" x14ac:dyDescent="0.35">
      <c r="A23" t="s">
        <v>98</v>
      </c>
      <c r="B23" t="s">
        <v>189</v>
      </c>
      <c r="C23">
        <v>37</v>
      </c>
      <c r="D23">
        <v>999</v>
      </c>
    </row>
    <row r="24" spans="1:4" x14ac:dyDescent="0.35">
      <c r="A24" t="s">
        <v>99</v>
      </c>
      <c r="B24" t="s">
        <v>189</v>
      </c>
      <c r="C24">
        <v>35</v>
      </c>
      <c r="D24">
        <v>945</v>
      </c>
    </row>
    <row r="25" spans="1:4" x14ac:dyDescent="0.35">
      <c r="A25" t="s">
        <v>115</v>
      </c>
      <c r="B25" t="s">
        <v>190</v>
      </c>
      <c r="C25">
        <v>34</v>
      </c>
      <c r="D25">
        <v>816</v>
      </c>
    </row>
    <row r="26" spans="1:4" x14ac:dyDescent="0.35">
      <c r="A26" t="s">
        <v>144</v>
      </c>
      <c r="B26" t="s">
        <v>69</v>
      </c>
      <c r="C26">
        <v>34</v>
      </c>
      <c r="D26">
        <v>510</v>
      </c>
    </row>
    <row r="27" spans="1:4" x14ac:dyDescent="0.35">
      <c r="A27" t="s">
        <v>114</v>
      </c>
      <c r="B27" t="s">
        <v>190</v>
      </c>
      <c r="C27">
        <v>26</v>
      </c>
      <c r="D27">
        <v>624</v>
      </c>
    </row>
    <row r="28" spans="1:4" x14ac:dyDescent="0.35">
      <c r="A28" t="s">
        <v>126</v>
      </c>
      <c r="B28" t="s">
        <v>68</v>
      </c>
      <c r="C28">
        <v>26</v>
      </c>
      <c r="D28">
        <v>728</v>
      </c>
    </row>
    <row r="29" spans="1:4" x14ac:dyDescent="0.35">
      <c r="A29" t="s">
        <v>156</v>
      </c>
      <c r="B29" t="s">
        <v>192</v>
      </c>
      <c r="C29">
        <v>25</v>
      </c>
      <c r="D29">
        <v>625</v>
      </c>
    </row>
    <row r="30" spans="1:4" x14ac:dyDescent="0.35">
      <c r="A30" t="s">
        <v>97</v>
      </c>
      <c r="B30" t="s">
        <v>189</v>
      </c>
      <c r="C30">
        <v>25</v>
      </c>
      <c r="D30">
        <v>675</v>
      </c>
    </row>
    <row r="31" spans="1:4" x14ac:dyDescent="0.35">
      <c r="A31" t="s">
        <v>103</v>
      </c>
      <c r="B31" t="s">
        <v>189</v>
      </c>
      <c r="C31">
        <v>23</v>
      </c>
      <c r="D31">
        <v>644</v>
      </c>
    </row>
    <row r="32" spans="1:4" x14ac:dyDescent="0.35">
      <c r="A32" t="s">
        <v>152</v>
      </c>
      <c r="B32" t="s">
        <v>192</v>
      </c>
      <c r="C32">
        <v>23</v>
      </c>
      <c r="D32">
        <v>345</v>
      </c>
    </row>
    <row r="33" spans="1:4" x14ac:dyDescent="0.35">
      <c r="A33" t="s">
        <v>111</v>
      </c>
      <c r="B33" t="s">
        <v>189</v>
      </c>
      <c r="C33">
        <v>22</v>
      </c>
      <c r="D33">
        <v>660</v>
      </c>
    </row>
    <row r="34" spans="1:4" x14ac:dyDescent="0.35">
      <c r="A34" t="s">
        <v>124</v>
      </c>
      <c r="B34" t="s">
        <v>68</v>
      </c>
      <c r="C34">
        <v>21</v>
      </c>
      <c r="D34">
        <v>420</v>
      </c>
    </row>
    <row r="35" spans="1:4" x14ac:dyDescent="0.35">
      <c r="A35" t="s">
        <v>105</v>
      </c>
      <c r="B35" t="s">
        <v>189</v>
      </c>
      <c r="C35">
        <v>20</v>
      </c>
      <c r="D35">
        <v>560</v>
      </c>
    </row>
    <row r="36" spans="1:4" x14ac:dyDescent="0.35">
      <c r="A36" t="s">
        <v>93</v>
      </c>
      <c r="B36" t="s">
        <v>189</v>
      </c>
      <c r="C36">
        <v>20</v>
      </c>
      <c r="D36">
        <v>540</v>
      </c>
    </row>
    <row r="37" spans="1:4" x14ac:dyDescent="0.35">
      <c r="A37" t="s">
        <v>146</v>
      </c>
      <c r="B37" t="s">
        <v>192</v>
      </c>
      <c r="C37">
        <v>19</v>
      </c>
      <c r="D37">
        <v>342</v>
      </c>
    </row>
    <row r="38" spans="1:4" x14ac:dyDescent="0.35">
      <c r="A38" t="s">
        <v>193</v>
      </c>
      <c r="B38" t="s">
        <v>189</v>
      </c>
      <c r="C38">
        <v>16</v>
      </c>
      <c r="D38">
        <v>432</v>
      </c>
    </row>
    <row r="39" spans="1:4" x14ac:dyDescent="0.35">
      <c r="A39" t="s">
        <v>133</v>
      </c>
      <c r="B39" t="s">
        <v>188</v>
      </c>
      <c r="C39">
        <v>16</v>
      </c>
      <c r="D39">
        <v>400</v>
      </c>
    </row>
    <row r="40" spans="1:4" x14ac:dyDescent="0.35">
      <c r="A40" t="s">
        <v>110</v>
      </c>
      <c r="B40" t="s">
        <v>189</v>
      </c>
      <c r="C40">
        <v>15</v>
      </c>
      <c r="D40">
        <v>420</v>
      </c>
    </row>
    <row r="41" spans="1:4" x14ac:dyDescent="0.35">
      <c r="A41" t="s">
        <v>147</v>
      </c>
      <c r="B41" t="s">
        <v>192</v>
      </c>
      <c r="C41">
        <v>15</v>
      </c>
      <c r="D41">
        <v>270</v>
      </c>
    </row>
    <row r="42" spans="1:4" x14ac:dyDescent="0.35">
      <c r="A42" t="s">
        <v>117</v>
      </c>
      <c r="B42" t="s">
        <v>190</v>
      </c>
      <c r="C42">
        <v>14</v>
      </c>
      <c r="D42">
        <v>336</v>
      </c>
    </row>
    <row r="43" spans="1:4" x14ac:dyDescent="0.35">
      <c r="A43" t="s">
        <v>116</v>
      </c>
      <c r="B43" t="s">
        <v>190</v>
      </c>
      <c r="C43">
        <v>13</v>
      </c>
      <c r="D43">
        <v>312</v>
      </c>
    </row>
    <row r="44" spans="1:4" x14ac:dyDescent="0.35">
      <c r="A44" t="s">
        <v>127</v>
      </c>
      <c r="B44" t="s">
        <v>68</v>
      </c>
      <c r="C44">
        <v>13</v>
      </c>
      <c r="D44">
        <v>364</v>
      </c>
    </row>
    <row r="45" spans="1:4" x14ac:dyDescent="0.35">
      <c r="A45" t="s">
        <v>155</v>
      </c>
      <c r="B45" t="s">
        <v>192</v>
      </c>
      <c r="C45">
        <v>13</v>
      </c>
      <c r="D45">
        <v>130</v>
      </c>
    </row>
    <row r="46" spans="1:4" x14ac:dyDescent="0.35">
      <c r="A46" t="s">
        <v>108</v>
      </c>
      <c r="B46" t="s">
        <v>189</v>
      </c>
      <c r="C46">
        <v>12</v>
      </c>
      <c r="D46">
        <v>336</v>
      </c>
    </row>
    <row r="47" spans="1:4" x14ac:dyDescent="0.35">
      <c r="A47" t="s">
        <v>153</v>
      </c>
      <c r="B47" t="s">
        <v>69</v>
      </c>
      <c r="C47">
        <v>12</v>
      </c>
      <c r="D47">
        <v>96</v>
      </c>
    </row>
    <row r="48" spans="1:4" x14ac:dyDescent="0.35">
      <c r="A48" t="s">
        <v>100</v>
      </c>
      <c r="B48" t="s">
        <v>189</v>
      </c>
      <c r="C48">
        <v>11</v>
      </c>
      <c r="D48">
        <v>297</v>
      </c>
    </row>
    <row r="49" spans="1:4" x14ac:dyDescent="0.35">
      <c r="A49" t="s">
        <v>120</v>
      </c>
      <c r="B49" t="s">
        <v>68</v>
      </c>
      <c r="C49">
        <v>9</v>
      </c>
      <c r="D49">
        <v>252</v>
      </c>
    </row>
    <row r="50" spans="1:4" x14ac:dyDescent="0.35">
      <c r="A50" t="s">
        <v>113</v>
      </c>
      <c r="B50" t="s">
        <v>190</v>
      </c>
      <c r="C50">
        <v>9</v>
      </c>
      <c r="D50">
        <v>216</v>
      </c>
    </row>
    <row r="51" spans="1:4" x14ac:dyDescent="0.35">
      <c r="A51" t="s">
        <v>154</v>
      </c>
      <c r="B51" t="s">
        <v>192</v>
      </c>
      <c r="C51">
        <v>9</v>
      </c>
      <c r="D51">
        <v>90</v>
      </c>
    </row>
    <row r="52" spans="1:4" x14ac:dyDescent="0.35">
      <c r="A52" t="s">
        <v>145</v>
      </c>
      <c r="B52" t="s">
        <v>192</v>
      </c>
      <c r="C52">
        <v>9</v>
      </c>
      <c r="D52">
        <v>162</v>
      </c>
    </row>
    <row r="53" spans="1:4" x14ac:dyDescent="0.35">
      <c r="A53" t="s">
        <v>112</v>
      </c>
      <c r="B53" t="s">
        <v>190</v>
      </c>
      <c r="C53">
        <v>7</v>
      </c>
      <c r="D53">
        <v>168</v>
      </c>
    </row>
    <row r="54" spans="1:4" x14ac:dyDescent="0.35">
      <c r="A54" t="s">
        <v>94</v>
      </c>
      <c r="B54" t="s">
        <v>189</v>
      </c>
      <c r="C54">
        <v>6</v>
      </c>
      <c r="D54">
        <v>240</v>
      </c>
    </row>
    <row r="55" spans="1:4" x14ac:dyDescent="0.35">
      <c r="A55" t="s">
        <v>125</v>
      </c>
      <c r="B55" t="s">
        <v>68</v>
      </c>
      <c r="C55">
        <v>5</v>
      </c>
      <c r="D55">
        <v>140</v>
      </c>
    </row>
    <row r="56" spans="1:4" x14ac:dyDescent="0.35">
      <c r="A56" t="s">
        <v>109</v>
      </c>
      <c r="B56" t="s">
        <v>189</v>
      </c>
      <c r="C56">
        <v>4</v>
      </c>
      <c r="D56">
        <v>112</v>
      </c>
    </row>
    <row r="57" spans="1:4" x14ac:dyDescent="0.35">
      <c r="A57" t="s">
        <v>96</v>
      </c>
      <c r="B57" t="s">
        <v>189</v>
      </c>
      <c r="C57">
        <v>3</v>
      </c>
      <c r="D57">
        <v>81</v>
      </c>
    </row>
    <row r="58" spans="1:4" x14ac:dyDescent="0.35">
      <c r="A58" t="s">
        <v>135</v>
      </c>
      <c r="B58" t="s">
        <v>69</v>
      </c>
      <c r="C58">
        <v>3</v>
      </c>
      <c r="D58">
        <v>60</v>
      </c>
    </row>
    <row r="59" spans="1:4" x14ac:dyDescent="0.35">
      <c r="A59" t="s">
        <v>140</v>
      </c>
      <c r="B59" t="s">
        <v>188</v>
      </c>
      <c r="C59">
        <v>2</v>
      </c>
      <c r="D59">
        <v>40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D192D-3710-4C8E-A270-55C09CE1675A}">
  <sheetPr codeName="Sheet12"/>
  <dimension ref="A1:D62"/>
  <sheetViews>
    <sheetView workbookViewId="0"/>
  </sheetViews>
  <sheetFormatPr baseColWidth="10" defaultColWidth="8.7265625" defaultRowHeight="14.5" x14ac:dyDescent="0.35"/>
  <cols>
    <col min="1" max="1" width="24.54296875" bestFit="1" customWidth="1"/>
    <col min="2" max="2" width="8.1796875" bestFit="1" customWidth="1"/>
    <col min="3" max="3" width="16.1796875" bestFit="1" customWidth="1"/>
    <col min="4" max="4" width="11" bestFit="1" customWidth="1"/>
  </cols>
  <sheetData>
    <row r="1" spans="1:4" x14ac:dyDescent="0.35">
      <c r="A1" t="s">
        <v>183</v>
      </c>
      <c r="B1" t="s">
        <v>82</v>
      </c>
      <c r="C1" t="s">
        <v>184</v>
      </c>
      <c r="D1" t="s">
        <v>185</v>
      </c>
    </row>
    <row r="2" spans="1:4" x14ac:dyDescent="0.35">
      <c r="A2" t="s">
        <v>88</v>
      </c>
      <c r="B2">
        <v>72</v>
      </c>
      <c r="C2">
        <v>2160</v>
      </c>
      <c r="D2">
        <v>30</v>
      </c>
    </row>
    <row r="3" spans="1:4" x14ac:dyDescent="0.35">
      <c r="A3" t="s">
        <v>89</v>
      </c>
      <c r="B3">
        <v>48</v>
      </c>
      <c r="C3">
        <v>1440</v>
      </c>
      <c r="D3">
        <v>30</v>
      </c>
    </row>
    <row r="4" spans="1:4" x14ac:dyDescent="0.35">
      <c r="A4" t="s">
        <v>90</v>
      </c>
      <c r="B4">
        <v>72</v>
      </c>
      <c r="C4">
        <v>2160</v>
      </c>
      <c r="D4">
        <v>30</v>
      </c>
    </row>
    <row r="5" spans="1:4" x14ac:dyDescent="0.35">
      <c r="A5" t="s">
        <v>91</v>
      </c>
      <c r="B5">
        <v>48</v>
      </c>
      <c r="C5">
        <v>1440</v>
      </c>
      <c r="D5">
        <v>30</v>
      </c>
    </row>
    <row r="6" spans="1:4" x14ac:dyDescent="0.35">
      <c r="A6" t="s">
        <v>92</v>
      </c>
      <c r="B6">
        <v>24</v>
      </c>
      <c r="C6">
        <v>720</v>
      </c>
      <c r="D6">
        <v>30</v>
      </c>
    </row>
    <row r="7" spans="1:4" x14ac:dyDescent="0.35">
      <c r="A7" t="s">
        <v>93</v>
      </c>
      <c r="B7">
        <v>5</v>
      </c>
      <c r="C7">
        <v>135</v>
      </c>
      <c r="D7">
        <v>27</v>
      </c>
    </row>
    <row r="8" spans="1:4" x14ac:dyDescent="0.35">
      <c r="A8" t="s">
        <v>94</v>
      </c>
      <c r="B8">
        <v>12</v>
      </c>
      <c r="C8">
        <v>480</v>
      </c>
      <c r="D8">
        <v>40</v>
      </c>
    </row>
    <row r="9" spans="1:4" x14ac:dyDescent="0.35">
      <c r="A9" t="s">
        <v>95</v>
      </c>
      <c r="B9">
        <v>17</v>
      </c>
      <c r="C9">
        <v>425</v>
      </c>
      <c r="D9">
        <v>25</v>
      </c>
    </row>
    <row r="10" spans="1:4" x14ac:dyDescent="0.35">
      <c r="A10" t="s">
        <v>96</v>
      </c>
      <c r="B10">
        <v>0</v>
      </c>
      <c r="C10">
        <v>0</v>
      </c>
      <c r="D10">
        <v>0</v>
      </c>
    </row>
    <row r="11" spans="1:4" x14ac:dyDescent="0.35">
      <c r="A11" t="s">
        <v>97</v>
      </c>
      <c r="B11">
        <v>17</v>
      </c>
      <c r="C11">
        <v>459</v>
      </c>
      <c r="D11">
        <v>27</v>
      </c>
    </row>
    <row r="12" spans="1:4" x14ac:dyDescent="0.35">
      <c r="A12" t="s">
        <v>98</v>
      </c>
      <c r="B12">
        <v>46</v>
      </c>
      <c r="C12">
        <v>1242</v>
      </c>
      <c r="D12">
        <v>27</v>
      </c>
    </row>
    <row r="13" spans="1:4" x14ac:dyDescent="0.35">
      <c r="A13" t="s">
        <v>99</v>
      </c>
      <c r="B13">
        <v>16</v>
      </c>
      <c r="C13">
        <v>432</v>
      </c>
      <c r="D13">
        <v>27</v>
      </c>
    </row>
    <row r="14" spans="1:4" x14ac:dyDescent="0.35">
      <c r="A14" t="s">
        <v>100</v>
      </c>
      <c r="B14">
        <v>4</v>
      </c>
      <c r="C14">
        <v>108</v>
      </c>
      <c r="D14">
        <v>27</v>
      </c>
    </row>
    <row r="15" spans="1:4" x14ac:dyDescent="0.35">
      <c r="A15" t="s">
        <v>101</v>
      </c>
      <c r="B15">
        <v>32</v>
      </c>
      <c r="C15">
        <v>480</v>
      </c>
      <c r="D15">
        <v>15</v>
      </c>
    </row>
    <row r="16" spans="1:4" x14ac:dyDescent="0.35">
      <c r="A16" t="s">
        <v>102</v>
      </c>
      <c r="B16">
        <v>52</v>
      </c>
      <c r="C16">
        <v>780</v>
      </c>
      <c r="D16">
        <v>15</v>
      </c>
    </row>
    <row r="17" spans="1:4" x14ac:dyDescent="0.35">
      <c r="A17" t="s">
        <v>103</v>
      </c>
      <c r="B17">
        <v>24</v>
      </c>
      <c r="C17">
        <v>672</v>
      </c>
      <c r="D17">
        <v>28</v>
      </c>
    </row>
    <row r="18" spans="1:4" x14ac:dyDescent="0.35">
      <c r="A18" t="s">
        <v>105</v>
      </c>
      <c r="B18">
        <v>39</v>
      </c>
      <c r="C18">
        <v>1092</v>
      </c>
      <c r="D18">
        <v>28</v>
      </c>
    </row>
    <row r="19" spans="1:4" x14ac:dyDescent="0.35">
      <c r="A19" t="s">
        <v>107</v>
      </c>
      <c r="B19">
        <v>72</v>
      </c>
      <c r="C19">
        <v>2016</v>
      </c>
      <c r="D19">
        <v>28</v>
      </c>
    </row>
    <row r="20" spans="1:4" x14ac:dyDescent="0.35">
      <c r="A20" t="s">
        <v>111</v>
      </c>
      <c r="B20">
        <v>0</v>
      </c>
      <c r="C20">
        <v>0</v>
      </c>
      <c r="D20">
        <v>0</v>
      </c>
    </row>
    <row r="21" spans="1:4" x14ac:dyDescent="0.35">
      <c r="A21" t="s">
        <v>112</v>
      </c>
      <c r="B21">
        <v>12</v>
      </c>
      <c r="C21">
        <v>288</v>
      </c>
      <c r="D21">
        <v>24</v>
      </c>
    </row>
    <row r="22" spans="1:4" x14ac:dyDescent="0.35">
      <c r="A22" t="s">
        <v>191</v>
      </c>
      <c r="B22">
        <v>12</v>
      </c>
      <c r="C22">
        <v>288</v>
      </c>
      <c r="D22">
        <v>24</v>
      </c>
    </row>
    <row r="23" spans="1:4" x14ac:dyDescent="0.35">
      <c r="A23" t="s">
        <v>114</v>
      </c>
      <c r="B23">
        <v>12</v>
      </c>
      <c r="C23">
        <v>288</v>
      </c>
      <c r="D23">
        <v>24</v>
      </c>
    </row>
    <row r="24" spans="1:4" x14ac:dyDescent="0.35">
      <c r="A24" t="s">
        <v>115</v>
      </c>
      <c r="B24">
        <v>0</v>
      </c>
      <c r="C24">
        <v>0</v>
      </c>
      <c r="D24">
        <v>0</v>
      </c>
    </row>
    <row r="25" spans="1:4" x14ac:dyDescent="0.35">
      <c r="A25" t="s">
        <v>116</v>
      </c>
      <c r="B25">
        <v>12</v>
      </c>
      <c r="C25">
        <v>288</v>
      </c>
      <c r="D25">
        <v>24</v>
      </c>
    </row>
    <row r="26" spans="1:4" x14ac:dyDescent="0.35">
      <c r="A26" t="s">
        <v>117</v>
      </c>
      <c r="B26">
        <v>0</v>
      </c>
      <c r="C26">
        <v>0</v>
      </c>
      <c r="D26">
        <v>0</v>
      </c>
    </row>
    <row r="27" spans="1:4" x14ac:dyDescent="0.35">
      <c r="A27" t="s">
        <v>118</v>
      </c>
      <c r="B27">
        <v>48</v>
      </c>
      <c r="C27">
        <v>720</v>
      </c>
      <c r="D27">
        <v>15</v>
      </c>
    </row>
    <row r="28" spans="1:4" x14ac:dyDescent="0.35">
      <c r="A28" t="s">
        <v>119</v>
      </c>
      <c r="B28">
        <v>33</v>
      </c>
      <c r="C28">
        <v>924</v>
      </c>
      <c r="D28">
        <v>28</v>
      </c>
    </row>
    <row r="29" spans="1:4" x14ac:dyDescent="0.35">
      <c r="A29" t="s">
        <v>120</v>
      </c>
      <c r="B29">
        <v>15</v>
      </c>
      <c r="C29">
        <v>420</v>
      </c>
      <c r="D29">
        <v>28</v>
      </c>
    </row>
    <row r="30" spans="1:4" x14ac:dyDescent="0.35">
      <c r="A30" t="s">
        <v>121</v>
      </c>
      <c r="B30">
        <v>48</v>
      </c>
      <c r="C30">
        <v>1344</v>
      </c>
      <c r="D30">
        <v>28</v>
      </c>
    </row>
    <row r="31" spans="1:4" x14ac:dyDescent="0.35">
      <c r="A31" t="s">
        <v>122</v>
      </c>
      <c r="B31">
        <v>80</v>
      </c>
      <c r="C31">
        <v>1600</v>
      </c>
      <c r="D31">
        <v>20</v>
      </c>
    </row>
    <row r="32" spans="1:4" x14ac:dyDescent="0.35">
      <c r="A32" t="s">
        <v>123</v>
      </c>
      <c r="B32">
        <v>0</v>
      </c>
      <c r="C32">
        <v>0</v>
      </c>
      <c r="D32">
        <v>0</v>
      </c>
    </row>
    <row r="33" spans="1:4" x14ac:dyDescent="0.35">
      <c r="A33" t="s">
        <v>124</v>
      </c>
      <c r="B33">
        <v>0</v>
      </c>
      <c r="C33">
        <v>0</v>
      </c>
      <c r="D33">
        <v>0</v>
      </c>
    </row>
    <row r="34" spans="1:4" x14ac:dyDescent="0.35">
      <c r="A34" t="s">
        <v>126</v>
      </c>
      <c r="B34">
        <v>0</v>
      </c>
      <c r="C34">
        <v>0</v>
      </c>
      <c r="D34">
        <v>0</v>
      </c>
    </row>
    <row r="35" spans="1:4" x14ac:dyDescent="0.35">
      <c r="A35" t="s">
        <v>127</v>
      </c>
      <c r="B35">
        <v>0</v>
      </c>
      <c r="C35">
        <v>0</v>
      </c>
      <c r="D35">
        <v>0</v>
      </c>
    </row>
    <row r="36" spans="1:4" x14ac:dyDescent="0.35">
      <c r="A36" t="s">
        <v>128</v>
      </c>
      <c r="B36">
        <v>28</v>
      </c>
      <c r="C36">
        <v>980</v>
      </c>
      <c r="D36">
        <v>35</v>
      </c>
    </row>
    <row r="37" spans="1:4" x14ac:dyDescent="0.35">
      <c r="A37" t="s">
        <v>130</v>
      </c>
      <c r="B37">
        <v>29</v>
      </c>
      <c r="C37">
        <v>1015</v>
      </c>
      <c r="D37">
        <v>35</v>
      </c>
    </row>
    <row r="38" spans="1:4" x14ac:dyDescent="0.35">
      <c r="A38" t="s">
        <v>131</v>
      </c>
      <c r="B38">
        <v>60</v>
      </c>
      <c r="C38">
        <v>1080</v>
      </c>
      <c r="D38">
        <v>18</v>
      </c>
    </row>
    <row r="39" spans="1:4" x14ac:dyDescent="0.35">
      <c r="A39" t="s">
        <v>132</v>
      </c>
      <c r="B39">
        <v>108</v>
      </c>
      <c r="C39">
        <v>1080</v>
      </c>
      <c r="D39">
        <v>10</v>
      </c>
    </row>
    <row r="40" spans="1:4" x14ac:dyDescent="0.35">
      <c r="A40" t="s">
        <v>133</v>
      </c>
      <c r="B40">
        <v>38</v>
      </c>
      <c r="C40">
        <v>950</v>
      </c>
      <c r="D40">
        <v>25</v>
      </c>
    </row>
    <row r="41" spans="1:4" x14ac:dyDescent="0.35">
      <c r="A41" t="s">
        <v>136</v>
      </c>
      <c r="B41">
        <v>24</v>
      </c>
      <c r="C41">
        <v>600</v>
      </c>
      <c r="D41">
        <v>25</v>
      </c>
    </row>
    <row r="42" spans="1:4" x14ac:dyDescent="0.35">
      <c r="A42" t="s">
        <v>137</v>
      </c>
      <c r="B42">
        <v>30</v>
      </c>
      <c r="C42">
        <v>840</v>
      </c>
      <c r="D42">
        <v>28</v>
      </c>
    </row>
    <row r="43" spans="1:4" x14ac:dyDescent="0.35">
      <c r="A43" t="s">
        <v>138</v>
      </c>
      <c r="B43">
        <v>20</v>
      </c>
      <c r="C43">
        <v>560</v>
      </c>
      <c r="D43">
        <v>28</v>
      </c>
    </row>
    <row r="44" spans="1:4" x14ac:dyDescent="0.35">
      <c r="A44" t="s">
        <v>139</v>
      </c>
      <c r="B44">
        <v>0</v>
      </c>
      <c r="C44">
        <v>0</v>
      </c>
      <c r="D44">
        <v>0</v>
      </c>
    </row>
    <row r="45" spans="1:4" x14ac:dyDescent="0.35">
      <c r="A45" t="s">
        <v>140</v>
      </c>
      <c r="B45">
        <v>0</v>
      </c>
      <c r="C45">
        <v>0</v>
      </c>
      <c r="D45">
        <v>0</v>
      </c>
    </row>
    <row r="46" spans="1:4" x14ac:dyDescent="0.35">
      <c r="A46" t="s">
        <v>141</v>
      </c>
      <c r="B46">
        <v>64</v>
      </c>
      <c r="C46">
        <v>640</v>
      </c>
      <c r="D46">
        <v>10</v>
      </c>
    </row>
    <row r="47" spans="1:4" x14ac:dyDescent="0.35">
      <c r="A47" t="s">
        <v>142</v>
      </c>
      <c r="B47">
        <v>143</v>
      </c>
      <c r="C47">
        <v>1430</v>
      </c>
      <c r="D47">
        <v>10</v>
      </c>
    </row>
    <row r="48" spans="1:4" x14ac:dyDescent="0.35">
      <c r="A48" t="s">
        <v>143</v>
      </c>
      <c r="B48">
        <v>30</v>
      </c>
      <c r="C48">
        <v>600</v>
      </c>
      <c r="D48">
        <v>20</v>
      </c>
    </row>
    <row r="49" spans="1:4" x14ac:dyDescent="0.35">
      <c r="A49" t="s">
        <v>144</v>
      </c>
      <c r="B49">
        <v>15</v>
      </c>
      <c r="C49">
        <v>225</v>
      </c>
      <c r="D49">
        <v>15</v>
      </c>
    </row>
    <row r="50" spans="1:4" x14ac:dyDescent="0.35">
      <c r="A50" t="s">
        <v>145</v>
      </c>
      <c r="B50">
        <v>12</v>
      </c>
      <c r="C50">
        <v>216</v>
      </c>
      <c r="D50">
        <v>18</v>
      </c>
    </row>
    <row r="51" spans="1:4" x14ac:dyDescent="0.35">
      <c r="A51" t="s">
        <v>146</v>
      </c>
      <c r="B51">
        <v>12</v>
      </c>
      <c r="C51">
        <v>216</v>
      </c>
      <c r="D51">
        <v>18</v>
      </c>
    </row>
    <row r="52" spans="1:4" x14ac:dyDescent="0.35">
      <c r="A52" t="s">
        <v>147</v>
      </c>
      <c r="B52">
        <v>12</v>
      </c>
      <c r="C52">
        <v>216</v>
      </c>
      <c r="D52">
        <v>18</v>
      </c>
    </row>
    <row r="53" spans="1:4" x14ac:dyDescent="0.35">
      <c r="A53" t="s">
        <v>148</v>
      </c>
      <c r="B53">
        <v>15</v>
      </c>
      <c r="C53">
        <v>375</v>
      </c>
      <c r="D53">
        <v>25</v>
      </c>
    </row>
    <row r="54" spans="1:4" x14ac:dyDescent="0.35">
      <c r="A54" t="s">
        <v>149</v>
      </c>
      <c r="B54">
        <v>20</v>
      </c>
      <c r="C54">
        <v>400</v>
      </c>
      <c r="D54">
        <v>20</v>
      </c>
    </row>
    <row r="55" spans="1:4" x14ac:dyDescent="0.35">
      <c r="A55" t="s">
        <v>150</v>
      </c>
      <c r="B55">
        <v>26</v>
      </c>
      <c r="C55">
        <v>910</v>
      </c>
      <c r="D55">
        <v>35</v>
      </c>
    </row>
    <row r="56" spans="1:4" x14ac:dyDescent="0.35">
      <c r="A56" t="s">
        <v>151</v>
      </c>
      <c r="B56">
        <v>30</v>
      </c>
      <c r="C56">
        <v>240</v>
      </c>
      <c r="D56">
        <v>8</v>
      </c>
    </row>
    <row r="57" spans="1:4" x14ac:dyDescent="0.35">
      <c r="A57" t="s">
        <v>194</v>
      </c>
      <c r="B57">
        <v>18</v>
      </c>
      <c r="C57">
        <v>270</v>
      </c>
      <c r="D57">
        <v>15</v>
      </c>
    </row>
    <row r="58" spans="1:4" x14ac:dyDescent="0.35">
      <c r="A58" t="s">
        <v>153</v>
      </c>
      <c r="B58">
        <v>0</v>
      </c>
      <c r="C58">
        <v>0</v>
      </c>
      <c r="D58">
        <v>0</v>
      </c>
    </row>
    <row r="59" spans="1:4" x14ac:dyDescent="0.35">
      <c r="A59" t="s">
        <v>154</v>
      </c>
      <c r="B59">
        <v>0</v>
      </c>
      <c r="C59">
        <v>0</v>
      </c>
      <c r="D59">
        <v>0</v>
      </c>
    </row>
    <row r="60" spans="1:4" x14ac:dyDescent="0.35">
      <c r="A60" t="s">
        <v>155</v>
      </c>
      <c r="B60">
        <v>0</v>
      </c>
      <c r="C60">
        <v>0</v>
      </c>
      <c r="D60">
        <v>0</v>
      </c>
    </row>
    <row r="61" spans="1:4" x14ac:dyDescent="0.35">
      <c r="A61" t="s">
        <v>156</v>
      </c>
      <c r="B61">
        <v>0</v>
      </c>
      <c r="C61">
        <v>0</v>
      </c>
      <c r="D61">
        <v>0</v>
      </c>
    </row>
    <row r="62" spans="1:4" x14ac:dyDescent="0.35">
      <c r="B62" t="s">
        <v>195</v>
      </c>
      <c r="C62">
        <v>35244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9F279-B686-4191-950B-54E35BA237BE}">
  <sheetPr codeName="Sheet13"/>
  <dimension ref="A1:E57"/>
  <sheetViews>
    <sheetView workbookViewId="0"/>
  </sheetViews>
  <sheetFormatPr baseColWidth="10" defaultColWidth="8.7265625" defaultRowHeight="14.5" x14ac:dyDescent="0.35"/>
  <cols>
    <col min="1" max="1" width="25.453125" bestFit="1" customWidth="1"/>
    <col min="2" max="2" width="13.1796875" bestFit="1" customWidth="1"/>
    <col min="3" max="3" width="8.1796875" bestFit="1" customWidth="1"/>
    <col min="4" max="4" width="16.453125" bestFit="1" customWidth="1"/>
    <col min="5" max="5" width="11" bestFit="1" customWidth="1"/>
  </cols>
  <sheetData>
    <row r="1" spans="1:5" x14ac:dyDescent="0.35">
      <c r="A1" t="s">
        <v>183</v>
      </c>
      <c r="B1" t="s">
        <v>186</v>
      </c>
      <c r="C1" t="s">
        <v>82</v>
      </c>
      <c r="D1" t="s">
        <v>187</v>
      </c>
      <c r="E1" t="s">
        <v>185</v>
      </c>
    </row>
    <row r="2" spans="1:5" x14ac:dyDescent="0.35">
      <c r="A2" t="s">
        <v>122</v>
      </c>
      <c r="B2" t="s">
        <v>68</v>
      </c>
      <c r="C2">
        <v>106</v>
      </c>
      <c r="D2">
        <v>2120</v>
      </c>
      <c r="E2" t="b">
        <v>1</v>
      </c>
    </row>
    <row r="3" spans="1:5" x14ac:dyDescent="0.35">
      <c r="A3" t="s">
        <v>89</v>
      </c>
      <c r="B3" t="s">
        <v>189</v>
      </c>
      <c r="C3">
        <v>99</v>
      </c>
      <c r="D3">
        <v>2970</v>
      </c>
      <c r="E3" t="b">
        <v>1</v>
      </c>
    </row>
    <row r="4" spans="1:5" x14ac:dyDescent="0.35">
      <c r="A4" t="s">
        <v>142</v>
      </c>
      <c r="B4" t="s">
        <v>69</v>
      </c>
      <c r="C4">
        <v>95</v>
      </c>
      <c r="D4">
        <v>950</v>
      </c>
      <c r="E4" t="b">
        <v>1</v>
      </c>
    </row>
    <row r="5" spans="1:5" x14ac:dyDescent="0.35">
      <c r="A5" t="s">
        <v>121</v>
      </c>
      <c r="B5" t="s">
        <v>68</v>
      </c>
      <c r="C5">
        <v>76</v>
      </c>
      <c r="D5">
        <v>2128</v>
      </c>
      <c r="E5" t="b">
        <v>1</v>
      </c>
    </row>
    <row r="6" spans="1:5" x14ac:dyDescent="0.35">
      <c r="A6" t="s">
        <v>151</v>
      </c>
      <c r="B6" t="s">
        <v>69</v>
      </c>
      <c r="C6">
        <v>72</v>
      </c>
      <c r="D6">
        <v>576</v>
      </c>
      <c r="E6" t="b">
        <v>1</v>
      </c>
    </row>
    <row r="7" spans="1:5" x14ac:dyDescent="0.35">
      <c r="A7" t="s">
        <v>90</v>
      </c>
      <c r="B7" t="s">
        <v>189</v>
      </c>
      <c r="C7">
        <v>69</v>
      </c>
      <c r="D7">
        <v>2070</v>
      </c>
      <c r="E7" t="b">
        <v>1</v>
      </c>
    </row>
    <row r="8" spans="1:5" x14ac:dyDescent="0.35">
      <c r="A8" t="s">
        <v>88</v>
      </c>
      <c r="B8" t="s">
        <v>189</v>
      </c>
      <c r="C8">
        <v>68</v>
      </c>
      <c r="D8">
        <v>2040</v>
      </c>
      <c r="E8" t="b">
        <v>1</v>
      </c>
    </row>
    <row r="9" spans="1:5" x14ac:dyDescent="0.35">
      <c r="A9" t="s">
        <v>101</v>
      </c>
      <c r="B9" t="s">
        <v>189</v>
      </c>
      <c r="C9">
        <v>60</v>
      </c>
      <c r="D9">
        <v>900</v>
      </c>
      <c r="E9" t="b">
        <v>1</v>
      </c>
    </row>
    <row r="10" spans="1:5" x14ac:dyDescent="0.35">
      <c r="A10" t="s">
        <v>266</v>
      </c>
      <c r="B10" t="s">
        <v>188</v>
      </c>
      <c r="C10">
        <v>58</v>
      </c>
      <c r="D10">
        <v>2610</v>
      </c>
      <c r="E10" t="b">
        <v>1</v>
      </c>
    </row>
    <row r="11" spans="1:5" x14ac:dyDescent="0.35">
      <c r="A11" t="s">
        <v>135</v>
      </c>
      <c r="B11" t="s">
        <v>188</v>
      </c>
      <c r="C11">
        <v>58</v>
      </c>
      <c r="D11">
        <v>1160</v>
      </c>
      <c r="E11" t="b">
        <v>1</v>
      </c>
    </row>
    <row r="12" spans="1:5" x14ac:dyDescent="0.35">
      <c r="A12" t="s">
        <v>131</v>
      </c>
      <c r="B12" t="s">
        <v>188</v>
      </c>
      <c r="C12">
        <v>57</v>
      </c>
      <c r="D12">
        <v>1026</v>
      </c>
      <c r="E12" t="b">
        <v>1</v>
      </c>
    </row>
    <row r="13" spans="1:5" x14ac:dyDescent="0.35">
      <c r="A13" t="s">
        <v>129</v>
      </c>
      <c r="B13" t="s">
        <v>188</v>
      </c>
      <c r="C13">
        <v>57</v>
      </c>
      <c r="D13">
        <v>1710</v>
      </c>
      <c r="E13" t="b">
        <v>1</v>
      </c>
    </row>
    <row r="14" spans="1:5" x14ac:dyDescent="0.35">
      <c r="A14" t="s">
        <v>118</v>
      </c>
      <c r="B14" t="s">
        <v>190</v>
      </c>
      <c r="C14">
        <v>53</v>
      </c>
      <c r="D14">
        <v>795</v>
      </c>
      <c r="E14" t="b">
        <v>1</v>
      </c>
    </row>
    <row r="15" spans="1:5" x14ac:dyDescent="0.35">
      <c r="A15" t="s">
        <v>119</v>
      </c>
      <c r="B15" t="s">
        <v>68</v>
      </c>
      <c r="C15">
        <v>49</v>
      </c>
      <c r="D15">
        <v>1372</v>
      </c>
      <c r="E15" t="b">
        <v>1</v>
      </c>
    </row>
    <row r="16" spans="1:5" x14ac:dyDescent="0.35">
      <c r="A16" t="s">
        <v>98</v>
      </c>
      <c r="B16" t="s">
        <v>189</v>
      </c>
      <c r="C16">
        <v>46</v>
      </c>
      <c r="D16">
        <v>1242</v>
      </c>
      <c r="E16" t="b">
        <v>1</v>
      </c>
    </row>
    <row r="17" spans="1:5" x14ac:dyDescent="0.35">
      <c r="A17" t="s">
        <v>102</v>
      </c>
      <c r="B17" t="s">
        <v>189</v>
      </c>
      <c r="C17">
        <v>44</v>
      </c>
      <c r="D17">
        <v>660</v>
      </c>
      <c r="E17" t="b">
        <v>1</v>
      </c>
    </row>
    <row r="18" spans="1:5" x14ac:dyDescent="0.35">
      <c r="A18" t="s">
        <v>149</v>
      </c>
      <c r="B18" t="s">
        <v>69</v>
      </c>
      <c r="C18">
        <v>43</v>
      </c>
      <c r="D18">
        <v>816</v>
      </c>
      <c r="E18" t="b">
        <v>1</v>
      </c>
    </row>
    <row r="19" spans="1:5" x14ac:dyDescent="0.35">
      <c r="A19" t="s">
        <v>103</v>
      </c>
      <c r="B19" t="s">
        <v>189</v>
      </c>
      <c r="C19">
        <v>40</v>
      </c>
      <c r="D19">
        <v>1120</v>
      </c>
      <c r="E19" t="b">
        <v>1</v>
      </c>
    </row>
    <row r="20" spans="1:5" x14ac:dyDescent="0.35">
      <c r="A20" t="s">
        <v>107</v>
      </c>
      <c r="B20" t="s">
        <v>189</v>
      </c>
      <c r="C20">
        <v>39</v>
      </c>
      <c r="D20">
        <v>1092</v>
      </c>
      <c r="E20" t="b">
        <v>1</v>
      </c>
    </row>
    <row r="21" spans="1:5" x14ac:dyDescent="0.35">
      <c r="A21" t="s">
        <v>124</v>
      </c>
      <c r="B21" t="s">
        <v>68</v>
      </c>
      <c r="C21">
        <v>31</v>
      </c>
      <c r="D21">
        <v>620</v>
      </c>
      <c r="E21" t="b">
        <v>1</v>
      </c>
    </row>
    <row r="22" spans="1:5" x14ac:dyDescent="0.35">
      <c r="A22" t="s">
        <v>141</v>
      </c>
      <c r="B22" t="s">
        <v>69</v>
      </c>
      <c r="C22">
        <v>27</v>
      </c>
      <c r="D22">
        <v>270</v>
      </c>
      <c r="E22" t="b">
        <v>1</v>
      </c>
    </row>
    <row r="23" spans="1:5" x14ac:dyDescent="0.35">
      <c r="A23" t="s">
        <v>105</v>
      </c>
      <c r="B23" t="s">
        <v>189</v>
      </c>
      <c r="C23">
        <v>23</v>
      </c>
      <c r="D23">
        <v>644</v>
      </c>
      <c r="E23" t="b">
        <v>1</v>
      </c>
    </row>
    <row r="24" spans="1:5" x14ac:dyDescent="0.35">
      <c r="A24" t="s">
        <v>145</v>
      </c>
      <c r="B24" t="s">
        <v>192</v>
      </c>
      <c r="C24">
        <v>23</v>
      </c>
      <c r="D24">
        <v>414</v>
      </c>
      <c r="E24" t="b">
        <v>1</v>
      </c>
    </row>
    <row r="25" spans="1:5" x14ac:dyDescent="0.35">
      <c r="A25" t="s">
        <v>123</v>
      </c>
      <c r="B25" t="s">
        <v>68</v>
      </c>
      <c r="C25">
        <v>21</v>
      </c>
      <c r="D25">
        <v>420</v>
      </c>
      <c r="E25" t="b">
        <v>1</v>
      </c>
    </row>
    <row r="26" spans="1:5" x14ac:dyDescent="0.35">
      <c r="A26" t="s">
        <v>147</v>
      </c>
      <c r="B26" t="s">
        <v>192</v>
      </c>
      <c r="C26">
        <v>21</v>
      </c>
      <c r="D26">
        <v>378</v>
      </c>
      <c r="E26" t="b">
        <v>1</v>
      </c>
    </row>
    <row r="27" spans="1:5" x14ac:dyDescent="0.35">
      <c r="A27" t="s">
        <v>110</v>
      </c>
      <c r="B27" t="s">
        <v>189</v>
      </c>
      <c r="C27">
        <v>20</v>
      </c>
      <c r="D27">
        <v>560</v>
      </c>
      <c r="E27" t="b">
        <v>1</v>
      </c>
    </row>
    <row r="28" spans="1:5" x14ac:dyDescent="0.35">
      <c r="A28" t="s">
        <v>125</v>
      </c>
      <c r="B28" t="s">
        <v>68</v>
      </c>
      <c r="C28">
        <v>19</v>
      </c>
      <c r="D28">
        <v>532</v>
      </c>
      <c r="E28" t="b">
        <v>1</v>
      </c>
    </row>
    <row r="29" spans="1:5" x14ac:dyDescent="0.35">
      <c r="A29" t="s">
        <v>152</v>
      </c>
      <c r="B29" t="s">
        <v>192</v>
      </c>
      <c r="C29">
        <v>19</v>
      </c>
      <c r="D29">
        <v>285</v>
      </c>
      <c r="E29" t="b">
        <v>1</v>
      </c>
    </row>
    <row r="30" spans="1:5" x14ac:dyDescent="0.35">
      <c r="A30" t="s">
        <v>91</v>
      </c>
      <c r="B30" t="s">
        <v>189</v>
      </c>
      <c r="C30">
        <v>19</v>
      </c>
      <c r="D30">
        <v>570</v>
      </c>
      <c r="E30" t="b">
        <v>1</v>
      </c>
    </row>
    <row r="31" spans="1:5" x14ac:dyDescent="0.35">
      <c r="A31" t="s">
        <v>92</v>
      </c>
      <c r="B31" t="s">
        <v>189</v>
      </c>
      <c r="C31">
        <v>18</v>
      </c>
      <c r="D31">
        <v>540</v>
      </c>
      <c r="E31" t="b">
        <v>1</v>
      </c>
    </row>
    <row r="32" spans="1:5" x14ac:dyDescent="0.35">
      <c r="A32" t="s">
        <v>146</v>
      </c>
      <c r="B32" t="s">
        <v>192</v>
      </c>
      <c r="C32">
        <v>17</v>
      </c>
      <c r="D32">
        <v>306</v>
      </c>
      <c r="E32" t="b">
        <v>1</v>
      </c>
    </row>
    <row r="33" spans="1:5" x14ac:dyDescent="0.35">
      <c r="A33" t="s">
        <v>112</v>
      </c>
      <c r="B33" t="s">
        <v>190</v>
      </c>
      <c r="C33">
        <v>16</v>
      </c>
      <c r="D33">
        <v>384</v>
      </c>
      <c r="E33" t="b">
        <v>1</v>
      </c>
    </row>
    <row r="34" spans="1:5" x14ac:dyDescent="0.35">
      <c r="A34" t="s">
        <v>97</v>
      </c>
      <c r="B34" t="s">
        <v>189</v>
      </c>
      <c r="C34">
        <v>16</v>
      </c>
      <c r="D34">
        <v>432</v>
      </c>
      <c r="E34" t="b">
        <v>1</v>
      </c>
    </row>
    <row r="35" spans="1:5" x14ac:dyDescent="0.35">
      <c r="A35" t="s">
        <v>93</v>
      </c>
      <c r="B35" t="s">
        <v>189</v>
      </c>
      <c r="C35">
        <v>15</v>
      </c>
      <c r="D35">
        <v>405</v>
      </c>
      <c r="E35" t="b">
        <v>1</v>
      </c>
    </row>
    <row r="36" spans="1:5" x14ac:dyDescent="0.35">
      <c r="A36" t="s">
        <v>144</v>
      </c>
      <c r="B36" t="s">
        <v>69</v>
      </c>
      <c r="C36">
        <v>15</v>
      </c>
      <c r="D36">
        <v>225</v>
      </c>
      <c r="E36" t="b">
        <v>1</v>
      </c>
    </row>
    <row r="37" spans="1:5" x14ac:dyDescent="0.35">
      <c r="A37" t="s">
        <v>137</v>
      </c>
      <c r="B37" t="s">
        <v>188</v>
      </c>
      <c r="C37">
        <v>12</v>
      </c>
      <c r="D37">
        <v>336</v>
      </c>
      <c r="E37" t="b">
        <v>1</v>
      </c>
    </row>
    <row r="38" spans="1:5" x14ac:dyDescent="0.35">
      <c r="A38" t="s">
        <v>120</v>
      </c>
      <c r="B38" t="s">
        <v>68</v>
      </c>
      <c r="C38">
        <v>11</v>
      </c>
      <c r="D38">
        <v>308</v>
      </c>
      <c r="E38" t="b">
        <v>1</v>
      </c>
    </row>
    <row r="39" spans="1:5" x14ac:dyDescent="0.35">
      <c r="A39" t="s">
        <v>116</v>
      </c>
      <c r="B39" t="s">
        <v>190</v>
      </c>
      <c r="C39">
        <v>11</v>
      </c>
      <c r="D39">
        <v>264</v>
      </c>
      <c r="E39" t="b">
        <v>1</v>
      </c>
    </row>
    <row r="40" spans="1:5" x14ac:dyDescent="0.35">
      <c r="A40" t="s">
        <v>111</v>
      </c>
      <c r="B40" t="s">
        <v>189</v>
      </c>
      <c r="C40">
        <v>9</v>
      </c>
      <c r="D40">
        <v>270</v>
      </c>
      <c r="E40" t="b">
        <v>1</v>
      </c>
    </row>
    <row r="41" spans="1:5" x14ac:dyDescent="0.35">
      <c r="A41" t="s">
        <v>114</v>
      </c>
      <c r="B41" t="s">
        <v>190</v>
      </c>
      <c r="C41">
        <v>9</v>
      </c>
      <c r="D41">
        <v>216</v>
      </c>
      <c r="E41" t="b">
        <v>1</v>
      </c>
    </row>
    <row r="42" spans="1:5" x14ac:dyDescent="0.35">
      <c r="A42" t="s">
        <v>154</v>
      </c>
      <c r="B42" t="s">
        <v>192</v>
      </c>
      <c r="C42">
        <v>9</v>
      </c>
      <c r="D42">
        <v>90</v>
      </c>
      <c r="E42" t="b">
        <v>1</v>
      </c>
    </row>
    <row r="43" spans="1:5" x14ac:dyDescent="0.35">
      <c r="A43" t="s">
        <v>108</v>
      </c>
      <c r="B43" t="s">
        <v>189</v>
      </c>
      <c r="C43">
        <v>8</v>
      </c>
      <c r="D43">
        <v>224</v>
      </c>
      <c r="E43" t="b">
        <v>1</v>
      </c>
    </row>
    <row r="44" spans="1:5" x14ac:dyDescent="0.35">
      <c r="A44" t="s">
        <v>115</v>
      </c>
      <c r="B44" t="s">
        <v>190</v>
      </c>
      <c r="C44">
        <v>8</v>
      </c>
      <c r="D44">
        <v>192</v>
      </c>
      <c r="E44" t="b">
        <v>1</v>
      </c>
    </row>
    <row r="45" spans="1:5" x14ac:dyDescent="0.35">
      <c r="A45" t="s">
        <v>156</v>
      </c>
      <c r="B45" t="s">
        <v>192</v>
      </c>
      <c r="C45">
        <v>7</v>
      </c>
      <c r="D45">
        <v>175</v>
      </c>
      <c r="E45" t="b">
        <v>1</v>
      </c>
    </row>
    <row r="46" spans="1:5" x14ac:dyDescent="0.35">
      <c r="A46" t="s">
        <v>155</v>
      </c>
      <c r="B46" t="s">
        <v>192</v>
      </c>
      <c r="C46">
        <v>7</v>
      </c>
      <c r="D46">
        <v>70</v>
      </c>
      <c r="E46" t="b">
        <v>1</v>
      </c>
    </row>
    <row r="47" spans="1:5" x14ac:dyDescent="0.35">
      <c r="A47" t="s">
        <v>193</v>
      </c>
      <c r="B47" t="s">
        <v>189</v>
      </c>
      <c r="C47">
        <v>7</v>
      </c>
      <c r="D47">
        <v>189</v>
      </c>
      <c r="E47" t="b">
        <v>1</v>
      </c>
    </row>
    <row r="48" spans="1:5" x14ac:dyDescent="0.35">
      <c r="A48" t="s">
        <v>117</v>
      </c>
      <c r="B48" t="s">
        <v>190</v>
      </c>
      <c r="C48">
        <v>6</v>
      </c>
      <c r="D48">
        <v>144</v>
      </c>
      <c r="E48" t="b">
        <v>1</v>
      </c>
    </row>
    <row r="49" spans="1:5" x14ac:dyDescent="0.35">
      <c r="A49" t="s">
        <v>153</v>
      </c>
      <c r="B49" t="s">
        <v>69</v>
      </c>
      <c r="C49">
        <v>4</v>
      </c>
      <c r="D49">
        <v>32</v>
      </c>
      <c r="E49" t="b">
        <v>1</v>
      </c>
    </row>
    <row r="50" spans="1:5" x14ac:dyDescent="0.35">
      <c r="A50" t="s">
        <v>126</v>
      </c>
      <c r="B50" t="s">
        <v>68</v>
      </c>
      <c r="C50">
        <v>4</v>
      </c>
      <c r="D50">
        <v>112</v>
      </c>
      <c r="E50" t="b">
        <v>1</v>
      </c>
    </row>
    <row r="51" spans="1:5" x14ac:dyDescent="0.35">
      <c r="A51" t="s">
        <v>99</v>
      </c>
      <c r="B51" t="s">
        <v>189</v>
      </c>
      <c r="C51">
        <v>4</v>
      </c>
      <c r="D51">
        <v>108</v>
      </c>
      <c r="E51" t="b">
        <v>1</v>
      </c>
    </row>
    <row r="52" spans="1:5" x14ac:dyDescent="0.35">
      <c r="A52" t="s">
        <v>100</v>
      </c>
      <c r="B52" t="s">
        <v>189</v>
      </c>
      <c r="C52">
        <v>4</v>
      </c>
      <c r="D52">
        <v>108</v>
      </c>
      <c r="E52" t="b">
        <v>1</v>
      </c>
    </row>
    <row r="53" spans="1:5" x14ac:dyDescent="0.35">
      <c r="A53" t="s">
        <v>96</v>
      </c>
      <c r="B53" t="s">
        <v>189</v>
      </c>
      <c r="C53">
        <v>4</v>
      </c>
      <c r="D53">
        <v>108</v>
      </c>
      <c r="E53" t="b">
        <v>1</v>
      </c>
    </row>
    <row r="54" spans="1:5" x14ac:dyDescent="0.35">
      <c r="A54" t="s">
        <v>113</v>
      </c>
      <c r="B54" t="s">
        <v>190</v>
      </c>
      <c r="C54">
        <v>3</v>
      </c>
      <c r="D54">
        <v>72</v>
      </c>
      <c r="E54" t="b">
        <v>1</v>
      </c>
    </row>
    <row r="55" spans="1:5" x14ac:dyDescent="0.35">
      <c r="A55" t="s">
        <v>109</v>
      </c>
      <c r="B55" t="s">
        <v>189</v>
      </c>
      <c r="C55">
        <v>2</v>
      </c>
      <c r="D55">
        <v>56</v>
      </c>
      <c r="E55" t="b">
        <v>1</v>
      </c>
    </row>
    <row r="56" spans="1:5" x14ac:dyDescent="0.35">
      <c r="A56" t="s">
        <v>132</v>
      </c>
      <c r="B56" t="s">
        <v>188</v>
      </c>
      <c r="C56">
        <v>1</v>
      </c>
      <c r="D56">
        <v>10</v>
      </c>
      <c r="E56" t="b">
        <v>1</v>
      </c>
    </row>
    <row r="57" spans="1:5" x14ac:dyDescent="0.35">
      <c r="A57" t="s">
        <v>140</v>
      </c>
      <c r="B57" t="s">
        <v>188</v>
      </c>
      <c r="C57">
        <v>1</v>
      </c>
      <c r="D57">
        <v>20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7B48C-88EA-426A-B0C3-3A992425A38E}">
  <sheetPr codeName="Sheet14"/>
  <dimension ref="A1:D58"/>
  <sheetViews>
    <sheetView workbookViewId="0"/>
  </sheetViews>
  <sheetFormatPr baseColWidth="10" defaultColWidth="8.7265625" defaultRowHeight="14.5" x14ac:dyDescent="0.35"/>
  <cols>
    <col min="1" max="1" width="25.453125" bestFit="1" customWidth="1"/>
    <col min="2" max="2" width="13.1796875" bestFit="1" customWidth="1"/>
    <col min="3" max="3" width="8.1796875" bestFit="1" customWidth="1"/>
    <col min="4" max="4" width="16.453125" bestFit="1" customWidth="1"/>
  </cols>
  <sheetData>
    <row r="1" spans="1:4" x14ac:dyDescent="0.35">
      <c r="A1" t="s">
        <v>183</v>
      </c>
      <c r="B1" t="s">
        <v>186</v>
      </c>
      <c r="C1" t="s">
        <v>82</v>
      </c>
      <c r="D1" t="s">
        <v>187</v>
      </c>
    </row>
    <row r="2" spans="1:4" x14ac:dyDescent="0.35">
      <c r="A2" t="s">
        <v>122</v>
      </c>
      <c r="B2" t="s">
        <v>68</v>
      </c>
      <c r="C2">
        <v>76</v>
      </c>
      <c r="D2">
        <v>1520</v>
      </c>
    </row>
    <row r="3" spans="1:4" x14ac:dyDescent="0.35">
      <c r="A3" t="s">
        <v>142</v>
      </c>
      <c r="B3" t="s">
        <v>69</v>
      </c>
      <c r="C3">
        <v>74</v>
      </c>
      <c r="D3">
        <v>740</v>
      </c>
    </row>
    <row r="4" spans="1:4" x14ac:dyDescent="0.35">
      <c r="A4" t="s">
        <v>132</v>
      </c>
      <c r="B4" t="s">
        <v>188</v>
      </c>
      <c r="C4">
        <v>73</v>
      </c>
      <c r="D4">
        <v>730</v>
      </c>
    </row>
    <row r="5" spans="1:4" x14ac:dyDescent="0.35">
      <c r="A5" t="s">
        <v>121</v>
      </c>
      <c r="B5" t="s">
        <v>68</v>
      </c>
      <c r="C5">
        <v>73</v>
      </c>
      <c r="D5">
        <v>2044</v>
      </c>
    </row>
    <row r="6" spans="1:4" x14ac:dyDescent="0.35">
      <c r="A6" t="s">
        <v>143</v>
      </c>
      <c r="B6" t="s">
        <v>69</v>
      </c>
      <c r="C6">
        <v>72</v>
      </c>
      <c r="D6">
        <v>1440</v>
      </c>
    </row>
    <row r="7" spans="1:4" x14ac:dyDescent="0.35">
      <c r="A7" t="s">
        <v>266</v>
      </c>
      <c r="B7" t="s">
        <v>188</v>
      </c>
      <c r="C7">
        <v>69</v>
      </c>
      <c r="D7">
        <v>3105</v>
      </c>
    </row>
    <row r="8" spans="1:4" x14ac:dyDescent="0.35">
      <c r="A8" t="s">
        <v>131</v>
      </c>
      <c r="B8" t="s">
        <v>188</v>
      </c>
      <c r="C8">
        <v>56</v>
      </c>
      <c r="D8">
        <v>1008</v>
      </c>
    </row>
    <row r="9" spans="1:4" x14ac:dyDescent="0.35">
      <c r="A9" t="s">
        <v>88</v>
      </c>
      <c r="B9" t="s">
        <v>189</v>
      </c>
      <c r="C9">
        <v>53</v>
      </c>
      <c r="D9">
        <v>1590</v>
      </c>
    </row>
    <row r="10" spans="1:4" x14ac:dyDescent="0.35">
      <c r="A10" t="s">
        <v>107</v>
      </c>
      <c r="B10" t="s">
        <v>189</v>
      </c>
      <c r="C10">
        <v>48</v>
      </c>
      <c r="D10">
        <v>1344</v>
      </c>
    </row>
    <row r="11" spans="1:4" x14ac:dyDescent="0.35">
      <c r="A11" t="s">
        <v>289</v>
      </c>
      <c r="B11" t="s">
        <v>68</v>
      </c>
      <c r="C11">
        <v>48</v>
      </c>
      <c r="D11">
        <v>1440</v>
      </c>
    </row>
    <row r="12" spans="1:4" x14ac:dyDescent="0.35">
      <c r="A12" t="s">
        <v>103</v>
      </c>
      <c r="B12" t="s">
        <v>189</v>
      </c>
      <c r="C12">
        <v>47</v>
      </c>
      <c r="D12">
        <v>1316</v>
      </c>
    </row>
    <row r="13" spans="1:4" x14ac:dyDescent="0.35">
      <c r="A13" t="s">
        <v>102</v>
      </c>
      <c r="B13" t="s">
        <v>189</v>
      </c>
      <c r="C13">
        <v>45</v>
      </c>
      <c r="D13">
        <v>675</v>
      </c>
    </row>
    <row r="14" spans="1:4" x14ac:dyDescent="0.35">
      <c r="A14" t="s">
        <v>90</v>
      </c>
      <c r="B14" t="s">
        <v>189</v>
      </c>
      <c r="C14">
        <v>38</v>
      </c>
      <c r="D14">
        <v>1140</v>
      </c>
    </row>
    <row r="15" spans="1:4" x14ac:dyDescent="0.35">
      <c r="A15" t="s">
        <v>123</v>
      </c>
      <c r="B15" t="s">
        <v>68</v>
      </c>
      <c r="C15">
        <v>37</v>
      </c>
      <c r="D15">
        <v>740</v>
      </c>
    </row>
    <row r="16" spans="1:4" x14ac:dyDescent="0.35">
      <c r="A16" t="s">
        <v>119</v>
      </c>
      <c r="B16" t="s">
        <v>68</v>
      </c>
      <c r="C16">
        <v>37</v>
      </c>
      <c r="D16">
        <v>1036</v>
      </c>
    </row>
    <row r="17" spans="1:4" x14ac:dyDescent="0.35">
      <c r="A17" t="s">
        <v>89</v>
      </c>
      <c r="B17" t="s">
        <v>189</v>
      </c>
      <c r="C17">
        <v>37</v>
      </c>
      <c r="D17">
        <v>1110</v>
      </c>
    </row>
    <row r="18" spans="1:4" x14ac:dyDescent="0.35">
      <c r="A18" t="s">
        <v>98</v>
      </c>
      <c r="B18" t="s">
        <v>189</v>
      </c>
      <c r="C18">
        <v>37</v>
      </c>
      <c r="D18">
        <v>999</v>
      </c>
    </row>
    <row r="19" spans="1:4" x14ac:dyDescent="0.35">
      <c r="A19" t="s">
        <v>92</v>
      </c>
      <c r="B19" t="s">
        <v>189</v>
      </c>
      <c r="C19">
        <v>34</v>
      </c>
      <c r="D19">
        <v>1020</v>
      </c>
    </row>
    <row r="20" spans="1:4" x14ac:dyDescent="0.35">
      <c r="A20" t="s">
        <v>91</v>
      </c>
      <c r="B20" t="s">
        <v>189</v>
      </c>
      <c r="C20">
        <v>32</v>
      </c>
      <c r="D20">
        <v>960</v>
      </c>
    </row>
    <row r="21" spans="1:4" x14ac:dyDescent="0.35">
      <c r="A21" t="s">
        <v>151</v>
      </c>
      <c r="B21" t="s">
        <v>69</v>
      </c>
      <c r="C21">
        <v>30</v>
      </c>
      <c r="D21">
        <v>240</v>
      </c>
    </row>
    <row r="22" spans="1:4" x14ac:dyDescent="0.35">
      <c r="A22" t="s">
        <v>135</v>
      </c>
      <c r="B22" t="s">
        <v>188</v>
      </c>
      <c r="C22">
        <v>28</v>
      </c>
      <c r="D22">
        <v>560</v>
      </c>
    </row>
    <row r="23" spans="1:4" x14ac:dyDescent="0.35">
      <c r="A23" t="s">
        <v>149</v>
      </c>
      <c r="B23" t="s">
        <v>69</v>
      </c>
      <c r="C23">
        <v>26</v>
      </c>
      <c r="D23">
        <v>468</v>
      </c>
    </row>
    <row r="24" spans="1:4" x14ac:dyDescent="0.35">
      <c r="A24" t="s">
        <v>118</v>
      </c>
      <c r="B24" t="s">
        <v>190</v>
      </c>
      <c r="C24">
        <v>25</v>
      </c>
      <c r="D24">
        <v>375</v>
      </c>
    </row>
    <row r="25" spans="1:4" x14ac:dyDescent="0.35">
      <c r="A25" t="s">
        <v>101</v>
      </c>
      <c r="B25" t="s">
        <v>189</v>
      </c>
      <c r="C25">
        <v>24</v>
      </c>
      <c r="D25">
        <v>360</v>
      </c>
    </row>
    <row r="26" spans="1:4" x14ac:dyDescent="0.35">
      <c r="A26" t="s">
        <v>93</v>
      </c>
      <c r="B26" t="s">
        <v>189</v>
      </c>
      <c r="C26">
        <v>23</v>
      </c>
      <c r="D26">
        <v>621</v>
      </c>
    </row>
    <row r="27" spans="1:4" x14ac:dyDescent="0.35">
      <c r="A27" t="s">
        <v>105</v>
      </c>
      <c r="B27" t="s">
        <v>189</v>
      </c>
      <c r="C27">
        <v>22</v>
      </c>
      <c r="D27">
        <v>616</v>
      </c>
    </row>
    <row r="28" spans="1:4" x14ac:dyDescent="0.35">
      <c r="A28" t="s">
        <v>144</v>
      </c>
      <c r="B28" t="s">
        <v>69</v>
      </c>
      <c r="C28">
        <v>19</v>
      </c>
      <c r="D28">
        <v>285</v>
      </c>
    </row>
    <row r="29" spans="1:4" x14ac:dyDescent="0.35">
      <c r="A29" t="s">
        <v>125</v>
      </c>
      <c r="B29" t="s">
        <v>68</v>
      </c>
      <c r="C29">
        <v>18</v>
      </c>
      <c r="D29">
        <v>504</v>
      </c>
    </row>
    <row r="30" spans="1:4" x14ac:dyDescent="0.35">
      <c r="A30" t="s">
        <v>152</v>
      </c>
      <c r="B30" t="s">
        <v>192</v>
      </c>
      <c r="C30">
        <v>18</v>
      </c>
      <c r="D30">
        <v>270</v>
      </c>
    </row>
    <row r="31" spans="1:4" x14ac:dyDescent="0.35">
      <c r="A31" t="s">
        <v>115</v>
      </c>
      <c r="B31" t="s">
        <v>190</v>
      </c>
      <c r="C31">
        <v>15</v>
      </c>
      <c r="D31">
        <v>360</v>
      </c>
    </row>
    <row r="32" spans="1:4" x14ac:dyDescent="0.35">
      <c r="A32" t="s">
        <v>110</v>
      </c>
      <c r="B32" t="s">
        <v>189</v>
      </c>
      <c r="C32">
        <v>14</v>
      </c>
      <c r="D32">
        <v>392</v>
      </c>
    </row>
    <row r="33" spans="1:4" x14ac:dyDescent="0.35">
      <c r="A33" t="s">
        <v>147</v>
      </c>
      <c r="B33" t="s">
        <v>192</v>
      </c>
      <c r="C33">
        <v>14</v>
      </c>
      <c r="D33">
        <v>252</v>
      </c>
    </row>
    <row r="34" spans="1:4" x14ac:dyDescent="0.35">
      <c r="A34" t="s">
        <v>146</v>
      </c>
      <c r="B34" t="s">
        <v>192</v>
      </c>
      <c r="C34">
        <v>14</v>
      </c>
      <c r="D34">
        <v>252</v>
      </c>
    </row>
    <row r="35" spans="1:4" x14ac:dyDescent="0.35">
      <c r="A35" t="s">
        <v>141</v>
      </c>
      <c r="B35" t="s">
        <v>69</v>
      </c>
      <c r="C35">
        <v>12</v>
      </c>
      <c r="D35">
        <v>120</v>
      </c>
    </row>
    <row r="36" spans="1:4" x14ac:dyDescent="0.35">
      <c r="A36" t="s">
        <v>120</v>
      </c>
      <c r="B36" t="s">
        <v>68</v>
      </c>
      <c r="C36">
        <v>11</v>
      </c>
      <c r="D36">
        <v>308</v>
      </c>
    </row>
    <row r="37" spans="1:4" x14ac:dyDescent="0.35">
      <c r="A37" t="s">
        <v>114</v>
      </c>
      <c r="B37" t="s">
        <v>190</v>
      </c>
      <c r="C37">
        <v>11</v>
      </c>
      <c r="D37">
        <v>264</v>
      </c>
    </row>
    <row r="38" spans="1:4" x14ac:dyDescent="0.35">
      <c r="A38" t="s">
        <v>273</v>
      </c>
      <c r="B38" t="s">
        <v>189</v>
      </c>
      <c r="C38">
        <v>9</v>
      </c>
      <c r="D38">
        <v>270</v>
      </c>
    </row>
    <row r="39" spans="1:4" x14ac:dyDescent="0.35">
      <c r="A39" t="s">
        <v>99</v>
      </c>
      <c r="B39" t="s">
        <v>189</v>
      </c>
      <c r="C39">
        <v>9</v>
      </c>
      <c r="D39">
        <v>243</v>
      </c>
    </row>
    <row r="40" spans="1:4" x14ac:dyDescent="0.35">
      <c r="A40" t="s">
        <v>97</v>
      </c>
      <c r="B40" t="s">
        <v>189</v>
      </c>
      <c r="C40">
        <v>9</v>
      </c>
      <c r="D40">
        <v>243</v>
      </c>
    </row>
    <row r="41" spans="1:4" x14ac:dyDescent="0.35">
      <c r="A41" t="s">
        <v>112</v>
      </c>
      <c r="B41" t="s">
        <v>190</v>
      </c>
      <c r="C41">
        <v>8</v>
      </c>
      <c r="D41">
        <v>192</v>
      </c>
    </row>
    <row r="42" spans="1:4" x14ac:dyDescent="0.35">
      <c r="A42" t="s">
        <v>145</v>
      </c>
      <c r="B42" t="s">
        <v>192</v>
      </c>
      <c r="C42">
        <v>8</v>
      </c>
      <c r="D42">
        <v>144</v>
      </c>
    </row>
    <row r="43" spans="1:4" x14ac:dyDescent="0.35">
      <c r="A43" t="s">
        <v>116</v>
      </c>
      <c r="B43" t="s">
        <v>190</v>
      </c>
      <c r="C43">
        <v>6</v>
      </c>
      <c r="D43">
        <v>144</v>
      </c>
    </row>
    <row r="44" spans="1:4" x14ac:dyDescent="0.35">
      <c r="A44" t="s">
        <v>126</v>
      </c>
      <c r="B44" t="s">
        <v>68</v>
      </c>
      <c r="C44">
        <v>6</v>
      </c>
      <c r="D44">
        <v>168</v>
      </c>
    </row>
    <row r="45" spans="1:4" x14ac:dyDescent="0.35">
      <c r="A45" t="s">
        <v>193</v>
      </c>
      <c r="B45" t="s">
        <v>189</v>
      </c>
      <c r="C45">
        <v>5</v>
      </c>
      <c r="D45">
        <v>135</v>
      </c>
    </row>
    <row r="46" spans="1:4" x14ac:dyDescent="0.35">
      <c r="A46" t="s">
        <v>127</v>
      </c>
      <c r="B46" t="s">
        <v>68</v>
      </c>
      <c r="C46">
        <v>4</v>
      </c>
      <c r="D46">
        <v>112</v>
      </c>
    </row>
    <row r="47" spans="1:4" x14ac:dyDescent="0.35">
      <c r="A47" t="s">
        <v>100</v>
      </c>
      <c r="B47" t="s">
        <v>189</v>
      </c>
      <c r="C47">
        <v>4</v>
      </c>
      <c r="D47">
        <v>108</v>
      </c>
    </row>
    <row r="48" spans="1:4" x14ac:dyDescent="0.35">
      <c r="A48" t="s">
        <v>156</v>
      </c>
      <c r="B48" t="s">
        <v>192</v>
      </c>
      <c r="C48">
        <v>3</v>
      </c>
      <c r="D48">
        <v>75</v>
      </c>
    </row>
    <row r="49" spans="1:4" x14ac:dyDescent="0.35">
      <c r="A49" t="s">
        <v>153</v>
      </c>
      <c r="B49" t="s">
        <v>69</v>
      </c>
      <c r="C49">
        <v>3</v>
      </c>
      <c r="D49">
        <v>24</v>
      </c>
    </row>
    <row r="50" spans="1:4" x14ac:dyDescent="0.35">
      <c r="A50" t="s">
        <v>154</v>
      </c>
      <c r="B50" t="s">
        <v>192</v>
      </c>
      <c r="C50">
        <v>3</v>
      </c>
      <c r="D50">
        <v>30</v>
      </c>
    </row>
    <row r="51" spans="1:4" x14ac:dyDescent="0.35">
      <c r="A51" t="s">
        <v>96</v>
      </c>
      <c r="B51" t="s">
        <v>189</v>
      </c>
      <c r="C51">
        <v>3</v>
      </c>
      <c r="D51">
        <v>81</v>
      </c>
    </row>
    <row r="52" spans="1:4" x14ac:dyDescent="0.35">
      <c r="A52" t="s">
        <v>113</v>
      </c>
      <c r="B52" t="s">
        <v>190</v>
      </c>
      <c r="C52">
        <v>2</v>
      </c>
      <c r="D52">
        <v>48</v>
      </c>
    </row>
    <row r="53" spans="1:4" x14ac:dyDescent="0.35">
      <c r="A53" t="s">
        <v>155</v>
      </c>
      <c r="B53" t="s">
        <v>192</v>
      </c>
      <c r="C53">
        <v>2</v>
      </c>
      <c r="D53">
        <v>20</v>
      </c>
    </row>
    <row r="54" spans="1:4" x14ac:dyDescent="0.35">
      <c r="A54" t="s">
        <v>108</v>
      </c>
      <c r="B54" t="s">
        <v>189</v>
      </c>
      <c r="C54">
        <v>1</v>
      </c>
      <c r="D54">
        <v>28</v>
      </c>
    </row>
    <row r="55" spans="1:4" x14ac:dyDescent="0.35">
      <c r="A55" t="s">
        <v>111</v>
      </c>
      <c r="B55" t="s">
        <v>189</v>
      </c>
      <c r="C55">
        <v>1</v>
      </c>
      <c r="D55">
        <v>30</v>
      </c>
    </row>
    <row r="56" spans="1:4" x14ac:dyDescent="0.35">
      <c r="A56" t="s">
        <v>117</v>
      </c>
      <c r="B56" t="s">
        <v>190</v>
      </c>
      <c r="C56">
        <v>1</v>
      </c>
      <c r="D56">
        <v>24</v>
      </c>
    </row>
    <row r="57" spans="1:4" x14ac:dyDescent="0.35">
      <c r="A57" t="s">
        <v>129</v>
      </c>
      <c r="B57" t="s">
        <v>188</v>
      </c>
      <c r="C57">
        <v>1</v>
      </c>
      <c r="D57">
        <v>30</v>
      </c>
    </row>
    <row r="58" spans="1:4" x14ac:dyDescent="0.35">
      <c r="A58" t="s">
        <v>137</v>
      </c>
      <c r="B58" t="s">
        <v>188</v>
      </c>
      <c r="C58">
        <v>1</v>
      </c>
      <c r="D58">
        <v>28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D4DF1-56C8-4C94-8DC9-F848183EA9F7}">
  <sheetPr codeName="Sheet15"/>
  <dimension ref="A1:D61"/>
  <sheetViews>
    <sheetView workbookViewId="0">
      <selection activeCell="L13" sqref="L13"/>
    </sheetView>
  </sheetViews>
  <sheetFormatPr baseColWidth="10" defaultColWidth="8.7265625" defaultRowHeight="14.5" x14ac:dyDescent="0.35"/>
  <cols>
    <col min="1" max="1" width="25.453125" bestFit="1" customWidth="1"/>
    <col min="2" max="2" width="8.1796875" bestFit="1" customWidth="1"/>
    <col min="3" max="3" width="16.453125" bestFit="1" customWidth="1"/>
    <col min="4" max="4" width="11" bestFit="1" customWidth="1"/>
    <col min="5" max="5" width="11" customWidth="1"/>
  </cols>
  <sheetData>
    <row r="1" spans="1:4" x14ac:dyDescent="0.35">
      <c r="A1" t="s">
        <v>183</v>
      </c>
      <c r="B1" t="s">
        <v>82</v>
      </c>
      <c r="C1" t="s">
        <v>187</v>
      </c>
      <c r="D1" t="s">
        <v>185</v>
      </c>
    </row>
    <row r="2" spans="1:4" x14ac:dyDescent="0.35">
      <c r="A2" t="s">
        <v>88</v>
      </c>
      <c r="B2">
        <v>72</v>
      </c>
      <c r="C2">
        <v>2160</v>
      </c>
      <c r="D2">
        <v>30</v>
      </c>
    </row>
    <row r="3" spans="1:4" x14ac:dyDescent="0.35">
      <c r="A3" t="s">
        <v>89</v>
      </c>
      <c r="B3">
        <v>48</v>
      </c>
      <c r="C3">
        <v>1440</v>
      </c>
      <c r="D3">
        <v>30</v>
      </c>
    </row>
    <row r="4" spans="1:4" x14ac:dyDescent="0.35">
      <c r="A4" t="s">
        <v>90</v>
      </c>
      <c r="B4">
        <v>72</v>
      </c>
      <c r="C4">
        <v>2160</v>
      </c>
      <c r="D4">
        <v>30</v>
      </c>
    </row>
    <row r="5" spans="1:4" x14ac:dyDescent="0.35">
      <c r="A5" t="s">
        <v>91</v>
      </c>
      <c r="B5">
        <v>48</v>
      </c>
      <c r="C5">
        <v>1440</v>
      </c>
      <c r="D5">
        <v>30</v>
      </c>
    </row>
    <row r="6" spans="1:4" x14ac:dyDescent="0.35">
      <c r="A6" t="s">
        <v>92</v>
      </c>
      <c r="B6">
        <v>24</v>
      </c>
      <c r="C6">
        <v>720</v>
      </c>
      <c r="D6">
        <v>30</v>
      </c>
    </row>
    <row r="7" spans="1:4" x14ac:dyDescent="0.35">
      <c r="A7" t="s">
        <v>93</v>
      </c>
      <c r="B7">
        <v>5</v>
      </c>
      <c r="C7">
        <v>135</v>
      </c>
      <c r="D7">
        <v>27</v>
      </c>
    </row>
    <row r="8" spans="1:4" x14ac:dyDescent="0.35">
      <c r="A8" t="s">
        <v>94</v>
      </c>
      <c r="B8">
        <v>12</v>
      </c>
      <c r="C8">
        <v>480</v>
      </c>
      <c r="D8">
        <v>40</v>
      </c>
    </row>
    <row r="9" spans="1:4" x14ac:dyDescent="0.35">
      <c r="A9" t="s">
        <v>95</v>
      </c>
      <c r="B9">
        <v>17</v>
      </c>
      <c r="C9">
        <v>425</v>
      </c>
      <c r="D9">
        <v>25</v>
      </c>
    </row>
    <row r="10" spans="1:4" x14ac:dyDescent="0.35">
      <c r="A10" t="s">
        <v>96</v>
      </c>
      <c r="B10">
        <v>0</v>
      </c>
      <c r="C10">
        <v>0</v>
      </c>
      <c r="D10">
        <v>0</v>
      </c>
    </row>
    <row r="11" spans="1:4" x14ac:dyDescent="0.35">
      <c r="A11" t="s">
        <v>97</v>
      </c>
      <c r="B11">
        <v>17</v>
      </c>
      <c r="C11">
        <v>459</v>
      </c>
      <c r="D11">
        <v>27</v>
      </c>
    </row>
    <row r="12" spans="1:4" x14ac:dyDescent="0.35">
      <c r="A12" t="s">
        <v>98</v>
      </c>
      <c r="B12">
        <v>46</v>
      </c>
      <c r="C12">
        <v>1242</v>
      </c>
      <c r="D12">
        <v>27</v>
      </c>
    </row>
    <row r="13" spans="1:4" x14ac:dyDescent="0.35">
      <c r="A13" t="s">
        <v>99</v>
      </c>
      <c r="B13">
        <v>16</v>
      </c>
      <c r="C13">
        <v>432</v>
      </c>
      <c r="D13">
        <v>27</v>
      </c>
    </row>
    <row r="14" spans="1:4" x14ac:dyDescent="0.35">
      <c r="A14" t="s">
        <v>100</v>
      </c>
      <c r="B14">
        <v>4</v>
      </c>
      <c r="C14">
        <v>108</v>
      </c>
      <c r="D14">
        <v>27</v>
      </c>
    </row>
    <row r="15" spans="1:4" x14ac:dyDescent="0.35">
      <c r="A15" t="s">
        <v>101</v>
      </c>
      <c r="B15">
        <v>32</v>
      </c>
      <c r="C15">
        <v>480</v>
      </c>
      <c r="D15">
        <v>15</v>
      </c>
    </row>
    <row r="16" spans="1:4" x14ac:dyDescent="0.35">
      <c r="A16" t="s">
        <v>102</v>
      </c>
      <c r="B16">
        <v>52</v>
      </c>
      <c r="C16">
        <v>780</v>
      </c>
      <c r="D16">
        <v>15</v>
      </c>
    </row>
    <row r="17" spans="1:4" x14ac:dyDescent="0.35">
      <c r="A17" t="s">
        <v>103</v>
      </c>
      <c r="B17">
        <v>24</v>
      </c>
      <c r="C17">
        <v>672</v>
      </c>
      <c r="D17">
        <v>28</v>
      </c>
    </row>
    <row r="18" spans="1:4" x14ac:dyDescent="0.35">
      <c r="A18" t="s">
        <v>105</v>
      </c>
      <c r="B18">
        <v>39</v>
      </c>
      <c r="C18">
        <v>1092</v>
      </c>
      <c r="D18">
        <v>28</v>
      </c>
    </row>
    <row r="19" spans="1:4" x14ac:dyDescent="0.35">
      <c r="A19" t="s">
        <v>107</v>
      </c>
      <c r="B19">
        <v>72</v>
      </c>
      <c r="C19">
        <v>2016</v>
      </c>
      <c r="D19">
        <v>28</v>
      </c>
    </row>
    <row r="20" spans="1:4" x14ac:dyDescent="0.35">
      <c r="A20" t="s">
        <v>111</v>
      </c>
      <c r="B20">
        <v>0</v>
      </c>
      <c r="C20">
        <v>0</v>
      </c>
      <c r="D20">
        <v>0</v>
      </c>
    </row>
    <row r="21" spans="1:4" x14ac:dyDescent="0.35">
      <c r="A21" t="s">
        <v>112</v>
      </c>
      <c r="B21">
        <v>12</v>
      </c>
      <c r="C21">
        <v>288</v>
      </c>
      <c r="D21">
        <v>24</v>
      </c>
    </row>
    <row r="22" spans="1:4" x14ac:dyDescent="0.35">
      <c r="A22" t="s">
        <v>113</v>
      </c>
      <c r="B22">
        <v>12</v>
      </c>
      <c r="C22">
        <v>288</v>
      </c>
      <c r="D22">
        <v>24</v>
      </c>
    </row>
    <row r="23" spans="1:4" x14ac:dyDescent="0.35">
      <c r="A23" t="s">
        <v>114</v>
      </c>
      <c r="B23">
        <v>12</v>
      </c>
      <c r="C23">
        <v>288</v>
      </c>
      <c r="D23">
        <v>24</v>
      </c>
    </row>
    <row r="24" spans="1:4" x14ac:dyDescent="0.35">
      <c r="A24" t="s">
        <v>115</v>
      </c>
      <c r="B24">
        <v>0</v>
      </c>
      <c r="C24">
        <v>0</v>
      </c>
      <c r="D24">
        <v>0</v>
      </c>
    </row>
    <row r="25" spans="1:4" x14ac:dyDescent="0.35">
      <c r="A25" t="s">
        <v>116</v>
      </c>
      <c r="B25">
        <v>12</v>
      </c>
      <c r="C25">
        <v>288</v>
      </c>
      <c r="D25">
        <v>24</v>
      </c>
    </row>
    <row r="26" spans="1:4" x14ac:dyDescent="0.35">
      <c r="A26" t="s">
        <v>117</v>
      </c>
      <c r="B26">
        <v>0</v>
      </c>
      <c r="C26">
        <v>0</v>
      </c>
      <c r="D26">
        <v>0</v>
      </c>
    </row>
    <row r="27" spans="1:4" x14ac:dyDescent="0.35">
      <c r="A27" t="s">
        <v>118</v>
      </c>
      <c r="B27">
        <v>48</v>
      </c>
      <c r="C27">
        <v>720</v>
      </c>
      <c r="D27">
        <v>15</v>
      </c>
    </row>
    <row r="28" spans="1:4" x14ac:dyDescent="0.35">
      <c r="A28" t="s">
        <v>119</v>
      </c>
      <c r="B28">
        <v>33</v>
      </c>
      <c r="C28">
        <v>924</v>
      </c>
      <c r="D28">
        <v>28</v>
      </c>
    </row>
    <row r="29" spans="1:4" x14ac:dyDescent="0.35">
      <c r="A29" t="s">
        <v>120</v>
      </c>
      <c r="B29">
        <v>15</v>
      </c>
      <c r="C29">
        <v>420</v>
      </c>
      <c r="D29">
        <v>28</v>
      </c>
    </row>
    <row r="30" spans="1:4" x14ac:dyDescent="0.35">
      <c r="A30" t="s">
        <v>121</v>
      </c>
      <c r="B30">
        <v>48</v>
      </c>
      <c r="C30">
        <v>1344</v>
      </c>
      <c r="D30">
        <v>28</v>
      </c>
    </row>
    <row r="31" spans="1:4" x14ac:dyDescent="0.35">
      <c r="A31" t="s">
        <v>122</v>
      </c>
      <c r="B31">
        <v>80</v>
      </c>
      <c r="C31">
        <v>1600</v>
      </c>
      <c r="D31">
        <v>20</v>
      </c>
    </row>
    <row r="32" spans="1:4" x14ac:dyDescent="0.35">
      <c r="A32" t="s">
        <v>123</v>
      </c>
      <c r="B32">
        <v>0</v>
      </c>
      <c r="C32">
        <v>0</v>
      </c>
      <c r="D32">
        <v>0</v>
      </c>
    </row>
    <row r="33" spans="1:4" x14ac:dyDescent="0.35">
      <c r="A33" t="s">
        <v>124</v>
      </c>
      <c r="B33">
        <v>0</v>
      </c>
      <c r="C33">
        <v>0</v>
      </c>
      <c r="D33">
        <v>0</v>
      </c>
    </row>
    <row r="34" spans="1:4" x14ac:dyDescent="0.35">
      <c r="A34" t="s">
        <v>126</v>
      </c>
      <c r="B34">
        <v>0</v>
      </c>
      <c r="C34">
        <v>0</v>
      </c>
      <c r="D34">
        <v>0</v>
      </c>
    </row>
    <row r="35" spans="1:4" x14ac:dyDescent="0.35">
      <c r="A35" t="s">
        <v>127</v>
      </c>
      <c r="B35">
        <v>0</v>
      </c>
      <c r="C35">
        <v>0</v>
      </c>
      <c r="D35">
        <v>0</v>
      </c>
    </row>
    <row r="36" spans="1:4" x14ac:dyDescent="0.35">
      <c r="A36" t="s">
        <v>128</v>
      </c>
      <c r="B36">
        <v>28</v>
      </c>
      <c r="C36">
        <v>980</v>
      </c>
      <c r="D36">
        <v>35</v>
      </c>
    </row>
    <row r="37" spans="1:4" x14ac:dyDescent="0.35">
      <c r="A37" t="s">
        <v>130</v>
      </c>
      <c r="B37">
        <v>29</v>
      </c>
      <c r="C37">
        <v>1015</v>
      </c>
      <c r="D37">
        <v>35</v>
      </c>
    </row>
    <row r="38" spans="1:4" x14ac:dyDescent="0.35">
      <c r="A38" t="s">
        <v>131</v>
      </c>
      <c r="B38">
        <v>60</v>
      </c>
      <c r="C38">
        <v>1080</v>
      </c>
      <c r="D38">
        <v>18</v>
      </c>
    </row>
    <row r="39" spans="1:4" x14ac:dyDescent="0.35">
      <c r="A39" t="s">
        <v>132</v>
      </c>
      <c r="B39">
        <v>108</v>
      </c>
      <c r="C39">
        <v>1080</v>
      </c>
      <c r="D39">
        <v>10</v>
      </c>
    </row>
    <row r="40" spans="1:4" x14ac:dyDescent="0.35">
      <c r="A40" t="s">
        <v>133</v>
      </c>
      <c r="B40">
        <v>38</v>
      </c>
      <c r="C40">
        <v>950</v>
      </c>
      <c r="D40">
        <v>25</v>
      </c>
    </row>
    <row r="41" spans="1:4" x14ac:dyDescent="0.35">
      <c r="A41" t="s">
        <v>136</v>
      </c>
      <c r="B41">
        <v>24</v>
      </c>
      <c r="C41">
        <v>600</v>
      </c>
      <c r="D41">
        <v>25</v>
      </c>
    </row>
    <row r="42" spans="1:4" x14ac:dyDescent="0.35">
      <c r="A42" t="s">
        <v>137</v>
      </c>
      <c r="B42">
        <v>30</v>
      </c>
      <c r="C42">
        <v>840</v>
      </c>
      <c r="D42">
        <v>28</v>
      </c>
    </row>
    <row r="43" spans="1:4" x14ac:dyDescent="0.35">
      <c r="A43" t="s">
        <v>138</v>
      </c>
      <c r="B43">
        <v>20</v>
      </c>
      <c r="C43">
        <v>560</v>
      </c>
      <c r="D43">
        <v>28</v>
      </c>
    </row>
    <row r="44" spans="1:4" x14ac:dyDescent="0.35">
      <c r="A44" t="s">
        <v>139</v>
      </c>
      <c r="B44">
        <v>0</v>
      </c>
      <c r="C44">
        <v>0</v>
      </c>
      <c r="D44">
        <v>0</v>
      </c>
    </row>
    <row r="45" spans="1:4" x14ac:dyDescent="0.35">
      <c r="A45" t="s">
        <v>140</v>
      </c>
      <c r="B45">
        <v>0</v>
      </c>
      <c r="C45">
        <v>0</v>
      </c>
      <c r="D45">
        <v>0</v>
      </c>
    </row>
    <row r="46" spans="1:4" x14ac:dyDescent="0.35">
      <c r="A46" t="s">
        <v>141</v>
      </c>
      <c r="B46">
        <v>64</v>
      </c>
      <c r="C46">
        <v>640</v>
      </c>
      <c r="D46">
        <v>10</v>
      </c>
    </row>
    <row r="47" spans="1:4" x14ac:dyDescent="0.35">
      <c r="A47" t="s">
        <v>142</v>
      </c>
      <c r="B47">
        <v>143</v>
      </c>
      <c r="C47">
        <v>1430</v>
      </c>
      <c r="D47">
        <v>10</v>
      </c>
    </row>
    <row r="48" spans="1:4" x14ac:dyDescent="0.35">
      <c r="A48" t="s">
        <v>143</v>
      </c>
      <c r="B48">
        <v>30</v>
      </c>
      <c r="C48">
        <v>600</v>
      </c>
      <c r="D48">
        <v>20</v>
      </c>
    </row>
    <row r="49" spans="1:4" x14ac:dyDescent="0.35">
      <c r="A49" t="s">
        <v>144</v>
      </c>
      <c r="B49">
        <v>15</v>
      </c>
      <c r="C49">
        <v>225</v>
      </c>
      <c r="D49">
        <v>15</v>
      </c>
    </row>
    <row r="50" spans="1:4" x14ac:dyDescent="0.35">
      <c r="A50" t="s">
        <v>145</v>
      </c>
      <c r="B50">
        <v>12</v>
      </c>
      <c r="C50">
        <v>216</v>
      </c>
      <c r="D50">
        <v>18</v>
      </c>
    </row>
    <row r="51" spans="1:4" x14ac:dyDescent="0.35">
      <c r="A51" t="s">
        <v>146</v>
      </c>
      <c r="B51">
        <v>12</v>
      </c>
      <c r="C51">
        <v>216</v>
      </c>
      <c r="D51">
        <v>18</v>
      </c>
    </row>
    <row r="52" spans="1:4" x14ac:dyDescent="0.35">
      <c r="A52" t="s">
        <v>147</v>
      </c>
      <c r="B52">
        <v>12</v>
      </c>
      <c r="C52">
        <v>216</v>
      </c>
      <c r="D52">
        <v>18</v>
      </c>
    </row>
    <row r="53" spans="1:4" x14ac:dyDescent="0.35">
      <c r="A53" t="s">
        <v>148</v>
      </c>
      <c r="B53">
        <v>15</v>
      </c>
      <c r="C53">
        <v>375</v>
      </c>
      <c r="D53">
        <v>25</v>
      </c>
    </row>
    <row r="54" spans="1:4" x14ac:dyDescent="0.35">
      <c r="A54" t="s">
        <v>149</v>
      </c>
      <c r="B54">
        <v>20</v>
      </c>
      <c r="C54">
        <v>400</v>
      </c>
      <c r="D54">
        <v>20</v>
      </c>
    </row>
    <row r="55" spans="1:4" x14ac:dyDescent="0.35">
      <c r="A55" t="s">
        <v>150</v>
      </c>
      <c r="B55">
        <v>26</v>
      </c>
      <c r="C55">
        <v>910</v>
      </c>
      <c r="D55">
        <v>35</v>
      </c>
    </row>
    <row r="56" spans="1:4" x14ac:dyDescent="0.35">
      <c r="A56" t="s">
        <v>151</v>
      </c>
      <c r="B56">
        <v>30</v>
      </c>
      <c r="C56">
        <v>240</v>
      </c>
      <c r="D56">
        <v>8</v>
      </c>
    </row>
    <row r="57" spans="1:4" x14ac:dyDescent="0.35">
      <c r="A57" t="s">
        <v>152</v>
      </c>
      <c r="B57">
        <v>18</v>
      </c>
      <c r="C57">
        <v>270</v>
      </c>
      <c r="D57">
        <v>15</v>
      </c>
    </row>
    <row r="58" spans="1:4" x14ac:dyDescent="0.35">
      <c r="A58" t="s">
        <v>153</v>
      </c>
      <c r="B58">
        <v>0</v>
      </c>
      <c r="C58">
        <v>0</v>
      </c>
      <c r="D58">
        <v>0</v>
      </c>
    </row>
    <row r="59" spans="1:4" x14ac:dyDescent="0.35">
      <c r="A59" t="s">
        <v>154</v>
      </c>
      <c r="B59">
        <v>0</v>
      </c>
      <c r="C59">
        <v>0</v>
      </c>
      <c r="D59">
        <v>0</v>
      </c>
    </row>
    <row r="60" spans="1:4" x14ac:dyDescent="0.35">
      <c r="A60" t="s">
        <v>155</v>
      </c>
      <c r="B60">
        <v>0</v>
      </c>
      <c r="C60">
        <v>0</v>
      </c>
      <c r="D60">
        <v>0</v>
      </c>
    </row>
    <row r="61" spans="1:4" x14ac:dyDescent="0.35">
      <c r="A61" t="s">
        <v>156</v>
      </c>
      <c r="B61">
        <v>0</v>
      </c>
      <c r="C61">
        <v>0</v>
      </c>
      <c r="D61">
        <v>0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BFC0F-26C3-48EE-8B1F-6315C4B7D4E0}">
  <sheetPr codeName="Sheet17"/>
  <dimension ref="A1:D67"/>
  <sheetViews>
    <sheetView workbookViewId="0"/>
  </sheetViews>
  <sheetFormatPr baseColWidth="10" defaultColWidth="8.7265625" defaultRowHeight="14.5" x14ac:dyDescent="0.35"/>
  <cols>
    <col min="1" max="1" width="25.453125" bestFit="1" customWidth="1"/>
    <col min="2" max="3" width="8.1796875" bestFit="1" customWidth="1"/>
    <col min="4" max="4" width="6.54296875" bestFit="1" customWidth="1"/>
  </cols>
  <sheetData>
    <row r="1" spans="1:4" x14ac:dyDescent="0.35">
      <c r="A1" t="s">
        <v>183</v>
      </c>
      <c r="B1" t="s">
        <v>82</v>
      </c>
      <c r="C1" t="s">
        <v>202</v>
      </c>
      <c r="D1" t="s">
        <v>278</v>
      </c>
    </row>
    <row r="2" spans="1:4" x14ac:dyDescent="0.35">
      <c r="A2" t="s">
        <v>88</v>
      </c>
      <c r="B2">
        <v>4</v>
      </c>
      <c r="C2">
        <v>120</v>
      </c>
      <c r="D2">
        <v>30</v>
      </c>
    </row>
    <row r="3" spans="1:4" x14ac:dyDescent="0.35">
      <c r="A3" t="s">
        <v>89</v>
      </c>
      <c r="B3">
        <v>3</v>
      </c>
      <c r="C3">
        <v>90</v>
      </c>
      <c r="D3">
        <v>30</v>
      </c>
    </row>
    <row r="4" spans="1:4" x14ac:dyDescent="0.35">
      <c r="A4" t="s">
        <v>90</v>
      </c>
      <c r="B4">
        <v>6</v>
      </c>
      <c r="C4">
        <v>180</v>
      </c>
      <c r="D4">
        <v>30</v>
      </c>
    </row>
    <row r="5" spans="1:4" x14ac:dyDescent="0.35">
      <c r="A5" t="s">
        <v>91</v>
      </c>
      <c r="B5">
        <v>2</v>
      </c>
      <c r="C5">
        <v>60</v>
      </c>
      <c r="D5">
        <v>30</v>
      </c>
    </row>
    <row r="6" spans="1:4" x14ac:dyDescent="0.35">
      <c r="A6" t="s">
        <v>92</v>
      </c>
      <c r="B6">
        <v>4</v>
      </c>
      <c r="C6">
        <v>120</v>
      </c>
      <c r="D6">
        <v>30</v>
      </c>
    </row>
    <row r="7" spans="1:4" x14ac:dyDescent="0.35">
      <c r="A7" t="s">
        <v>273</v>
      </c>
      <c r="C7">
        <v>0</v>
      </c>
      <c r="D7">
        <v>27</v>
      </c>
    </row>
    <row r="8" spans="1:4" x14ac:dyDescent="0.35">
      <c r="A8" t="s">
        <v>93</v>
      </c>
      <c r="B8">
        <v>3</v>
      </c>
      <c r="C8">
        <v>120</v>
      </c>
      <c r="D8">
        <v>40</v>
      </c>
    </row>
    <row r="9" spans="1:4" x14ac:dyDescent="0.35">
      <c r="A9" t="s">
        <v>94</v>
      </c>
      <c r="C9">
        <v>0</v>
      </c>
      <c r="D9">
        <v>27</v>
      </c>
    </row>
    <row r="10" spans="1:4" x14ac:dyDescent="0.35">
      <c r="A10" t="s">
        <v>95</v>
      </c>
      <c r="C10">
        <v>0</v>
      </c>
      <c r="D10">
        <v>27</v>
      </c>
    </row>
    <row r="11" spans="1:4" x14ac:dyDescent="0.35">
      <c r="A11" t="s">
        <v>96</v>
      </c>
      <c r="B11">
        <v>4</v>
      </c>
      <c r="C11">
        <v>108</v>
      </c>
      <c r="D11">
        <v>27</v>
      </c>
    </row>
    <row r="12" spans="1:4" x14ac:dyDescent="0.35">
      <c r="A12" t="s">
        <v>97</v>
      </c>
      <c r="B12">
        <v>3</v>
      </c>
      <c r="C12">
        <v>81</v>
      </c>
      <c r="D12">
        <v>27</v>
      </c>
    </row>
    <row r="13" spans="1:4" x14ac:dyDescent="0.35">
      <c r="A13" t="s">
        <v>98</v>
      </c>
      <c r="C13">
        <v>0</v>
      </c>
      <c r="D13">
        <v>27</v>
      </c>
    </row>
    <row r="14" spans="1:4" x14ac:dyDescent="0.35">
      <c r="A14" t="s">
        <v>99</v>
      </c>
      <c r="C14">
        <v>0</v>
      </c>
      <c r="D14">
        <v>27</v>
      </c>
    </row>
    <row r="15" spans="1:4" x14ac:dyDescent="0.35">
      <c r="A15" t="s">
        <v>100</v>
      </c>
      <c r="C15">
        <v>0</v>
      </c>
      <c r="D15">
        <v>15</v>
      </c>
    </row>
    <row r="16" spans="1:4" x14ac:dyDescent="0.35">
      <c r="A16" t="s">
        <v>101</v>
      </c>
      <c r="C16">
        <v>0</v>
      </c>
      <c r="D16">
        <v>15</v>
      </c>
    </row>
    <row r="17" spans="1:4" x14ac:dyDescent="0.35">
      <c r="A17" t="s">
        <v>102</v>
      </c>
      <c r="B17">
        <v>6</v>
      </c>
      <c r="C17">
        <v>168</v>
      </c>
      <c r="D17">
        <v>28</v>
      </c>
    </row>
    <row r="18" spans="1:4" x14ac:dyDescent="0.35">
      <c r="A18" t="s">
        <v>103</v>
      </c>
      <c r="B18">
        <v>1</v>
      </c>
      <c r="C18">
        <v>28</v>
      </c>
      <c r="D18">
        <v>28</v>
      </c>
    </row>
    <row r="19" spans="1:4" x14ac:dyDescent="0.35">
      <c r="A19" t="s">
        <v>105</v>
      </c>
      <c r="B19">
        <v>2</v>
      </c>
      <c r="C19">
        <v>56</v>
      </c>
      <c r="D19">
        <v>28</v>
      </c>
    </row>
    <row r="20" spans="1:4" x14ac:dyDescent="0.35">
      <c r="A20" t="s">
        <v>107</v>
      </c>
      <c r="C20">
        <v>0</v>
      </c>
      <c r="D20">
        <v>28</v>
      </c>
    </row>
    <row r="21" spans="1:4" x14ac:dyDescent="0.35">
      <c r="A21" t="s">
        <v>108</v>
      </c>
      <c r="C21">
        <v>0</v>
      </c>
      <c r="D21">
        <v>28</v>
      </c>
    </row>
    <row r="22" spans="1:4" x14ac:dyDescent="0.35">
      <c r="A22" t="s">
        <v>109</v>
      </c>
      <c r="C22">
        <v>0</v>
      </c>
      <c r="D22">
        <v>28</v>
      </c>
    </row>
    <row r="23" spans="1:4" x14ac:dyDescent="0.35">
      <c r="A23" t="s">
        <v>110</v>
      </c>
      <c r="C23">
        <v>0</v>
      </c>
      <c r="D23">
        <v>30</v>
      </c>
    </row>
    <row r="24" spans="1:4" x14ac:dyDescent="0.35">
      <c r="A24" t="s">
        <v>111</v>
      </c>
      <c r="B24">
        <v>1</v>
      </c>
      <c r="C24">
        <v>24</v>
      </c>
      <c r="D24">
        <v>24</v>
      </c>
    </row>
    <row r="25" spans="1:4" x14ac:dyDescent="0.35">
      <c r="A25" t="s">
        <v>112</v>
      </c>
      <c r="C25">
        <v>0</v>
      </c>
      <c r="D25">
        <v>24</v>
      </c>
    </row>
    <row r="26" spans="1:4" x14ac:dyDescent="0.35">
      <c r="A26" t="s">
        <v>113</v>
      </c>
      <c r="C26">
        <v>0</v>
      </c>
      <c r="D26">
        <v>24</v>
      </c>
    </row>
    <row r="27" spans="1:4" x14ac:dyDescent="0.35">
      <c r="A27" t="s">
        <v>114</v>
      </c>
      <c r="B27">
        <v>3</v>
      </c>
      <c r="C27">
        <v>72</v>
      </c>
      <c r="D27">
        <v>24</v>
      </c>
    </row>
    <row r="28" spans="1:4" x14ac:dyDescent="0.35">
      <c r="A28" t="s">
        <v>115</v>
      </c>
      <c r="C28">
        <v>0</v>
      </c>
      <c r="D28">
        <v>24</v>
      </c>
    </row>
    <row r="29" spans="1:4" x14ac:dyDescent="0.35">
      <c r="A29" t="s">
        <v>116</v>
      </c>
      <c r="C29">
        <v>0</v>
      </c>
      <c r="D29">
        <v>24</v>
      </c>
    </row>
    <row r="30" spans="1:4" x14ac:dyDescent="0.35">
      <c r="A30" t="s">
        <v>117</v>
      </c>
      <c r="B30">
        <v>1</v>
      </c>
      <c r="C30">
        <v>15</v>
      </c>
      <c r="D30">
        <v>15</v>
      </c>
    </row>
    <row r="31" spans="1:4" x14ac:dyDescent="0.35">
      <c r="A31" t="s">
        <v>118</v>
      </c>
      <c r="B31">
        <v>2</v>
      </c>
      <c r="C31">
        <v>56</v>
      </c>
      <c r="D31">
        <v>28</v>
      </c>
    </row>
    <row r="32" spans="1:4" x14ac:dyDescent="0.35">
      <c r="A32" t="s">
        <v>119</v>
      </c>
      <c r="C32">
        <v>0</v>
      </c>
      <c r="D32">
        <v>28</v>
      </c>
    </row>
    <row r="33" spans="1:4" x14ac:dyDescent="0.35">
      <c r="A33" t="s">
        <v>120</v>
      </c>
      <c r="B33">
        <v>2</v>
      </c>
      <c r="C33">
        <v>56</v>
      </c>
      <c r="D33">
        <v>28</v>
      </c>
    </row>
    <row r="34" spans="1:4" x14ac:dyDescent="0.35">
      <c r="A34" t="s">
        <v>121</v>
      </c>
      <c r="B34">
        <v>4</v>
      </c>
      <c r="C34">
        <v>80</v>
      </c>
      <c r="D34">
        <v>20</v>
      </c>
    </row>
    <row r="35" spans="1:4" x14ac:dyDescent="0.35">
      <c r="A35" t="s">
        <v>122</v>
      </c>
      <c r="B35">
        <v>2</v>
      </c>
      <c r="C35">
        <v>40</v>
      </c>
      <c r="D35">
        <v>20</v>
      </c>
    </row>
    <row r="36" spans="1:4" x14ac:dyDescent="0.35">
      <c r="A36" t="s">
        <v>123</v>
      </c>
      <c r="B36">
        <v>1</v>
      </c>
      <c r="C36">
        <v>20</v>
      </c>
      <c r="D36">
        <v>20</v>
      </c>
    </row>
    <row r="37" spans="1:4" x14ac:dyDescent="0.35">
      <c r="A37" t="s">
        <v>124</v>
      </c>
      <c r="C37">
        <v>0</v>
      </c>
      <c r="D37">
        <v>28</v>
      </c>
    </row>
    <row r="38" spans="1:4" x14ac:dyDescent="0.35">
      <c r="A38" t="s">
        <v>125</v>
      </c>
      <c r="C38">
        <v>0</v>
      </c>
      <c r="D38">
        <v>28</v>
      </c>
    </row>
    <row r="39" spans="1:4" x14ac:dyDescent="0.35">
      <c r="A39" t="s">
        <v>289</v>
      </c>
      <c r="C39">
        <v>0</v>
      </c>
      <c r="D39">
        <v>28</v>
      </c>
    </row>
    <row r="40" spans="1:4" x14ac:dyDescent="0.35">
      <c r="A40" t="s">
        <v>126</v>
      </c>
      <c r="B40">
        <v>2</v>
      </c>
      <c r="C40">
        <v>70</v>
      </c>
      <c r="D40">
        <v>35</v>
      </c>
    </row>
    <row r="41" spans="1:4" x14ac:dyDescent="0.35">
      <c r="A41" t="s">
        <v>127</v>
      </c>
      <c r="C41">
        <v>0</v>
      </c>
      <c r="D41">
        <v>30</v>
      </c>
    </row>
    <row r="42" spans="1:4" x14ac:dyDescent="0.35">
      <c r="A42" t="s">
        <v>128</v>
      </c>
      <c r="B42">
        <v>2</v>
      </c>
      <c r="C42">
        <v>70</v>
      </c>
      <c r="D42">
        <v>35</v>
      </c>
    </row>
    <row r="43" spans="1:4" x14ac:dyDescent="0.35">
      <c r="A43" t="s">
        <v>129</v>
      </c>
      <c r="B43">
        <v>1</v>
      </c>
      <c r="C43">
        <v>18</v>
      </c>
      <c r="D43">
        <v>18</v>
      </c>
    </row>
    <row r="44" spans="1:4" x14ac:dyDescent="0.35">
      <c r="A44" t="s">
        <v>130</v>
      </c>
      <c r="B44">
        <v>1</v>
      </c>
      <c r="C44">
        <v>10</v>
      </c>
      <c r="D44">
        <v>10</v>
      </c>
    </row>
    <row r="45" spans="1:4" x14ac:dyDescent="0.35">
      <c r="A45" t="s">
        <v>131</v>
      </c>
      <c r="B45">
        <v>1</v>
      </c>
      <c r="C45">
        <v>25</v>
      </c>
      <c r="D45">
        <v>25</v>
      </c>
    </row>
    <row r="46" spans="1:4" x14ac:dyDescent="0.35">
      <c r="A46" t="s">
        <v>132</v>
      </c>
      <c r="C46">
        <v>0</v>
      </c>
      <c r="D46">
        <v>45</v>
      </c>
    </row>
    <row r="47" spans="1:4" x14ac:dyDescent="0.35">
      <c r="A47" t="s">
        <v>133</v>
      </c>
      <c r="C47">
        <v>0</v>
      </c>
      <c r="D47">
        <v>20</v>
      </c>
    </row>
    <row r="48" spans="1:4" x14ac:dyDescent="0.35">
      <c r="A48" t="s">
        <v>134</v>
      </c>
      <c r="C48">
        <v>0</v>
      </c>
      <c r="D48">
        <v>25</v>
      </c>
    </row>
    <row r="49" spans="1:4" x14ac:dyDescent="0.35">
      <c r="A49" t="s">
        <v>135</v>
      </c>
      <c r="C49">
        <v>0</v>
      </c>
      <c r="D49">
        <v>28</v>
      </c>
    </row>
    <row r="50" spans="1:4" x14ac:dyDescent="0.35">
      <c r="A50" t="s">
        <v>136</v>
      </c>
      <c r="C50">
        <v>0</v>
      </c>
      <c r="D50">
        <v>28</v>
      </c>
    </row>
    <row r="51" spans="1:4" x14ac:dyDescent="0.35">
      <c r="A51" t="s">
        <v>137</v>
      </c>
      <c r="C51">
        <v>0</v>
      </c>
      <c r="D51">
        <v>20</v>
      </c>
    </row>
    <row r="52" spans="1:4" x14ac:dyDescent="0.35">
      <c r="A52" t="s">
        <v>138</v>
      </c>
      <c r="B52">
        <v>1</v>
      </c>
      <c r="C52">
        <v>20</v>
      </c>
      <c r="D52">
        <v>20</v>
      </c>
    </row>
    <row r="53" spans="1:4" x14ac:dyDescent="0.35">
      <c r="A53" t="s">
        <v>139</v>
      </c>
      <c r="B53">
        <v>2</v>
      </c>
      <c r="C53">
        <v>20</v>
      </c>
      <c r="D53">
        <v>10</v>
      </c>
    </row>
    <row r="54" spans="1:4" x14ac:dyDescent="0.35">
      <c r="A54" t="s">
        <v>140</v>
      </c>
      <c r="C54">
        <v>0</v>
      </c>
      <c r="D54">
        <v>10</v>
      </c>
    </row>
    <row r="55" spans="1:4" x14ac:dyDescent="0.35">
      <c r="A55" t="s">
        <v>141</v>
      </c>
      <c r="B55">
        <v>4</v>
      </c>
      <c r="C55">
        <v>80</v>
      </c>
      <c r="D55">
        <v>20</v>
      </c>
    </row>
    <row r="56" spans="1:4" x14ac:dyDescent="0.35">
      <c r="A56" t="s">
        <v>142</v>
      </c>
      <c r="C56">
        <v>0</v>
      </c>
      <c r="D56">
        <v>15</v>
      </c>
    </row>
    <row r="57" spans="1:4" x14ac:dyDescent="0.35">
      <c r="A57" t="s">
        <v>143</v>
      </c>
      <c r="B57">
        <v>2</v>
      </c>
      <c r="C57">
        <v>36</v>
      </c>
      <c r="D57">
        <v>18</v>
      </c>
    </row>
    <row r="58" spans="1:4" x14ac:dyDescent="0.35">
      <c r="A58" t="s">
        <v>144</v>
      </c>
      <c r="C58">
        <v>0</v>
      </c>
      <c r="D58">
        <v>18</v>
      </c>
    </row>
    <row r="59" spans="1:4" x14ac:dyDescent="0.35">
      <c r="A59" t="s">
        <v>145</v>
      </c>
      <c r="B59">
        <v>1</v>
      </c>
      <c r="C59">
        <v>18</v>
      </c>
      <c r="D59">
        <v>18</v>
      </c>
    </row>
    <row r="60" spans="1:4" x14ac:dyDescent="0.35">
      <c r="A60" t="s">
        <v>146</v>
      </c>
      <c r="C60">
        <v>0</v>
      </c>
      <c r="D60">
        <v>25</v>
      </c>
    </row>
    <row r="61" spans="1:4" x14ac:dyDescent="0.35">
      <c r="A61" t="s">
        <v>147</v>
      </c>
      <c r="B61">
        <v>1</v>
      </c>
      <c r="C61">
        <v>18</v>
      </c>
      <c r="D61">
        <v>18</v>
      </c>
    </row>
    <row r="62" spans="1:4" x14ac:dyDescent="0.35">
      <c r="A62" t="s">
        <v>148</v>
      </c>
      <c r="C62">
        <v>0</v>
      </c>
      <c r="D62">
        <v>35</v>
      </c>
    </row>
    <row r="63" spans="1:4" x14ac:dyDescent="0.35">
      <c r="A63" t="s">
        <v>149</v>
      </c>
      <c r="B63">
        <v>6</v>
      </c>
      <c r="C63">
        <v>48</v>
      </c>
      <c r="D63">
        <v>8</v>
      </c>
    </row>
    <row r="64" spans="1:4" x14ac:dyDescent="0.35">
      <c r="A64" t="s">
        <v>150</v>
      </c>
      <c r="C64">
        <v>0</v>
      </c>
      <c r="D64">
        <v>15</v>
      </c>
    </row>
    <row r="65" spans="1:4" x14ac:dyDescent="0.35">
      <c r="A65" t="s">
        <v>151</v>
      </c>
      <c r="B65">
        <v>4</v>
      </c>
      <c r="C65">
        <v>32</v>
      </c>
      <c r="D65">
        <v>8</v>
      </c>
    </row>
    <row r="66" spans="1:4" x14ac:dyDescent="0.35">
      <c r="A66" t="s">
        <v>152</v>
      </c>
      <c r="C66">
        <v>0</v>
      </c>
      <c r="D66">
        <v>10</v>
      </c>
    </row>
    <row r="67" spans="1:4" x14ac:dyDescent="0.35">
      <c r="A67" t="s">
        <v>153</v>
      </c>
      <c r="C67">
        <v>0</v>
      </c>
      <c r="D67">
        <v>10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7E078-1EC4-4E2F-8EDE-F76BA431DF55}">
  <sheetPr codeName="Sheet18"/>
  <dimension ref="A1:D67"/>
  <sheetViews>
    <sheetView workbookViewId="0"/>
  </sheetViews>
  <sheetFormatPr baseColWidth="10" defaultColWidth="8.7265625" defaultRowHeight="14.5" x14ac:dyDescent="0.35"/>
  <cols>
    <col min="1" max="1" width="25.453125" bestFit="1" customWidth="1"/>
    <col min="2" max="3" width="8.1796875" bestFit="1" customWidth="1"/>
    <col min="4" max="4" width="6.54296875" bestFit="1" customWidth="1"/>
  </cols>
  <sheetData>
    <row r="1" spans="1:4" x14ac:dyDescent="0.35">
      <c r="A1" t="s">
        <v>183</v>
      </c>
      <c r="B1" t="s">
        <v>82</v>
      </c>
      <c r="C1" t="s">
        <v>202</v>
      </c>
      <c r="D1" t="s">
        <v>278</v>
      </c>
    </row>
    <row r="2" spans="1:4" x14ac:dyDescent="0.35">
      <c r="A2" t="s">
        <v>88</v>
      </c>
      <c r="B2">
        <v>2</v>
      </c>
      <c r="C2">
        <v>60</v>
      </c>
      <c r="D2">
        <v>30</v>
      </c>
    </row>
    <row r="3" spans="1:4" x14ac:dyDescent="0.35">
      <c r="A3" t="s">
        <v>89</v>
      </c>
      <c r="B3">
        <v>2</v>
      </c>
      <c r="C3">
        <v>60</v>
      </c>
      <c r="D3">
        <v>30</v>
      </c>
    </row>
    <row r="4" spans="1:4" x14ac:dyDescent="0.35">
      <c r="A4" t="s">
        <v>90</v>
      </c>
      <c r="B4">
        <v>4</v>
      </c>
      <c r="C4">
        <v>120</v>
      </c>
      <c r="D4">
        <v>30</v>
      </c>
    </row>
    <row r="5" spans="1:4" x14ac:dyDescent="0.35">
      <c r="A5" t="s">
        <v>91</v>
      </c>
      <c r="B5">
        <v>1</v>
      </c>
      <c r="C5">
        <v>30</v>
      </c>
      <c r="D5">
        <v>30</v>
      </c>
    </row>
    <row r="6" spans="1:4" x14ac:dyDescent="0.35">
      <c r="A6" t="s">
        <v>92</v>
      </c>
      <c r="B6">
        <v>4</v>
      </c>
      <c r="C6">
        <v>120</v>
      </c>
      <c r="D6">
        <v>30</v>
      </c>
    </row>
    <row r="7" spans="1:4" x14ac:dyDescent="0.35">
      <c r="A7" t="s">
        <v>273</v>
      </c>
      <c r="C7">
        <v>0</v>
      </c>
      <c r="D7">
        <v>27</v>
      </c>
    </row>
    <row r="8" spans="1:4" x14ac:dyDescent="0.35">
      <c r="A8" t="s">
        <v>93</v>
      </c>
      <c r="B8">
        <v>2</v>
      </c>
      <c r="C8">
        <v>80</v>
      </c>
      <c r="D8">
        <v>40</v>
      </c>
    </row>
    <row r="9" spans="1:4" x14ac:dyDescent="0.35">
      <c r="A9" t="s">
        <v>94</v>
      </c>
      <c r="C9">
        <v>0</v>
      </c>
      <c r="D9">
        <v>27</v>
      </c>
    </row>
    <row r="10" spans="1:4" x14ac:dyDescent="0.35">
      <c r="A10" t="s">
        <v>95</v>
      </c>
      <c r="C10">
        <v>0</v>
      </c>
      <c r="D10">
        <v>27</v>
      </c>
    </row>
    <row r="11" spans="1:4" x14ac:dyDescent="0.35">
      <c r="A11" t="s">
        <v>96</v>
      </c>
      <c r="C11">
        <v>0</v>
      </c>
      <c r="D11">
        <v>27</v>
      </c>
    </row>
    <row r="12" spans="1:4" x14ac:dyDescent="0.35">
      <c r="A12" t="s">
        <v>97</v>
      </c>
      <c r="B12">
        <v>3</v>
      </c>
      <c r="C12">
        <v>81</v>
      </c>
      <c r="D12">
        <v>27</v>
      </c>
    </row>
    <row r="13" spans="1:4" x14ac:dyDescent="0.35">
      <c r="A13" t="s">
        <v>98</v>
      </c>
      <c r="C13">
        <v>0</v>
      </c>
      <c r="D13">
        <v>27</v>
      </c>
    </row>
    <row r="14" spans="1:4" x14ac:dyDescent="0.35">
      <c r="A14" t="s">
        <v>99</v>
      </c>
      <c r="C14">
        <v>0</v>
      </c>
      <c r="D14">
        <v>27</v>
      </c>
    </row>
    <row r="15" spans="1:4" x14ac:dyDescent="0.35">
      <c r="A15" t="s">
        <v>100</v>
      </c>
      <c r="B15">
        <v>1</v>
      </c>
      <c r="C15">
        <v>15</v>
      </c>
      <c r="D15">
        <v>15</v>
      </c>
    </row>
    <row r="16" spans="1:4" x14ac:dyDescent="0.35">
      <c r="A16" t="s">
        <v>101</v>
      </c>
      <c r="C16">
        <v>0</v>
      </c>
      <c r="D16">
        <v>15</v>
      </c>
    </row>
    <row r="17" spans="1:4" x14ac:dyDescent="0.35">
      <c r="A17" t="s">
        <v>102</v>
      </c>
      <c r="B17">
        <v>7</v>
      </c>
      <c r="C17">
        <v>196</v>
      </c>
      <c r="D17">
        <v>28</v>
      </c>
    </row>
    <row r="18" spans="1:4" x14ac:dyDescent="0.35">
      <c r="A18" t="s">
        <v>103</v>
      </c>
      <c r="B18">
        <v>1</v>
      </c>
      <c r="C18">
        <v>28</v>
      </c>
      <c r="D18">
        <v>28</v>
      </c>
    </row>
    <row r="19" spans="1:4" x14ac:dyDescent="0.35">
      <c r="A19" t="s">
        <v>105</v>
      </c>
      <c r="C19">
        <v>0</v>
      </c>
      <c r="D19">
        <v>28</v>
      </c>
    </row>
    <row r="20" spans="1:4" x14ac:dyDescent="0.35">
      <c r="A20" t="s">
        <v>107</v>
      </c>
      <c r="C20">
        <v>0</v>
      </c>
      <c r="D20">
        <v>28</v>
      </c>
    </row>
    <row r="21" spans="1:4" x14ac:dyDescent="0.35">
      <c r="A21" t="s">
        <v>108</v>
      </c>
      <c r="C21">
        <v>0</v>
      </c>
      <c r="D21">
        <v>28</v>
      </c>
    </row>
    <row r="22" spans="1:4" x14ac:dyDescent="0.35">
      <c r="A22" t="s">
        <v>109</v>
      </c>
      <c r="C22">
        <v>0</v>
      </c>
      <c r="D22">
        <v>28</v>
      </c>
    </row>
    <row r="23" spans="1:4" x14ac:dyDescent="0.35">
      <c r="A23" t="s">
        <v>110</v>
      </c>
      <c r="B23">
        <v>1</v>
      </c>
      <c r="C23">
        <v>30</v>
      </c>
      <c r="D23">
        <v>30</v>
      </c>
    </row>
    <row r="24" spans="1:4" x14ac:dyDescent="0.35">
      <c r="A24" t="s">
        <v>111</v>
      </c>
      <c r="B24">
        <v>2</v>
      </c>
      <c r="C24">
        <v>48</v>
      </c>
      <c r="D24">
        <v>24</v>
      </c>
    </row>
    <row r="25" spans="1:4" x14ac:dyDescent="0.35">
      <c r="A25" t="s">
        <v>112</v>
      </c>
      <c r="C25">
        <v>0</v>
      </c>
      <c r="D25">
        <v>24</v>
      </c>
    </row>
    <row r="26" spans="1:4" x14ac:dyDescent="0.35">
      <c r="A26" t="s">
        <v>113</v>
      </c>
      <c r="C26">
        <v>0</v>
      </c>
      <c r="D26">
        <v>24</v>
      </c>
    </row>
    <row r="27" spans="1:4" x14ac:dyDescent="0.35">
      <c r="A27" t="s">
        <v>114</v>
      </c>
      <c r="B27">
        <v>2</v>
      </c>
      <c r="C27">
        <v>48</v>
      </c>
      <c r="D27">
        <v>24</v>
      </c>
    </row>
    <row r="28" spans="1:4" x14ac:dyDescent="0.35">
      <c r="A28" t="s">
        <v>115</v>
      </c>
      <c r="C28">
        <v>0</v>
      </c>
      <c r="D28">
        <v>24</v>
      </c>
    </row>
    <row r="29" spans="1:4" x14ac:dyDescent="0.35">
      <c r="A29" t="s">
        <v>116</v>
      </c>
      <c r="B29">
        <v>1</v>
      </c>
      <c r="C29">
        <v>24</v>
      </c>
      <c r="D29">
        <v>24</v>
      </c>
    </row>
    <row r="30" spans="1:4" x14ac:dyDescent="0.35">
      <c r="A30" t="s">
        <v>117</v>
      </c>
      <c r="B30">
        <v>1</v>
      </c>
      <c r="C30">
        <v>15</v>
      </c>
      <c r="D30">
        <v>15</v>
      </c>
    </row>
    <row r="31" spans="1:4" x14ac:dyDescent="0.35">
      <c r="A31" t="s">
        <v>118</v>
      </c>
      <c r="B31">
        <v>2</v>
      </c>
      <c r="C31">
        <v>56</v>
      </c>
      <c r="D31">
        <v>28</v>
      </c>
    </row>
    <row r="32" spans="1:4" x14ac:dyDescent="0.35">
      <c r="A32" t="s">
        <v>119</v>
      </c>
      <c r="C32">
        <v>0</v>
      </c>
      <c r="D32">
        <v>28</v>
      </c>
    </row>
    <row r="33" spans="1:4" x14ac:dyDescent="0.35">
      <c r="A33" t="s">
        <v>120</v>
      </c>
      <c r="B33">
        <v>1</v>
      </c>
      <c r="C33">
        <v>28</v>
      </c>
      <c r="D33">
        <v>28</v>
      </c>
    </row>
    <row r="34" spans="1:4" x14ac:dyDescent="0.35">
      <c r="A34" t="s">
        <v>121</v>
      </c>
      <c r="B34">
        <v>4</v>
      </c>
      <c r="C34">
        <v>80</v>
      </c>
      <c r="D34">
        <v>20</v>
      </c>
    </row>
    <row r="35" spans="1:4" x14ac:dyDescent="0.35">
      <c r="A35" t="s">
        <v>122</v>
      </c>
      <c r="B35">
        <v>2</v>
      </c>
      <c r="C35">
        <v>40</v>
      </c>
      <c r="D35">
        <v>20</v>
      </c>
    </row>
    <row r="36" spans="1:4" x14ac:dyDescent="0.35">
      <c r="A36" t="s">
        <v>123</v>
      </c>
      <c r="B36">
        <v>2</v>
      </c>
      <c r="C36">
        <v>40</v>
      </c>
      <c r="D36">
        <v>20</v>
      </c>
    </row>
    <row r="37" spans="1:4" x14ac:dyDescent="0.35">
      <c r="A37" t="s">
        <v>124</v>
      </c>
      <c r="C37">
        <v>0</v>
      </c>
      <c r="D37">
        <v>28</v>
      </c>
    </row>
    <row r="38" spans="1:4" x14ac:dyDescent="0.35">
      <c r="A38" t="s">
        <v>125</v>
      </c>
      <c r="C38">
        <v>0</v>
      </c>
      <c r="D38">
        <v>28</v>
      </c>
    </row>
    <row r="39" spans="1:4" x14ac:dyDescent="0.35">
      <c r="A39" t="s">
        <v>289</v>
      </c>
      <c r="C39">
        <v>0</v>
      </c>
      <c r="D39">
        <v>28</v>
      </c>
    </row>
    <row r="40" spans="1:4" x14ac:dyDescent="0.35">
      <c r="A40" t="s">
        <v>126</v>
      </c>
      <c r="B40">
        <v>1</v>
      </c>
      <c r="C40">
        <v>35</v>
      </c>
      <c r="D40">
        <v>35</v>
      </c>
    </row>
    <row r="41" spans="1:4" x14ac:dyDescent="0.35">
      <c r="A41" t="s">
        <v>127</v>
      </c>
      <c r="C41">
        <v>0</v>
      </c>
      <c r="D41">
        <v>30</v>
      </c>
    </row>
    <row r="42" spans="1:4" x14ac:dyDescent="0.35">
      <c r="A42" t="s">
        <v>128</v>
      </c>
      <c r="B42">
        <v>1</v>
      </c>
      <c r="C42">
        <v>35</v>
      </c>
      <c r="D42">
        <v>35</v>
      </c>
    </row>
    <row r="43" spans="1:4" x14ac:dyDescent="0.35">
      <c r="A43" t="s">
        <v>129</v>
      </c>
      <c r="B43">
        <v>1</v>
      </c>
      <c r="C43">
        <v>18</v>
      </c>
      <c r="D43">
        <v>18</v>
      </c>
    </row>
    <row r="44" spans="1:4" x14ac:dyDescent="0.35">
      <c r="A44" t="s">
        <v>130</v>
      </c>
      <c r="B44">
        <v>2</v>
      </c>
      <c r="C44">
        <v>20</v>
      </c>
      <c r="D44">
        <v>10</v>
      </c>
    </row>
    <row r="45" spans="1:4" x14ac:dyDescent="0.35">
      <c r="A45" t="s">
        <v>131</v>
      </c>
      <c r="B45">
        <v>1</v>
      </c>
      <c r="C45">
        <v>25</v>
      </c>
      <c r="D45">
        <v>25</v>
      </c>
    </row>
    <row r="46" spans="1:4" x14ac:dyDescent="0.35">
      <c r="A46" t="s">
        <v>132</v>
      </c>
      <c r="C46">
        <v>0</v>
      </c>
      <c r="D46">
        <v>45</v>
      </c>
    </row>
    <row r="47" spans="1:4" x14ac:dyDescent="0.35">
      <c r="A47" t="s">
        <v>133</v>
      </c>
      <c r="C47">
        <v>0</v>
      </c>
      <c r="D47">
        <v>20</v>
      </c>
    </row>
    <row r="48" spans="1:4" x14ac:dyDescent="0.35">
      <c r="A48" t="s">
        <v>134</v>
      </c>
      <c r="C48">
        <v>0</v>
      </c>
      <c r="D48">
        <v>25</v>
      </c>
    </row>
    <row r="49" spans="1:4" x14ac:dyDescent="0.35">
      <c r="A49" t="s">
        <v>135</v>
      </c>
      <c r="B49">
        <v>2</v>
      </c>
      <c r="C49">
        <v>56</v>
      </c>
      <c r="D49">
        <v>28</v>
      </c>
    </row>
    <row r="50" spans="1:4" x14ac:dyDescent="0.35">
      <c r="A50" t="s">
        <v>136</v>
      </c>
      <c r="C50">
        <v>0</v>
      </c>
      <c r="D50">
        <v>28</v>
      </c>
    </row>
    <row r="51" spans="1:4" x14ac:dyDescent="0.35">
      <c r="A51" t="s">
        <v>137</v>
      </c>
      <c r="C51">
        <v>0</v>
      </c>
      <c r="D51">
        <v>20</v>
      </c>
    </row>
    <row r="52" spans="1:4" x14ac:dyDescent="0.35">
      <c r="A52" t="s">
        <v>138</v>
      </c>
      <c r="B52">
        <v>1</v>
      </c>
      <c r="C52">
        <v>20</v>
      </c>
      <c r="D52">
        <v>20</v>
      </c>
    </row>
    <row r="53" spans="1:4" x14ac:dyDescent="0.35">
      <c r="A53" t="s">
        <v>139</v>
      </c>
      <c r="B53">
        <v>2</v>
      </c>
      <c r="C53">
        <v>20</v>
      </c>
      <c r="D53">
        <v>10</v>
      </c>
    </row>
    <row r="54" spans="1:4" x14ac:dyDescent="0.35">
      <c r="A54" t="s">
        <v>140</v>
      </c>
      <c r="B54">
        <v>12</v>
      </c>
      <c r="C54">
        <v>120</v>
      </c>
      <c r="D54">
        <v>10</v>
      </c>
    </row>
    <row r="55" spans="1:4" x14ac:dyDescent="0.35">
      <c r="A55" t="s">
        <v>141</v>
      </c>
      <c r="C55">
        <v>0</v>
      </c>
      <c r="D55">
        <v>20</v>
      </c>
    </row>
    <row r="56" spans="1:4" x14ac:dyDescent="0.35">
      <c r="A56" t="s">
        <v>142</v>
      </c>
      <c r="C56">
        <v>0</v>
      </c>
      <c r="D56">
        <v>15</v>
      </c>
    </row>
    <row r="57" spans="1:4" x14ac:dyDescent="0.35">
      <c r="A57" t="s">
        <v>143</v>
      </c>
      <c r="B57">
        <v>1</v>
      </c>
      <c r="C57">
        <v>18</v>
      </c>
      <c r="D57">
        <v>18</v>
      </c>
    </row>
    <row r="58" spans="1:4" x14ac:dyDescent="0.35">
      <c r="A58" t="s">
        <v>144</v>
      </c>
      <c r="C58">
        <v>0</v>
      </c>
      <c r="D58">
        <v>18</v>
      </c>
    </row>
    <row r="59" spans="1:4" x14ac:dyDescent="0.35">
      <c r="A59" t="s">
        <v>145</v>
      </c>
      <c r="B59">
        <v>1</v>
      </c>
      <c r="C59">
        <v>18</v>
      </c>
      <c r="D59">
        <v>18</v>
      </c>
    </row>
    <row r="60" spans="1:4" x14ac:dyDescent="0.35">
      <c r="A60" t="s">
        <v>146</v>
      </c>
      <c r="C60">
        <v>0</v>
      </c>
      <c r="D60">
        <v>25</v>
      </c>
    </row>
    <row r="61" spans="1:4" x14ac:dyDescent="0.35">
      <c r="A61" t="s">
        <v>147</v>
      </c>
      <c r="B61">
        <v>1</v>
      </c>
      <c r="C61">
        <v>18</v>
      </c>
      <c r="D61">
        <v>18</v>
      </c>
    </row>
    <row r="62" spans="1:4" x14ac:dyDescent="0.35">
      <c r="A62" t="s">
        <v>148</v>
      </c>
      <c r="C62">
        <v>0</v>
      </c>
      <c r="D62">
        <v>35</v>
      </c>
    </row>
    <row r="63" spans="1:4" x14ac:dyDescent="0.35">
      <c r="A63" t="s">
        <v>149</v>
      </c>
      <c r="B63">
        <v>5</v>
      </c>
      <c r="C63">
        <v>40</v>
      </c>
      <c r="D63">
        <v>8</v>
      </c>
    </row>
    <row r="64" spans="1:4" x14ac:dyDescent="0.35">
      <c r="A64" t="s">
        <v>150</v>
      </c>
      <c r="C64">
        <v>0</v>
      </c>
      <c r="D64">
        <v>15</v>
      </c>
    </row>
    <row r="65" spans="1:4" x14ac:dyDescent="0.35">
      <c r="A65" t="s">
        <v>151</v>
      </c>
      <c r="B65">
        <v>4</v>
      </c>
      <c r="C65">
        <v>32</v>
      </c>
      <c r="D65">
        <v>8</v>
      </c>
    </row>
    <row r="66" spans="1:4" x14ac:dyDescent="0.35">
      <c r="A66" t="s">
        <v>152</v>
      </c>
      <c r="C66">
        <v>0</v>
      </c>
      <c r="D66">
        <v>10</v>
      </c>
    </row>
    <row r="67" spans="1:4" x14ac:dyDescent="0.35">
      <c r="A67" t="s">
        <v>153</v>
      </c>
      <c r="C67">
        <v>0</v>
      </c>
      <c r="D67">
        <v>10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50F6-8715-4290-9159-2DB4C65F3344}">
  <sheetPr codeName="Sheet19"/>
  <dimension ref="A1:C67"/>
  <sheetViews>
    <sheetView workbookViewId="0">
      <selection activeCell="F8" sqref="F8"/>
    </sheetView>
  </sheetViews>
  <sheetFormatPr baseColWidth="10" defaultColWidth="8.7265625" defaultRowHeight="14.5" x14ac:dyDescent="0.35"/>
  <cols>
    <col min="1" max="1" width="25.453125" bestFit="1" customWidth="1"/>
    <col min="2" max="2" width="8.1796875" bestFit="1" customWidth="1"/>
    <col min="3" max="3" width="16.453125" bestFit="1" customWidth="1"/>
    <col min="4" max="4" width="8.1796875" bestFit="1" customWidth="1"/>
    <col min="5" max="5" width="6.54296875" bestFit="1" customWidth="1"/>
  </cols>
  <sheetData>
    <row r="1" spans="1:3" x14ac:dyDescent="0.35">
      <c r="A1" t="s">
        <v>183</v>
      </c>
      <c r="B1" t="s">
        <v>82</v>
      </c>
      <c r="C1" t="s">
        <v>187</v>
      </c>
    </row>
    <row r="2" spans="1:3" x14ac:dyDescent="0.35">
      <c r="A2" t="s">
        <v>88</v>
      </c>
      <c r="B2">
        <v>6</v>
      </c>
      <c r="C2">
        <v>180</v>
      </c>
    </row>
    <row r="3" spans="1:3" x14ac:dyDescent="0.35">
      <c r="A3" t="s">
        <v>89</v>
      </c>
      <c r="B3">
        <v>5</v>
      </c>
      <c r="C3">
        <v>150</v>
      </c>
    </row>
    <row r="4" spans="1:3" x14ac:dyDescent="0.35">
      <c r="A4" t="s">
        <v>90</v>
      </c>
      <c r="B4">
        <v>10</v>
      </c>
      <c r="C4">
        <v>300</v>
      </c>
    </row>
    <row r="5" spans="1:3" x14ac:dyDescent="0.35">
      <c r="A5" t="s">
        <v>91</v>
      </c>
      <c r="B5">
        <v>3</v>
      </c>
      <c r="C5">
        <v>90</v>
      </c>
    </row>
    <row r="6" spans="1:3" x14ac:dyDescent="0.35">
      <c r="A6" t="s">
        <v>92</v>
      </c>
      <c r="B6">
        <v>8</v>
      </c>
      <c r="C6">
        <v>240</v>
      </c>
    </row>
    <row r="7" spans="1:3" x14ac:dyDescent="0.35">
      <c r="A7" t="s">
        <v>273</v>
      </c>
      <c r="C7">
        <v>0</v>
      </c>
    </row>
    <row r="8" spans="1:3" x14ac:dyDescent="0.35">
      <c r="A8" t="s">
        <v>93</v>
      </c>
      <c r="B8">
        <v>5</v>
      </c>
      <c r="C8">
        <v>200</v>
      </c>
    </row>
    <row r="9" spans="1:3" x14ac:dyDescent="0.35">
      <c r="A9" t="s">
        <v>94</v>
      </c>
      <c r="C9">
        <v>0</v>
      </c>
    </row>
    <row r="10" spans="1:3" x14ac:dyDescent="0.35">
      <c r="A10" t="s">
        <v>95</v>
      </c>
      <c r="C10">
        <v>0</v>
      </c>
    </row>
    <row r="11" spans="1:3" x14ac:dyDescent="0.35">
      <c r="A11" t="s">
        <v>96</v>
      </c>
      <c r="B11">
        <v>4</v>
      </c>
      <c r="C11">
        <v>108</v>
      </c>
    </row>
    <row r="12" spans="1:3" x14ac:dyDescent="0.35">
      <c r="A12" t="s">
        <v>97</v>
      </c>
      <c r="B12">
        <v>6</v>
      </c>
      <c r="C12">
        <v>162</v>
      </c>
    </row>
    <row r="13" spans="1:3" x14ac:dyDescent="0.35">
      <c r="A13" t="s">
        <v>98</v>
      </c>
      <c r="C13">
        <v>0</v>
      </c>
    </row>
    <row r="14" spans="1:3" x14ac:dyDescent="0.35">
      <c r="A14" t="s">
        <v>99</v>
      </c>
      <c r="C14">
        <v>0</v>
      </c>
    </row>
    <row r="15" spans="1:3" x14ac:dyDescent="0.35">
      <c r="A15" t="s">
        <v>100</v>
      </c>
      <c r="B15">
        <v>1</v>
      </c>
      <c r="C15">
        <v>15</v>
      </c>
    </row>
    <row r="16" spans="1:3" x14ac:dyDescent="0.35">
      <c r="A16" t="s">
        <v>101</v>
      </c>
      <c r="C16">
        <v>0</v>
      </c>
    </row>
    <row r="17" spans="1:3" x14ac:dyDescent="0.35">
      <c r="A17" t="s">
        <v>102</v>
      </c>
      <c r="B17">
        <v>13</v>
      </c>
      <c r="C17">
        <v>364</v>
      </c>
    </row>
    <row r="18" spans="1:3" x14ac:dyDescent="0.35">
      <c r="A18" t="s">
        <v>103</v>
      </c>
      <c r="B18">
        <v>2</v>
      </c>
      <c r="C18">
        <v>56</v>
      </c>
    </row>
    <row r="19" spans="1:3" x14ac:dyDescent="0.35">
      <c r="A19" t="s">
        <v>105</v>
      </c>
      <c r="B19">
        <v>2</v>
      </c>
      <c r="C19">
        <v>56</v>
      </c>
    </row>
    <row r="20" spans="1:3" x14ac:dyDescent="0.35">
      <c r="A20" t="s">
        <v>107</v>
      </c>
      <c r="C20">
        <v>0</v>
      </c>
    </row>
    <row r="21" spans="1:3" x14ac:dyDescent="0.35">
      <c r="A21" t="s">
        <v>108</v>
      </c>
      <c r="C21">
        <v>0</v>
      </c>
    </row>
    <row r="22" spans="1:3" x14ac:dyDescent="0.35">
      <c r="A22" t="s">
        <v>109</v>
      </c>
      <c r="C22">
        <v>0</v>
      </c>
    </row>
    <row r="23" spans="1:3" x14ac:dyDescent="0.35">
      <c r="A23" t="s">
        <v>110</v>
      </c>
      <c r="B23">
        <v>1</v>
      </c>
      <c r="C23">
        <v>30</v>
      </c>
    </row>
    <row r="24" spans="1:3" x14ac:dyDescent="0.35">
      <c r="A24" t="s">
        <v>111</v>
      </c>
      <c r="B24">
        <v>3</v>
      </c>
      <c r="C24">
        <v>72</v>
      </c>
    </row>
    <row r="25" spans="1:3" x14ac:dyDescent="0.35">
      <c r="A25" t="s">
        <v>112</v>
      </c>
      <c r="C25">
        <v>0</v>
      </c>
    </row>
    <row r="26" spans="1:3" x14ac:dyDescent="0.35">
      <c r="A26" t="s">
        <v>113</v>
      </c>
      <c r="C26">
        <v>0</v>
      </c>
    </row>
    <row r="27" spans="1:3" x14ac:dyDescent="0.35">
      <c r="A27" t="s">
        <v>114</v>
      </c>
      <c r="B27">
        <v>5</v>
      </c>
      <c r="C27">
        <v>120</v>
      </c>
    </row>
    <row r="28" spans="1:3" x14ac:dyDescent="0.35">
      <c r="A28" t="s">
        <v>115</v>
      </c>
      <c r="C28">
        <v>0</v>
      </c>
    </row>
    <row r="29" spans="1:3" x14ac:dyDescent="0.35">
      <c r="A29" t="s">
        <v>116</v>
      </c>
      <c r="B29">
        <v>1</v>
      </c>
      <c r="C29">
        <v>24</v>
      </c>
    </row>
    <row r="30" spans="1:3" x14ac:dyDescent="0.35">
      <c r="A30" t="s">
        <v>117</v>
      </c>
      <c r="B30">
        <v>2</v>
      </c>
      <c r="C30">
        <v>30</v>
      </c>
    </row>
    <row r="31" spans="1:3" x14ac:dyDescent="0.35">
      <c r="A31" t="s">
        <v>118</v>
      </c>
      <c r="B31">
        <v>4</v>
      </c>
      <c r="C31">
        <v>112</v>
      </c>
    </row>
    <row r="32" spans="1:3" x14ac:dyDescent="0.35">
      <c r="A32" t="s">
        <v>119</v>
      </c>
      <c r="C32">
        <v>0</v>
      </c>
    </row>
    <row r="33" spans="1:3" x14ac:dyDescent="0.35">
      <c r="A33" t="s">
        <v>120</v>
      </c>
      <c r="B33">
        <v>3</v>
      </c>
      <c r="C33">
        <v>84</v>
      </c>
    </row>
    <row r="34" spans="1:3" x14ac:dyDescent="0.35">
      <c r="A34" t="s">
        <v>121</v>
      </c>
      <c r="B34">
        <v>8</v>
      </c>
      <c r="C34">
        <v>160</v>
      </c>
    </row>
    <row r="35" spans="1:3" x14ac:dyDescent="0.35">
      <c r="A35" t="s">
        <v>122</v>
      </c>
      <c r="B35">
        <v>4</v>
      </c>
      <c r="C35">
        <v>80</v>
      </c>
    </row>
    <row r="36" spans="1:3" x14ac:dyDescent="0.35">
      <c r="A36" t="s">
        <v>123</v>
      </c>
      <c r="B36">
        <v>3</v>
      </c>
      <c r="C36">
        <v>60</v>
      </c>
    </row>
    <row r="37" spans="1:3" x14ac:dyDescent="0.35">
      <c r="A37" t="s">
        <v>124</v>
      </c>
      <c r="C37">
        <v>0</v>
      </c>
    </row>
    <row r="38" spans="1:3" x14ac:dyDescent="0.35">
      <c r="A38" t="s">
        <v>125</v>
      </c>
      <c r="C38">
        <v>0</v>
      </c>
    </row>
    <row r="39" spans="1:3" x14ac:dyDescent="0.35">
      <c r="A39" t="s">
        <v>289</v>
      </c>
      <c r="C39">
        <v>0</v>
      </c>
    </row>
    <row r="40" spans="1:3" x14ac:dyDescent="0.35">
      <c r="A40" t="s">
        <v>126</v>
      </c>
      <c r="B40">
        <v>3</v>
      </c>
      <c r="C40">
        <v>105</v>
      </c>
    </row>
    <row r="41" spans="1:3" x14ac:dyDescent="0.35">
      <c r="A41" t="s">
        <v>127</v>
      </c>
      <c r="C41">
        <v>0</v>
      </c>
    </row>
    <row r="42" spans="1:3" x14ac:dyDescent="0.35">
      <c r="A42" t="s">
        <v>128</v>
      </c>
      <c r="B42">
        <v>3</v>
      </c>
      <c r="C42">
        <v>105</v>
      </c>
    </row>
    <row r="43" spans="1:3" x14ac:dyDescent="0.35">
      <c r="A43" t="s">
        <v>129</v>
      </c>
      <c r="B43">
        <v>2</v>
      </c>
      <c r="C43">
        <v>36</v>
      </c>
    </row>
    <row r="44" spans="1:3" x14ac:dyDescent="0.35">
      <c r="A44" t="s">
        <v>130</v>
      </c>
      <c r="B44">
        <v>3</v>
      </c>
      <c r="C44">
        <v>30</v>
      </c>
    </row>
    <row r="45" spans="1:3" x14ac:dyDescent="0.35">
      <c r="A45" t="s">
        <v>131</v>
      </c>
      <c r="B45">
        <v>2</v>
      </c>
      <c r="C45">
        <v>50</v>
      </c>
    </row>
    <row r="46" spans="1:3" x14ac:dyDescent="0.35">
      <c r="A46" t="s">
        <v>132</v>
      </c>
      <c r="C46">
        <v>0</v>
      </c>
    </row>
    <row r="47" spans="1:3" x14ac:dyDescent="0.35">
      <c r="A47" t="s">
        <v>133</v>
      </c>
      <c r="C47">
        <v>0</v>
      </c>
    </row>
    <row r="48" spans="1:3" x14ac:dyDescent="0.35">
      <c r="A48" t="s">
        <v>134</v>
      </c>
      <c r="C48">
        <v>0</v>
      </c>
    </row>
    <row r="49" spans="1:3" x14ac:dyDescent="0.35">
      <c r="A49" t="s">
        <v>135</v>
      </c>
      <c r="B49">
        <v>2</v>
      </c>
      <c r="C49">
        <v>56</v>
      </c>
    </row>
    <row r="50" spans="1:3" x14ac:dyDescent="0.35">
      <c r="A50" t="s">
        <v>136</v>
      </c>
      <c r="C50">
        <v>0</v>
      </c>
    </row>
    <row r="51" spans="1:3" x14ac:dyDescent="0.35">
      <c r="A51" t="s">
        <v>137</v>
      </c>
      <c r="C51">
        <v>0</v>
      </c>
    </row>
    <row r="52" spans="1:3" x14ac:dyDescent="0.35">
      <c r="A52" t="s">
        <v>138</v>
      </c>
      <c r="B52">
        <v>2</v>
      </c>
      <c r="C52">
        <v>40</v>
      </c>
    </row>
    <row r="53" spans="1:3" x14ac:dyDescent="0.35">
      <c r="A53" t="s">
        <v>139</v>
      </c>
      <c r="B53">
        <v>4</v>
      </c>
      <c r="C53">
        <v>40</v>
      </c>
    </row>
    <row r="54" spans="1:3" x14ac:dyDescent="0.35">
      <c r="A54" t="s">
        <v>140</v>
      </c>
      <c r="B54">
        <v>12</v>
      </c>
      <c r="C54">
        <v>120</v>
      </c>
    </row>
    <row r="55" spans="1:3" x14ac:dyDescent="0.35">
      <c r="A55" t="s">
        <v>141</v>
      </c>
      <c r="B55">
        <v>4</v>
      </c>
      <c r="C55">
        <v>80</v>
      </c>
    </row>
    <row r="56" spans="1:3" x14ac:dyDescent="0.35">
      <c r="A56" t="s">
        <v>142</v>
      </c>
      <c r="C56">
        <v>0</v>
      </c>
    </row>
    <row r="57" spans="1:3" x14ac:dyDescent="0.35">
      <c r="A57" t="s">
        <v>143</v>
      </c>
      <c r="B57">
        <v>3</v>
      </c>
      <c r="C57">
        <v>54</v>
      </c>
    </row>
    <row r="58" spans="1:3" x14ac:dyDescent="0.35">
      <c r="A58" t="s">
        <v>144</v>
      </c>
      <c r="C58">
        <v>0</v>
      </c>
    </row>
    <row r="59" spans="1:3" x14ac:dyDescent="0.35">
      <c r="A59" t="s">
        <v>145</v>
      </c>
      <c r="B59">
        <v>2</v>
      </c>
      <c r="C59">
        <v>36</v>
      </c>
    </row>
    <row r="60" spans="1:3" x14ac:dyDescent="0.35">
      <c r="A60" t="s">
        <v>146</v>
      </c>
      <c r="C60">
        <v>0</v>
      </c>
    </row>
    <row r="61" spans="1:3" x14ac:dyDescent="0.35">
      <c r="A61" t="s">
        <v>147</v>
      </c>
      <c r="B61">
        <v>2</v>
      </c>
      <c r="C61">
        <v>36</v>
      </c>
    </row>
    <row r="62" spans="1:3" x14ac:dyDescent="0.35">
      <c r="A62" t="s">
        <v>148</v>
      </c>
      <c r="C62">
        <v>0</v>
      </c>
    </row>
    <row r="63" spans="1:3" x14ac:dyDescent="0.35">
      <c r="A63" t="s">
        <v>149</v>
      </c>
      <c r="B63">
        <v>11</v>
      </c>
      <c r="C63">
        <v>88</v>
      </c>
    </row>
    <row r="64" spans="1:3" x14ac:dyDescent="0.35">
      <c r="A64" t="s">
        <v>150</v>
      </c>
      <c r="C64">
        <v>0</v>
      </c>
    </row>
    <row r="65" spans="1:3" x14ac:dyDescent="0.35">
      <c r="A65" t="s">
        <v>151</v>
      </c>
      <c r="B65">
        <v>8</v>
      </c>
      <c r="C65">
        <v>64</v>
      </c>
    </row>
    <row r="66" spans="1:3" x14ac:dyDescent="0.35">
      <c r="A66" t="s">
        <v>152</v>
      </c>
      <c r="C66">
        <v>0</v>
      </c>
    </row>
    <row r="67" spans="1:3" x14ac:dyDescent="0.35">
      <c r="A67" t="s">
        <v>153</v>
      </c>
      <c r="C67">
        <v>0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2E56-EA85-40C7-9A94-054B6AC4A6E6}">
  <sheetPr codeName="Sheet20"/>
  <dimension ref="A1:C68"/>
  <sheetViews>
    <sheetView workbookViewId="0"/>
  </sheetViews>
  <sheetFormatPr baseColWidth="10" defaultColWidth="8.7265625"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183</v>
      </c>
      <c r="B1" t="s">
        <v>82</v>
      </c>
      <c r="C1" t="s">
        <v>202</v>
      </c>
    </row>
    <row r="2" spans="1:3" x14ac:dyDescent="0.35">
      <c r="A2" t="s">
        <v>88</v>
      </c>
      <c r="B2">
        <v>6</v>
      </c>
      <c r="C2">
        <v>180</v>
      </c>
    </row>
    <row r="3" spans="1:3" x14ac:dyDescent="0.35">
      <c r="A3" t="s">
        <v>89</v>
      </c>
      <c r="C3">
        <v>150</v>
      </c>
    </row>
    <row r="4" spans="1:3" x14ac:dyDescent="0.35">
      <c r="A4" t="s">
        <v>90</v>
      </c>
      <c r="B4">
        <v>10</v>
      </c>
      <c r="C4">
        <v>300</v>
      </c>
    </row>
    <row r="5" spans="1:3" x14ac:dyDescent="0.35">
      <c r="A5" t="s">
        <v>91</v>
      </c>
      <c r="B5">
        <v>3</v>
      </c>
      <c r="C5">
        <v>90</v>
      </c>
    </row>
    <row r="6" spans="1:3" x14ac:dyDescent="0.35">
      <c r="A6" t="s">
        <v>92</v>
      </c>
      <c r="B6">
        <v>8</v>
      </c>
      <c r="C6">
        <v>240</v>
      </c>
    </row>
    <row r="7" spans="1:3" x14ac:dyDescent="0.35">
      <c r="A7" t="s">
        <v>93</v>
      </c>
      <c r="B7">
        <v>0</v>
      </c>
      <c r="C7">
        <v>0</v>
      </c>
    </row>
    <row r="8" spans="1:3" x14ac:dyDescent="0.35">
      <c r="A8" t="s">
        <v>94</v>
      </c>
      <c r="B8">
        <v>5</v>
      </c>
      <c r="C8">
        <v>200</v>
      </c>
    </row>
    <row r="9" spans="1:3" x14ac:dyDescent="0.35">
      <c r="A9" t="s">
        <v>95</v>
      </c>
      <c r="B9">
        <v>0</v>
      </c>
      <c r="C9">
        <v>0</v>
      </c>
    </row>
    <row r="10" spans="1:3" x14ac:dyDescent="0.35">
      <c r="A10" t="s">
        <v>96</v>
      </c>
      <c r="B10">
        <v>0</v>
      </c>
      <c r="C10">
        <v>0</v>
      </c>
    </row>
    <row r="11" spans="1:3" x14ac:dyDescent="0.35">
      <c r="A11" t="s">
        <v>97</v>
      </c>
      <c r="B11">
        <v>4</v>
      </c>
      <c r="C11">
        <v>108</v>
      </c>
    </row>
    <row r="12" spans="1:3" x14ac:dyDescent="0.35">
      <c r="A12" t="s">
        <v>98</v>
      </c>
      <c r="B12">
        <v>6</v>
      </c>
      <c r="C12">
        <v>162</v>
      </c>
    </row>
    <row r="13" spans="1:3" x14ac:dyDescent="0.35">
      <c r="A13" t="s">
        <v>99</v>
      </c>
      <c r="B13">
        <v>0</v>
      </c>
      <c r="C13">
        <v>0</v>
      </c>
    </row>
    <row r="14" spans="1:3" x14ac:dyDescent="0.35">
      <c r="A14" t="s">
        <v>100</v>
      </c>
      <c r="B14">
        <v>0</v>
      </c>
      <c r="C14">
        <v>0</v>
      </c>
    </row>
    <row r="15" spans="1:3" x14ac:dyDescent="0.35">
      <c r="A15" t="s">
        <v>101</v>
      </c>
      <c r="B15">
        <v>1</v>
      </c>
      <c r="C15">
        <v>15</v>
      </c>
    </row>
    <row r="16" spans="1:3" x14ac:dyDescent="0.35">
      <c r="A16" t="s">
        <v>102</v>
      </c>
      <c r="B16">
        <v>0</v>
      </c>
      <c r="C16">
        <v>0</v>
      </c>
    </row>
    <row r="17" spans="1:3" x14ac:dyDescent="0.35">
      <c r="A17" t="s">
        <v>103</v>
      </c>
      <c r="B17">
        <v>13</v>
      </c>
      <c r="C17">
        <v>364</v>
      </c>
    </row>
    <row r="18" spans="1:3" x14ac:dyDescent="0.35">
      <c r="A18" t="s">
        <v>105</v>
      </c>
      <c r="B18">
        <v>2</v>
      </c>
      <c r="C18">
        <v>56</v>
      </c>
    </row>
    <row r="19" spans="1:3" x14ac:dyDescent="0.35">
      <c r="A19" t="s">
        <v>107</v>
      </c>
      <c r="B19">
        <v>2</v>
      </c>
      <c r="C19">
        <v>56</v>
      </c>
    </row>
    <row r="20" spans="1:3" x14ac:dyDescent="0.35">
      <c r="A20" t="s">
        <v>108</v>
      </c>
      <c r="B20">
        <v>0</v>
      </c>
      <c r="C20">
        <v>0</v>
      </c>
    </row>
    <row r="21" spans="1:3" x14ac:dyDescent="0.35">
      <c r="A21" t="s">
        <v>109</v>
      </c>
      <c r="B21">
        <v>0</v>
      </c>
      <c r="C21">
        <v>0</v>
      </c>
    </row>
    <row r="22" spans="1:3" x14ac:dyDescent="0.35">
      <c r="A22" t="s">
        <v>110</v>
      </c>
      <c r="B22">
        <v>0</v>
      </c>
      <c r="C22">
        <v>0</v>
      </c>
    </row>
    <row r="23" spans="1:3" x14ac:dyDescent="0.35">
      <c r="A23" t="s">
        <v>111</v>
      </c>
      <c r="B23">
        <v>1</v>
      </c>
      <c r="C23">
        <v>30</v>
      </c>
    </row>
    <row r="24" spans="1:3" x14ac:dyDescent="0.35">
      <c r="A24" t="s">
        <v>112</v>
      </c>
      <c r="B24">
        <v>3</v>
      </c>
      <c r="C24">
        <v>72</v>
      </c>
    </row>
    <row r="25" spans="1:3" x14ac:dyDescent="0.35">
      <c r="A25" t="s">
        <v>113</v>
      </c>
      <c r="B25">
        <v>0</v>
      </c>
      <c r="C25">
        <v>0</v>
      </c>
    </row>
    <row r="26" spans="1:3" x14ac:dyDescent="0.35">
      <c r="A26" t="s">
        <v>114</v>
      </c>
      <c r="B26">
        <v>0</v>
      </c>
      <c r="C26">
        <v>0</v>
      </c>
    </row>
    <row r="27" spans="1:3" x14ac:dyDescent="0.35">
      <c r="A27" t="s">
        <v>115</v>
      </c>
      <c r="B27">
        <v>5</v>
      </c>
      <c r="C27">
        <v>120</v>
      </c>
    </row>
    <row r="28" spans="1:3" x14ac:dyDescent="0.35">
      <c r="A28" t="s">
        <v>116</v>
      </c>
      <c r="B28">
        <v>0</v>
      </c>
      <c r="C28">
        <v>0</v>
      </c>
    </row>
    <row r="29" spans="1:3" x14ac:dyDescent="0.35">
      <c r="A29" t="s">
        <v>117</v>
      </c>
      <c r="B29">
        <v>1</v>
      </c>
      <c r="C29">
        <v>24</v>
      </c>
    </row>
    <row r="30" spans="1:3" x14ac:dyDescent="0.35">
      <c r="A30" t="s">
        <v>118</v>
      </c>
      <c r="B30">
        <v>2</v>
      </c>
      <c r="C30">
        <v>30</v>
      </c>
    </row>
    <row r="31" spans="1:3" x14ac:dyDescent="0.35">
      <c r="A31" t="s">
        <v>119</v>
      </c>
      <c r="B31">
        <v>4</v>
      </c>
      <c r="C31">
        <v>112</v>
      </c>
    </row>
    <row r="32" spans="1:3" x14ac:dyDescent="0.35">
      <c r="A32" t="s">
        <v>120</v>
      </c>
      <c r="B32">
        <v>0</v>
      </c>
      <c r="C32">
        <v>0</v>
      </c>
    </row>
    <row r="33" spans="1:3" x14ac:dyDescent="0.35">
      <c r="A33" t="s">
        <v>121</v>
      </c>
      <c r="B33">
        <v>3</v>
      </c>
      <c r="C33">
        <v>84</v>
      </c>
    </row>
    <row r="34" spans="1:3" x14ac:dyDescent="0.35">
      <c r="A34" t="s">
        <v>122</v>
      </c>
      <c r="B34">
        <v>8</v>
      </c>
      <c r="C34">
        <v>160</v>
      </c>
    </row>
    <row r="35" spans="1:3" x14ac:dyDescent="0.35">
      <c r="A35" t="s">
        <v>123</v>
      </c>
      <c r="B35">
        <v>4</v>
      </c>
      <c r="C35">
        <v>80</v>
      </c>
    </row>
    <row r="36" spans="1:3" x14ac:dyDescent="0.35">
      <c r="A36" t="s">
        <v>124</v>
      </c>
      <c r="B36">
        <v>3</v>
      </c>
      <c r="C36">
        <v>60</v>
      </c>
    </row>
    <row r="37" spans="1:3" x14ac:dyDescent="0.35">
      <c r="A37" t="s">
        <v>125</v>
      </c>
      <c r="B37">
        <v>0</v>
      </c>
      <c r="C37">
        <v>0</v>
      </c>
    </row>
    <row r="38" spans="1:3" x14ac:dyDescent="0.35">
      <c r="A38" t="s">
        <v>126</v>
      </c>
      <c r="B38">
        <v>0</v>
      </c>
      <c r="C38">
        <v>0</v>
      </c>
    </row>
    <row r="39" spans="1:3" x14ac:dyDescent="0.35">
      <c r="A39" t="s">
        <v>127</v>
      </c>
      <c r="B39">
        <v>3</v>
      </c>
      <c r="C39">
        <v>105</v>
      </c>
    </row>
    <row r="40" spans="1:3" x14ac:dyDescent="0.35">
      <c r="A40" t="s">
        <v>128</v>
      </c>
      <c r="B40">
        <v>0</v>
      </c>
      <c r="C40">
        <v>0</v>
      </c>
    </row>
    <row r="41" spans="1:3" x14ac:dyDescent="0.35">
      <c r="A41" t="s">
        <v>129</v>
      </c>
      <c r="B41">
        <v>3</v>
      </c>
      <c r="C41">
        <v>105</v>
      </c>
    </row>
    <row r="42" spans="1:3" x14ac:dyDescent="0.35">
      <c r="A42" t="s">
        <v>130</v>
      </c>
      <c r="B42">
        <v>2</v>
      </c>
      <c r="C42">
        <v>36</v>
      </c>
    </row>
    <row r="43" spans="1:3" x14ac:dyDescent="0.35">
      <c r="A43" t="s">
        <v>131</v>
      </c>
      <c r="B43">
        <v>3</v>
      </c>
      <c r="C43">
        <v>30</v>
      </c>
    </row>
    <row r="44" spans="1:3" x14ac:dyDescent="0.35">
      <c r="A44" t="s">
        <v>132</v>
      </c>
      <c r="B44">
        <v>2</v>
      </c>
      <c r="C44">
        <v>50</v>
      </c>
    </row>
    <row r="45" spans="1:3" x14ac:dyDescent="0.35">
      <c r="A45" t="s">
        <v>133</v>
      </c>
      <c r="B45">
        <v>0</v>
      </c>
      <c r="C45">
        <v>0</v>
      </c>
    </row>
    <row r="46" spans="1:3" x14ac:dyDescent="0.35">
      <c r="A46" t="s">
        <v>134</v>
      </c>
      <c r="B46">
        <v>0</v>
      </c>
      <c r="C46">
        <v>0</v>
      </c>
    </row>
    <row r="47" spans="1:3" x14ac:dyDescent="0.35">
      <c r="A47" t="s">
        <v>135</v>
      </c>
      <c r="B47">
        <v>0</v>
      </c>
      <c r="C47">
        <v>0</v>
      </c>
    </row>
    <row r="48" spans="1:3" x14ac:dyDescent="0.35">
      <c r="A48" t="s">
        <v>136</v>
      </c>
      <c r="B48">
        <v>2</v>
      </c>
      <c r="C48">
        <v>56</v>
      </c>
    </row>
    <row r="49" spans="1:3" x14ac:dyDescent="0.35">
      <c r="A49" t="s">
        <v>137</v>
      </c>
      <c r="B49">
        <v>0</v>
      </c>
      <c r="C49">
        <v>0</v>
      </c>
    </row>
    <row r="50" spans="1:3" x14ac:dyDescent="0.35">
      <c r="A50" t="s">
        <v>138</v>
      </c>
      <c r="B50">
        <v>0</v>
      </c>
      <c r="C50">
        <v>0</v>
      </c>
    </row>
    <row r="51" spans="1:3" x14ac:dyDescent="0.35">
      <c r="A51" t="s">
        <v>139</v>
      </c>
      <c r="B51">
        <v>2</v>
      </c>
      <c r="C51">
        <v>40</v>
      </c>
    </row>
    <row r="52" spans="1:3" x14ac:dyDescent="0.35">
      <c r="A52" t="s">
        <v>140</v>
      </c>
      <c r="B52">
        <v>4</v>
      </c>
      <c r="C52">
        <v>40</v>
      </c>
    </row>
    <row r="53" spans="1:3" x14ac:dyDescent="0.35">
      <c r="A53" t="s">
        <v>141</v>
      </c>
      <c r="B53">
        <v>12</v>
      </c>
      <c r="C53">
        <v>120</v>
      </c>
    </row>
    <row r="54" spans="1:3" x14ac:dyDescent="0.35">
      <c r="A54" t="s">
        <v>142</v>
      </c>
      <c r="B54">
        <v>4</v>
      </c>
      <c r="C54">
        <v>80</v>
      </c>
    </row>
    <row r="55" spans="1:3" x14ac:dyDescent="0.35">
      <c r="A55" t="s">
        <v>143</v>
      </c>
      <c r="B55">
        <v>0</v>
      </c>
      <c r="C55">
        <v>0</v>
      </c>
    </row>
    <row r="56" spans="1:3" x14ac:dyDescent="0.35">
      <c r="A56" t="s">
        <v>144</v>
      </c>
      <c r="B56">
        <v>3</v>
      </c>
      <c r="C56">
        <v>54</v>
      </c>
    </row>
    <row r="57" spans="1:3" x14ac:dyDescent="0.35">
      <c r="A57" t="s">
        <v>145</v>
      </c>
      <c r="B57">
        <v>0</v>
      </c>
      <c r="C57">
        <v>0</v>
      </c>
    </row>
    <row r="58" spans="1:3" x14ac:dyDescent="0.35">
      <c r="A58" t="s">
        <v>146</v>
      </c>
      <c r="B58">
        <v>2</v>
      </c>
      <c r="C58">
        <v>36</v>
      </c>
    </row>
    <row r="59" spans="1:3" x14ac:dyDescent="0.35">
      <c r="A59" t="s">
        <v>147</v>
      </c>
      <c r="B59">
        <v>0</v>
      </c>
      <c r="C59">
        <v>0</v>
      </c>
    </row>
    <row r="60" spans="1:3" x14ac:dyDescent="0.35">
      <c r="A60" t="s">
        <v>148</v>
      </c>
      <c r="B60">
        <v>2</v>
      </c>
      <c r="C60">
        <v>36</v>
      </c>
    </row>
    <row r="61" spans="1:3" x14ac:dyDescent="0.35">
      <c r="A61" t="s">
        <v>149</v>
      </c>
      <c r="B61">
        <v>0</v>
      </c>
      <c r="C61">
        <v>0</v>
      </c>
    </row>
    <row r="62" spans="1:3" x14ac:dyDescent="0.35">
      <c r="A62" t="s">
        <v>150</v>
      </c>
      <c r="B62">
        <v>11</v>
      </c>
      <c r="C62">
        <v>88</v>
      </c>
    </row>
    <row r="63" spans="1:3" x14ac:dyDescent="0.35">
      <c r="A63" t="s">
        <v>151</v>
      </c>
      <c r="B63">
        <v>0</v>
      </c>
      <c r="C63">
        <v>0</v>
      </c>
    </row>
    <row r="64" spans="1:3" x14ac:dyDescent="0.35">
      <c r="A64" t="s">
        <v>152</v>
      </c>
      <c r="B64">
        <v>8</v>
      </c>
      <c r="C64">
        <v>64</v>
      </c>
    </row>
    <row r="65" spans="1:3" x14ac:dyDescent="0.35">
      <c r="A65" t="s">
        <v>153</v>
      </c>
      <c r="B65">
        <v>0</v>
      </c>
      <c r="C65">
        <v>0</v>
      </c>
    </row>
    <row r="66" spans="1:3" x14ac:dyDescent="0.35">
      <c r="A66" t="s">
        <v>156</v>
      </c>
      <c r="B66">
        <v>0</v>
      </c>
      <c r="C66">
        <v>0</v>
      </c>
    </row>
    <row r="67" spans="1:3" x14ac:dyDescent="0.35">
      <c r="A67" t="s">
        <v>154</v>
      </c>
      <c r="B67">
        <v>0</v>
      </c>
      <c r="C67">
        <v>0</v>
      </c>
    </row>
    <row r="68" spans="1:3" x14ac:dyDescent="0.35">
      <c r="A68" t="s">
        <v>155</v>
      </c>
      <c r="B68">
        <v>0</v>
      </c>
      <c r="C68">
        <v>0</v>
      </c>
    </row>
  </sheetData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49FD-A98C-46C0-A92B-D42D8BB75710}">
  <sheetPr codeName="Sheet21"/>
  <dimension ref="A1:C68"/>
  <sheetViews>
    <sheetView tabSelected="1" workbookViewId="0">
      <selection activeCell="F8" sqref="F8"/>
    </sheetView>
  </sheetViews>
  <sheetFormatPr baseColWidth="10" defaultColWidth="8.7265625"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183</v>
      </c>
      <c r="B1" t="s">
        <v>82</v>
      </c>
      <c r="C1" t="s">
        <v>202</v>
      </c>
    </row>
    <row r="2" spans="1:3" x14ac:dyDescent="0.35">
      <c r="A2" t="s">
        <v>88</v>
      </c>
      <c r="B2">
        <v>293</v>
      </c>
      <c r="C2">
        <v>8790</v>
      </c>
    </row>
    <row r="3" spans="1:3" x14ac:dyDescent="0.35">
      <c r="A3" t="s">
        <v>89</v>
      </c>
      <c r="B3">
        <v>252</v>
      </c>
      <c r="C3">
        <v>7560</v>
      </c>
    </row>
    <row r="4" spans="1:3" x14ac:dyDescent="0.35">
      <c r="A4" t="s">
        <v>90</v>
      </c>
      <c r="B4">
        <v>273</v>
      </c>
      <c r="C4">
        <v>8190</v>
      </c>
    </row>
    <row r="5" spans="1:3" x14ac:dyDescent="0.35">
      <c r="A5" t="s">
        <v>91</v>
      </c>
      <c r="B5">
        <v>142</v>
      </c>
      <c r="C5">
        <v>4260</v>
      </c>
    </row>
    <row r="6" spans="1:3" x14ac:dyDescent="0.35">
      <c r="A6" t="s">
        <v>92</v>
      </c>
      <c r="B6">
        <v>187</v>
      </c>
      <c r="C6">
        <v>5610</v>
      </c>
    </row>
    <row r="7" spans="1:3" x14ac:dyDescent="0.35">
      <c r="A7" t="s">
        <v>93</v>
      </c>
      <c r="B7">
        <v>63</v>
      </c>
      <c r="C7">
        <v>1701</v>
      </c>
    </row>
    <row r="8" spans="1:3" x14ac:dyDescent="0.35">
      <c r="A8" t="s">
        <v>94</v>
      </c>
      <c r="B8">
        <v>21</v>
      </c>
      <c r="C8">
        <v>840</v>
      </c>
    </row>
    <row r="9" spans="1:3" x14ac:dyDescent="0.35">
      <c r="A9" t="s">
        <v>95</v>
      </c>
      <c r="B9">
        <v>45</v>
      </c>
      <c r="C9">
        <v>1179</v>
      </c>
    </row>
    <row r="10" spans="1:3" x14ac:dyDescent="0.35">
      <c r="A10" t="s">
        <v>96</v>
      </c>
      <c r="B10">
        <v>16</v>
      </c>
      <c r="C10">
        <v>432</v>
      </c>
    </row>
    <row r="11" spans="1:3" x14ac:dyDescent="0.35">
      <c r="A11" t="s">
        <v>97</v>
      </c>
      <c r="B11">
        <v>68</v>
      </c>
      <c r="C11">
        <v>1836</v>
      </c>
    </row>
    <row r="12" spans="1:3" x14ac:dyDescent="0.35">
      <c r="A12" t="s">
        <v>98</v>
      </c>
      <c r="B12">
        <v>191</v>
      </c>
      <c r="C12">
        <v>5157</v>
      </c>
    </row>
    <row r="13" spans="1:3" x14ac:dyDescent="0.35">
      <c r="A13" t="s">
        <v>99</v>
      </c>
      <c r="B13">
        <v>64</v>
      </c>
      <c r="C13">
        <v>1728</v>
      </c>
    </row>
    <row r="14" spans="1:3" x14ac:dyDescent="0.35">
      <c r="A14" t="s">
        <v>100</v>
      </c>
      <c r="B14">
        <v>22</v>
      </c>
      <c r="C14">
        <v>594</v>
      </c>
    </row>
    <row r="15" spans="1:3" x14ac:dyDescent="0.35">
      <c r="A15" t="s">
        <v>101</v>
      </c>
      <c r="B15">
        <v>158</v>
      </c>
      <c r="C15">
        <v>2370</v>
      </c>
    </row>
    <row r="16" spans="1:3" x14ac:dyDescent="0.35">
      <c r="A16" t="s">
        <v>102</v>
      </c>
      <c r="B16">
        <v>186</v>
      </c>
      <c r="C16">
        <v>2790</v>
      </c>
    </row>
    <row r="17" spans="1:3" x14ac:dyDescent="0.35">
      <c r="A17" t="s">
        <v>103</v>
      </c>
      <c r="B17">
        <v>157</v>
      </c>
      <c r="C17">
        <v>4396</v>
      </c>
    </row>
    <row r="18" spans="1:3" x14ac:dyDescent="0.35">
      <c r="A18" t="s">
        <v>105</v>
      </c>
      <c r="B18">
        <v>112</v>
      </c>
      <c r="C18">
        <v>3136</v>
      </c>
    </row>
    <row r="19" spans="1:3" x14ac:dyDescent="0.35">
      <c r="A19" t="s">
        <v>107</v>
      </c>
      <c r="B19">
        <v>261</v>
      </c>
      <c r="C19">
        <v>7308</v>
      </c>
    </row>
    <row r="20" spans="1:3" x14ac:dyDescent="0.35">
      <c r="A20" t="s">
        <v>108</v>
      </c>
      <c r="B20">
        <v>21</v>
      </c>
      <c r="C20">
        <v>588</v>
      </c>
    </row>
    <row r="21" spans="1:3" x14ac:dyDescent="0.35">
      <c r="A21" t="s">
        <v>109</v>
      </c>
      <c r="B21">
        <v>6</v>
      </c>
      <c r="C21">
        <v>168</v>
      </c>
    </row>
    <row r="22" spans="1:3" x14ac:dyDescent="0.35">
      <c r="A22" t="s">
        <v>110</v>
      </c>
      <c r="B22">
        <v>46</v>
      </c>
      <c r="C22">
        <v>1288</v>
      </c>
    </row>
    <row r="23" spans="1:3" x14ac:dyDescent="0.35">
      <c r="A23" t="s">
        <v>111</v>
      </c>
      <c r="B23">
        <v>49</v>
      </c>
      <c r="C23">
        <v>1470</v>
      </c>
    </row>
    <row r="24" spans="1:3" x14ac:dyDescent="0.35">
      <c r="A24" t="s">
        <v>112</v>
      </c>
      <c r="B24">
        <v>54</v>
      </c>
      <c r="C24">
        <v>1296</v>
      </c>
    </row>
    <row r="25" spans="1:3" x14ac:dyDescent="0.35">
      <c r="A25" t="s">
        <v>113</v>
      </c>
      <c r="B25">
        <v>47</v>
      </c>
      <c r="C25">
        <v>1128</v>
      </c>
    </row>
    <row r="26" spans="1:3" x14ac:dyDescent="0.35">
      <c r="A26" t="s">
        <v>114</v>
      </c>
      <c r="B26">
        <v>62</v>
      </c>
      <c r="C26">
        <v>1488</v>
      </c>
    </row>
    <row r="27" spans="1:3" x14ac:dyDescent="0.35">
      <c r="A27" t="s">
        <v>115</v>
      </c>
      <c r="B27">
        <v>66</v>
      </c>
      <c r="C27">
        <v>1584</v>
      </c>
    </row>
    <row r="28" spans="1:3" x14ac:dyDescent="0.35">
      <c r="A28" t="s">
        <v>116</v>
      </c>
      <c r="B28">
        <v>38</v>
      </c>
      <c r="C28">
        <v>912</v>
      </c>
    </row>
    <row r="29" spans="1:3" x14ac:dyDescent="0.35">
      <c r="A29" t="s">
        <v>117</v>
      </c>
      <c r="B29">
        <v>33</v>
      </c>
      <c r="C29">
        <v>792</v>
      </c>
    </row>
    <row r="30" spans="1:3" x14ac:dyDescent="0.35">
      <c r="A30" t="s">
        <v>118</v>
      </c>
      <c r="B30">
        <v>222</v>
      </c>
      <c r="C30">
        <v>3330</v>
      </c>
    </row>
    <row r="31" spans="1:3" x14ac:dyDescent="0.35">
      <c r="A31" t="s">
        <v>119</v>
      </c>
      <c r="B31">
        <v>158</v>
      </c>
      <c r="C31">
        <v>4424</v>
      </c>
    </row>
    <row r="32" spans="1:3" x14ac:dyDescent="0.35">
      <c r="A32" t="s">
        <v>120</v>
      </c>
      <c r="B32">
        <v>51</v>
      </c>
      <c r="C32">
        <v>1428</v>
      </c>
    </row>
    <row r="33" spans="1:3" x14ac:dyDescent="0.35">
      <c r="A33" t="s">
        <v>121</v>
      </c>
      <c r="B33">
        <v>276</v>
      </c>
      <c r="C33">
        <v>7728</v>
      </c>
    </row>
    <row r="34" spans="1:3" x14ac:dyDescent="0.35">
      <c r="A34" t="s">
        <v>122</v>
      </c>
      <c r="B34">
        <v>388</v>
      </c>
      <c r="C34">
        <v>7760</v>
      </c>
    </row>
    <row r="35" spans="1:3" x14ac:dyDescent="0.35">
      <c r="A35" t="s">
        <v>123</v>
      </c>
      <c r="B35">
        <v>116</v>
      </c>
      <c r="C35">
        <v>2320</v>
      </c>
    </row>
    <row r="36" spans="1:3" x14ac:dyDescent="0.35">
      <c r="A36" t="s">
        <v>124</v>
      </c>
      <c r="B36">
        <v>65</v>
      </c>
      <c r="C36">
        <v>1300</v>
      </c>
    </row>
    <row r="37" spans="1:3" x14ac:dyDescent="0.35">
      <c r="A37" t="s">
        <v>125</v>
      </c>
      <c r="B37">
        <v>33</v>
      </c>
      <c r="C37">
        <v>924</v>
      </c>
    </row>
    <row r="38" spans="1:3" x14ac:dyDescent="0.35">
      <c r="A38" t="s">
        <v>126</v>
      </c>
      <c r="B38">
        <v>45</v>
      </c>
      <c r="C38">
        <v>1260</v>
      </c>
    </row>
    <row r="39" spans="1:3" x14ac:dyDescent="0.35">
      <c r="A39" t="s">
        <v>127</v>
      </c>
      <c r="B39">
        <v>28</v>
      </c>
      <c r="C39">
        <v>784</v>
      </c>
    </row>
    <row r="40" spans="1:3" x14ac:dyDescent="0.35">
      <c r="A40" t="s">
        <v>128</v>
      </c>
      <c r="B40">
        <v>52</v>
      </c>
      <c r="C40">
        <v>1820</v>
      </c>
    </row>
    <row r="41" spans="1:3" x14ac:dyDescent="0.35">
      <c r="A41" t="s">
        <v>129</v>
      </c>
      <c r="B41">
        <v>57</v>
      </c>
      <c r="C41">
        <v>1710</v>
      </c>
    </row>
    <row r="42" spans="1:3" x14ac:dyDescent="0.35">
      <c r="A42" t="s">
        <v>130</v>
      </c>
      <c r="B42">
        <v>55</v>
      </c>
      <c r="C42">
        <v>1925</v>
      </c>
    </row>
    <row r="43" spans="1:3" x14ac:dyDescent="0.35">
      <c r="A43" t="s">
        <v>131</v>
      </c>
      <c r="B43">
        <v>295</v>
      </c>
      <c r="C43">
        <v>5310</v>
      </c>
    </row>
    <row r="44" spans="1:3" x14ac:dyDescent="0.35">
      <c r="A44" t="s">
        <v>132</v>
      </c>
      <c r="B44">
        <v>461</v>
      </c>
      <c r="C44">
        <v>4610</v>
      </c>
    </row>
    <row r="45" spans="1:3" x14ac:dyDescent="0.35">
      <c r="A45" t="s">
        <v>133</v>
      </c>
      <c r="B45">
        <v>104</v>
      </c>
      <c r="C45">
        <v>2600</v>
      </c>
    </row>
    <row r="46" spans="1:3" x14ac:dyDescent="0.35">
      <c r="A46" t="s">
        <v>134</v>
      </c>
      <c r="B46">
        <v>102</v>
      </c>
      <c r="C46">
        <v>4590</v>
      </c>
    </row>
    <row r="47" spans="1:3" x14ac:dyDescent="0.35">
      <c r="A47" t="s">
        <v>135</v>
      </c>
      <c r="B47">
        <v>85</v>
      </c>
      <c r="C47">
        <v>1700</v>
      </c>
    </row>
    <row r="48" spans="1:3" x14ac:dyDescent="0.35">
      <c r="A48" t="s">
        <v>136</v>
      </c>
      <c r="B48">
        <v>114</v>
      </c>
      <c r="C48">
        <v>2850</v>
      </c>
    </row>
    <row r="49" spans="1:3" x14ac:dyDescent="0.35">
      <c r="A49" t="s">
        <v>137</v>
      </c>
      <c r="B49">
        <v>141</v>
      </c>
      <c r="C49">
        <v>3948</v>
      </c>
    </row>
    <row r="50" spans="1:3" x14ac:dyDescent="0.35">
      <c r="A50" t="s">
        <v>138</v>
      </c>
      <c r="B50">
        <v>35</v>
      </c>
      <c r="C50">
        <v>980</v>
      </c>
    </row>
    <row r="51" spans="1:3" x14ac:dyDescent="0.35">
      <c r="A51" t="s">
        <v>139</v>
      </c>
      <c r="B51">
        <v>45</v>
      </c>
      <c r="C51">
        <v>900</v>
      </c>
    </row>
    <row r="52" spans="1:3" x14ac:dyDescent="0.35">
      <c r="A52" t="s">
        <v>140</v>
      </c>
      <c r="B52">
        <v>50</v>
      </c>
      <c r="C52">
        <v>1000</v>
      </c>
    </row>
    <row r="53" spans="1:3" x14ac:dyDescent="0.35">
      <c r="A53" t="s">
        <v>141</v>
      </c>
      <c r="B53">
        <v>179</v>
      </c>
      <c r="C53">
        <v>1790</v>
      </c>
    </row>
    <row r="54" spans="1:3" x14ac:dyDescent="0.35">
      <c r="A54" t="s">
        <v>142</v>
      </c>
      <c r="B54">
        <v>397</v>
      </c>
      <c r="C54">
        <v>3970</v>
      </c>
    </row>
    <row r="55" spans="1:3" x14ac:dyDescent="0.35">
      <c r="A55" t="s">
        <v>143</v>
      </c>
      <c r="B55">
        <v>86</v>
      </c>
      <c r="C55">
        <v>1720</v>
      </c>
    </row>
    <row r="56" spans="1:3" x14ac:dyDescent="0.35">
      <c r="A56" t="s">
        <v>144</v>
      </c>
      <c r="B56">
        <v>96</v>
      </c>
      <c r="C56">
        <v>1440</v>
      </c>
    </row>
    <row r="57" spans="1:3" x14ac:dyDescent="0.35">
      <c r="A57" t="s">
        <v>145</v>
      </c>
      <c r="B57">
        <v>65</v>
      </c>
      <c r="C57">
        <v>1170</v>
      </c>
    </row>
    <row r="58" spans="1:3" x14ac:dyDescent="0.35">
      <c r="A58" t="s">
        <v>146</v>
      </c>
      <c r="B58">
        <v>68</v>
      </c>
      <c r="C58">
        <v>1224</v>
      </c>
    </row>
    <row r="59" spans="1:3" x14ac:dyDescent="0.35">
      <c r="A59" t="s">
        <v>147</v>
      </c>
      <c r="B59">
        <v>72</v>
      </c>
      <c r="C59">
        <v>1296</v>
      </c>
    </row>
    <row r="60" spans="1:3" x14ac:dyDescent="0.35">
      <c r="A60" t="s">
        <v>148</v>
      </c>
      <c r="B60">
        <v>15</v>
      </c>
      <c r="C60">
        <v>375</v>
      </c>
    </row>
    <row r="61" spans="1:3" x14ac:dyDescent="0.35">
      <c r="A61" t="s">
        <v>149</v>
      </c>
      <c r="B61">
        <v>166</v>
      </c>
      <c r="C61">
        <v>3232</v>
      </c>
    </row>
    <row r="62" spans="1:3" x14ac:dyDescent="0.35">
      <c r="A62" t="s">
        <v>150</v>
      </c>
      <c r="B62">
        <v>26</v>
      </c>
      <c r="C62">
        <v>910</v>
      </c>
    </row>
    <row r="63" spans="1:3" x14ac:dyDescent="0.35">
      <c r="A63" t="s">
        <v>151</v>
      </c>
      <c r="B63">
        <v>336</v>
      </c>
      <c r="C63">
        <v>2688</v>
      </c>
    </row>
    <row r="64" spans="1:3" x14ac:dyDescent="0.35">
      <c r="A64" t="s">
        <v>152</v>
      </c>
      <c r="B64">
        <v>81</v>
      </c>
      <c r="C64">
        <v>1215</v>
      </c>
    </row>
    <row r="65" spans="1:3" x14ac:dyDescent="0.35">
      <c r="A65" t="s">
        <v>153</v>
      </c>
      <c r="B65">
        <v>46</v>
      </c>
      <c r="C65">
        <v>368</v>
      </c>
    </row>
    <row r="66" spans="1:3" x14ac:dyDescent="0.35">
      <c r="A66" t="s">
        <v>156</v>
      </c>
      <c r="B66">
        <v>54</v>
      </c>
      <c r="C66">
        <v>1350</v>
      </c>
    </row>
    <row r="67" spans="1:3" x14ac:dyDescent="0.35">
      <c r="A67" t="s">
        <v>154</v>
      </c>
      <c r="B67">
        <v>24</v>
      </c>
      <c r="C67">
        <v>240</v>
      </c>
    </row>
    <row r="68" spans="1:3" x14ac:dyDescent="0.35">
      <c r="A68" t="s">
        <v>155</v>
      </c>
      <c r="B68">
        <v>23</v>
      </c>
      <c r="C68">
        <v>230</v>
      </c>
    </row>
  </sheetData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C3:DV90"/>
  <sheetViews>
    <sheetView zoomScale="44" workbookViewId="0">
      <selection activeCell="B13" sqref="B13:N45"/>
    </sheetView>
  </sheetViews>
  <sheetFormatPr baseColWidth="10" defaultColWidth="8.7265625" defaultRowHeight="14.5" x14ac:dyDescent="0.35"/>
  <cols>
    <col min="4" max="4" width="14.54296875" customWidth="1"/>
    <col min="7" max="7" width="22.81640625" customWidth="1"/>
    <col min="14" max="14" width="39.1796875" customWidth="1"/>
    <col min="16" max="16" width="11.1796875" customWidth="1"/>
    <col min="26" max="26" width="19.81640625" customWidth="1"/>
    <col min="27" max="27" width="24.7265625" customWidth="1"/>
    <col min="121" max="121" width="7.54296875" customWidth="1"/>
    <col min="122" max="122" width="19.1796875" customWidth="1"/>
  </cols>
  <sheetData>
    <row r="3" spans="3:126" x14ac:dyDescent="0.35">
      <c r="C3" s="75" t="s">
        <v>70</v>
      </c>
      <c r="D3" s="67"/>
      <c r="DA3" s="75"/>
      <c r="DB3" s="67"/>
    </row>
    <row r="4" spans="3:126" x14ac:dyDescent="0.35">
      <c r="C4" s="73" t="s">
        <v>71</v>
      </c>
      <c r="D4" s="73">
        <f>SUM(D13:D68)</f>
        <v>-21602.36</v>
      </c>
      <c r="DA4" s="73"/>
      <c r="DB4" s="73"/>
    </row>
    <row r="5" spans="3:126" x14ac:dyDescent="0.35">
      <c r="C5" s="17" t="s">
        <v>12</v>
      </c>
      <c r="D5" s="17">
        <f>SUM(K13:K40)</f>
        <v>22425.77</v>
      </c>
      <c r="DA5" s="17"/>
      <c r="DB5" s="17"/>
    </row>
    <row r="6" spans="3:126" x14ac:dyDescent="0.35">
      <c r="C6" s="27" t="s">
        <v>1</v>
      </c>
      <c r="D6" s="27">
        <f>D4+D5</f>
        <v>823.40999999999985</v>
      </c>
      <c r="DA6" s="27"/>
      <c r="DB6" s="27"/>
    </row>
    <row r="9" spans="3:126" x14ac:dyDescent="0.35">
      <c r="R9" t="s">
        <v>80</v>
      </c>
    </row>
    <row r="10" spans="3:126" x14ac:dyDescent="0.35">
      <c r="O10">
        <v>7</v>
      </c>
      <c r="P10" t="s">
        <v>74</v>
      </c>
      <c r="Q10">
        <f>R10/83</f>
        <v>24.096385542168676</v>
      </c>
      <c r="R10" s="70">
        <f>SUM(T10:V10)</f>
        <v>2000</v>
      </c>
      <c r="S10" t="s">
        <v>261</v>
      </c>
      <c r="T10">
        <v>2000</v>
      </c>
    </row>
    <row r="11" spans="3:126" ht="39.65" customHeight="1" x14ac:dyDescent="0.9">
      <c r="C11" s="77"/>
      <c r="J11" s="77"/>
      <c r="P11" t="s">
        <v>75</v>
      </c>
      <c r="Q11">
        <f t="shared" ref="Q11:Q19" si="0">R11/83</f>
        <v>168.97590361445782</v>
      </c>
      <c r="R11" s="70">
        <f>SUM(T11:V11)</f>
        <v>14025</v>
      </c>
      <c r="S11" t="s">
        <v>260</v>
      </c>
      <c r="T11">
        <v>14025</v>
      </c>
      <c r="DA11" s="77"/>
      <c r="DH11" s="77"/>
    </row>
    <row r="12" spans="3:126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  <c r="P12" t="s">
        <v>76</v>
      </c>
      <c r="Q12">
        <f t="shared" si="0"/>
        <v>14.952530120481928</v>
      </c>
      <c r="R12" s="70">
        <f>SUM(T12:Y12)</f>
        <v>1241.06</v>
      </c>
      <c r="S12" t="s">
        <v>255</v>
      </c>
      <c r="T12">
        <v>163</v>
      </c>
      <c r="U12">
        <v>83.7</v>
      </c>
      <c r="V12">
        <v>129.9</v>
      </c>
      <c r="W12">
        <v>219.76</v>
      </c>
      <c r="X12">
        <v>340</v>
      </c>
      <c r="Y12">
        <v>304.7</v>
      </c>
      <c r="DA12" s="74"/>
      <c r="DB12" s="74"/>
      <c r="DC12" s="74"/>
      <c r="DD12" s="74"/>
      <c r="DE12" s="74"/>
      <c r="DH12" s="8"/>
      <c r="DI12" s="8"/>
      <c r="DJ12" s="8"/>
      <c r="DK12" s="8"/>
      <c r="DL12" s="8"/>
      <c r="DT12" t="s">
        <v>72</v>
      </c>
      <c r="DU12" t="s">
        <v>73</v>
      </c>
      <c r="DV12">
        <v>85</v>
      </c>
    </row>
    <row r="13" spans="3:126" ht="29" x14ac:dyDescent="0.35">
      <c r="C13" s="73" t="s">
        <v>714</v>
      </c>
      <c r="D13" s="73">
        <v>-60</v>
      </c>
      <c r="E13" s="73" t="s">
        <v>1035</v>
      </c>
      <c r="F13" s="73">
        <v>91076730000</v>
      </c>
      <c r="G13" s="182" t="s">
        <v>1036</v>
      </c>
      <c r="J13" s="17" t="s">
        <v>430</v>
      </c>
      <c r="K13" s="17">
        <v>270.19</v>
      </c>
      <c r="L13" s="17" t="s">
        <v>5</v>
      </c>
      <c r="M13" s="17">
        <v>1158256</v>
      </c>
      <c r="N13" s="17" t="s">
        <v>1075</v>
      </c>
      <c r="P13" t="s">
        <v>249</v>
      </c>
      <c r="Q13">
        <f t="shared" si="0"/>
        <v>10.563855421686746</v>
      </c>
      <c r="R13" s="70">
        <f>SUM(T13:V13)</f>
        <v>876.8</v>
      </c>
      <c r="S13" t="s">
        <v>260</v>
      </c>
      <c r="T13">
        <v>696.8</v>
      </c>
      <c r="U13">
        <v>180</v>
      </c>
      <c r="DA13" s="73"/>
      <c r="DB13" s="73"/>
      <c r="DC13" s="73"/>
      <c r="DD13" s="73"/>
      <c r="DE13" s="73"/>
      <c r="DH13" s="17"/>
      <c r="DI13" s="17"/>
      <c r="DJ13" s="17"/>
      <c r="DK13" s="17"/>
      <c r="DL13" s="17"/>
      <c r="DR13" t="s">
        <v>74</v>
      </c>
      <c r="DS13">
        <v>2000</v>
      </c>
      <c r="DT13">
        <f>DS13/DV12</f>
        <v>23.529411764705884</v>
      </c>
    </row>
    <row r="14" spans="3:126" ht="29" x14ac:dyDescent="0.35">
      <c r="C14" s="73" t="s">
        <v>714</v>
      </c>
      <c r="D14" s="73">
        <v>-506.9</v>
      </c>
      <c r="E14" s="73" t="s">
        <v>874</v>
      </c>
      <c r="F14" s="73">
        <v>91076680000</v>
      </c>
      <c r="G14" s="182" t="s">
        <v>1037</v>
      </c>
      <c r="J14" s="17" t="s">
        <v>449</v>
      </c>
      <c r="K14" s="17">
        <v>1350.95</v>
      </c>
      <c r="L14" s="17" t="s">
        <v>5</v>
      </c>
      <c r="M14" s="17">
        <v>1098733</v>
      </c>
      <c r="N14" s="17" t="s">
        <v>1076</v>
      </c>
      <c r="P14" t="s">
        <v>68</v>
      </c>
      <c r="Q14">
        <f t="shared" si="0"/>
        <v>11.068674698795181</v>
      </c>
      <c r="R14" s="70">
        <f>SUM(T14:X14)</f>
        <v>918.7</v>
      </c>
      <c r="S14" t="s">
        <v>257</v>
      </c>
      <c r="T14">
        <v>292.89999999999998</v>
      </c>
      <c r="U14">
        <v>214</v>
      </c>
      <c r="V14" t="s">
        <v>256</v>
      </c>
      <c r="W14">
        <v>411.8</v>
      </c>
      <c r="DA14" s="73"/>
      <c r="DB14" s="73"/>
      <c r="DC14" s="73"/>
      <c r="DD14" s="73"/>
      <c r="DE14" s="73"/>
      <c r="DH14" s="17"/>
      <c r="DI14" s="17"/>
      <c r="DJ14" s="17"/>
      <c r="DK14" s="17"/>
      <c r="DL14" s="17"/>
      <c r="DR14" t="s">
        <v>75</v>
      </c>
      <c r="DS14">
        <f>$DV12*DT14</f>
        <v>14025</v>
      </c>
      <c r="DT14">
        <v>165</v>
      </c>
    </row>
    <row r="15" spans="3:126" ht="29" x14ac:dyDescent="0.35">
      <c r="C15" s="73" t="s">
        <v>714</v>
      </c>
      <c r="D15" s="73">
        <v>-411.8</v>
      </c>
      <c r="E15" s="73" t="s">
        <v>1038</v>
      </c>
      <c r="F15" s="73">
        <v>91076670000</v>
      </c>
      <c r="G15" s="182" t="s">
        <v>1039</v>
      </c>
      <c r="J15" s="17" t="s">
        <v>465</v>
      </c>
      <c r="K15" s="17">
        <v>8916.27</v>
      </c>
      <c r="L15" s="17" t="s">
        <v>5</v>
      </c>
      <c r="M15" s="17">
        <v>1025921</v>
      </c>
      <c r="N15" s="17" t="s">
        <v>1077</v>
      </c>
      <c r="P15" t="s">
        <v>77</v>
      </c>
      <c r="Q15">
        <f t="shared" si="0"/>
        <v>8.6204819277108431</v>
      </c>
      <c r="R15" s="70">
        <f>SUM(T15:V15)</f>
        <v>715.5</v>
      </c>
      <c r="S15" t="s">
        <v>255</v>
      </c>
      <c r="T15">
        <v>715.5</v>
      </c>
      <c r="DA15" s="73"/>
      <c r="DB15" s="73"/>
      <c r="DC15" s="73"/>
      <c r="DD15" s="73"/>
      <c r="DE15" s="73"/>
      <c r="DH15" s="17"/>
      <c r="DI15" s="17"/>
      <c r="DJ15" s="17"/>
      <c r="DK15" s="17"/>
      <c r="DL15" s="17"/>
      <c r="DR15" t="s">
        <v>76</v>
      </c>
      <c r="DS15">
        <v>1700</v>
      </c>
      <c r="DT15">
        <f>DS15/$DV12</f>
        <v>20</v>
      </c>
    </row>
    <row r="16" spans="3:126" ht="29" x14ac:dyDescent="0.35">
      <c r="C16" s="73" t="s">
        <v>714</v>
      </c>
      <c r="D16" s="78">
        <v>-60</v>
      </c>
      <c r="E16" s="79" t="s">
        <v>1040</v>
      </c>
      <c r="F16" s="73">
        <v>91076890000</v>
      </c>
      <c r="G16" s="182" t="s">
        <v>1041</v>
      </c>
      <c r="J16" s="17" t="s">
        <v>465</v>
      </c>
      <c r="K16" s="17">
        <v>270.19</v>
      </c>
      <c r="L16" s="17" t="s">
        <v>5</v>
      </c>
      <c r="M16" s="17">
        <v>1025919</v>
      </c>
      <c r="N16" s="17" t="s">
        <v>1078</v>
      </c>
      <c r="P16" t="s">
        <v>250</v>
      </c>
      <c r="Q16">
        <f t="shared" si="0"/>
        <v>20.492771084337349</v>
      </c>
      <c r="R16" s="70">
        <f>SUM(T16:V16)</f>
        <v>1700.8999999999999</v>
      </c>
      <c r="S16" t="s">
        <v>258</v>
      </c>
      <c r="T16">
        <v>41.8</v>
      </c>
      <c r="U16">
        <v>1659.1</v>
      </c>
      <c r="DA16" s="73"/>
      <c r="DB16" s="78"/>
      <c r="DC16" s="79"/>
      <c r="DD16" s="73"/>
      <c r="DE16" s="73"/>
      <c r="DH16" s="17"/>
      <c r="DI16" s="17"/>
      <c r="DJ16" s="17"/>
      <c r="DK16" s="17"/>
      <c r="DL16" s="17"/>
      <c r="DR16" t="s">
        <v>249</v>
      </c>
      <c r="DT16">
        <f>DS16/$DV12</f>
        <v>0</v>
      </c>
    </row>
    <row r="17" spans="3:124" ht="29" x14ac:dyDescent="0.35">
      <c r="C17" s="73" t="s">
        <v>714</v>
      </c>
      <c r="D17" s="73">
        <v>-60</v>
      </c>
      <c r="E17" s="73" t="s">
        <v>229</v>
      </c>
      <c r="F17" s="73">
        <v>91076720000</v>
      </c>
      <c r="G17" s="182" t="s">
        <v>1042</v>
      </c>
      <c r="J17" s="17" t="s">
        <v>465</v>
      </c>
      <c r="K17" s="17">
        <v>4052.85</v>
      </c>
      <c r="L17" s="17" t="s">
        <v>5</v>
      </c>
      <c r="M17" s="17">
        <v>1025924</v>
      </c>
      <c r="N17" s="17" t="s">
        <v>1079</v>
      </c>
      <c r="P17" t="s">
        <v>251</v>
      </c>
      <c r="Q17">
        <f t="shared" si="0"/>
        <v>1.191566265060241</v>
      </c>
      <c r="R17" s="70">
        <f>SUM(T17:V17)</f>
        <v>98.9</v>
      </c>
      <c r="S17" t="s">
        <v>255</v>
      </c>
      <c r="T17">
        <v>39.9</v>
      </c>
      <c r="U17">
        <v>59</v>
      </c>
      <c r="DA17" s="73"/>
      <c r="DB17" s="73"/>
      <c r="DC17" s="73"/>
      <c r="DD17" s="73"/>
      <c r="DE17" s="73"/>
      <c r="DH17" s="17"/>
      <c r="DI17" s="17"/>
      <c r="DJ17" s="17"/>
      <c r="DK17" s="17"/>
      <c r="DL17" s="17"/>
      <c r="DR17" t="s">
        <v>68</v>
      </c>
      <c r="DT17">
        <f>DS17/$DV12</f>
        <v>0</v>
      </c>
    </row>
    <row r="18" spans="3:124" ht="43.5" x14ac:dyDescent="0.35">
      <c r="C18" s="73" t="s">
        <v>714</v>
      </c>
      <c r="D18" s="79">
        <v>-60</v>
      </c>
      <c r="E18" s="73" t="s">
        <v>1043</v>
      </c>
      <c r="F18" s="73">
        <v>91076780000</v>
      </c>
      <c r="G18" s="182" t="s">
        <v>1044</v>
      </c>
      <c r="J18" s="17" t="s">
        <v>477</v>
      </c>
      <c r="K18" s="17">
        <v>1080.76</v>
      </c>
      <c r="L18" s="17" t="s">
        <v>5</v>
      </c>
      <c r="M18" s="17">
        <v>938553</v>
      </c>
      <c r="N18" s="17" t="s">
        <v>1080</v>
      </c>
      <c r="P18" t="s">
        <v>254</v>
      </c>
      <c r="Q18">
        <f t="shared" si="0"/>
        <v>13.012048192771084</v>
      </c>
      <c r="R18" s="70">
        <f>SUM(T18:V18)</f>
        <v>1080</v>
      </c>
      <c r="S18" t="s">
        <v>259</v>
      </c>
      <c r="T18">
        <f>60*18</f>
        <v>1080</v>
      </c>
      <c r="DA18" s="73"/>
      <c r="DB18" s="79"/>
      <c r="DC18" s="73"/>
      <c r="DD18" s="73"/>
      <c r="DE18" s="73"/>
      <c r="DH18" s="17"/>
      <c r="DI18" s="17"/>
      <c r="DJ18" s="17"/>
      <c r="DK18" s="17"/>
      <c r="DL18" s="17"/>
      <c r="DR18" t="s">
        <v>77</v>
      </c>
      <c r="DS18">
        <v>715.5</v>
      </c>
      <c r="DT18">
        <f>DS18/$DV12</f>
        <v>8.4176470588235297</v>
      </c>
    </row>
    <row r="19" spans="3:124" ht="29" x14ac:dyDescent="0.35">
      <c r="C19" s="73" t="s">
        <v>714</v>
      </c>
      <c r="D19" s="73">
        <v>-1700.9</v>
      </c>
      <c r="E19" s="73" t="s">
        <v>1045</v>
      </c>
      <c r="F19" s="73">
        <v>91076700000</v>
      </c>
      <c r="G19" s="182" t="s">
        <v>1046</v>
      </c>
      <c r="J19" s="17" t="s">
        <v>519</v>
      </c>
      <c r="K19" s="17">
        <v>2161.52</v>
      </c>
      <c r="L19" s="17" t="s">
        <v>5</v>
      </c>
      <c r="M19" s="17">
        <v>881846</v>
      </c>
      <c r="N19" s="17" t="s">
        <v>1081</v>
      </c>
      <c r="P19" t="s">
        <v>36</v>
      </c>
      <c r="Q19">
        <f t="shared" si="0"/>
        <v>0</v>
      </c>
      <c r="R19" s="70">
        <f>SUM(S19:V19)</f>
        <v>0</v>
      </c>
      <c r="DA19" s="73"/>
      <c r="DB19" s="73"/>
      <c r="DC19" s="73"/>
      <c r="DD19" s="73"/>
      <c r="DE19" s="73"/>
      <c r="DH19" s="17"/>
      <c r="DI19" s="17"/>
      <c r="DJ19" s="17"/>
      <c r="DK19" s="17"/>
      <c r="DL19" s="17"/>
      <c r="DS19">
        <f>$DV17*DT19</f>
        <v>0</v>
      </c>
    </row>
    <row r="20" spans="3:124" ht="29" x14ac:dyDescent="0.35">
      <c r="C20" s="73" t="s">
        <v>714</v>
      </c>
      <c r="D20" s="73">
        <v>-60</v>
      </c>
      <c r="E20" s="73" t="s">
        <v>1047</v>
      </c>
      <c r="F20" s="73">
        <v>91076790000</v>
      </c>
      <c r="G20" s="182" t="s">
        <v>1048</v>
      </c>
      <c r="J20" s="17" t="s">
        <v>533</v>
      </c>
      <c r="K20" s="17">
        <v>3512.47</v>
      </c>
      <c r="L20" s="17" t="s">
        <v>5</v>
      </c>
      <c r="M20" s="17">
        <v>807235</v>
      </c>
      <c r="N20" s="17" t="s">
        <v>1082</v>
      </c>
      <c r="DA20" s="73"/>
      <c r="DB20" s="73"/>
      <c r="DC20" s="73"/>
      <c r="DD20" s="73"/>
      <c r="DE20" s="73"/>
      <c r="DH20" s="17"/>
      <c r="DI20" s="17"/>
      <c r="DJ20" s="17"/>
      <c r="DK20" s="17"/>
      <c r="DL20" s="17"/>
      <c r="DS20">
        <f>$DV18*DT20</f>
        <v>0</v>
      </c>
    </row>
    <row r="21" spans="3:124" ht="29" x14ac:dyDescent="0.35">
      <c r="C21" s="73" t="s">
        <v>714</v>
      </c>
      <c r="D21" s="73">
        <v>-60</v>
      </c>
      <c r="E21" s="73" t="s">
        <v>972</v>
      </c>
      <c r="F21" s="73">
        <v>91076800000</v>
      </c>
      <c r="G21" s="182" t="s">
        <v>1049</v>
      </c>
      <c r="J21" s="17" t="s">
        <v>760</v>
      </c>
      <c r="K21" s="17">
        <v>270.19</v>
      </c>
      <c r="L21" s="17" t="s">
        <v>5</v>
      </c>
      <c r="M21" s="17">
        <v>1504939</v>
      </c>
      <c r="N21" s="17" t="s">
        <v>1083</v>
      </c>
      <c r="P21" t="s">
        <v>252</v>
      </c>
      <c r="R21" s="70">
        <f>SUM(R10:R18)</f>
        <v>22656.860000000004</v>
      </c>
      <c r="DA21" s="73"/>
      <c r="DB21" s="73"/>
      <c r="DC21" s="73"/>
      <c r="DD21" s="73"/>
      <c r="DE21" s="73"/>
      <c r="DH21" s="17"/>
      <c r="DI21" s="17"/>
      <c r="DJ21" s="17"/>
      <c r="DK21" s="17"/>
      <c r="DL21" s="17"/>
      <c r="DS21">
        <f>$DV19*DT21</f>
        <v>0</v>
      </c>
    </row>
    <row r="22" spans="3:124" ht="29" x14ac:dyDescent="0.35">
      <c r="C22" s="73" t="s">
        <v>714</v>
      </c>
      <c r="D22" s="73">
        <v>-60</v>
      </c>
      <c r="E22" s="73" t="s">
        <v>870</v>
      </c>
      <c r="F22" s="73">
        <v>91076840000</v>
      </c>
      <c r="G22" s="182" t="s">
        <v>1050</v>
      </c>
      <c r="J22" s="17" t="s">
        <v>349</v>
      </c>
      <c r="K22" s="17">
        <v>540.38</v>
      </c>
      <c r="L22" s="17" t="s">
        <v>5</v>
      </c>
      <c r="M22" s="17">
        <v>1490518</v>
      </c>
      <c r="N22" s="17" t="s">
        <v>1084</v>
      </c>
      <c r="P22" t="s">
        <v>253</v>
      </c>
      <c r="R22">
        <f>D5</f>
        <v>22425.77</v>
      </c>
      <c r="DA22" s="73"/>
      <c r="DB22" s="73"/>
      <c r="DC22" s="73"/>
      <c r="DD22" s="73"/>
      <c r="DE22" s="73"/>
      <c r="DH22" s="17"/>
      <c r="DI22" s="17"/>
      <c r="DJ22" s="17"/>
      <c r="DK22" s="17"/>
      <c r="DL22" s="17"/>
    </row>
    <row r="23" spans="3:124" ht="29" x14ac:dyDescent="0.35">
      <c r="C23" s="73" t="s">
        <v>714</v>
      </c>
      <c r="D23" s="73">
        <v>-14025</v>
      </c>
      <c r="E23" s="73" t="s">
        <v>874</v>
      </c>
      <c r="F23" s="73">
        <v>91076640000</v>
      </c>
      <c r="G23" s="182" t="s">
        <v>1051</v>
      </c>
      <c r="J23" s="17"/>
      <c r="K23" s="17"/>
      <c r="L23" s="17"/>
      <c r="M23" s="17"/>
      <c r="N23" s="17"/>
      <c r="P23" t="s">
        <v>1</v>
      </c>
      <c r="R23">
        <f>R22-R21</f>
        <v>-231.09000000000378</v>
      </c>
      <c r="DA23" s="73"/>
      <c r="DB23" s="73"/>
      <c r="DC23" s="73"/>
      <c r="DD23" s="73"/>
      <c r="DE23" s="73"/>
      <c r="DH23" s="17"/>
      <c r="DI23" s="17"/>
      <c r="DJ23" s="17"/>
      <c r="DK23" s="17"/>
      <c r="DL23" s="17"/>
      <c r="DR23" t="s">
        <v>78</v>
      </c>
      <c r="DT23">
        <f>SUM(DT13:DT22)</f>
        <v>216.9470588235294</v>
      </c>
    </row>
    <row r="24" spans="3:124" ht="29" x14ac:dyDescent="0.35">
      <c r="C24" s="73" t="s">
        <v>714</v>
      </c>
      <c r="D24" s="73">
        <v>-6</v>
      </c>
      <c r="E24" s="73" t="s">
        <v>241</v>
      </c>
      <c r="F24" s="73">
        <v>91076740000</v>
      </c>
      <c r="G24" s="182" t="s">
        <v>1052</v>
      </c>
      <c r="J24" s="17"/>
      <c r="K24" s="17"/>
      <c r="L24" s="17"/>
      <c r="M24" s="17"/>
      <c r="N24" s="17"/>
      <c r="DA24" s="73"/>
      <c r="DB24" s="73"/>
      <c r="DC24" s="73"/>
      <c r="DD24" s="73"/>
      <c r="DE24" s="73"/>
      <c r="DH24" s="17"/>
      <c r="DI24" s="17"/>
      <c r="DJ24" s="17"/>
      <c r="DK24" s="17"/>
      <c r="DL24" s="17"/>
      <c r="DR24" t="s">
        <v>79</v>
      </c>
      <c r="DT24">
        <v>270</v>
      </c>
    </row>
    <row r="25" spans="3:124" ht="29" x14ac:dyDescent="0.35">
      <c r="C25" s="73" t="s">
        <v>714</v>
      </c>
      <c r="D25" s="73">
        <v>-1241.06</v>
      </c>
      <c r="E25" s="73" t="s">
        <v>909</v>
      </c>
      <c r="F25" s="73">
        <v>91076650000</v>
      </c>
      <c r="G25" s="182" t="s">
        <v>1053</v>
      </c>
      <c r="J25" s="17"/>
      <c r="K25" s="17"/>
      <c r="L25" s="17"/>
      <c r="M25" s="17"/>
      <c r="N25" s="17"/>
      <c r="DA25" s="73"/>
      <c r="DB25" s="73"/>
      <c r="DC25" s="73"/>
      <c r="DD25" s="73"/>
      <c r="DE25" s="73"/>
      <c r="DH25" s="17"/>
      <c r="DI25" s="17"/>
      <c r="DJ25" s="17"/>
      <c r="DK25" s="17"/>
      <c r="DL25" s="17"/>
      <c r="DR25" t="s">
        <v>80</v>
      </c>
      <c r="DT25">
        <f>DT24-DT23</f>
        <v>53.052941176470597</v>
      </c>
    </row>
    <row r="26" spans="3:124" ht="29" x14ac:dyDescent="0.35">
      <c r="C26" s="73" t="s">
        <v>714</v>
      </c>
      <c r="D26" s="73">
        <v>-60</v>
      </c>
      <c r="E26" s="73" t="s">
        <v>989</v>
      </c>
      <c r="F26" s="73">
        <v>91076830000</v>
      </c>
      <c r="G26" s="182" t="s">
        <v>1054</v>
      </c>
      <c r="J26" s="17"/>
      <c r="K26" s="17"/>
      <c r="L26" s="17"/>
      <c r="M26" s="17"/>
      <c r="N26" s="17"/>
      <c r="DA26" s="73"/>
      <c r="DB26" s="73"/>
      <c r="DC26" s="73"/>
      <c r="DD26" s="73"/>
      <c r="DE26" s="73"/>
      <c r="DH26" s="17"/>
      <c r="DI26" s="17"/>
      <c r="DJ26" s="17"/>
      <c r="DK26" s="17"/>
      <c r="DL26" s="17"/>
    </row>
    <row r="27" spans="3:124" ht="29" x14ac:dyDescent="0.35">
      <c r="C27" s="73" t="s">
        <v>714</v>
      </c>
      <c r="D27" s="73">
        <v>-60</v>
      </c>
      <c r="E27" s="73" t="s">
        <v>1055</v>
      </c>
      <c r="F27" s="73">
        <v>91076850000</v>
      </c>
      <c r="G27" s="182" t="s">
        <v>1056</v>
      </c>
      <c r="J27" s="17"/>
      <c r="K27" s="17"/>
      <c r="L27" s="17"/>
      <c r="M27" s="17"/>
      <c r="N27" s="17"/>
      <c r="DA27" s="73"/>
      <c r="DB27" s="73"/>
      <c r="DC27" s="73"/>
      <c r="DD27" s="73"/>
      <c r="DE27" s="73"/>
      <c r="DH27" s="17"/>
      <c r="DI27" s="17"/>
      <c r="DJ27" s="17"/>
      <c r="DK27" s="17"/>
      <c r="DL27" s="17"/>
    </row>
    <row r="28" spans="3:124" ht="29" x14ac:dyDescent="0.35">
      <c r="C28" s="73" t="s">
        <v>714</v>
      </c>
      <c r="D28" s="73">
        <v>-60</v>
      </c>
      <c r="E28" s="73" t="s">
        <v>1057</v>
      </c>
      <c r="F28" s="73">
        <v>91076860000</v>
      </c>
      <c r="G28" s="182" t="s">
        <v>1058</v>
      </c>
      <c r="J28" s="17"/>
      <c r="K28" s="17"/>
      <c r="L28" s="17"/>
      <c r="M28" s="17"/>
      <c r="N28" s="17"/>
      <c r="DA28" s="73"/>
      <c r="DB28" s="73"/>
      <c r="DC28" s="73"/>
      <c r="DD28" s="73"/>
      <c r="DE28" s="73"/>
      <c r="DH28" s="17"/>
      <c r="DI28" s="17"/>
      <c r="DJ28" s="17"/>
      <c r="DK28" s="17"/>
      <c r="DL28" s="17"/>
    </row>
    <row r="29" spans="3:124" ht="29" x14ac:dyDescent="0.35">
      <c r="C29" s="73" t="s">
        <v>714</v>
      </c>
      <c r="D29" s="73">
        <v>-715</v>
      </c>
      <c r="E29" s="73" t="s">
        <v>909</v>
      </c>
      <c r="F29" s="73">
        <v>91076690000</v>
      </c>
      <c r="G29" s="182" t="s">
        <v>1059</v>
      </c>
      <c r="J29" s="17"/>
      <c r="K29" s="17"/>
      <c r="L29" s="17"/>
      <c r="M29" s="17"/>
      <c r="N29" s="17"/>
      <c r="DA29" s="73"/>
      <c r="DB29" s="73"/>
      <c r="DC29" s="73"/>
      <c r="DD29" s="73"/>
      <c r="DE29" s="73"/>
      <c r="DH29" s="17"/>
      <c r="DI29" s="17"/>
      <c r="DJ29" s="17"/>
      <c r="DK29" s="17"/>
      <c r="DL29" s="17"/>
    </row>
    <row r="30" spans="3:124" ht="29" x14ac:dyDescent="0.35">
      <c r="C30" s="73" t="s">
        <v>714</v>
      </c>
      <c r="D30" s="73">
        <v>-60</v>
      </c>
      <c r="E30" s="73" t="s">
        <v>1060</v>
      </c>
      <c r="F30" s="73">
        <v>91076870000</v>
      </c>
      <c r="G30" s="182" t="s">
        <v>1061</v>
      </c>
      <c r="J30" s="17"/>
      <c r="K30" s="17"/>
      <c r="L30" s="17"/>
      <c r="M30" s="17"/>
      <c r="N30" s="17"/>
      <c r="DA30" s="73"/>
      <c r="DB30" s="73"/>
      <c r="DC30" s="73"/>
      <c r="DD30" s="73"/>
      <c r="DE30" s="73"/>
      <c r="DH30" s="17"/>
      <c r="DI30" s="17"/>
      <c r="DJ30" s="17"/>
      <c r="DK30" s="17"/>
      <c r="DL30" s="17"/>
    </row>
    <row r="31" spans="3:124" ht="43.5" x14ac:dyDescent="0.35">
      <c r="C31" s="73" t="s">
        <v>714</v>
      </c>
      <c r="D31" s="73">
        <v>-876.8</v>
      </c>
      <c r="E31" s="73" t="s">
        <v>874</v>
      </c>
      <c r="F31" s="73">
        <v>91076660000</v>
      </c>
      <c r="G31" s="182" t="s">
        <v>1062</v>
      </c>
      <c r="J31" s="17"/>
      <c r="K31" s="17"/>
      <c r="L31" s="17"/>
      <c r="M31" s="17"/>
      <c r="N31" s="17"/>
      <c r="DA31" s="73"/>
      <c r="DB31" s="73"/>
      <c r="DC31" s="73"/>
      <c r="DD31" s="73"/>
      <c r="DE31" s="73"/>
      <c r="DH31" s="17"/>
      <c r="DI31" s="17"/>
      <c r="DJ31" s="17"/>
      <c r="DK31" s="17"/>
      <c r="DL31" s="17"/>
    </row>
    <row r="32" spans="3:124" ht="29" x14ac:dyDescent="0.35">
      <c r="C32" s="73" t="s">
        <v>714</v>
      </c>
      <c r="D32" s="73">
        <v>-60</v>
      </c>
      <c r="E32" s="73" t="s">
        <v>239</v>
      </c>
      <c r="F32" s="73">
        <v>91076810000</v>
      </c>
      <c r="G32" s="182" t="s">
        <v>1063</v>
      </c>
      <c r="J32" s="17"/>
      <c r="K32" s="17"/>
      <c r="L32" s="17"/>
      <c r="M32" s="17"/>
      <c r="N32" s="17"/>
      <c r="DA32" s="73"/>
      <c r="DB32" s="73"/>
      <c r="DC32" s="73"/>
      <c r="DD32" s="73"/>
      <c r="DE32" s="73"/>
      <c r="DH32" s="17"/>
      <c r="DI32" s="17"/>
      <c r="DJ32" s="17"/>
      <c r="DK32" s="17"/>
      <c r="DL32" s="17"/>
    </row>
    <row r="33" spans="3:116" ht="29" x14ac:dyDescent="0.35">
      <c r="C33" s="73" t="s">
        <v>714</v>
      </c>
      <c r="D33" s="73">
        <v>-98.9</v>
      </c>
      <c r="E33" s="73" t="s">
        <v>909</v>
      </c>
      <c r="F33" s="73">
        <v>91076710000</v>
      </c>
      <c r="G33" s="182" t="s">
        <v>1064</v>
      </c>
      <c r="J33" s="17"/>
      <c r="K33" s="17"/>
      <c r="L33" s="17"/>
      <c r="M33" s="17"/>
      <c r="N33" s="17"/>
      <c r="DA33" s="73"/>
      <c r="DB33" s="73"/>
      <c r="DC33" s="73"/>
      <c r="DD33" s="73"/>
      <c r="DE33" s="73"/>
      <c r="DH33" s="17"/>
      <c r="DI33" s="17"/>
      <c r="DJ33" s="17"/>
      <c r="DK33" s="17"/>
      <c r="DL33" s="17"/>
    </row>
    <row r="34" spans="3:116" ht="29" x14ac:dyDescent="0.35">
      <c r="C34" s="73" t="s">
        <v>714</v>
      </c>
      <c r="D34" s="73">
        <v>-60</v>
      </c>
      <c r="E34" s="73" t="s">
        <v>1065</v>
      </c>
      <c r="F34" s="73">
        <v>91076880000</v>
      </c>
      <c r="G34" s="182" t="s">
        <v>1066</v>
      </c>
      <c r="J34" s="17"/>
      <c r="K34" s="17"/>
      <c r="L34" s="17"/>
      <c r="M34" s="17"/>
      <c r="N34" s="17"/>
      <c r="DA34" s="73"/>
      <c r="DB34" s="73"/>
      <c r="DC34" s="73"/>
      <c r="DD34" s="73"/>
      <c r="DE34" s="73"/>
      <c r="DH34" s="17"/>
      <c r="DI34" s="17"/>
      <c r="DJ34" s="17"/>
      <c r="DK34" s="17"/>
      <c r="DL34" s="17"/>
    </row>
    <row r="35" spans="3:116" ht="29" x14ac:dyDescent="0.35">
      <c r="C35" s="73" t="s">
        <v>714</v>
      </c>
      <c r="D35" s="73">
        <v>-60</v>
      </c>
      <c r="E35" s="73" t="s">
        <v>1067</v>
      </c>
      <c r="F35" s="73">
        <v>91076760000</v>
      </c>
      <c r="G35" s="182" t="s">
        <v>1068</v>
      </c>
      <c r="J35" s="17"/>
      <c r="K35" s="17"/>
      <c r="L35" s="17"/>
      <c r="M35" s="17"/>
      <c r="N35" s="17"/>
      <c r="DA35" s="73"/>
      <c r="DB35" s="73"/>
      <c r="DC35" s="73"/>
      <c r="DD35" s="73"/>
      <c r="DE35" s="73"/>
      <c r="DH35" s="17"/>
      <c r="DI35" s="17"/>
      <c r="DJ35" s="17"/>
      <c r="DK35" s="17"/>
      <c r="DL35" s="17"/>
    </row>
    <row r="36" spans="3:116" ht="29" x14ac:dyDescent="0.35">
      <c r="C36" s="73" t="s">
        <v>714</v>
      </c>
      <c r="D36" s="73">
        <v>-60</v>
      </c>
      <c r="E36" s="73" t="s">
        <v>235</v>
      </c>
      <c r="F36" s="73">
        <v>91076820000</v>
      </c>
      <c r="G36" s="182" t="s">
        <v>1069</v>
      </c>
      <c r="J36" s="17"/>
      <c r="K36" s="17"/>
      <c r="L36" s="17"/>
      <c r="M36" s="17"/>
      <c r="N36" s="17"/>
      <c r="DA36" s="73"/>
      <c r="DB36" s="73"/>
      <c r="DC36" s="73"/>
      <c r="DD36" s="73"/>
      <c r="DE36" s="73"/>
      <c r="DH36" s="17"/>
      <c r="DI36" s="17"/>
      <c r="DJ36" s="17"/>
      <c r="DK36" s="17"/>
      <c r="DL36" s="17"/>
    </row>
    <row r="37" spans="3:116" ht="29" x14ac:dyDescent="0.35">
      <c r="C37" s="73" t="s">
        <v>714</v>
      </c>
      <c r="D37" s="73">
        <v>-60</v>
      </c>
      <c r="E37" s="73" t="s">
        <v>1070</v>
      </c>
      <c r="F37" s="73">
        <v>91076750000</v>
      </c>
      <c r="G37" s="182" t="s">
        <v>1071</v>
      </c>
      <c r="J37" s="17"/>
      <c r="K37" s="17"/>
      <c r="L37" s="17"/>
      <c r="M37" s="17"/>
      <c r="N37" s="17"/>
      <c r="DA37" s="73"/>
      <c r="DB37" s="73"/>
      <c r="DC37" s="73"/>
      <c r="DD37" s="73"/>
      <c r="DE37" s="73"/>
      <c r="DH37" s="17"/>
      <c r="DI37" s="17"/>
      <c r="DJ37" s="17"/>
      <c r="DK37" s="17"/>
      <c r="DL37" s="17"/>
    </row>
    <row r="38" spans="3:116" ht="29" x14ac:dyDescent="0.35">
      <c r="C38" s="73" t="s">
        <v>714</v>
      </c>
      <c r="D38" s="73">
        <v>-60</v>
      </c>
      <c r="E38" s="73" t="s">
        <v>1072</v>
      </c>
      <c r="F38" s="73">
        <v>91076770000</v>
      </c>
      <c r="G38" s="182" t="s">
        <v>1073</v>
      </c>
      <c r="J38" s="17"/>
      <c r="K38" s="17"/>
      <c r="L38" s="17"/>
      <c r="M38" s="17"/>
      <c r="N38" s="17"/>
      <c r="DA38" s="73"/>
      <c r="DB38" s="73"/>
      <c r="DC38" s="73"/>
      <c r="DD38" s="73"/>
      <c r="DE38" s="73"/>
      <c r="DH38" s="17"/>
      <c r="DI38" s="17"/>
      <c r="DJ38" s="17"/>
      <c r="DK38" s="17"/>
      <c r="DL38" s="17"/>
    </row>
    <row r="39" spans="3:116" ht="43.5" x14ac:dyDescent="0.35">
      <c r="C39" s="73" t="s">
        <v>730</v>
      </c>
      <c r="D39" s="73">
        <v>-1000</v>
      </c>
      <c r="E39" s="73"/>
      <c r="F39" s="73">
        <v>97912920000</v>
      </c>
      <c r="G39" s="182" t="s">
        <v>1074</v>
      </c>
      <c r="J39" s="17"/>
      <c r="K39" s="17"/>
      <c r="L39" s="17"/>
      <c r="M39" s="17"/>
      <c r="N39" s="17"/>
      <c r="DA39" s="73"/>
      <c r="DB39" s="73"/>
      <c r="DC39" s="73"/>
      <c r="DD39" s="73"/>
      <c r="DE39" s="73"/>
      <c r="DH39" s="17"/>
      <c r="DI39" s="17"/>
      <c r="DJ39" s="17"/>
      <c r="DK39" s="17"/>
      <c r="DL39" s="17"/>
    </row>
    <row r="40" spans="3:116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  <c r="DA40" s="73"/>
      <c r="DB40" s="73"/>
      <c r="DC40" s="73"/>
      <c r="DD40" s="73"/>
      <c r="DE40" s="73"/>
      <c r="DH40" s="17"/>
      <c r="DI40" s="17"/>
      <c r="DJ40" s="17"/>
      <c r="DK40" s="17"/>
      <c r="DL40" s="17"/>
    </row>
    <row r="41" spans="3:116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  <c r="DA41" s="73"/>
      <c r="DB41" s="73"/>
      <c r="DC41" s="73"/>
      <c r="DD41" s="73"/>
      <c r="DE41" s="73"/>
      <c r="DH41" s="17"/>
      <c r="DI41" s="17"/>
      <c r="DJ41" s="17"/>
      <c r="DK41" s="17"/>
      <c r="DL41" s="17"/>
    </row>
    <row r="42" spans="3:116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  <c r="DA42" s="73"/>
      <c r="DB42" s="73"/>
      <c r="DC42" s="73"/>
      <c r="DD42" s="73"/>
      <c r="DE42" s="73"/>
      <c r="DH42" s="17"/>
      <c r="DI42" s="17"/>
      <c r="DJ42" s="17"/>
      <c r="DK42" s="17"/>
      <c r="DL42" s="17"/>
    </row>
    <row r="43" spans="3:116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  <c r="DA43" s="73"/>
      <c r="DB43" s="73"/>
      <c r="DC43" s="73"/>
      <c r="DD43" s="73"/>
      <c r="DE43" s="73"/>
      <c r="DH43" s="17"/>
      <c r="DI43" s="17"/>
      <c r="DJ43" s="17"/>
      <c r="DK43" s="17"/>
      <c r="DL43" s="17"/>
    </row>
    <row r="44" spans="3:116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  <c r="DA44" s="73"/>
      <c r="DB44" s="73"/>
      <c r="DC44" s="73"/>
      <c r="DD44" s="73"/>
      <c r="DE44" s="73"/>
      <c r="DH44" s="17"/>
      <c r="DI44" s="17"/>
      <c r="DJ44" s="17"/>
      <c r="DK44" s="17"/>
      <c r="DL44" s="17"/>
    </row>
    <row r="45" spans="3:116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  <c r="DA45" s="73"/>
      <c r="DB45" s="73"/>
      <c r="DC45" s="73"/>
      <c r="DD45" s="73"/>
      <c r="DE45" s="73"/>
      <c r="DH45" s="17"/>
      <c r="DI45" s="17"/>
      <c r="DJ45" s="17"/>
      <c r="DK45" s="17"/>
      <c r="DL45" s="17"/>
    </row>
    <row r="46" spans="3:116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  <c r="DA46" s="73"/>
      <c r="DB46" s="73"/>
      <c r="DC46" s="73"/>
      <c r="DD46" s="73"/>
      <c r="DE46" s="73"/>
      <c r="DH46" s="17"/>
      <c r="DI46" s="17"/>
      <c r="DJ46" s="17"/>
      <c r="DK46" s="17"/>
      <c r="DL46" s="17"/>
    </row>
    <row r="47" spans="3:116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  <c r="DA47" s="73"/>
      <c r="DB47" s="73"/>
      <c r="DC47" s="73"/>
      <c r="DD47" s="73"/>
      <c r="DE47" s="73"/>
      <c r="DH47" s="17"/>
      <c r="DI47" s="17"/>
      <c r="DJ47" s="17"/>
      <c r="DK47" s="17"/>
      <c r="DL47" s="17"/>
    </row>
    <row r="48" spans="3:116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  <c r="DA48" s="73"/>
      <c r="DB48" s="73"/>
      <c r="DC48" s="73"/>
      <c r="DD48" s="73"/>
      <c r="DE48" s="73"/>
      <c r="DH48" s="17"/>
      <c r="DI48" s="17"/>
      <c r="DJ48" s="17"/>
      <c r="DK48" s="17"/>
      <c r="DL48" s="17"/>
    </row>
    <row r="49" spans="3:116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  <c r="DA49" s="73"/>
      <c r="DB49" s="73"/>
      <c r="DC49" s="73"/>
      <c r="DD49" s="73"/>
      <c r="DE49" s="73"/>
      <c r="DH49" s="17"/>
      <c r="DI49" s="17"/>
      <c r="DJ49" s="17"/>
      <c r="DK49" s="17"/>
      <c r="DL49" s="17"/>
    </row>
    <row r="50" spans="3:116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  <c r="DA50" s="73"/>
      <c r="DB50" s="73"/>
      <c r="DC50" s="73"/>
      <c r="DD50" s="73"/>
      <c r="DE50" s="73"/>
      <c r="DH50" s="17"/>
      <c r="DI50" s="17"/>
      <c r="DJ50" s="17"/>
      <c r="DK50" s="17"/>
      <c r="DL50" s="17"/>
    </row>
    <row r="51" spans="3:116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  <c r="DA51" s="73"/>
      <c r="DB51" s="73"/>
      <c r="DC51" s="73"/>
      <c r="DD51" s="73"/>
      <c r="DE51" s="73"/>
      <c r="DH51" s="17"/>
      <c r="DI51" s="17"/>
      <c r="DJ51" s="17"/>
      <c r="DK51" s="17"/>
      <c r="DL51" s="17"/>
    </row>
    <row r="52" spans="3:116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  <c r="DA52" s="73"/>
      <c r="DB52" s="73"/>
      <c r="DC52" s="73"/>
      <c r="DD52" s="73"/>
      <c r="DE52" s="73"/>
      <c r="DH52" s="17"/>
      <c r="DI52" s="17"/>
      <c r="DJ52" s="17"/>
      <c r="DK52" s="17"/>
      <c r="DL52" s="17"/>
    </row>
    <row r="53" spans="3:116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  <c r="DA53" s="73"/>
      <c r="DB53" s="73"/>
      <c r="DC53" s="73"/>
      <c r="DD53" s="73"/>
      <c r="DE53" s="73"/>
      <c r="DH53" s="17"/>
      <c r="DI53" s="17"/>
      <c r="DJ53" s="17"/>
      <c r="DK53" s="17"/>
      <c r="DL53" s="17"/>
    </row>
    <row r="54" spans="3:116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  <c r="DA54" s="73"/>
      <c r="DB54" s="73"/>
      <c r="DC54" s="73"/>
      <c r="DD54" s="73"/>
      <c r="DE54" s="73"/>
      <c r="DH54" s="17"/>
      <c r="DI54" s="17"/>
      <c r="DJ54" s="17"/>
      <c r="DK54" s="17"/>
      <c r="DL54" s="17"/>
    </row>
    <row r="55" spans="3:116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  <c r="DA55" s="73"/>
      <c r="DB55" s="73"/>
      <c r="DC55" s="73"/>
      <c r="DD55" s="73"/>
      <c r="DE55" s="73"/>
      <c r="DH55" s="17"/>
      <c r="DI55" s="17"/>
      <c r="DJ55" s="17"/>
      <c r="DK55" s="17"/>
      <c r="DL55" s="17"/>
    </row>
    <row r="56" spans="3:116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  <c r="DA56" s="73"/>
      <c r="DB56" s="73"/>
      <c r="DC56" s="73"/>
      <c r="DD56" s="73"/>
      <c r="DE56" s="73"/>
      <c r="DH56" s="17"/>
      <c r="DI56" s="17"/>
      <c r="DJ56" s="17"/>
      <c r="DK56" s="17"/>
      <c r="DL56" s="17"/>
    </row>
    <row r="57" spans="3:116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  <c r="DA57" s="73"/>
      <c r="DB57" s="73"/>
      <c r="DC57" s="73"/>
      <c r="DD57" s="73"/>
      <c r="DE57" s="73"/>
      <c r="DH57" s="17"/>
      <c r="DI57" s="17"/>
      <c r="DJ57" s="17"/>
      <c r="DK57" s="17"/>
      <c r="DL57" s="17"/>
    </row>
    <row r="58" spans="3:116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  <c r="DA58" s="73"/>
      <c r="DB58" s="73"/>
      <c r="DC58" s="73"/>
      <c r="DD58" s="73"/>
      <c r="DE58" s="73"/>
      <c r="DH58" s="17"/>
      <c r="DI58" s="17"/>
      <c r="DJ58" s="17"/>
      <c r="DK58" s="17"/>
      <c r="DL58" s="17"/>
    </row>
    <row r="59" spans="3:116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  <c r="DA59" s="73"/>
      <c r="DB59" s="73"/>
      <c r="DC59" s="73"/>
      <c r="DD59" s="73"/>
      <c r="DE59" s="73"/>
      <c r="DH59" s="17"/>
      <c r="DI59" s="17"/>
      <c r="DJ59" s="17"/>
      <c r="DK59" s="17"/>
      <c r="DL59" s="17"/>
    </row>
    <row r="60" spans="3:116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  <c r="DA60" s="73"/>
      <c r="DB60" s="73"/>
      <c r="DC60" s="73"/>
      <c r="DD60" s="73"/>
      <c r="DE60" s="73"/>
      <c r="DH60" s="17"/>
      <c r="DI60" s="17"/>
      <c r="DJ60" s="17"/>
      <c r="DK60" s="17"/>
      <c r="DL60" s="17"/>
    </row>
    <row r="61" spans="3:116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  <c r="DA61" s="73"/>
      <c r="DB61" s="73"/>
      <c r="DC61" s="73"/>
      <c r="DD61" s="73"/>
      <c r="DE61" s="73"/>
      <c r="DH61" s="17"/>
      <c r="DI61" s="17"/>
      <c r="DJ61" s="17"/>
      <c r="DK61" s="17"/>
      <c r="DL61" s="17"/>
    </row>
    <row r="62" spans="3:116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  <c r="DA62" s="73"/>
      <c r="DB62" s="73"/>
      <c r="DC62" s="73"/>
      <c r="DD62" s="73"/>
      <c r="DE62" s="73"/>
      <c r="DH62" s="17"/>
      <c r="DI62" s="17"/>
      <c r="DJ62" s="17"/>
      <c r="DK62" s="17"/>
      <c r="DL62" s="17"/>
    </row>
    <row r="63" spans="3:116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  <c r="DA63" s="73"/>
      <c r="DB63" s="73"/>
      <c r="DC63" s="73"/>
      <c r="DD63" s="73"/>
      <c r="DE63" s="73"/>
      <c r="DH63" s="17"/>
      <c r="DI63" s="17"/>
      <c r="DJ63" s="17"/>
      <c r="DK63" s="17"/>
      <c r="DL63" s="17"/>
    </row>
    <row r="64" spans="3:116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  <c r="DA64" s="73"/>
      <c r="DB64" s="73"/>
      <c r="DC64" s="73"/>
      <c r="DD64" s="73"/>
      <c r="DE64" s="73"/>
      <c r="DH64" s="17"/>
      <c r="DI64" s="17"/>
      <c r="DJ64" s="17"/>
      <c r="DK64" s="17"/>
      <c r="DL64" s="17"/>
    </row>
    <row r="65" spans="3:116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  <c r="DA65" s="73"/>
      <c r="DB65" s="73"/>
      <c r="DC65" s="73"/>
      <c r="DD65" s="73"/>
      <c r="DE65" s="73"/>
      <c r="DH65" s="17"/>
      <c r="DI65" s="17"/>
      <c r="DJ65" s="17"/>
      <c r="DK65" s="17"/>
      <c r="DL65" s="17"/>
    </row>
    <row r="66" spans="3:116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  <c r="DA66" s="73"/>
      <c r="DB66" s="73"/>
      <c r="DC66" s="73"/>
      <c r="DD66" s="73"/>
      <c r="DE66" s="73"/>
      <c r="DH66" s="17"/>
      <c r="DI66" s="17"/>
      <c r="DJ66" s="17"/>
      <c r="DK66" s="17"/>
      <c r="DL66" s="17"/>
    </row>
    <row r="67" spans="3:116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  <c r="DA67" s="73"/>
      <c r="DB67" s="73"/>
      <c r="DC67" s="73"/>
      <c r="DD67" s="73"/>
      <c r="DE67" s="73"/>
      <c r="DH67" s="17"/>
      <c r="DI67" s="17"/>
      <c r="DJ67" s="17"/>
      <c r="DK67" s="17"/>
      <c r="DL67" s="17"/>
    </row>
    <row r="68" spans="3:116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  <c r="DA68" s="73"/>
      <c r="DB68" s="73"/>
      <c r="DC68" s="73"/>
      <c r="DD68" s="73"/>
      <c r="DE68" s="73"/>
      <c r="DH68" s="17"/>
      <c r="DI68" s="17"/>
      <c r="DJ68" s="17"/>
      <c r="DK68" s="17"/>
      <c r="DL68" s="17"/>
    </row>
    <row r="69" spans="3:116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  <c r="DA69" s="73"/>
      <c r="DB69" s="73"/>
      <c r="DC69" s="73"/>
      <c r="DD69" s="73"/>
      <c r="DE69" s="73"/>
      <c r="DH69" s="17"/>
      <c r="DI69" s="17"/>
      <c r="DJ69" s="17"/>
      <c r="DK69" s="17"/>
      <c r="DL69" s="17"/>
    </row>
    <row r="70" spans="3:116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  <c r="DA70" s="73"/>
      <c r="DB70" s="73"/>
      <c r="DC70" s="73"/>
      <c r="DD70" s="73"/>
      <c r="DE70" s="73"/>
      <c r="DH70" s="17"/>
      <c r="DI70" s="17"/>
      <c r="DJ70" s="17"/>
      <c r="DK70" s="17"/>
      <c r="DL70" s="17"/>
    </row>
    <row r="71" spans="3:116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  <c r="DA71" s="73"/>
      <c r="DB71" s="73"/>
      <c r="DC71" s="73"/>
      <c r="DD71" s="73"/>
      <c r="DE71" s="73"/>
      <c r="DH71" s="17"/>
      <c r="DI71" s="17"/>
      <c r="DJ71" s="17"/>
      <c r="DK71" s="17"/>
      <c r="DL71" s="17"/>
    </row>
    <row r="72" spans="3:116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  <c r="DA72" s="73"/>
      <c r="DB72" s="73"/>
      <c r="DC72" s="73"/>
      <c r="DD72" s="73"/>
      <c r="DE72" s="73"/>
      <c r="DH72" s="17"/>
      <c r="DI72" s="17"/>
      <c r="DJ72" s="17"/>
      <c r="DK72" s="17"/>
      <c r="DL72" s="17"/>
    </row>
    <row r="73" spans="3:116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  <c r="DA73" s="73"/>
      <c r="DB73" s="73"/>
      <c r="DC73" s="73"/>
      <c r="DD73" s="73"/>
      <c r="DE73" s="73"/>
      <c r="DH73" s="17"/>
      <c r="DI73" s="17"/>
      <c r="DJ73" s="17"/>
      <c r="DK73" s="17"/>
      <c r="DL73" s="17"/>
    </row>
    <row r="74" spans="3:116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  <c r="DA74" s="73"/>
      <c r="DB74" s="73"/>
      <c r="DC74" s="73"/>
      <c r="DD74" s="73"/>
      <c r="DE74" s="73"/>
      <c r="DH74" s="17"/>
      <c r="DI74" s="17"/>
      <c r="DJ74" s="17"/>
      <c r="DK74" s="17"/>
      <c r="DL74" s="17"/>
    </row>
    <row r="75" spans="3:116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  <c r="DA75" s="73"/>
      <c r="DB75" s="73"/>
      <c r="DC75" s="73"/>
      <c r="DD75" s="73"/>
      <c r="DE75" s="73"/>
      <c r="DH75" s="17"/>
      <c r="DI75" s="17"/>
      <c r="DJ75" s="17"/>
      <c r="DK75" s="17"/>
      <c r="DL75" s="17"/>
    </row>
    <row r="76" spans="3:116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  <c r="DA76" s="73"/>
      <c r="DB76" s="73"/>
      <c r="DC76" s="73"/>
      <c r="DD76" s="73"/>
      <c r="DE76" s="73"/>
      <c r="DH76" s="17"/>
      <c r="DI76" s="17"/>
      <c r="DJ76" s="17"/>
      <c r="DK76" s="17"/>
      <c r="DL76" s="17"/>
    </row>
    <row r="77" spans="3:116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  <c r="DA77" s="73"/>
      <c r="DB77" s="73"/>
      <c r="DC77" s="73"/>
      <c r="DD77" s="73"/>
      <c r="DE77" s="73"/>
      <c r="DH77" s="17"/>
      <c r="DI77" s="17"/>
      <c r="DJ77" s="17"/>
      <c r="DK77" s="17"/>
      <c r="DL77" s="17"/>
    </row>
    <row r="78" spans="3:116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  <c r="DA78" s="73"/>
      <c r="DB78" s="73"/>
      <c r="DC78" s="73"/>
      <c r="DD78" s="73"/>
      <c r="DE78" s="73"/>
      <c r="DH78" s="17"/>
      <c r="DI78" s="17"/>
      <c r="DJ78" s="17"/>
      <c r="DK78" s="17"/>
      <c r="DL78" s="17"/>
    </row>
    <row r="79" spans="3:116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  <c r="DA79" s="73"/>
      <c r="DB79" s="73"/>
      <c r="DC79" s="73"/>
      <c r="DD79" s="73"/>
      <c r="DE79" s="73"/>
      <c r="DH79" s="17"/>
      <c r="DI79" s="17"/>
      <c r="DJ79" s="17"/>
      <c r="DK79" s="17"/>
      <c r="DL79" s="17"/>
    </row>
    <row r="80" spans="3:116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  <c r="DA80" s="73"/>
      <c r="DB80" s="73"/>
      <c r="DC80" s="73"/>
      <c r="DD80" s="73"/>
      <c r="DE80" s="73"/>
      <c r="DH80" s="17"/>
      <c r="DI80" s="17"/>
      <c r="DJ80" s="17"/>
      <c r="DK80" s="17"/>
      <c r="DL80" s="17"/>
    </row>
    <row r="81" spans="3:116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  <c r="DA81" s="73"/>
      <c r="DB81" s="73"/>
      <c r="DC81" s="73"/>
      <c r="DD81" s="73"/>
      <c r="DE81" s="73"/>
      <c r="DH81" s="17"/>
      <c r="DI81" s="17"/>
      <c r="DJ81" s="17"/>
      <c r="DK81" s="17"/>
      <c r="DL81" s="17"/>
    </row>
    <row r="82" spans="3:116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  <c r="DA82" s="73"/>
      <c r="DB82" s="73"/>
      <c r="DC82" s="73"/>
      <c r="DD82" s="73"/>
      <c r="DE82" s="73"/>
      <c r="DH82" s="17"/>
      <c r="DI82" s="17"/>
      <c r="DJ82" s="17"/>
      <c r="DK82" s="17"/>
      <c r="DL82" s="17"/>
    </row>
    <row r="83" spans="3:116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  <c r="DA83" s="73"/>
      <c r="DB83" s="73"/>
      <c r="DC83" s="73"/>
      <c r="DD83" s="73"/>
      <c r="DE83" s="73"/>
      <c r="DH83" s="17"/>
      <c r="DI83" s="17"/>
      <c r="DJ83" s="17"/>
      <c r="DK83" s="17"/>
      <c r="DL83" s="17"/>
    </row>
    <row r="84" spans="3:116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  <c r="DA84" s="73"/>
      <c r="DB84" s="73"/>
      <c r="DC84" s="73"/>
      <c r="DD84" s="73"/>
      <c r="DE84" s="73"/>
      <c r="DH84" s="17"/>
      <c r="DI84" s="17"/>
      <c r="DJ84" s="17"/>
      <c r="DK84" s="17"/>
      <c r="DL84" s="17"/>
    </row>
    <row r="85" spans="3:116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  <c r="DA85" s="73"/>
      <c r="DB85" s="73"/>
      <c r="DC85" s="73"/>
      <c r="DD85" s="73"/>
      <c r="DE85" s="73"/>
      <c r="DH85" s="17"/>
      <c r="DI85" s="17"/>
      <c r="DJ85" s="17"/>
      <c r="DK85" s="17"/>
      <c r="DL85" s="17"/>
    </row>
    <row r="86" spans="3:116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  <c r="DA86" s="73"/>
      <c r="DB86" s="73"/>
      <c r="DC86" s="73"/>
      <c r="DD86" s="73"/>
      <c r="DE86" s="73"/>
      <c r="DH86" s="17"/>
      <c r="DI86" s="17"/>
      <c r="DJ86" s="17"/>
      <c r="DK86" s="17"/>
      <c r="DL86" s="17"/>
    </row>
    <row r="87" spans="3:116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  <c r="DA87" s="73"/>
      <c r="DB87" s="73"/>
      <c r="DC87" s="73"/>
      <c r="DD87" s="73"/>
      <c r="DE87" s="73"/>
      <c r="DH87" s="17"/>
      <c r="DI87" s="17"/>
      <c r="DJ87" s="17"/>
      <c r="DK87" s="17"/>
      <c r="DL87" s="17"/>
    </row>
    <row r="88" spans="3:116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  <c r="DA88" s="73"/>
      <c r="DB88" s="73"/>
      <c r="DC88" s="73"/>
      <c r="DD88" s="73"/>
      <c r="DE88" s="73"/>
      <c r="DH88" s="17"/>
      <c r="DI88" s="17"/>
      <c r="DJ88" s="17"/>
      <c r="DK88" s="17"/>
      <c r="DL88" s="17"/>
    </row>
    <row r="89" spans="3:116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  <c r="DA89" s="73"/>
      <c r="DB89" s="73"/>
      <c r="DC89" s="73"/>
      <c r="DD89" s="73"/>
      <c r="DE89" s="73"/>
      <c r="DH89" s="17"/>
      <c r="DI89" s="17"/>
      <c r="DJ89" s="17"/>
      <c r="DK89" s="17"/>
      <c r="DL89" s="17"/>
    </row>
    <row r="90" spans="3:116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  <c r="DA90" s="73"/>
      <c r="DB90" s="73"/>
      <c r="DC90" s="73"/>
      <c r="DD90" s="73"/>
      <c r="DE90" s="73"/>
      <c r="DH90" s="17"/>
      <c r="DI90" s="17"/>
      <c r="DJ90" s="17"/>
      <c r="DK90" s="17"/>
      <c r="DL90" s="17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2"/>
  <dimension ref="C3:N90"/>
  <sheetViews>
    <sheetView zoomScale="54" workbookViewId="0">
      <selection activeCell="C13" sqref="C13:V32"/>
    </sheetView>
  </sheetViews>
  <sheetFormatPr baseColWidth="10" defaultColWidth="8.7265625" defaultRowHeight="14.5" x14ac:dyDescent="0.35"/>
  <sheetData>
    <row r="3" spans="3:14" x14ac:dyDescent="0.35">
      <c r="C3" s="75" t="s">
        <v>70</v>
      </c>
      <c r="D3" s="67"/>
    </row>
    <row r="4" spans="3:14" x14ac:dyDescent="0.35">
      <c r="C4" s="73" t="s">
        <v>71</v>
      </c>
      <c r="D4" s="73">
        <f>SUM(D13:D68)</f>
        <v>0</v>
      </c>
    </row>
    <row r="5" spans="3:14" x14ac:dyDescent="0.35">
      <c r="C5" s="17" t="s">
        <v>12</v>
      </c>
      <c r="D5" s="17">
        <f>SUM(K13:K40)</f>
        <v>19011.629999999994</v>
      </c>
    </row>
    <row r="6" spans="3:14" x14ac:dyDescent="0.35">
      <c r="C6" s="27" t="s">
        <v>1</v>
      </c>
      <c r="D6" s="27">
        <f>D4+D5</f>
        <v>19011.629999999994</v>
      </c>
    </row>
    <row r="11" spans="3:14" ht="39.65" customHeight="1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x14ac:dyDescent="0.35">
      <c r="C13" s="73"/>
      <c r="D13" s="73"/>
      <c r="E13" s="73"/>
      <c r="F13" s="73"/>
      <c r="G13" s="73"/>
      <c r="J13" s="17" t="s">
        <v>436</v>
      </c>
      <c r="K13" s="17">
        <v>73.69</v>
      </c>
      <c r="L13" s="17" t="s">
        <v>5</v>
      </c>
      <c r="M13" s="17">
        <v>287543086</v>
      </c>
      <c r="N13" s="17" t="s">
        <v>1116</v>
      </c>
    </row>
    <row r="14" spans="3:14" x14ac:dyDescent="0.35">
      <c r="C14" s="73"/>
      <c r="D14" s="73"/>
      <c r="E14" s="73"/>
      <c r="F14" s="73"/>
      <c r="G14" s="73"/>
      <c r="J14" s="17" t="s">
        <v>436</v>
      </c>
      <c r="K14" s="17">
        <v>442.12</v>
      </c>
      <c r="L14" s="17" t="s">
        <v>5</v>
      </c>
      <c r="M14" s="17">
        <v>287532191</v>
      </c>
      <c r="N14" s="17" t="s">
        <v>1117</v>
      </c>
    </row>
    <row r="15" spans="3:14" x14ac:dyDescent="0.35">
      <c r="C15" s="73"/>
      <c r="D15" s="73"/>
      <c r="E15" s="73"/>
      <c r="F15" s="73"/>
      <c r="G15" s="73"/>
      <c r="J15" s="17" t="s">
        <v>436</v>
      </c>
      <c r="K15" s="17">
        <v>736.88</v>
      </c>
      <c r="L15" s="17" t="s">
        <v>5</v>
      </c>
      <c r="M15" s="17">
        <v>287562037</v>
      </c>
      <c r="N15" s="17" t="s">
        <v>1118</v>
      </c>
    </row>
    <row r="16" spans="3:14" x14ac:dyDescent="0.35">
      <c r="C16" s="73"/>
      <c r="D16" s="78"/>
      <c r="E16" s="79"/>
      <c r="F16" s="73"/>
      <c r="G16" s="73"/>
      <c r="J16" s="17" t="s">
        <v>457</v>
      </c>
      <c r="K16" s="17">
        <v>147.38</v>
      </c>
      <c r="L16" s="17" t="s">
        <v>5</v>
      </c>
      <c r="M16" s="17">
        <v>286853399</v>
      </c>
      <c r="N16" s="17" t="s">
        <v>1119</v>
      </c>
    </row>
    <row r="17" spans="3:14" x14ac:dyDescent="0.35">
      <c r="C17" s="73"/>
      <c r="D17" s="73"/>
      <c r="E17" s="73"/>
      <c r="F17" s="73"/>
      <c r="G17" s="73"/>
      <c r="J17" s="17" t="s">
        <v>511</v>
      </c>
      <c r="K17" s="17">
        <v>1473.79</v>
      </c>
      <c r="L17" s="17" t="s">
        <v>5</v>
      </c>
      <c r="M17" s="17">
        <v>285070146</v>
      </c>
      <c r="N17" s="17" t="s">
        <v>1120</v>
      </c>
    </row>
    <row r="18" spans="3:14" x14ac:dyDescent="0.35">
      <c r="C18" s="73"/>
      <c r="D18" s="79"/>
      <c r="E18" s="73"/>
      <c r="F18" s="73"/>
      <c r="G18" s="73"/>
      <c r="J18" s="17" t="s">
        <v>527</v>
      </c>
      <c r="K18" s="17">
        <v>1915.89</v>
      </c>
      <c r="L18" s="17" t="s">
        <v>5</v>
      </c>
      <c r="M18" s="17">
        <v>284530504</v>
      </c>
      <c r="N18" s="17" t="s">
        <v>1121</v>
      </c>
    </row>
    <row r="19" spans="3:14" x14ac:dyDescent="0.35">
      <c r="C19" s="73"/>
      <c r="D19" s="73"/>
      <c r="E19" s="73"/>
      <c r="F19" s="73"/>
      <c r="G19" s="73"/>
      <c r="J19" s="17" t="s">
        <v>539</v>
      </c>
      <c r="K19" s="17">
        <v>3085.78</v>
      </c>
      <c r="L19" s="17" t="s">
        <v>5</v>
      </c>
      <c r="M19" s="17">
        <v>283793342</v>
      </c>
      <c r="N19" s="17" t="s">
        <v>1122</v>
      </c>
    </row>
    <row r="20" spans="3:14" x14ac:dyDescent="0.35">
      <c r="C20" s="73"/>
      <c r="D20" s="73"/>
      <c r="E20" s="73"/>
      <c r="F20" s="73"/>
      <c r="G20" s="73"/>
      <c r="J20" s="17" t="s">
        <v>559</v>
      </c>
      <c r="K20" s="17">
        <v>957.94</v>
      </c>
      <c r="L20" s="17" t="s">
        <v>5</v>
      </c>
      <c r="M20" s="17">
        <v>283108278</v>
      </c>
      <c r="N20" s="17" t="s">
        <v>1123</v>
      </c>
    </row>
    <row r="21" spans="3:14" x14ac:dyDescent="0.35">
      <c r="C21" s="73"/>
      <c r="D21" s="73"/>
      <c r="E21" s="73"/>
      <c r="F21" s="73"/>
      <c r="G21" s="73"/>
      <c r="J21" s="17" t="s">
        <v>559</v>
      </c>
      <c r="K21" s="17">
        <v>525</v>
      </c>
      <c r="L21" s="17" t="s">
        <v>5</v>
      </c>
      <c r="M21" s="17">
        <v>283143461</v>
      </c>
      <c r="N21" s="17" t="s">
        <v>1124</v>
      </c>
    </row>
    <row r="22" spans="3:14" x14ac:dyDescent="0.35">
      <c r="C22" s="73"/>
      <c r="D22" s="73"/>
      <c r="E22" s="73"/>
      <c r="F22" s="73"/>
      <c r="G22" s="73"/>
      <c r="J22" s="17" t="s">
        <v>559</v>
      </c>
      <c r="K22" s="17">
        <v>442.12</v>
      </c>
      <c r="L22" s="17" t="s">
        <v>5</v>
      </c>
      <c r="M22" s="17">
        <v>283118147</v>
      </c>
      <c r="N22" s="17" t="s">
        <v>1125</v>
      </c>
    </row>
    <row r="23" spans="3:14" x14ac:dyDescent="0.35">
      <c r="C23" s="73"/>
      <c r="D23" s="73"/>
      <c r="E23" s="73"/>
      <c r="F23" s="73"/>
      <c r="G23" s="73"/>
      <c r="J23" s="17" t="s">
        <v>576</v>
      </c>
      <c r="K23" s="17">
        <v>1694.8</v>
      </c>
      <c r="L23" s="17" t="s">
        <v>5</v>
      </c>
      <c r="M23" s="17">
        <v>282279352</v>
      </c>
      <c r="N23" s="17" t="s">
        <v>1126</v>
      </c>
    </row>
    <row r="24" spans="3:14" x14ac:dyDescent="0.35">
      <c r="C24" s="73"/>
      <c r="D24" s="73"/>
      <c r="E24" s="73"/>
      <c r="F24" s="73"/>
      <c r="G24" s="73"/>
      <c r="J24" s="17" t="s">
        <v>576</v>
      </c>
      <c r="K24" s="17">
        <v>6631.97</v>
      </c>
      <c r="L24" s="17" t="s">
        <v>5</v>
      </c>
      <c r="M24" s="17">
        <v>282254261</v>
      </c>
      <c r="N24" s="17" t="s">
        <v>1127</v>
      </c>
    </row>
    <row r="25" spans="3:14" x14ac:dyDescent="0.35">
      <c r="C25" s="73"/>
      <c r="D25" s="73"/>
      <c r="E25" s="73"/>
      <c r="F25" s="73"/>
      <c r="G25" s="73"/>
      <c r="J25" s="17" t="s">
        <v>749</v>
      </c>
      <c r="K25" s="17">
        <v>73.69</v>
      </c>
      <c r="L25" s="17" t="s">
        <v>5</v>
      </c>
      <c r="M25" s="17">
        <v>291894565</v>
      </c>
      <c r="N25" s="17" t="s">
        <v>1128</v>
      </c>
    </row>
    <row r="26" spans="3:14" x14ac:dyDescent="0.35">
      <c r="C26" s="73"/>
      <c r="D26" s="73"/>
      <c r="E26" s="73"/>
      <c r="F26" s="73"/>
      <c r="G26" s="73"/>
      <c r="J26" s="17" t="s">
        <v>770</v>
      </c>
      <c r="K26" s="17">
        <v>294.76</v>
      </c>
      <c r="L26" s="17" t="s">
        <v>5</v>
      </c>
      <c r="M26" s="17">
        <v>291332738</v>
      </c>
      <c r="N26" s="17" t="s">
        <v>1129</v>
      </c>
    </row>
    <row r="27" spans="3:14" x14ac:dyDescent="0.35">
      <c r="C27" s="73"/>
      <c r="D27" s="73"/>
      <c r="E27" s="73"/>
      <c r="F27" s="73"/>
      <c r="G27" s="73"/>
      <c r="J27" s="17" t="s">
        <v>376</v>
      </c>
      <c r="K27" s="17">
        <v>368.44</v>
      </c>
      <c r="L27" s="17" t="s">
        <v>5</v>
      </c>
      <c r="M27" s="17">
        <v>290858037</v>
      </c>
      <c r="N27" s="17" t="s">
        <v>1130</v>
      </c>
    </row>
    <row r="28" spans="3:14" x14ac:dyDescent="0.35">
      <c r="C28" s="73"/>
      <c r="D28" s="73"/>
      <c r="E28" s="73"/>
      <c r="F28" s="73"/>
      <c r="G28" s="73"/>
      <c r="J28" s="17" t="s">
        <v>378</v>
      </c>
      <c r="K28" s="17">
        <v>73.69</v>
      </c>
      <c r="L28" s="17" t="s">
        <v>5</v>
      </c>
      <c r="M28" s="17">
        <v>290326719</v>
      </c>
      <c r="N28" s="17" t="s">
        <v>1131</v>
      </c>
    </row>
    <row r="29" spans="3:14" x14ac:dyDescent="0.35">
      <c r="C29" s="73"/>
      <c r="D29" s="73"/>
      <c r="E29" s="73"/>
      <c r="F29" s="73"/>
      <c r="G29" s="73"/>
      <c r="J29" s="17" t="s">
        <v>382</v>
      </c>
      <c r="K29" s="17">
        <v>73.69</v>
      </c>
      <c r="L29" s="17" t="s">
        <v>5</v>
      </c>
      <c r="M29" s="17">
        <v>289406520</v>
      </c>
      <c r="N29" s="17" t="s">
        <v>1132</v>
      </c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C1F0E-AE06-41E9-BF35-08F2345DD895}">
  <dimension ref="C4:N90"/>
  <sheetViews>
    <sheetView topLeftCell="A2" workbookViewId="0">
      <selection activeCell="B13" sqref="B13:Q25"/>
    </sheetView>
  </sheetViews>
  <sheetFormatPr baseColWidth="10" defaultRowHeight="14.5" x14ac:dyDescent="0.35"/>
  <sheetData>
    <row r="4" spans="3:14" x14ac:dyDescent="0.35">
      <c r="C4" s="75" t="s">
        <v>70</v>
      </c>
      <c r="D4" s="67"/>
    </row>
    <row r="5" spans="3:14" x14ac:dyDescent="0.35">
      <c r="C5" s="73" t="s">
        <v>71</v>
      </c>
      <c r="D5" s="73">
        <f>SUM(D13:D69)</f>
        <v>-5492.2</v>
      </c>
    </row>
    <row r="6" spans="3:14" x14ac:dyDescent="0.35">
      <c r="C6" s="17" t="s">
        <v>12</v>
      </c>
      <c r="D6" s="17">
        <f>SUM(K13:K41)</f>
        <v>25421.719999999998</v>
      </c>
    </row>
    <row r="7" spans="3:14" x14ac:dyDescent="0.35">
      <c r="C7" s="27" t="s">
        <v>1</v>
      </c>
      <c r="D7" s="27">
        <f>D5+D6</f>
        <v>19929.519999999997</v>
      </c>
    </row>
    <row r="11" spans="3:14" ht="39.5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43.5" x14ac:dyDescent="0.35">
      <c r="C13" s="73" t="s">
        <v>487</v>
      </c>
      <c r="D13" s="73">
        <v>-636</v>
      </c>
      <c r="E13" s="73" t="s">
        <v>874</v>
      </c>
      <c r="F13" s="73">
        <v>24144770000</v>
      </c>
      <c r="G13" s="182" t="s">
        <v>1133</v>
      </c>
      <c r="J13" s="17" t="s">
        <v>411</v>
      </c>
      <c r="K13" s="17">
        <v>122.81</v>
      </c>
      <c r="L13" s="17" t="s">
        <v>5</v>
      </c>
      <c r="M13" s="17">
        <v>1037576</v>
      </c>
      <c r="N13" s="17" t="s">
        <v>1137</v>
      </c>
    </row>
    <row r="14" spans="3:14" ht="43.5" x14ac:dyDescent="0.35">
      <c r="C14" s="73" t="s">
        <v>607</v>
      </c>
      <c r="D14" s="73">
        <v>-1477.6</v>
      </c>
      <c r="E14" s="73" t="s">
        <v>1134</v>
      </c>
      <c r="F14" s="73">
        <v>50598700000</v>
      </c>
      <c r="G14" s="182" t="s">
        <v>1135</v>
      </c>
      <c r="J14" s="17" t="s">
        <v>445</v>
      </c>
      <c r="K14" s="17">
        <v>1105.29</v>
      </c>
      <c r="L14" s="17" t="s">
        <v>5</v>
      </c>
      <c r="M14" s="17">
        <v>930873</v>
      </c>
      <c r="N14" s="17" t="s">
        <v>1138</v>
      </c>
    </row>
    <row r="15" spans="3:14" ht="43.5" x14ac:dyDescent="0.35">
      <c r="C15" s="73" t="s">
        <v>708</v>
      </c>
      <c r="D15" s="73">
        <v>-3253.6</v>
      </c>
      <c r="E15" s="73" t="s">
        <v>874</v>
      </c>
      <c r="F15" s="73">
        <v>90297900000</v>
      </c>
      <c r="G15" s="182" t="s">
        <v>1133</v>
      </c>
      <c r="J15" s="17" t="s">
        <v>463</v>
      </c>
      <c r="K15" s="17">
        <v>122.81</v>
      </c>
      <c r="L15" s="17" t="s">
        <v>5</v>
      </c>
      <c r="M15" s="17">
        <v>869611</v>
      </c>
      <c r="N15" s="17" t="s">
        <v>1139</v>
      </c>
    </row>
    <row r="16" spans="3:14" ht="58" x14ac:dyDescent="0.35">
      <c r="C16" s="73" t="s">
        <v>739</v>
      </c>
      <c r="D16" s="78">
        <v>-125</v>
      </c>
      <c r="E16" s="79" t="s">
        <v>874</v>
      </c>
      <c r="F16" s="73">
        <v>85073920000</v>
      </c>
      <c r="G16" s="182" t="s">
        <v>1136</v>
      </c>
      <c r="J16" s="17" t="s">
        <v>545</v>
      </c>
      <c r="K16" s="17">
        <v>122.81</v>
      </c>
      <c r="L16" s="17" t="s">
        <v>5</v>
      </c>
      <c r="M16" s="17">
        <v>648505</v>
      </c>
      <c r="N16" s="17" t="s">
        <v>1140</v>
      </c>
    </row>
    <row r="17" spans="3:14" x14ac:dyDescent="0.35">
      <c r="C17" s="73"/>
      <c r="D17" s="73"/>
      <c r="E17" s="73"/>
      <c r="F17" s="73"/>
      <c r="G17" s="73"/>
      <c r="J17" s="17" t="s">
        <v>545</v>
      </c>
      <c r="K17" s="17">
        <v>122.81</v>
      </c>
      <c r="L17" s="17" t="s">
        <v>5</v>
      </c>
      <c r="M17" s="17">
        <v>648432</v>
      </c>
      <c r="N17" s="17" t="s">
        <v>1141</v>
      </c>
    </row>
    <row r="18" spans="3:14" x14ac:dyDescent="0.35">
      <c r="C18" s="73"/>
      <c r="D18" s="79"/>
      <c r="E18" s="73"/>
      <c r="F18" s="73"/>
      <c r="G18" s="73"/>
      <c r="J18" s="17" t="s">
        <v>565</v>
      </c>
      <c r="K18" s="17">
        <v>982.48</v>
      </c>
      <c r="L18" s="17" t="s">
        <v>5</v>
      </c>
      <c r="M18" s="17">
        <v>582173</v>
      </c>
      <c r="N18" s="17" t="s">
        <v>1142</v>
      </c>
    </row>
    <row r="19" spans="3:14" x14ac:dyDescent="0.35">
      <c r="C19" s="73"/>
      <c r="D19" s="73"/>
      <c r="E19" s="73"/>
      <c r="F19" s="73"/>
      <c r="G19" s="73"/>
      <c r="J19" s="17" t="s">
        <v>611</v>
      </c>
      <c r="K19" s="17">
        <v>7000.19</v>
      </c>
      <c r="L19" s="17" t="s">
        <v>5</v>
      </c>
      <c r="M19" s="17">
        <v>528361</v>
      </c>
      <c r="N19" s="17" t="s">
        <v>1143</v>
      </c>
    </row>
    <row r="20" spans="3:14" x14ac:dyDescent="0.35">
      <c r="C20" s="73"/>
      <c r="D20" s="73"/>
      <c r="E20" s="73"/>
      <c r="F20" s="73"/>
      <c r="G20" s="73"/>
      <c r="J20" s="17" t="s">
        <v>624</v>
      </c>
      <c r="K20" s="17">
        <v>15719.71</v>
      </c>
      <c r="L20" s="17" t="s">
        <v>5</v>
      </c>
      <c r="M20" s="17">
        <v>464617</v>
      </c>
      <c r="N20" s="17" t="s">
        <v>1144</v>
      </c>
    </row>
    <row r="21" spans="3:14" x14ac:dyDescent="0.35">
      <c r="C21" s="73"/>
      <c r="D21" s="73"/>
      <c r="E21" s="73"/>
      <c r="F21" s="73"/>
      <c r="G21" s="73"/>
      <c r="J21" s="17" t="s">
        <v>358</v>
      </c>
      <c r="K21" s="17">
        <v>122.81</v>
      </c>
      <c r="L21" s="17" t="s">
        <v>5</v>
      </c>
      <c r="M21" s="17">
        <v>1228116</v>
      </c>
      <c r="N21" s="17" t="s">
        <v>1145</v>
      </c>
    </row>
    <row r="22" spans="3:14" x14ac:dyDescent="0.35">
      <c r="C22" s="73"/>
      <c r="D22" s="73"/>
      <c r="E22" s="73"/>
      <c r="F22" s="73"/>
      <c r="G22" s="73"/>
      <c r="J22" s="17"/>
      <c r="K22" s="17"/>
      <c r="L22" s="17"/>
      <c r="M22" s="17"/>
      <c r="N22" s="17"/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6D82F-B95C-4A34-98E6-0B2A21556A35}">
  <dimension ref="C4:N90"/>
  <sheetViews>
    <sheetView topLeftCell="A12" workbookViewId="0">
      <selection activeCell="C13" sqref="C13:Q24"/>
    </sheetView>
  </sheetViews>
  <sheetFormatPr baseColWidth="10" defaultRowHeight="14.5" x14ac:dyDescent="0.35"/>
  <sheetData>
    <row r="4" spans="3:14" x14ac:dyDescent="0.35">
      <c r="C4" s="75" t="s">
        <v>70</v>
      </c>
      <c r="D4" s="67"/>
    </row>
    <row r="5" spans="3:14" x14ac:dyDescent="0.35">
      <c r="C5" s="73" t="s">
        <v>71</v>
      </c>
      <c r="D5" s="73">
        <f>SUM(D13:D69)</f>
        <v>-89750</v>
      </c>
    </row>
    <row r="6" spans="3:14" x14ac:dyDescent="0.35">
      <c r="C6" s="17" t="s">
        <v>12</v>
      </c>
      <c r="D6" s="17">
        <f>SUM(K13:K41)</f>
        <v>86451.12999999999</v>
      </c>
    </row>
    <row r="7" spans="3:14" x14ac:dyDescent="0.35">
      <c r="C7" s="27" t="s">
        <v>1</v>
      </c>
      <c r="D7" s="27">
        <f>D5+D6</f>
        <v>-3298.8700000000099</v>
      </c>
    </row>
    <row r="11" spans="3:14" ht="39.5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72.5" x14ac:dyDescent="0.35">
      <c r="C13" s="73" t="s">
        <v>674</v>
      </c>
      <c r="D13" s="73">
        <v>-89750</v>
      </c>
      <c r="E13" s="73" t="s">
        <v>1146</v>
      </c>
      <c r="F13" s="73">
        <v>91998360000</v>
      </c>
      <c r="G13" s="182" t="s">
        <v>1147</v>
      </c>
      <c r="J13" s="17" t="s">
        <v>409</v>
      </c>
      <c r="K13" s="17">
        <v>10758.32</v>
      </c>
      <c r="L13" s="17" t="s">
        <v>5</v>
      </c>
      <c r="M13" s="17">
        <v>271987131</v>
      </c>
      <c r="N13" s="17" t="s">
        <v>1148</v>
      </c>
    </row>
    <row r="14" spans="3:14" x14ac:dyDescent="0.35">
      <c r="C14" s="73"/>
      <c r="D14" s="73"/>
      <c r="E14" s="73"/>
      <c r="F14" s="73"/>
      <c r="G14" s="73"/>
      <c r="J14" s="17" t="s">
        <v>421</v>
      </c>
      <c r="K14" s="17">
        <v>15670.8</v>
      </c>
      <c r="L14" s="17" t="s">
        <v>5</v>
      </c>
      <c r="M14" s="17">
        <v>271466624</v>
      </c>
      <c r="N14" s="17" t="s">
        <v>1149</v>
      </c>
    </row>
    <row r="15" spans="3:14" x14ac:dyDescent="0.35">
      <c r="C15" s="73"/>
      <c r="D15" s="73"/>
      <c r="E15" s="73"/>
      <c r="F15" s="73"/>
      <c r="G15" s="73"/>
      <c r="J15" s="17" t="s">
        <v>441</v>
      </c>
      <c r="K15" s="17">
        <v>38221.99</v>
      </c>
      <c r="L15" s="17" t="s">
        <v>5</v>
      </c>
      <c r="M15" s="17">
        <v>270836094</v>
      </c>
      <c r="N15" s="17" t="s">
        <v>1150</v>
      </c>
    </row>
    <row r="16" spans="3:14" x14ac:dyDescent="0.35">
      <c r="C16" s="73"/>
      <c r="D16" s="78"/>
      <c r="E16" s="79"/>
      <c r="F16" s="73"/>
      <c r="G16" s="73"/>
      <c r="J16" s="17" t="s">
        <v>728</v>
      </c>
      <c r="K16" s="17">
        <v>2849.23</v>
      </c>
      <c r="L16" s="17" t="s">
        <v>5</v>
      </c>
      <c r="M16" s="17">
        <v>276836801</v>
      </c>
      <c r="N16" s="17" t="s">
        <v>1151</v>
      </c>
    </row>
    <row r="17" spans="3:14" x14ac:dyDescent="0.35">
      <c r="C17" s="73"/>
      <c r="D17" s="73"/>
      <c r="E17" s="73"/>
      <c r="F17" s="73"/>
      <c r="G17" s="73"/>
      <c r="J17" s="17" t="s">
        <v>737</v>
      </c>
      <c r="K17" s="17">
        <v>7712.59</v>
      </c>
      <c r="L17" s="17" t="s">
        <v>5</v>
      </c>
      <c r="M17" s="17">
        <v>274667298</v>
      </c>
      <c r="N17" s="17" t="s">
        <v>1152</v>
      </c>
    </row>
    <row r="18" spans="3:14" x14ac:dyDescent="0.35">
      <c r="C18" s="73"/>
      <c r="D18" s="79"/>
      <c r="E18" s="73"/>
      <c r="F18" s="73"/>
      <c r="G18" s="73"/>
      <c r="J18" s="17" t="s">
        <v>772</v>
      </c>
      <c r="K18" s="17">
        <v>11238.2</v>
      </c>
      <c r="L18" s="17" t="s">
        <v>5</v>
      </c>
      <c r="M18" s="17">
        <v>273203918</v>
      </c>
      <c r="N18" s="17" t="s">
        <v>1153</v>
      </c>
    </row>
    <row r="19" spans="3:14" x14ac:dyDescent="0.35">
      <c r="C19" s="73"/>
      <c r="D19" s="73"/>
      <c r="E19" s="73"/>
      <c r="F19" s="73"/>
      <c r="G19" s="73"/>
      <c r="J19" s="17"/>
      <c r="K19" s="17"/>
      <c r="L19" s="17"/>
      <c r="M19" s="17"/>
      <c r="N19" s="17"/>
    </row>
    <row r="20" spans="3:14" x14ac:dyDescent="0.35">
      <c r="C20" s="73"/>
      <c r="D20" s="73"/>
      <c r="E20" s="73"/>
      <c r="F20" s="73"/>
      <c r="G20" s="73"/>
      <c r="J20" s="17"/>
      <c r="K20" s="17"/>
      <c r="L20" s="17"/>
      <c r="M20" s="17"/>
      <c r="N20" s="17"/>
    </row>
    <row r="21" spans="3:14" x14ac:dyDescent="0.35">
      <c r="C21" s="73"/>
      <c r="D21" s="73"/>
      <c r="E21" s="73"/>
      <c r="F21" s="73"/>
      <c r="G21" s="73"/>
      <c r="J21" s="17"/>
      <c r="K21" s="17"/>
      <c r="L21" s="17"/>
      <c r="M21" s="17"/>
      <c r="N21" s="17"/>
    </row>
    <row r="22" spans="3:14" x14ac:dyDescent="0.35">
      <c r="C22" s="73"/>
      <c r="D22" s="73"/>
      <c r="E22" s="73"/>
      <c r="F22" s="73"/>
      <c r="G22" s="73"/>
      <c r="J22" s="17"/>
      <c r="K22" s="17"/>
      <c r="L22" s="17"/>
      <c r="M22" s="17"/>
      <c r="N22" s="17"/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F98C5-C9B0-4AEC-9402-48EA812853DF}">
  <dimension ref="A80:E336"/>
  <sheetViews>
    <sheetView topLeftCell="A71" zoomScale="95" workbookViewId="0">
      <selection activeCell="A81" sqref="A81:H314"/>
    </sheetView>
  </sheetViews>
  <sheetFormatPr baseColWidth="10" defaultColWidth="8.7265625" defaultRowHeight="14.5" x14ac:dyDescent="0.35"/>
  <sheetData>
    <row r="80" spans="1:5" x14ac:dyDescent="0.35">
      <c r="A80" t="s">
        <v>21</v>
      </c>
      <c r="B80" t="s">
        <v>22</v>
      </c>
      <c r="C80" t="s">
        <v>23</v>
      </c>
      <c r="D80" t="s">
        <v>24</v>
      </c>
      <c r="E80" t="s">
        <v>25</v>
      </c>
    </row>
    <row r="81" spans="1:5" x14ac:dyDescent="0.35">
      <c r="A81" t="s">
        <v>384</v>
      </c>
      <c r="B81">
        <v>2508.1799999999998</v>
      </c>
      <c r="C81" t="s">
        <v>5</v>
      </c>
      <c r="D81">
        <v>1212071</v>
      </c>
      <c r="E81" t="s">
        <v>385</v>
      </c>
    </row>
    <row r="82" spans="1:5" x14ac:dyDescent="0.35">
      <c r="A82" t="s">
        <v>386</v>
      </c>
      <c r="B82">
        <v>1371.5</v>
      </c>
      <c r="C82" t="s">
        <v>5</v>
      </c>
      <c r="D82">
        <v>1434591</v>
      </c>
      <c r="E82" t="s">
        <v>387</v>
      </c>
    </row>
    <row r="83" spans="1:5" x14ac:dyDescent="0.35">
      <c r="A83" t="s">
        <v>388</v>
      </c>
      <c r="B83">
        <v>44.21</v>
      </c>
      <c r="C83" t="s">
        <v>5</v>
      </c>
      <c r="D83">
        <v>256920021</v>
      </c>
      <c r="E83" t="s">
        <v>389</v>
      </c>
    </row>
    <row r="84" spans="1:5" x14ac:dyDescent="0.35">
      <c r="A84" t="s">
        <v>388</v>
      </c>
      <c r="B84">
        <v>1030.58</v>
      </c>
      <c r="C84" t="s">
        <v>5</v>
      </c>
      <c r="D84">
        <v>256888104</v>
      </c>
      <c r="E84" t="s">
        <v>390</v>
      </c>
    </row>
    <row r="85" spans="1:5" x14ac:dyDescent="0.35">
      <c r="A85" t="s">
        <v>391</v>
      </c>
      <c r="B85">
        <v>1998.29</v>
      </c>
      <c r="C85" t="s">
        <v>5</v>
      </c>
      <c r="D85">
        <v>1098105</v>
      </c>
      <c r="E85" t="s">
        <v>392</v>
      </c>
    </row>
    <row r="86" spans="1:5" x14ac:dyDescent="0.35">
      <c r="A86" t="s">
        <v>393</v>
      </c>
      <c r="B86">
        <v>2164.3200000000002</v>
      </c>
      <c r="C86" t="s">
        <v>5</v>
      </c>
      <c r="D86">
        <v>1242010</v>
      </c>
      <c r="E86" t="s">
        <v>394</v>
      </c>
    </row>
    <row r="87" spans="1:5" x14ac:dyDescent="0.35">
      <c r="A87" t="s">
        <v>395</v>
      </c>
      <c r="B87">
        <v>2355.87</v>
      </c>
      <c r="C87" t="s">
        <v>5</v>
      </c>
      <c r="D87">
        <v>1108088</v>
      </c>
      <c r="E87" t="s">
        <v>396</v>
      </c>
    </row>
    <row r="88" spans="1:5" x14ac:dyDescent="0.35">
      <c r="A88" t="s">
        <v>397</v>
      </c>
      <c r="B88">
        <v>71.72</v>
      </c>
      <c r="C88" t="s">
        <v>5</v>
      </c>
      <c r="D88">
        <v>607955</v>
      </c>
      <c r="E88" t="s">
        <v>398</v>
      </c>
    </row>
    <row r="89" spans="1:5" x14ac:dyDescent="0.35">
      <c r="A89" t="s">
        <v>399</v>
      </c>
      <c r="B89">
        <v>798.71</v>
      </c>
      <c r="C89" t="s">
        <v>5</v>
      </c>
      <c r="D89">
        <v>272451718</v>
      </c>
      <c r="E89" t="s">
        <v>400</v>
      </c>
    </row>
    <row r="90" spans="1:5" x14ac:dyDescent="0.35">
      <c r="A90" t="s">
        <v>401</v>
      </c>
      <c r="B90">
        <v>610.12</v>
      </c>
      <c r="C90" t="s">
        <v>5</v>
      </c>
      <c r="D90">
        <v>256521569</v>
      </c>
      <c r="E90" t="s">
        <v>402</v>
      </c>
    </row>
    <row r="91" spans="1:5" x14ac:dyDescent="0.35">
      <c r="A91" t="s">
        <v>403</v>
      </c>
      <c r="B91">
        <v>1606.29</v>
      </c>
      <c r="C91" t="s">
        <v>5</v>
      </c>
      <c r="D91">
        <v>1029196</v>
      </c>
      <c r="E91" t="s">
        <v>404</v>
      </c>
    </row>
    <row r="92" spans="1:5" x14ac:dyDescent="0.35">
      <c r="A92" t="s">
        <v>405</v>
      </c>
      <c r="B92">
        <v>1770.42</v>
      </c>
      <c r="C92" t="s">
        <v>5</v>
      </c>
      <c r="D92">
        <v>476321</v>
      </c>
      <c r="E92" t="s">
        <v>406</v>
      </c>
    </row>
    <row r="93" spans="1:5" x14ac:dyDescent="0.35">
      <c r="A93" t="s">
        <v>407</v>
      </c>
      <c r="B93">
        <v>247.58</v>
      </c>
      <c r="C93" t="s">
        <v>5</v>
      </c>
      <c r="D93">
        <v>288632593</v>
      </c>
      <c r="E93" t="s">
        <v>408</v>
      </c>
    </row>
    <row r="94" spans="1:5" x14ac:dyDescent="0.35">
      <c r="A94" t="s">
        <v>409</v>
      </c>
      <c r="B94">
        <v>627.79</v>
      </c>
      <c r="C94" t="s">
        <v>5</v>
      </c>
      <c r="D94">
        <v>271975132</v>
      </c>
      <c r="E94" t="s">
        <v>410</v>
      </c>
    </row>
    <row r="95" spans="1:5" x14ac:dyDescent="0.35">
      <c r="A95" t="s">
        <v>411</v>
      </c>
      <c r="B95">
        <v>1261.44</v>
      </c>
      <c r="C95" t="s">
        <v>5</v>
      </c>
      <c r="D95">
        <v>1037594</v>
      </c>
      <c r="E95" t="s">
        <v>412</v>
      </c>
    </row>
    <row r="96" spans="1:5" x14ac:dyDescent="0.35">
      <c r="A96" t="s">
        <v>413</v>
      </c>
      <c r="B96">
        <v>4527.1899999999996</v>
      </c>
      <c r="C96" t="s">
        <v>5</v>
      </c>
      <c r="D96">
        <v>941221</v>
      </c>
      <c r="E96" t="s">
        <v>414</v>
      </c>
    </row>
    <row r="97" spans="1:5" x14ac:dyDescent="0.35">
      <c r="A97" t="s">
        <v>413</v>
      </c>
      <c r="B97">
        <v>1619.07</v>
      </c>
      <c r="C97" t="s">
        <v>5</v>
      </c>
      <c r="D97">
        <v>941095</v>
      </c>
      <c r="E97" t="s">
        <v>415</v>
      </c>
    </row>
    <row r="98" spans="1:5" x14ac:dyDescent="0.35">
      <c r="A98" t="s">
        <v>413</v>
      </c>
      <c r="B98">
        <v>3027.99</v>
      </c>
      <c r="C98" t="s">
        <v>5</v>
      </c>
      <c r="D98">
        <v>941220</v>
      </c>
      <c r="E98" t="s">
        <v>416</v>
      </c>
    </row>
    <row r="99" spans="1:5" x14ac:dyDescent="0.35">
      <c r="A99" t="s">
        <v>417</v>
      </c>
      <c r="B99">
        <v>1819.5</v>
      </c>
      <c r="C99" t="s">
        <v>5</v>
      </c>
      <c r="D99">
        <v>1311596</v>
      </c>
      <c r="E99" t="s">
        <v>418</v>
      </c>
    </row>
    <row r="100" spans="1:5" x14ac:dyDescent="0.35">
      <c r="A100" t="s">
        <v>419</v>
      </c>
      <c r="B100">
        <v>533.47</v>
      </c>
      <c r="C100" t="s">
        <v>5</v>
      </c>
      <c r="D100">
        <v>288100631</v>
      </c>
      <c r="E100" t="s">
        <v>420</v>
      </c>
    </row>
    <row r="101" spans="1:5" x14ac:dyDescent="0.35">
      <c r="A101" t="s">
        <v>421</v>
      </c>
      <c r="B101">
        <v>961.8</v>
      </c>
      <c r="C101" t="s">
        <v>5</v>
      </c>
      <c r="D101">
        <v>271492384</v>
      </c>
      <c r="E101" t="s">
        <v>422</v>
      </c>
    </row>
    <row r="102" spans="1:5" x14ac:dyDescent="0.35">
      <c r="A102" t="s">
        <v>421</v>
      </c>
      <c r="B102">
        <v>315.37</v>
      </c>
      <c r="C102" t="s">
        <v>5</v>
      </c>
      <c r="D102">
        <v>271457987</v>
      </c>
      <c r="E102" t="s">
        <v>423</v>
      </c>
    </row>
    <row r="103" spans="1:5" x14ac:dyDescent="0.35">
      <c r="A103" t="s">
        <v>421</v>
      </c>
      <c r="B103">
        <v>128.69999999999999</v>
      </c>
      <c r="C103" t="s">
        <v>5</v>
      </c>
      <c r="D103">
        <v>271469727</v>
      </c>
      <c r="E103" t="s">
        <v>424</v>
      </c>
    </row>
    <row r="104" spans="1:5" x14ac:dyDescent="0.35">
      <c r="A104" t="s">
        <v>425</v>
      </c>
      <c r="B104">
        <v>1350.83</v>
      </c>
      <c r="C104" t="s">
        <v>5</v>
      </c>
      <c r="D104">
        <v>816783</v>
      </c>
      <c r="E104" t="s">
        <v>426</v>
      </c>
    </row>
    <row r="105" spans="1:5" x14ac:dyDescent="0.35">
      <c r="A105" t="s">
        <v>425</v>
      </c>
      <c r="B105">
        <v>1704.48</v>
      </c>
      <c r="C105" t="s">
        <v>5</v>
      </c>
      <c r="D105">
        <v>772351</v>
      </c>
      <c r="E105" t="s">
        <v>427</v>
      </c>
    </row>
    <row r="106" spans="1:5" x14ac:dyDescent="0.35">
      <c r="A106" t="s">
        <v>428</v>
      </c>
      <c r="B106">
        <v>2131.85</v>
      </c>
      <c r="C106" t="s">
        <v>5</v>
      </c>
      <c r="D106">
        <v>985320</v>
      </c>
      <c r="E106" t="s">
        <v>429</v>
      </c>
    </row>
    <row r="107" spans="1:5" x14ac:dyDescent="0.35">
      <c r="A107" t="s">
        <v>430</v>
      </c>
      <c r="B107">
        <v>1930.5</v>
      </c>
      <c r="C107" t="s">
        <v>5</v>
      </c>
      <c r="D107">
        <v>1158256</v>
      </c>
      <c r="E107" t="s">
        <v>431</v>
      </c>
    </row>
    <row r="108" spans="1:5" x14ac:dyDescent="0.35">
      <c r="A108" t="s">
        <v>432</v>
      </c>
      <c r="B108">
        <v>1240.82</v>
      </c>
      <c r="C108" t="s">
        <v>5</v>
      </c>
      <c r="D108">
        <v>836512</v>
      </c>
      <c r="E108" t="s">
        <v>433</v>
      </c>
    </row>
    <row r="109" spans="1:5" x14ac:dyDescent="0.35">
      <c r="A109" t="s">
        <v>434</v>
      </c>
      <c r="B109">
        <v>1566.03</v>
      </c>
      <c r="C109" t="s">
        <v>5</v>
      </c>
      <c r="D109">
        <v>1194854</v>
      </c>
      <c r="E109" t="s">
        <v>435</v>
      </c>
    </row>
    <row r="110" spans="1:5" x14ac:dyDescent="0.35">
      <c r="A110" t="s">
        <v>436</v>
      </c>
      <c r="B110">
        <v>447.03</v>
      </c>
      <c r="C110" t="s">
        <v>5</v>
      </c>
      <c r="D110">
        <v>287509045</v>
      </c>
      <c r="E110" t="s">
        <v>437</v>
      </c>
    </row>
    <row r="111" spans="1:5" x14ac:dyDescent="0.35">
      <c r="A111" t="s">
        <v>436</v>
      </c>
      <c r="B111">
        <v>113.97</v>
      </c>
      <c r="C111" t="s">
        <v>5</v>
      </c>
      <c r="D111">
        <v>287523111</v>
      </c>
      <c r="E111" t="s">
        <v>438</v>
      </c>
    </row>
    <row r="112" spans="1:5" x14ac:dyDescent="0.35">
      <c r="A112" t="s">
        <v>436</v>
      </c>
      <c r="B112">
        <v>695.58</v>
      </c>
      <c r="C112" t="s">
        <v>5</v>
      </c>
      <c r="D112">
        <v>287528497</v>
      </c>
      <c r="E112" t="s">
        <v>439</v>
      </c>
    </row>
    <row r="113" spans="1:5" x14ac:dyDescent="0.35">
      <c r="A113" t="s">
        <v>436</v>
      </c>
      <c r="B113">
        <v>49.12</v>
      </c>
      <c r="C113" t="s">
        <v>5</v>
      </c>
      <c r="D113">
        <v>287568937</v>
      </c>
      <c r="E113" t="s">
        <v>440</v>
      </c>
    </row>
    <row r="114" spans="1:5" x14ac:dyDescent="0.35">
      <c r="A114" t="s">
        <v>441</v>
      </c>
      <c r="B114">
        <v>359.57</v>
      </c>
      <c r="C114" t="s">
        <v>5</v>
      </c>
      <c r="D114">
        <v>270835279</v>
      </c>
      <c r="E114" t="s">
        <v>442</v>
      </c>
    </row>
    <row r="115" spans="1:5" x14ac:dyDescent="0.35">
      <c r="A115" t="s">
        <v>443</v>
      </c>
      <c r="B115">
        <v>2879.56</v>
      </c>
      <c r="C115" t="s">
        <v>5</v>
      </c>
      <c r="D115">
        <v>255520038</v>
      </c>
      <c r="E115" t="s">
        <v>444</v>
      </c>
    </row>
    <row r="116" spans="1:5" x14ac:dyDescent="0.35">
      <c r="A116" t="s">
        <v>445</v>
      </c>
      <c r="B116">
        <v>1090.5</v>
      </c>
      <c r="C116" t="s">
        <v>5</v>
      </c>
      <c r="D116">
        <v>930873</v>
      </c>
      <c r="E116" t="s">
        <v>446</v>
      </c>
    </row>
    <row r="117" spans="1:5" x14ac:dyDescent="0.35">
      <c r="A117" t="s">
        <v>445</v>
      </c>
      <c r="B117">
        <v>684.75</v>
      </c>
      <c r="C117" t="s">
        <v>5</v>
      </c>
      <c r="D117">
        <v>930871</v>
      </c>
      <c r="E117" t="s">
        <v>447</v>
      </c>
    </row>
    <row r="118" spans="1:5" x14ac:dyDescent="0.35">
      <c r="A118" t="s">
        <v>445</v>
      </c>
      <c r="B118">
        <v>1681.96</v>
      </c>
      <c r="C118" t="s">
        <v>5</v>
      </c>
      <c r="D118">
        <v>930872</v>
      </c>
      <c r="E118" t="s">
        <v>448</v>
      </c>
    </row>
    <row r="119" spans="1:5" x14ac:dyDescent="0.35">
      <c r="A119" t="s">
        <v>449</v>
      </c>
      <c r="B119">
        <v>2325.4699999999998</v>
      </c>
      <c r="C119" t="s">
        <v>5</v>
      </c>
      <c r="D119">
        <v>1098733</v>
      </c>
      <c r="E119" t="s">
        <v>450</v>
      </c>
    </row>
    <row r="120" spans="1:5" x14ac:dyDescent="0.35">
      <c r="A120" t="s">
        <v>451</v>
      </c>
      <c r="B120">
        <v>1037.49</v>
      </c>
      <c r="C120" t="s">
        <v>5</v>
      </c>
      <c r="D120">
        <v>392660</v>
      </c>
      <c r="E120" t="s">
        <v>452</v>
      </c>
    </row>
    <row r="121" spans="1:5" x14ac:dyDescent="0.35">
      <c r="A121" t="s">
        <v>453</v>
      </c>
      <c r="B121">
        <v>566.85</v>
      </c>
      <c r="C121" t="s">
        <v>5</v>
      </c>
      <c r="D121">
        <v>1101037</v>
      </c>
      <c r="E121" t="s">
        <v>454</v>
      </c>
    </row>
    <row r="122" spans="1:5" x14ac:dyDescent="0.35">
      <c r="A122" t="s">
        <v>453</v>
      </c>
      <c r="B122">
        <v>611.1</v>
      </c>
      <c r="C122" t="s">
        <v>5</v>
      </c>
      <c r="D122">
        <v>1101018</v>
      </c>
      <c r="E122" t="s">
        <v>455</v>
      </c>
    </row>
    <row r="123" spans="1:5" x14ac:dyDescent="0.35">
      <c r="A123" t="s">
        <v>453</v>
      </c>
      <c r="B123">
        <v>1211.3499999999999</v>
      </c>
      <c r="C123" t="s">
        <v>5</v>
      </c>
      <c r="D123">
        <v>1101019</v>
      </c>
      <c r="E123" t="s">
        <v>456</v>
      </c>
    </row>
    <row r="124" spans="1:5" x14ac:dyDescent="0.35">
      <c r="A124" t="s">
        <v>457</v>
      </c>
      <c r="B124">
        <v>172.91</v>
      </c>
      <c r="C124" t="s">
        <v>5</v>
      </c>
      <c r="D124">
        <v>286828193</v>
      </c>
      <c r="E124" t="s">
        <v>458</v>
      </c>
    </row>
    <row r="125" spans="1:5" x14ac:dyDescent="0.35">
      <c r="A125" t="s">
        <v>459</v>
      </c>
      <c r="B125">
        <v>2175.09</v>
      </c>
      <c r="C125" t="s">
        <v>5</v>
      </c>
      <c r="D125">
        <v>255023373</v>
      </c>
      <c r="E125" t="s">
        <v>460</v>
      </c>
    </row>
    <row r="126" spans="1:5" x14ac:dyDescent="0.35">
      <c r="A126" t="s">
        <v>461</v>
      </c>
      <c r="B126">
        <v>1921.6</v>
      </c>
      <c r="C126" t="s">
        <v>5</v>
      </c>
      <c r="D126">
        <v>764313</v>
      </c>
      <c r="E126" t="s">
        <v>462</v>
      </c>
    </row>
    <row r="127" spans="1:5" x14ac:dyDescent="0.35">
      <c r="A127" t="s">
        <v>463</v>
      </c>
      <c r="B127">
        <v>1973.7</v>
      </c>
      <c r="C127" t="s">
        <v>5</v>
      </c>
      <c r="D127">
        <v>869611</v>
      </c>
      <c r="E127" t="s">
        <v>464</v>
      </c>
    </row>
    <row r="128" spans="1:5" x14ac:dyDescent="0.35">
      <c r="A128" t="s">
        <v>465</v>
      </c>
      <c r="B128">
        <v>1384.32</v>
      </c>
      <c r="C128" t="s">
        <v>5</v>
      </c>
      <c r="D128">
        <v>1025919</v>
      </c>
      <c r="E128" t="s">
        <v>466</v>
      </c>
    </row>
    <row r="129" spans="1:5" x14ac:dyDescent="0.35">
      <c r="A129" t="s">
        <v>465</v>
      </c>
      <c r="B129">
        <v>1742.95</v>
      </c>
      <c r="C129" t="s">
        <v>5</v>
      </c>
      <c r="D129">
        <v>1025924</v>
      </c>
      <c r="E129" t="s">
        <v>467</v>
      </c>
    </row>
    <row r="130" spans="1:5" x14ac:dyDescent="0.35">
      <c r="A130" t="s">
        <v>465</v>
      </c>
      <c r="B130">
        <v>1985.53</v>
      </c>
      <c r="C130" t="s">
        <v>5</v>
      </c>
      <c r="D130">
        <v>1025921</v>
      </c>
      <c r="E130" t="s">
        <v>468</v>
      </c>
    </row>
    <row r="131" spans="1:5" x14ac:dyDescent="0.35">
      <c r="A131" t="s">
        <v>469</v>
      </c>
      <c r="B131">
        <v>1443.25</v>
      </c>
      <c r="C131" t="s">
        <v>5</v>
      </c>
      <c r="D131">
        <v>294675</v>
      </c>
      <c r="E131" t="s">
        <v>470</v>
      </c>
    </row>
    <row r="132" spans="1:5" x14ac:dyDescent="0.35">
      <c r="A132" t="s">
        <v>471</v>
      </c>
      <c r="B132">
        <v>1351.85</v>
      </c>
      <c r="C132" t="s">
        <v>5</v>
      </c>
      <c r="D132">
        <v>979339</v>
      </c>
      <c r="E132" t="s">
        <v>472</v>
      </c>
    </row>
    <row r="133" spans="1:5" x14ac:dyDescent="0.35">
      <c r="A133" t="s">
        <v>473</v>
      </c>
      <c r="B133">
        <v>2189.8200000000002</v>
      </c>
      <c r="C133" t="s">
        <v>5</v>
      </c>
      <c r="D133">
        <v>254626096</v>
      </c>
      <c r="E133" t="s">
        <v>474</v>
      </c>
    </row>
    <row r="134" spans="1:5" x14ac:dyDescent="0.35">
      <c r="A134" t="s">
        <v>473</v>
      </c>
      <c r="B134">
        <v>426.4</v>
      </c>
      <c r="C134" t="s">
        <v>5</v>
      </c>
      <c r="D134">
        <v>253364197</v>
      </c>
      <c r="E134" t="s">
        <v>475</v>
      </c>
    </row>
    <row r="135" spans="1:5" x14ac:dyDescent="0.35">
      <c r="A135" t="s">
        <v>473</v>
      </c>
      <c r="B135">
        <v>994.24</v>
      </c>
      <c r="C135" t="s">
        <v>5</v>
      </c>
      <c r="D135">
        <v>253391138</v>
      </c>
      <c r="E135" t="s">
        <v>476</v>
      </c>
    </row>
    <row r="136" spans="1:5" x14ac:dyDescent="0.35">
      <c r="A136" t="s">
        <v>477</v>
      </c>
      <c r="B136">
        <v>1287.97</v>
      </c>
      <c r="C136" t="s">
        <v>5</v>
      </c>
      <c r="D136">
        <v>938553</v>
      </c>
      <c r="E136" t="s">
        <v>478</v>
      </c>
    </row>
    <row r="137" spans="1:5" x14ac:dyDescent="0.35">
      <c r="A137" t="s">
        <v>479</v>
      </c>
      <c r="B137">
        <v>1350.81</v>
      </c>
      <c r="C137" t="s">
        <v>5</v>
      </c>
      <c r="D137">
        <v>770108</v>
      </c>
      <c r="E137" t="s">
        <v>480</v>
      </c>
    </row>
    <row r="138" spans="1:5" x14ac:dyDescent="0.35">
      <c r="A138" t="s">
        <v>481</v>
      </c>
      <c r="B138">
        <v>820.38</v>
      </c>
      <c r="C138" t="s">
        <v>5</v>
      </c>
      <c r="D138">
        <v>213902</v>
      </c>
      <c r="E138" t="s">
        <v>482</v>
      </c>
    </row>
    <row r="139" spans="1:5" x14ac:dyDescent="0.35">
      <c r="A139" t="s">
        <v>483</v>
      </c>
      <c r="B139">
        <v>1522.75</v>
      </c>
      <c r="C139" t="s">
        <v>5</v>
      </c>
      <c r="D139">
        <v>270323196</v>
      </c>
      <c r="E139" t="s">
        <v>484</v>
      </c>
    </row>
    <row r="140" spans="1:5" x14ac:dyDescent="0.35">
      <c r="A140" t="s">
        <v>485</v>
      </c>
      <c r="B140">
        <v>2050.38</v>
      </c>
      <c r="C140" t="s">
        <v>5</v>
      </c>
      <c r="D140">
        <v>253368757</v>
      </c>
      <c r="E140" t="s">
        <v>486</v>
      </c>
    </row>
    <row r="141" spans="1:5" x14ac:dyDescent="0.35">
      <c r="A141" t="s">
        <v>487</v>
      </c>
      <c r="B141">
        <v>27.51</v>
      </c>
      <c r="C141" t="s">
        <v>5</v>
      </c>
      <c r="D141">
        <v>590856</v>
      </c>
      <c r="E141" t="s">
        <v>488</v>
      </c>
    </row>
    <row r="142" spans="1:5" x14ac:dyDescent="0.35">
      <c r="A142" t="s">
        <v>487</v>
      </c>
      <c r="B142">
        <v>37.33</v>
      </c>
      <c r="C142" t="s">
        <v>5</v>
      </c>
      <c r="D142">
        <v>590754</v>
      </c>
      <c r="E142" t="s">
        <v>489</v>
      </c>
    </row>
    <row r="143" spans="1:5" x14ac:dyDescent="0.35">
      <c r="A143" t="s">
        <v>490</v>
      </c>
      <c r="B143">
        <v>29.47</v>
      </c>
      <c r="C143" t="s">
        <v>5</v>
      </c>
      <c r="D143">
        <v>278224</v>
      </c>
      <c r="E143" t="s">
        <v>491</v>
      </c>
    </row>
    <row r="144" spans="1:5" x14ac:dyDescent="0.35">
      <c r="A144" t="s">
        <v>492</v>
      </c>
      <c r="B144">
        <v>1927.56</v>
      </c>
      <c r="C144" t="s">
        <v>5</v>
      </c>
      <c r="D144">
        <v>672524</v>
      </c>
      <c r="E144" t="s">
        <v>493</v>
      </c>
    </row>
    <row r="145" spans="1:5" x14ac:dyDescent="0.35">
      <c r="A145" t="s">
        <v>494</v>
      </c>
      <c r="B145">
        <v>379.25</v>
      </c>
      <c r="C145" t="s">
        <v>5</v>
      </c>
      <c r="D145">
        <v>129596</v>
      </c>
      <c r="E145" t="s">
        <v>495</v>
      </c>
    </row>
    <row r="146" spans="1:5" x14ac:dyDescent="0.35">
      <c r="A146" t="s">
        <v>494</v>
      </c>
      <c r="B146">
        <v>1535.56</v>
      </c>
      <c r="C146" t="s">
        <v>5</v>
      </c>
      <c r="D146">
        <v>129870</v>
      </c>
      <c r="E146" t="s">
        <v>496</v>
      </c>
    </row>
    <row r="147" spans="1:5" x14ac:dyDescent="0.35">
      <c r="A147" t="s">
        <v>494</v>
      </c>
      <c r="B147">
        <v>1176.02</v>
      </c>
      <c r="C147" t="s">
        <v>5</v>
      </c>
      <c r="D147">
        <v>129594</v>
      </c>
      <c r="E147" t="s">
        <v>497</v>
      </c>
    </row>
    <row r="148" spans="1:5" x14ac:dyDescent="0.35">
      <c r="A148" t="s">
        <v>498</v>
      </c>
      <c r="B148">
        <v>435.22</v>
      </c>
      <c r="C148" t="s">
        <v>5</v>
      </c>
      <c r="D148">
        <v>269052142</v>
      </c>
      <c r="E148" t="s">
        <v>499</v>
      </c>
    </row>
    <row r="149" spans="1:5" x14ac:dyDescent="0.35">
      <c r="A149" t="s">
        <v>331</v>
      </c>
      <c r="B149">
        <v>657.27</v>
      </c>
      <c r="C149" t="s">
        <v>5</v>
      </c>
      <c r="D149">
        <v>252470701</v>
      </c>
      <c r="E149" t="s">
        <v>500</v>
      </c>
    </row>
    <row r="150" spans="1:5" x14ac:dyDescent="0.35">
      <c r="A150" t="s">
        <v>501</v>
      </c>
      <c r="B150">
        <v>1360.69</v>
      </c>
      <c r="C150" t="s">
        <v>5</v>
      </c>
      <c r="D150">
        <v>831715</v>
      </c>
      <c r="E150" t="s">
        <v>502</v>
      </c>
    </row>
    <row r="151" spans="1:5" x14ac:dyDescent="0.35">
      <c r="A151" t="s">
        <v>503</v>
      </c>
      <c r="B151">
        <v>521.66999999999996</v>
      </c>
      <c r="C151" t="s">
        <v>5</v>
      </c>
      <c r="D151">
        <v>1466610</v>
      </c>
      <c r="E151" t="s">
        <v>504</v>
      </c>
    </row>
    <row r="152" spans="1:5" x14ac:dyDescent="0.35">
      <c r="A152" t="s">
        <v>505</v>
      </c>
      <c r="B152">
        <v>1966.89</v>
      </c>
      <c r="C152" t="s">
        <v>5</v>
      </c>
      <c r="D152">
        <v>596605</v>
      </c>
      <c r="E152" t="s">
        <v>506</v>
      </c>
    </row>
    <row r="153" spans="1:5" x14ac:dyDescent="0.35">
      <c r="A153" t="s">
        <v>507</v>
      </c>
      <c r="B153">
        <v>1210.3900000000001</v>
      </c>
      <c r="C153" t="s">
        <v>5</v>
      </c>
      <c r="D153">
        <v>1527295</v>
      </c>
      <c r="E153" t="s">
        <v>508</v>
      </c>
    </row>
    <row r="154" spans="1:5" x14ac:dyDescent="0.35">
      <c r="A154" t="s">
        <v>509</v>
      </c>
      <c r="B154">
        <v>1245.71</v>
      </c>
      <c r="C154" t="s">
        <v>5</v>
      </c>
      <c r="D154">
        <v>898381</v>
      </c>
      <c r="E154" t="s">
        <v>510</v>
      </c>
    </row>
    <row r="155" spans="1:5" x14ac:dyDescent="0.35">
      <c r="A155" t="s">
        <v>511</v>
      </c>
      <c r="B155">
        <v>514.80999999999995</v>
      </c>
      <c r="C155" t="s">
        <v>5</v>
      </c>
      <c r="D155">
        <v>285070442</v>
      </c>
      <c r="E155" t="s">
        <v>512</v>
      </c>
    </row>
    <row r="156" spans="1:5" x14ac:dyDescent="0.35">
      <c r="A156" t="s">
        <v>513</v>
      </c>
      <c r="B156">
        <v>1812.58</v>
      </c>
      <c r="C156" t="s">
        <v>5</v>
      </c>
      <c r="D156">
        <v>268559380</v>
      </c>
      <c r="E156" t="s">
        <v>514</v>
      </c>
    </row>
    <row r="157" spans="1:5" x14ac:dyDescent="0.35">
      <c r="A157" t="s">
        <v>513</v>
      </c>
      <c r="B157">
        <v>934.3</v>
      </c>
      <c r="C157" t="s">
        <v>5</v>
      </c>
      <c r="D157">
        <v>268048709</v>
      </c>
      <c r="E157" t="s">
        <v>515</v>
      </c>
    </row>
    <row r="158" spans="1:5" x14ac:dyDescent="0.35">
      <c r="A158" t="s">
        <v>513</v>
      </c>
      <c r="B158">
        <v>366.46</v>
      </c>
      <c r="C158" t="s">
        <v>5</v>
      </c>
      <c r="D158">
        <v>268070952</v>
      </c>
      <c r="E158" t="s">
        <v>516</v>
      </c>
    </row>
    <row r="159" spans="1:5" x14ac:dyDescent="0.35">
      <c r="A159" t="s">
        <v>517</v>
      </c>
      <c r="B159">
        <v>2847.09</v>
      </c>
      <c r="C159" t="s">
        <v>5</v>
      </c>
      <c r="D159">
        <v>744025</v>
      </c>
      <c r="E159" t="s">
        <v>518</v>
      </c>
    </row>
    <row r="160" spans="1:5" x14ac:dyDescent="0.35">
      <c r="A160" t="s">
        <v>519</v>
      </c>
      <c r="B160">
        <v>1805.75</v>
      </c>
      <c r="C160" t="s">
        <v>5</v>
      </c>
      <c r="D160">
        <v>881846</v>
      </c>
      <c r="E160" t="s">
        <v>520</v>
      </c>
    </row>
    <row r="161" spans="1:5" x14ac:dyDescent="0.35">
      <c r="A161" t="s">
        <v>521</v>
      </c>
      <c r="B161">
        <v>1324.32</v>
      </c>
      <c r="C161" t="s">
        <v>5</v>
      </c>
      <c r="D161">
        <v>517799</v>
      </c>
      <c r="E161" t="s">
        <v>522</v>
      </c>
    </row>
    <row r="162" spans="1:5" x14ac:dyDescent="0.35">
      <c r="A162" t="s">
        <v>521</v>
      </c>
      <c r="B162">
        <v>2183.94</v>
      </c>
      <c r="C162" t="s">
        <v>5</v>
      </c>
      <c r="D162">
        <v>517324</v>
      </c>
      <c r="E162" t="s">
        <v>523</v>
      </c>
    </row>
    <row r="163" spans="1:5" x14ac:dyDescent="0.35">
      <c r="A163" t="s">
        <v>521</v>
      </c>
      <c r="B163">
        <v>1793.01</v>
      </c>
      <c r="C163" t="s">
        <v>5</v>
      </c>
      <c r="D163">
        <v>517804</v>
      </c>
      <c r="E163" t="s">
        <v>524</v>
      </c>
    </row>
    <row r="164" spans="1:5" x14ac:dyDescent="0.35">
      <c r="A164" t="s">
        <v>525</v>
      </c>
      <c r="B164">
        <v>711.31</v>
      </c>
      <c r="C164" t="s">
        <v>5</v>
      </c>
      <c r="D164">
        <v>790146</v>
      </c>
      <c r="E164" t="s">
        <v>526</v>
      </c>
    </row>
    <row r="165" spans="1:5" x14ac:dyDescent="0.35">
      <c r="A165" t="s">
        <v>527</v>
      </c>
      <c r="B165">
        <v>589.46</v>
      </c>
      <c r="C165" t="s">
        <v>5</v>
      </c>
      <c r="D165">
        <v>284551834</v>
      </c>
      <c r="E165" t="s">
        <v>528</v>
      </c>
    </row>
    <row r="166" spans="1:5" x14ac:dyDescent="0.35">
      <c r="A166" t="s">
        <v>529</v>
      </c>
      <c r="B166">
        <v>611.08000000000004</v>
      </c>
      <c r="C166" t="s">
        <v>5</v>
      </c>
      <c r="D166">
        <v>268035427</v>
      </c>
      <c r="E166" t="s">
        <v>530</v>
      </c>
    </row>
    <row r="167" spans="1:5" x14ac:dyDescent="0.35">
      <c r="A167" t="s">
        <v>531</v>
      </c>
      <c r="B167">
        <v>1995.35</v>
      </c>
      <c r="C167" t="s">
        <v>5</v>
      </c>
      <c r="D167">
        <v>696089</v>
      </c>
      <c r="E167" t="s">
        <v>532</v>
      </c>
    </row>
    <row r="168" spans="1:5" x14ac:dyDescent="0.35">
      <c r="A168" t="s">
        <v>533</v>
      </c>
      <c r="B168">
        <v>1485.47</v>
      </c>
      <c r="C168" t="s">
        <v>5</v>
      </c>
      <c r="D168">
        <v>807235</v>
      </c>
      <c r="E168" t="s">
        <v>534</v>
      </c>
    </row>
    <row r="169" spans="1:5" x14ac:dyDescent="0.35">
      <c r="A169" t="s">
        <v>535</v>
      </c>
      <c r="B169">
        <v>1419.65</v>
      </c>
      <c r="C169" t="s">
        <v>5</v>
      </c>
      <c r="D169">
        <v>414192</v>
      </c>
      <c r="E169" t="s">
        <v>536</v>
      </c>
    </row>
    <row r="170" spans="1:5" x14ac:dyDescent="0.35">
      <c r="A170" t="s">
        <v>537</v>
      </c>
      <c r="B170">
        <v>845.86</v>
      </c>
      <c r="C170" t="s">
        <v>5</v>
      </c>
      <c r="D170">
        <v>698285</v>
      </c>
      <c r="E170" t="s">
        <v>538</v>
      </c>
    </row>
    <row r="171" spans="1:5" x14ac:dyDescent="0.35">
      <c r="A171" t="s">
        <v>539</v>
      </c>
      <c r="B171">
        <v>1001.16</v>
      </c>
      <c r="C171" t="s">
        <v>5</v>
      </c>
      <c r="D171">
        <v>283780451</v>
      </c>
      <c r="E171" t="s">
        <v>540</v>
      </c>
    </row>
    <row r="172" spans="1:5" x14ac:dyDescent="0.35">
      <c r="A172" t="s">
        <v>541</v>
      </c>
      <c r="B172">
        <v>2158.39</v>
      </c>
      <c r="C172" t="s">
        <v>5</v>
      </c>
      <c r="D172">
        <v>267224738</v>
      </c>
      <c r="E172" t="s">
        <v>542</v>
      </c>
    </row>
    <row r="173" spans="1:5" x14ac:dyDescent="0.35">
      <c r="A173" t="s">
        <v>543</v>
      </c>
      <c r="B173">
        <v>1682.94</v>
      </c>
      <c r="C173" t="s">
        <v>5</v>
      </c>
      <c r="D173">
        <v>251819929</v>
      </c>
      <c r="E173" t="s">
        <v>544</v>
      </c>
    </row>
    <row r="174" spans="1:5" x14ac:dyDescent="0.35">
      <c r="A174" t="s">
        <v>545</v>
      </c>
      <c r="B174">
        <v>1363.62</v>
      </c>
      <c r="C174" t="s">
        <v>5</v>
      </c>
      <c r="D174">
        <v>648509</v>
      </c>
      <c r="E174" t="s">
        <v>546</v>
      </c>
    </row>
    <row r="175" spans="1:5" x14ac:dyDescent="0.35">
      <c r="A175" t="s">
        <v>545</v>
      </c>
      <c r="B175">
        <v>164.07</v>
      </c>
      <c r="C175" t="s">
        <v>5</v>
      </c>
      <c r="D175">
        <v>648432</v>
      </c>
      <c r="E175" t="s">
        <v>547</v>
      </c>
    </row>
    <row r="176" spans="1:5" x14ac:dyDescent="0.35">
      <c r="A176" t="s">
        <v>545</v>
      </c>
      <c r="B176">
        <v>2998.45</v>
      </c>
      <c r="C176" t="s">
        <v>5</v>
      </c>
      <c r="D176">
        <v>648505</v>
      </c>
      <c r="E176" t="s">
        <v>548</v>
      </c>
    </row>
    <row r="177" spans="1:5" x14ac:dyDescent="0.35">
      <c r="A177" t="s">
        <v>549</v>
      </c>
      <c r="B177">
        <v>2758.69</v>
      </c>
      <c r="C177" t="s">
        <v>5</v>
      </c>
      <c r="D177">
        <v>898688</v>
      </c>
      <c r="E177" t="s">
        <v>550</v>
      </c>
    </row>
    <row r="178" spans="1:5" x14ac:dyDescent="0.35">
      <c r="A178" t="s">
        <v>551</v>
      </c>
      <c r="B178">
        <v>2346.0500000000002</v>
      </c>
      <c r="C178" t="s">
        <v>5</v>
      </c>
      <c r="D178">
        <v>742446</v>
      </c>
      <c r="E178" t="s">
        <v>552</v>
      </c>
    </row>
    <row r="179" spans="1:5" x14ac:dyDescent="0.35">
      <c r="A179" t="s">
        <v>553</v>
      </c>
      <c r="B179">
        <v>3184.11</v>
      </c>
      <c r="C179" t="s">
        <v>5</v>
      </c>
      <c r="D179">
        <v>1451306</v>
      </c>
      <c r="E179" t="s">
        <v>554</v>
      </c>
    </row>
    <row r="180" spans="1:5" x14ac:dyDescent="0.35">
      <c r="A180" t="s">
        <v>555</v>
      </c>
      <c r="B180">
        <v>609.14</v>
      </c>
      <c r="C180" t="s">
        <v>5</v>
      </c>
      <c r="D180">
        <v>591486</v>
      </c>
      <c r="E180" t="s">
        <v>556</v>
      </c>
    </row>
    <row r="181" spans="1:5" x14ac:dyDescent="0.35">
      <c r="A181" t="s">
        <v>555</v>
      </c>
      <c r="B181">
        <v>800.68</v>
      </c>
      <c r="C181" t="s">
        <v>5</v>
      </c>
      <c r="D181">
        <v>591487</v>
      </c>
      <c r="E181" t="s">
        <v>557</v>
      </c>
    </row>
    <row r="182" spans="1:5" x14ac:dyDescent="0.35">
      <c r="A182" t="s">
        <v>555</v>
      </c>
      <c r="B182">
        <v>177.83</v>
      </c>
      <c r="C182" t="s">
        <v>5</v>
      </c>
      <c r="D182">
        <v>591147</v>
      </c>
      <c r="E182" t="s">
        <v>558</v>
      </c>
    </row>
    <row r="183" spans="1:5" x14ac:dyDescent="0.35">
      <c r="A183" t="s">
        <v>559</v>
      </c>
      <c r="B183">
        <v>288.83999999999997</v>
      </c>
      <c r="C183" t="s">
        <v>5</v>
      </c>
      <c r="D183">
        <v>283095305</v>
      </c>
      <c r="E183" t="s">
        <v>560</v>
      </c>
    </row>
    <row r="184" spans="1:5" x14ac:dyDescent="0.35">
      <c r="A184" t="s">
        <v>559</v>
      </c>
      <c r="B184">
        <v>73.680000000000007</v>
      </c>
      <c r="C184" t="s">
        <v>5</v>
      </c>
      <c r="D184">
        <v>283139964</v>
      </c>
      <c r="E184" t="s">
        <v>561</v>
      </c>
    </row>
    <row r="185" spans="1:5" x14ac:dyDescent="0.35">
      <c r="A185" t="s">
        <v>559</v>
      </c>
      <c r="B185">
        <v>166</v>
      </c>
      <c r="C185" t="s">
        <v>5</v>
      </c>
      <c r="D185">
        <v>283150227</v>
      </c>
      <c r="E185" t="s">
        <v>562</v>
      </c>
    </row>
    <row r="186" spans="1:5" x14ac:dyDescent="0.35">
      <c r="A186" t="s">
        <v>563</v>
      </c>
      <c r="B186">
        <v>1927.54</v>
      </c>
      <c r="C186" t="s">
        <v>5</v>
      </c>
      <c r="D186">
        <v>251302982</v>
      </c>
      <c r="E186" t="s">
        <v>564</v>
      </c>
    </row>
    <row r="187" spans="1:5" x14ac:dyDescent="0.35">
      <c r="A187" t="s">
        <v>565</v>
      </c>
      <c r="B187">
        <v>904.82</v>
      </c>
      <c r="C187" t="s">
        <v>5</v>
      </c>
      <c r="D187">
        <v>582173</v>
      </c>
      <c r="E187" t="s">
        <v>566</v>
      </c>
    </row>
    <row r="188" spans="1:5" x14ac:dyDescent="0.35">
      <c r="A188" t="s">
        <v>567</v>
      </c>
      <c r="B188">
        <v>1980.63</v>
      </c>
      <c r="C188" t="s">
        <v>5</v>
      </c>
      <c r="D188">
        <v>766625</v>
      </c>
      <c r="E188" t="s">
        <v>568</v>
      </c>
    </row>
    <row r="189" spans="1:5" x14ac:dyDescent="0.35">
      <c r="A189" t="s">
        <v>569</v>
      </c>
      <c r="B189">
        <v>902.87</v>
      </c>
      <c r="C189" t="s">
        <v>5</v>
      </c>
      <c r="D189">
        <v>663483</v>
      </c>
      <c r="E189" t="s">
        <v>570</v>
      </c>
    </row>
    <row r="190" spans="1:5" x14ac:dyDescent="0.35">
      <c r="A190" t="s">
        <v>569</v>
      </c>
      <c r="B190">
        <v>66.8</v>
      </c>
      <c r="C190" t="s">
        <v>5</v>
      </c>
      <c r="D190">
        <v>663586</v>
      </c>
      <c r="E190" t="s">
        <v>571</v>
      </c>
    </row>
    <row r="191" spans="1:5" x14ac:dyDescent="0.35">
      <c r="A191" t="s">
        <v>572</v>
      </c>
      <c r="B191">
        <v>2332.34</v>
      </c>
      <c r="C191" t="s">
        <v>5</v>
      </c>
      <c r="D191">
        <v>1358029</v>
      </c>
      <c r="E191" t="s">
        <v>573</v>
      </c>
    </row>
    <row r="192" spans="1:5" x14ac:dyDescent="0.35">
      <c r="A192" t="s">
        <v>574</v>
      </c>
      <c r="B192">
        <v>862.6</v>
      </c>
      <c r="C192" t="s">
        <v>5</v>
      </c>
      <c r="D192">
        <v>461260</v>
      </c>
      <c r="E192" t="s">
        <v>575</v>
      </c>
    </row>
    <row r="193" spans="1:5" x14ac:dyDescent="0.35">
      <c r="A193" t="s">
        <v>576</v>
      </c>
      <c r="B193">
        <v>272.14999999999998</v>
      </c>
      <c r="C193" t="s">
        <v>5</v>
      </c>
      <c r="D193">
        <v>282261266</v>
      </c>
      <c r="E193" t="s">
        <v>577</v>
      </c>
    </row>
    <row r="194" spans="1:5" x14ac:dyDescent="0.35">
      <c r="A194" t="s">
        <v>576</v>
      </c>
      <c r="B194">
        <v>365.47</v>
      </c>
      <c r="C194" t="s">
        <v>5</v>
      </c>
      <c r="D194">
        <v>282239167</v>
      </c>
      <c r="E194" t="s">
        <v>578</v>
      </c>
    </row>
    <row r="195" spans="1:5" x14ac:dyDescent="0.35">
      <c r="A195" t="s">
        <v>579</v>
      </c>
      <c r="B195">
        <v>586.53</v>
      </c>
      <c r="C195" t="s">
        <v>5</v>
      </c>
      <c r="D195">
        <v>250990272</v>
      </c>
      <c r="E195" t="s">
        <v>580</v>
      </c>
    </row>
    <row r="196" spans="1:5" x14ac:dyDescent="0.35">
      <c r="A196" t="s">
        <v>581</v>
      </c>
      <c r="B196">
        <v>2505.1799999999998</v>
      </c>
      <c r="C196" t="s">
        <v>5</v>
      </c>
      <c r="D196">
        <v>685963</v>
      </c>
      <c r="E196" t="s">
        <v>582</v>
      </c>
    </row>
    <row r="197" spans="1:5" x14ac:dyDescent="0.35">
      <c r="A197" t="s">
        <v>583</v>
      </c>
      <c r="B197">
        <v>2927.7</v>
      </c>
      <c r="C197" t="s">
        <v>5</v>
      </c>
      <c r="D197">
        <v>339492</v>
      </c>
      <c r="E197" t="s">
        <v>584</v>
      </c>
    </row>
    <row r="198" spans="1:5" x14ac:dyDescent="0.35">
      <c r="A198" t="s">
        <v>585</v>
      </c>
      <c r="B198">
        <v>4179.34</v>
      </c>
      <c r="C198" t="s">
        <v>5</v>
      </c>
      <c r="D198">
        <v>1275771</v>
      </c>
      <c r="E198" t="s">
        <v>586</v>
      </c>
    </row>
    <row r="199" spans="1:5" x14ac:dyDescent="0.35">
      <c r="A199" t="s">
        <v>587</v>
      </c>
      <c r="B199">
        <v>1010.94</v>
      </c>
      <c r="C199" t="s">
        <v>5</v>
      </c>
      <c r="D199">
        <v>266689677</v>
      </c>
      <c r="E199" t="s">
        <v>588</v>
      </c>
    </row>
    <row r="200" spans="1:5" x14ac:dyDescent="0.35">
      <c r="A200" t="s">
        <v>589</v>
      </c>
      <c r="B200">
        <v>1480.5</v>
      </c>
      <c r="C200" t="s">
        <v>5</v>
      </c>
      <c r="D200">
        <v>1423619</v>
      </c>
      <c r="E200" t="s">
        <v>590</v>
      </c>
    </row>
    <row r="201" spans="1:5" x14ac:dyDescent="0.35">
      <c r="A201" t="s">
        <v>589</v>
      </c>
      <c r="B201">
        <v>899.87</v>
      </c>
      <c r="C201" t="s">
        <v>5</v>
      </c>
      <c r="D201">
        <v>1423617</v>
      </c>
      <c r="E201" t="s">
        <v>591</v>
      </c>
    </row>
    <row r="202" spans="1:5" x14ac:dyDescent="0.35">
      <c r="A202" t="s">
        <v>589</v>
      </c>
      <c r="B202">
        <v>1870.62</v>
      </c>
      <c r="C202" t="s">
        <v>5</v>
      </c>
      <c r="D202">
        <v>1423621</v>
      </c>
      <c r="E202" t="s">
        <v>592</v>
      </c>
    </row>
    <row r="203" spans="1:5" x14ac:dyDescent="0.35">
      <c r="A203" t="s">
        <v>593</v>
      </c>
      <c r="B203">
        <v>101.2</v>
      </c>
      <c r="C203" t="s">
        <v>5</v>
      </c>
      <c r="D203">
        <v>292052</v>
      </c>
      <c r="E203" t="s">
        <v>594</v>
      </c>
    </row>
    <row r="204" spans="1:5" x14ac:dyDescent="0.35">
      <c r="A204" t="s">
        <v>595</v>
      </c>
      <c r="B204">
        <v>2331.35</v>
      </c>
      <c r="C204" t="s">
        <v>5</v>
      </c>
      <c r="D204">
        <v>612501</v>
      </c>
      <c r="E204" t="s">
        <v>596</v>
      </c>
    </row>
    <row r="205" spans="1:5" x14ac:dyDescent="0.35">
      <c r="A205" t="s">
        <v>595</v>
      </c>
      <c r="B205">
        <v>2510.14</v>
      </c>
      <c r="C205" t="s">
        <v>5</v>
      </c>
      <c r="D205">
        <v>612501</v>
      </c>
      <c r="E205" t="s">
        <v>597</v>
      </c>
    </row>
    <row r="206" spans="1:5" x14ac:dyDescent="0.35">
      <c r="A206" t="s">
        <v>595</v>
      </c>
      <c r="B206">
        <v>371.36</v>
      </c>
      <c r="C206" t="s">
        <v>5</v>
      </c>
      <c r="D206">
        <v>612537</v>
      </c>
      <c r="E206" t="s">
        <v>598</v>
      </c>
    </row>
    <row r="207" spans="1:5" x14ac:dyDescent="0.35">
      <c r="A207" t="s">
        <v>599</v>
      </c>
      <c r="B207">
        <v>1713.37</v>
      </c>
      <c r="C207" t="s">
        <v>5</v>
      </c>
      <c r="D207">
        <v>234407</v>
      </c>
      <c r="E207" t="s">
        <v>600</v>
      </c>
    </row>
    <row r="208" spans="1:5" x14ac:dyDescent="0.35">
      <c r="A208" t="s">
        <v>601</v>
      </c>
      <c r="B208">
        <v>1396.08</v>
      </c>
      <c r="C208" t="s">
        <v>5</v>
      </c>
      <c r="D208">
        <v>1169651</v>
      </c>
      <c r="E208" t="s">
        <v>602</v>
      </c>
    </row>
    <row r="209" spans="1:5" x14ac:dyDescent="0.35">
      <c r="A209" t="s">
        <v>601</v>
      </c>
      <c r="B209">
        <v>3189.07</v>
      </c>
      <c r="C209" t="s">
        <v>5</v>
      </c>
      <c r="D209">
        <v>1169649</v>
      </c>
      <c r="E209" t="s">
        <v>603</v>
      </c>
    </row>
    <row r="210" spans="1:5" x14ac:dyDescent="0.35">
      <c r="A210" t="s">
        <v>601</v>
      </c>
      <c r="B210">
        <v>3204.77</v>
      </c>
      <c r="C210" t="s">
        <v>5</v>
      </c>
      <c r="D210">
        <v>1169683</v>
      </c>
      <c r="E210" t="s">
        <v>604</v>
      </c>
    </row>
    <row r="211" spans="1:5" x14ac:dyDescent="0.35">
      <c r="A211" t="s">
        <v>605</v>
      </c>
      <c r="B211">
        <v>1631.8</v>
      </c>
      <c r="C211" t="s">
        <v>5</v>
      </c>
      <c r="D211">
        <v>266156696</v>
      </c>
      <c r="E211" t="s">
        <v>606</v>
      </c>
    </row>
    <row r="212" spans="1:5" x14ac:dyDescent="0.35">
      <c r="A212" t="s">
        <v>607</v>
      </c>
      <c r="B212">
        <v>1325.31</v>
      </c>
      <c r="C212" t="s">
        <v>5</v>
      </c>
      <c r="D212">
        <v>1369295</v>
      </c>
      <c r="E212" t="s">
        <v>608</v>
      </c>
    </row>
    <row r="213" spans="1:5" x14ac:dyDescent="0.35">
      <c r="A213" t="s">
        <v>609</v>
      </c>
      <c r="B213">
        <v>1312.56</v>
      </c>
      <c r="C213" t="s">
        <v>5</v>
      </c>
      <c r="D213">
        <v>229886</v>
      </c>
      <c r="E213" t="s">
        <v>610</v>
      </c>
    </row>
    <row r="214" spans="1:5" x14ac:dyDescent="0.35">
      <c r="A214" t="s">
        <v>611</v>
      </c>
      <c r="B214">
        <v>1732.06</v>
      </c>
      <c r="C214" t="s">
        <v>5</v>
      </c>
      <c r="D214">
        <v>528361</v>
      </c>
      <c r="E214" t="s">
        <v>612</v>
      </c>
    </row>
    <row r="215" spans="1:5" x14ac:dyDescent="0.35">
      <c r="A215" t="s">
        <v>613</v>
      </c>
      <c r="B215">
        <v>1544.41</v>
      </c>
      <c r="C215" t="s">
        <v>5</v>
      </c>
      <c r="D215">
        <v>526170</v>
      </c>
      <c r="E215" t="s">
        <v>614</v>
      </c>
    </row>
    <row r="216" spans="1:5" x14ac:dyDescent="0.35">
      <c r="A216" t="s">
        <v>615</v>
      </c>
      <c r="B216">
        <v>2491.48</v>
      </c>
      <c r="C216" t="s">
        <v>5</v>
      </c>
      <c r="D216">
        <v>147914</v>
      </c>
      <c r="E216" t="s">
        <v>616</v>
      </c>
    </row>
    <row r="217" spans="1:5" x14ac:dyDescent="0.35">
      <c r="A217" t="s">
        <v>37</v>
      </c>
      <c r="B217">
        <v>1787.21</v>
      </c>
      <c r="C217" t="s">
        <v>5</v>
      </c>
      <c r="D217">
        <v>1071246</v>
      </c>
      <c r="E217" t="s">
        <v>617</v>
      </c>
    </row>
    <row r="218" spans="1:5" x14ac:dyDescent="0.35">
      <c r="A218" t="s">
        <v>618</v>
      </c>
      <c r="B218">
        <v>1185.81</v>
      </c>
      <c r="C218" t="s">
        <v>5</v>
      </c>
      <c r="D218">
        <v>372904</v>
      </c>
      <c r="E218" t="s">
        <v>619</v>
      </c>
    </row>
    <row r="219" spans="1:5" x14ac:dyDescent="0.35">
      <c r="A219" t="s">
        <v>620</v>
      </c>
      <c r="B219">
        <v>668.04</v>
      </c>
      <c r="C219" t="s">
        <v>5</v>
      </c>
      <c r="D219">
        <v>281384144</v>
      </c>
      <c r="E219" t="s">
        <v>621</v>
      </c>
    </row>
    <row r="220" spans="1:5" x14ac:dyDescent="0.35">
      <c r="A220" t="s">
        <v>622</v>
      </c>
      <c r="B220">
        <v>2202.62</v>
      </c>
      <c r="C220" t="s">
        <v>5</v>
      </c>
      <c r="D220">
        <v>265091500</v>
      </c>
      <c r="E220" t="s">
        <v>623</v>
      </c>
    </row>
    <row r="221" spans="1:5" x14ac:dyDescent="0.35">
      <c r="A221" t="s">
        <v>624</v>
      </c>
      <c r="B221">
        <v>1469.72</v>
      </c>
      <c r="C221" t="s">
        <v>5</v>
      </c>
      <c r="D221">
        <v>464617</v>
      </c>
      <c r="E221" t="s">
        <v>625</v>
      </c>
    </row>
    <row r="222" spans="1:5" x14ac:dyDescent="0.35">
      <c r="A222" t="s">
        <v>626</v>
      </c>
      <c r="B222">
        <v>1980.63</v>
      </c>
      <c r="C222" t="s">
        <v>5</v>
      </c>
      <c r="D222">
        <v>1556209</v>
      </c>
      <c r="E222" t="s">
        <v>627</v>
      </c>
    </row>
    <row r="223" spans="1:5" x14ac:dyDescent="0.35">
      <c r="A223" t="s">
        <v>626</v>
      </c>
      <c r="B223">
        <v>868.46</v>
      </c>
      <c r="C223" t="s">
        <v>5</v>
      </c>
      <c r="D223">
        <v>1556213</v>
      </c>
      <c r="E223" t="s">
        <v>628</v>
      </c>
    </row>
    <row r="224" spans="1:5" x14ac:dyDescent="0.35">
      <c r="A224" t="s">
        <v>626</v>
      </c>
      <c r="B224">
        <v>441.1</v>
      </c>
      <c r="C224" t="s">
        <v>5</v>
      </c>
      <c r="D224">
        <v>1555163</v>
      </c>
      <c r="E224" t="s">
        <v>629</v>
      </c>
    </row>
    <row r="225" spans="1:5" x14ac:dyDescent="0.35">
      <c r="A225" t="s">
        <v>630</v>
      </c>
      <c r="B225">
        <v>2555.38</v>
      </c>
      <c r="C225" t="s">
        <v>5</v>
      </c>
      <c r="D225">
        <v>254875</v>
      </c>
      <c r="E225" t="s">
        <v>631</v>
      </c>
    </row>
    <row r="226" spans="1:5" x14ac:dyDescent="0.35">
      <c r="A226" t="s">
        <v>632</v>
      </c>
      <c r="B226">
        <v>634.65</v>
      </c>
      <c r="C226" t="s">
        <v>5</v>
      </c>
      <c r="D226">
        <v>264478082</v>
      </c>
      <c r="E226" t="s">
        <v>633</v>
      </c>
    </row>
    <row r="227" spans="1:5" x14ac:dyDescent="0.35">
      <c r="A227" t="s">
        <v>632</v>
      </c>
      <c r="B227">
        <v>379.23</v>
      </c>
      <c r="C227" t="s">
        <v>5</v>
      </c>
      <c r="D227">
        <v>264460497</v>
      </c>
      <c r="E227" t="s">
        <v>634</v>
      </c>
    </row>
    <row r="228" spans="1:5" x14ac:dyDescent="0.35">
      <c r="A228" t="s">
        <v>632</v>
      </c>
      <c r="B228">
        <v>1582.72</v>
      </c>
      <c r="C228" t="s">
        <v>5</v>
      </c>
      <c r="D228">
        <v>264498993</v>
      </c>
      <c r="E228" t="s">
        <v>635</v>
      </c>
    </row>
    <row r="229" spans="1:5" x14ac:dyDescent="0.35">
      <c r="A229" t="s">
        <v>636</v>
      </c>
      <c r="B229">
        <v>2261.56</v>
      </c>
      <c r="C229" t="s">
        <v>5</v>
      </c>
      <c r="D229">
        <v>401190</v>
      </c>
      <c r="E229" t="s">
        <v>637</v>
      </c>
    </row>
    <row r="230" spans="1:5" x14ac:dyDescent="0.35">
      <c r="A230" t="s">
        <v>638</v>
      </c>
      <c r="B230">
        <v>914.67</v>
      </c>
      <c r="C230" t="s">
        <v>5</v>
      </c>
      <c r="D230">
        <v>1438142</v>
      </c>
      <c r="E230" t="s">
        <v>639</v>
      </c>
    </row>
    <row r="231" spans="1:5" x14ac:dyDescent="0.35">
      <c r="A231" t="s">
        <v>640</v>
      </c>
      <c r="B231">
        <v>360.54</v>
      </c>
      <c r="C231" t="s">
        <v>5</v>
      </c>
      <c r="D231">
        <v>280024068</v>
      </c>
      <c r="E231" t="s">
        <v>641</v>
      </c>
    </row>
    <row r="232" spans="1:5" x14ac:dyDescent="0.35">
      <c r="A232" t="s">
        <v>640</v>
      </c>
      <c r="B232">
        <v>603.22</v>
      </c>
      <c r="C232" t="s">
        <v>5</v>
      </c>
      <c r="D232">
        <v>280648912</v>
      </c>
      <c r="E232" t="s">
        <v>642</v>
      </c>
    </row>
    <row r="233" spans="1:5" x14ac:dyDescent="0.35">
      <c r="A233" t="s">
        <v>640</v>
      </c>
      <c r="B233">
        <v>888.15</v>
      </c>
      <c r="C233" t="s">
        <v>5</v>
      </c>
      <c r="D233">
        <v>280000045</v>
      </c>
      <c r="E233" t="s">
        <v>643</v>
      </c>
    </row>
    <row r="234" spans="1:5" x14ac:dyDescent="0.35">
      <c r="A234" t="s">
        <v>644</v>
      </c>
      <c r="B234">
        <v>851.75</v>
      </c>
      <c r="C234" t="s">
        <v>5</v>
      </c>
      <c r="D234">
        <v>263282298</v>
      </c>
      <c r="E234" t="s">
        <v>645</v>
      </c>
    </row>
    <row r="235" spans="1:5" x14ac:dyDescent="0.35">
      <c r="A235" t="s">
        <v>646</v>
      </c>
      <c r="B235">
        <v>1066.92</v>
      </c>
      <c r="C235" t="s">
        <v>5</v>
      </c>
      <c r="D235">
        <v>1340307</v>
      </c>
      <c r="E235" t="s">
        <v>647</v>
      </c>
    </row>
    <row r="236" spans="1:5" x14ac:dyDescent="0.35">
      <c r="A236" t="s">
        <v>648</v>
      </c>
      <c r="B236">
        <v>2516</v>
      </c>
      <c r="C236" t="s">
        <v>5</v>
      </c>
      <c r="D236">
        <v>168005</v>
      </c>
      <c r="E236" t="s">
        <v>649</v>
      </c>
    </row>
    <row r="237" spans="1:5" x14ac:dyDescent="0.35">
      <c r="A237" t="s">
        <v>650</v>
      </c>
      <c r="B237">
        <v>1259.54</v>
      </c>
      <c r="C237" t="s">
        <v>5</v>
      </c>
      <c r="D237">
        <v>337285</v>
      </c>
      <c r="E237" t="s">
        <v>651</v>
      </c>
    </row>
    <row r="238" spans="1:5" x14ac:dyDescent="0.35">
      <c r="A238" t="s">
        <v>650</v>
      </c>
      <c r="B238">
        <v>215.16</v>
      </c>
      <c r="C238" t="s">
        <v>5</v>
      </c>
      <c r="D238">
        <v>337317</v>
      </c>
      <c r="E238" t="s">
        <v>652</v>
      </c>
    </row>
    <row r="239" spans="1:5" x14ac:dyDescent="0.35">
      <c r="A239" t="s">
        <v>650</v>
      </c>
      <c r="B239">
        <v>2081.8000000000002</v>
      </c>
      <c r="C239" t="s">
        <v>5</v>
      </c>
      <c r="D239">
        <v>337316</v>
      </c>
      <c r="E239" t="s">
        <v>653</v>
      </c>
    </row>
    <row r="240" spans="1:5" x14ac:dyDescent="0.35">
      <c r="A240" t="s">
        <v>654</v>
      </c>
      <c r="B240">
        <v>2713.45</v>
      </c>
      <c r="C240" t="s">
        <v>5</v>
      </c>
      <c r="D240">
        <v>463713</v>
      </c>
      <c r="E240" t="s">
        <v>655</v>
      </c>
    </row>
    <row r="241" spans="1:5" x14ac:dyDescent="0.35">
      <c r="A241" t="s">
        <v>656</v>
      </c>
      <c r="B241">
        <v>3372.18</v>
      </c>
      <c r="C241" t="s">
        <v>5</v>
      </c>
      <c r="D241">
        <v>990313</v>
      </c>
      <c r="E241" t="s">
        <v>657</v>
      </c>
    </row>
    <row r="242" spans="1:5" x14ac:dyDescent="0.35">
      <c r="A242" t="s">
        <v>658</v>
      </c>
      <c r="B242">
        <v>210.23</v>
      </c>
      <c r="C242" t="s">
        <v>5</v>
      </c>
      <c r="D242">
        <v>280007453</v>
      </c>
      <c r="E242" t="s">
        <v>659</v>
      </c>
    </row>
    <row r="243" spans="1:5" x14ac:dyDescent="0.35">
      <c r="A243" t="s">
        <v>660</v>
      </c>
      <c r="B243">
        <v>1857.81</v>
      </c>
      <c r="C243" t="s">
        <v>5</v>
      </c>
      <c r="D243">
        <v>1304718</v>
      </c>
      <c r="E243" t="s">
        <v>661</v>
      </c>
    </row>
    <row r="244" spans="1:5" x14ac:dyDescent="0.35">
      <c r="A244" t="s">
        <v>662</v>
      </c>
      <c r="B244">
        <v>1679.97</v>
      </c>
      <c r="C244" t="s">
        <v>5</v>
      </c>
      <c r="D244">
        <v>101588</v>
      </c>
      <c r="E244" t="s">
        <v>663</v>
      </c>
    </row>
    <row r="245" spans="1:5" x14ac:dyDescent="0.35">
      <c r="A245" t="s">
        <v>664</v>
      </c>
      <c r="B245">
        <v>993.26</v>
      </c>
      <c r="C245" t="s">
        <v>5</v>
      </c>
      <c r="D245">
        <v>270439</v>
      </c>
      <c r="E245" t="s">
        <v>665</v>
      </c>
    </row>
    <row r="246" spans="1:5" x14ac:dyDescent="0.35">
      <c r="A246" t="s">
        <v>666</v>
      </c>
      <c r="B246">
        <v>2565.13</v>
      </c>
      <c r="C246" t="s">
        <v>5</v>
      </c>
      <c r="D246">
        <v>401962</v>
      </c>
      <c r="E246" t="s">
        <v>667</v>
      </c>
    </row>
    <row r="247" spans="1:5" x14ac:dyDescent="0.35">
      <c r="A247" t="s">
        <v>668</v>
      </c>
      <c r="B247">
        <v>542.30999999999995</v>
      </c>
      <c r="C247" t="s">
        <v>5</v>
      </c>
      <c r="D247">
        <v>280413</v>
      </c>
      <c r="E247" t="s">
        <v>669</v>
      </c>
    </row>
    <row r="248" spans="1:5" x14ac:dyDescent="0.35">
      <c r="A248" t="s">
        <v>668</v>
      </c>
      <c r="B248">
        <v>2393.23</v>
      </c>
      <c r="C248" t="s">
        <v>5</v>
      </c>
      <c r="D248">
        <v>280431</v>
      </c>
      <c r="E248" t="s">
        <v>670</v>
      </c>
    </row>
    <row r="249" spans="1:5" x14ac:dyDescent="0.35">
      <c r="A249" t="s">
        <v>671</v>
      </c>
      <c r="B249">
        <v>760.45</v>
      </c>
      <c r="C249" t="s">
        <v>5</v>
      </c>
      <c r="D249">
        <v>911913</v>
      </c>
      <c r="E249" t="s">
        <v>672</v>
      </c>
    </row>
    <row r="250" spans="1:5" x14ac:dyDescent="0.35">
      <c r="A250" t="s">
        <v>671</v>
      </c>
      <c r="B250">
        <v>403.68</v>
      </c>
      <c r="C250" t="s">
        <v>5</v>
      </c>
      <c r="D250">
        <v>911913</v>
      </c>
      <c r="E250" t="s">
        <v>673</v>
      </c>
    </row>
    <row r="251" spans="1:5" x14ac:dyDescent="0.35">
      <c r="A251" t="s">
        <v>674</v>
      </c>
      <c r="B251">
        <v>29.47</v>
      </c>
      <c r="C251" t="s">
        <v>5</v>
      </c>
      <c r="D251">
        <v>278490307</v>
      </c>
      <c r="E251" t="s">
        <v>675</v>
      </c>
    </row>
    <row r="252" spans="1:5" x14ac:dyDescent="0.35">
      <c r="A252" t="s">
        <v>676</v>
      </c>
      <c r="B252">
        <v>1804.69</v>
      </c>
      <c r="C252" t="s">
        <v>5</v>
      </c>
      <c r="D252">
        <v>1274525</v>
      </c>
      <c r="E252" t="s">
        <v>677</v>
      </c>
    </row>
    <row r="253" spans="1:5" x14ac:dyDescent="0.35">
      <c r="A253" t="s">
        <v>678</v>
      </c>
      <c r="B253">
        <v>2599.4899999999998</v>
      </c>
      <c r="C253" t="s">
        <v>5</v>
      </c>
      <c r="D253">
        <v>1554642</v>
      </c>
      <c r="E253" t="s">
        <v>679</v>
      </c>
    </row>
    <row r="254" spans="1:5" x14ac:dyDescent="0.35">
      <c r="A254" t="s">
        <v>680</v>
      </c>
      <c r="B254">
        <v>1667.26</v>
      </c>
      <c r="C254" t="s">
        <v>5</v>
      </c>
      <c r="D254">
        <v>336283</v>
      </c>
      <c r="E254" t="s">
        <v>681</v>
      </c>
    </row>
    <row r="255" spans="1:5" x14ac:dyDescent="0.35">
      <c r="A255" t="s">
        <v>29</v>
      </c>
      <c r="B255">
        <v>1567.96</v>
      </c>
      <c r="C255" t="s">
        <v>5</v>
      </c>
      <c r="D255">
        <v>189244</v>
      </c>
      <c r="E255" t="s">
        <v>682</v>
      </c>
    </row>
    <row r="256" spans="1:5" x14ac:dyDescent="0.35">
      <c r="A256" t="s">
        <v>683</v>
      </c>
      <c r="B256">
        <v>2038.63</v>
      </c>
      <c r="C256" t="s">
        <v>5</v>
      </c>
      <c r="D256">
        <v>1363385</v>
      </c>
      <c r="E256" t="s">
        <v>684</v>
      </c>
    </row>
    <row r="257" spans="1:5" x14ac:dyDescent="0.35">
      <c r="A257" t="s">
        <v>685</v>
      </c>
      <c r="B257">
        <v>2765.61</v>
      </c>
      <c r="C257" t="s">
        <v>5</v>
      </c>
      <c r="D257">
        <v>708562</v>
      </c>
      <c r="E257" t="s">
        <v>686</v>
      </c>
    </row>
    <row r="258" spans="1:5" x14ac:dyDescent="0.35">
      <c r="A258" t="s">
        <v>685</v>
      </c>
      <c r="B258">
        <v>1133.72</v>
      </c>
      <c r="C258" t="s">
        <v>5</v>
      </c>
      <c r="D258">
        <v>804173</v>
      </c>
      <c r="E258" t="s">
        <v>687</v>
      </c>
    </row>
    <row r="259" spans="1:5" x14ac:dyDescent="0.35">
      <c r="A259" t="s">
        <v>685</v>
      </c>
      <c r="B259">
        <v>39.299999999999997</v>
      </c>
      <c r="C259" t="s">
        <v>5</v>
      </c>
      <c r="D259">
        <v>708536</v>
      </c>
      <c r="E259" t="s">
        <v>688</v>
      </c>
    </row>
    <row r="260" spans="1:5" x14ac:dyDescent="0.35">
      <c r="A260" t="s">
        <v>685</v>
      </c>
      <c r="B260">
        <v>410.67</v>
      </c>
      <c r="C260" t="s">
        <v>5</v>
      </c>
      <c r="D260">
        <v>708536</v>
      </c>
      <c r="E260" t="s">
        <v>689</v>
      </c>
    </row>
    <row r="261" spans="1:5" x14ac:dyDescent="0.35">
      <c r="A261" t="s">
        <v>690</v>
      </c>
      <c r="B261">
        <v>1262.4100000000001</v>
      </c>
      <c r="C261" t="s">
        <v>5</v>
      </c>
      <c r="D261">
        <v>262602164</v>
      </c>
      <c r="E261" t="s">
        <v>691</v>
      </c>
    </row>
    <row r="262" spans="1:5" x14ac:dyDescent="0.35">
      <c r="A262" t="s">
        <v>692</v>
      </c>
      <c r="B262">
        <v>115.93</v>
      </c>
      <c r="C262" t="s">
        <v>5</v>
      </c>
      <c r="D262">
        <v>1241682</v>
      </c>
      <c r="E262" t="s">
        <v>693</v>
      </c>
    </row>
    <row r="263" spans="1:5" x14ac:dyDescent="0.35">
      <c r="A263" t="s">
        <v>692</v>
      </c>
      <c r="B263">
        <v>565.88</v>
      </c>
      <c r="C263" t="s">
        <v>5</v>
      </c>
      <c r="D263">
        <v>1241679</v>
      </c>
      <c r="E263" t="s">
        <v>694</v>
      </c>
    </row>
    <row r="264" spans="1:5" x14ac:dyDescent="0.35">
      <c r="A264" t="s">
        <v>692</v>
      </c>
      <c r="B264">
        <v>1691.75</v>
      </c>
      <c r="C264" t="s">
        <v>5</v>
      </c>
      <c r="D264">
        <v>1241634</v>
      </c>
      <c r="E264" t="s">
        <v>695</v>
      </c>
    </row>
    <row r="265" spans="1:5" x14ac:dyDescent="0.35">
      <c r="A265" t="s">
        <v>696</v>
      </c>
      <c r="B265">
        <v>4184.22</v>
      </c>
      <c r="C265" t="s">
        <v>5</v>
      </c>
      <c r="D265">
        <v>1496169</v>
      </c>
      <c r="E265" t="s">
        <v>697</v>
      </c>
    </row>
    <row r="266" spans="1:5" x14ac:dyDescent="0.35">
      <c r="A266" t="s">
        <v>696</v>
      </c>
      <c r="B266">
        <v>532.47</v>
      </c>
      <c r="C266" t="s">
        <v>5</v>
      </c>
      <c r="D266">
        <v>1496168</v>
      </c>
      <c r="E266" t="s">
        <v>698</v>
      </c>
    </row>
    <row r="267" spans="1:5" x14ac:dyDescent="0.35">
      <c r="A267" t="s">
        <v>696</v>
      </c>
      <c r="B267">
        <v>266.24</v>
      </c>
      <c r="C267" t="s">
        <v>5</v>
      </c>
      <c r="D267">
        <v>1496171</v>
      </c>
      <c r="E267" t="s">
        <v>699</v>
      </c>
    </row>
    <row r="268" spans="1:5" x14ac:dyDescent="0.35">
      <c r="A268" t="s">
        <v>700</v>
      </c>
      <c r="B268">
        <v>2294.0500000000002</v>
      </c>
      <c r="C268" t="s">
        <v>5</v>
      </c>
      <c r="D268">
        <v>258164</v>
      </c>
      <c r="E268" t="s">
        <v>701</v>
      </c>
    </row>
    <row r="269" spans="1:5" x14ac:dyDescent="0.35">
      <c r="A269" t="s">
        <v>700</v>
      </c>
      <c r="B269">
        <v>1107.27</v>
      </c>
      <c r="C269" t="s">
        <v>5</v>
      </c>
      <c r="D269">
        <v>258170</v>
      </c>
      <c r="E269" t="s">
        <v>702</v>
      </c>
    </row>
    <row r="270" spans="1:5" x14ac:dyDescent="0.35">
      <c r="A270" t="s">
        <v>700</v>
      </c>
      <c r="B270">
        <v>532.5</v>
      </c>
      <c r="C270" t="s">
        <v>5</v>
      </c>
      <c r="D270">
        <v>258137</v>
      </c>
      <c r="E270" t="s">
        <v>703</v>
      </c>
    </row>
    <row r="271" spans="1:5" x14ac:dyDescent="0.35">
      <c r="A271" t="s">
        <v>704</v>
      </c>
      <c r="B271">
        <v>1481.51</v>
      </c>
      <c r="C271" t="s">
        <v>5</v>
      </c>
      <c r="D271">
        <v>1294628</v>
      </c>
      <c r="E271" t="s">
        <v>705</v>
      </c>
    </row>
    <row r="272" spans="1:5" x14ac:dyDescent="0.35">
      <c r="A272" t="s">
        <v>706</v>
      </c>
      <c r="B272">
        <v>174.88</v>
      </c>
      <c r="C272" t="s">
        <v>5</v>
      </c>
      <c r="D272">
        <v>260221621</v>
      </c>
      <c r="E272" t="s">
        <v>707</v>
      </c>
    </row>
    <row r="273" spans="1:5" x14ac:dyDescent="0.35">
      <c r="A273" t="s">
        <v>708</v>
      </c>
      <c r="B273">
        <v>852.72</v>
      </c>
      <c r="C273" t="s">
        <v>5</v>
      </c>
      <c r="D273">
        <v>1205663</v>
      </c>
      <c r="E273" t="s">
        <v>709</v>
      </c>
    </row>
    <row r="274" spans="1:5" x14ac:dyDescent="0.35">
      <c r="A274" t="s">
        <v>710</v>
      </c>
      <c r="B274">
        <v>652.36</v>
      </c>
      <c r="C274" t="s">
        <v>5</v>
      </c>
      <c r="D274">
        <v>1438479</v>
      </c>
      <c r="E274" t="s">
        <v>711</v>
      </c>
    </row>
    <row r="275" spans="1:5" x14ac:dyDescent="0.35">
      <c r="A275" t="s">
        <v>712</v>
      </c>
      <c r="B275">
        <v>1545.38</v>
      </c>
      <c r="C275" t="s">
        <v>5</v>
      </c>
      <c r="D275">
        <v>132539</v>
      </c>
      <c r="E275" t="s">
        <v>713</v>
      </c>
    </row>
    <row r="276" spans="1:5" x14ac:dyDescent="0.35">
      <c r="A276" t="s">
        <v>714</v>
      </c>
      <c r="B276">
        <v>801.7</v>
      </c>
      <c r="C276" t="s">
        <v>5</v>
      </c>
      <c r="D276">
        <v>188529</v>
      </c>
      <c r="E276" t="s">
        <v>715</v>
      </c>
    </row>
    <row r="277" spans="1:5" x14ac:dyDescent="0.35">
      <c r="A277" t="s">
        <v>716</v>
      </c>
      <c r="B277">
        <v>2410.92</v>
      </c>
      <c r="C277" t="s">
        <v>5</v>
      </c>
      <c r="D277">
        <v>1173632</v>
      </c>
      <c r="E277" t="s">
        <v>717</v>
      </c>
    </row>
    <row r="278" spans="1:5" x14ac:dyDescent="0.35">
      <c r="A278" t="s">
        <v>718</v>
      </c>
      <c r="B278">
        <v>824.3</v>
      </c>
      <c r="C278" t="s">
        <v>5</v>
      </c>
      <c r="D278">
        <v>586845</v>
      </c>
      <c r="E278" t="s">
        <v>719</v>
      </c>
    </row>
    <row r="279" spans="1:5" x14ac:dyDescent="0.35">
      <c r="A279" t="s">
        <v>720</v>
      </c>
      <c r="B279">
        <v>541.30999999999995</v>
      </c>
      <c r="C279" t="s">
        <v>5</v>
      </c>
      <c r="D279">
        <v>277721488</v>
      </c>
      <c r="E279" t="s">
        <v>721</v>
      </c>
    </row>
    <row r="280" spans="1:5" x14ac:dyDescent="0.35">
      <c r="A280" t="s">
        <v>722</v>
      </c>
      <c r="B280">
        <v>1336.15</v>
      </c>
      <c r="C280" t="s">
        <v>5</v>
      </c>
      <c r="D280">
        <v>1028948</v>
      </c>
      <c r="E280" t="s">
        <v>723</v>
      </c>
    </row>
    <row r="281" spans="1:5" x14ac:dyDescent="0.35">
      <c r="A281" t="s">
        <v>724</v>
      </c>
      <c r="B281">
        <v>1570.94</v>
      </c>
      <c r="C281" t="s">
        <v>5</v>
      </c>
      <c r="D281">
        <v>125503</v>
      </c>
      <c r="E281" t="s">
        <v>725</v>
      </c>
    </row>
    <row r="282" spans="1:5" x14ac:dyDescent="0.35">
      <c r="A282" t="s">
        <v>726</v>
      </c>
      <c r="B282">
        <v>69.760000000000005</v>
      </c>
      <c r="C282" t="s">
        <v>5</v>
      </c>
      <c r="D282">
        <v>1091666</v>
      </c>
      <c r="E282" t="s">
        <v>727</v>
      </c>
    </row>
    <row r="283" spans="1:5" x14ac:dyDescent="0.35">
      <c r="A283" t="s">
        <v>728</v>
      </c>
      <c r="B283">
        <v>164.06</v>
      </c>
      <c r="C283" t="s">
        <v>5</v>
      </c>
      <c r="D283">
        <v>276834436</v>
      </c>
      <c r="E283" t="s">
        <v>729</v>
      </c>
    </row>
    <row r="284" spans="1:5" x14ac:dyDescent="0.35">
      <c r="A284" t="s">
        <v>730</v>
      </c>
      <c r="B284">
        <v>34.39</v>
      </c>
      <c r="C284" t="s">
        <v>5</v>
      </c>
      <c r="D284">
        <v>258542325</v>
      </c>
      <c r="E284" t="s">
        <v>731</v>
      </c>
    </row>
    <row r="285" spans="1:5" x14ac:dyDescent="0.35">
      <c r="A285" t="s">
        <v>732</v>
      </c>
      <c r="B285">
        <v>27.51</v>
      </c>
      <c r="C285" t="s">
        <v>5</v>
      </c>
      <c r="D285">
        <v>816250</v>
      </c>
      <c r="E285" t="s">
        <v>733</v>
      </c>
    </row>
    <row r="286" spans="1:5" x14ac:dyDescent="0.35">
      <c r="A286" t="s">
        <v>734</v>
      </c>
      <c r="B286">
        <v>14.74</v>
      </c>
      <c r="C286" t="s">
        <v>5</v>
      </c>
      <c r="D286">
        <v>1535172</v>
      </c>
      <c r="E286" t="s">
        <v>735</v>
      </c>
    </row>
    <row r="287" spans="1:5" x14ac:dyDescent="0.35">
      <c r="A287" t="s">
        <v>734</v>
      </c>
      <c r="B287">
        <v>2232.09</v>
      </c>
      <c r="C287" t="s">
        <v>5</v>
      </c>
      <c r="D287">
        <v>1535103</v>
      </c>
      <c r="E287" t="s">
        <v>736</v>
      </c>
    </row>
    <row r="288" spans="1:5" x14ac:dyDescent="0.35">
      <c r="A288" t="s">
        <v>737</v>
      </c>
      <c r="B288">
        <v>593.39</v>
      </c>
      <c r="C288" t="s">
        <v>5</v>
      </c>
      <c r="D288">
        <v>274665826</v>
      </c>
      <c r="E288" t="s">
        <v>738</v>
      </c>
    </row>
    <row r="289" spans="1:5" x14ac:dyDescent="0.35">
      <c r="A289" t="s">
        <v>739</v>
      </c>
      <c r="B289">
        <v>1571.86</v>
      </c>
      <c r="C289" t="s">
        <v>5</v>
      </c>
      <c r="D289">
        <v>1165051</v>
      </c>
      <c r="E289" t="s">
        <v>740</v>
      </c>
    </row>
    <row r="290" spans="1:5" x14ac:dyDescent="0.35">
      <c r="A290" t="s">
        <v>741</v>
      </c>
      <c r="B290">
        <v>1371.51</v>
      </c>
      <c r="C290" t="s">
        <v>5</v>
      </c>
      <c r="D290">
        <v>1390179</v>
      </c>
      <c r="E290" t="s">
        <v>742</v>
      </c>
    </row>
    <row r="291" spans="1:5" x14ac:dyDescent="0.35">
      <c r="A291" t="s">
        <v>743</v>
      </c>
      <c r="B291">
        <v>1548.39</v>
      </c>
      <c r="C291" t="s">
        <v>5</v>
      </c>
      <c r="D291">
        <v>131876</v>
      </c>
      <c r="E291" t="s">
        <v>744</v>
      </c>
    </row>
    <row r="292" spans="1:5" x14ac:dyDescent="0.35">
      <c r="A292" t="s">
        <v>39</v>
      </c>
      <c r="B292">
        <v>2257.67</v>
      </c>
      <c r="C292" t="s">
        <v>5</v>
      </c>
      <c r="D292">
        <v>1464766</v>
      </c>
      <c r="E292" t="s">
        <v>745</v>
      </c>
    </row>
    <row r="293" spans="1:5" x14ac:dyDescent="0.35">
      <c r="A293" t="s">
        <v>39</v>
      </c>
      <c r="B293">
        <v>58.95</v>
      </c>
      <c r="C293" t="s">
        <v>5</v>
      </c>
      <c r="D293">
        <v>1464690</v>
      </c>
      <c r="E293" t="s">
        <v>746</v>
      </c>
    </row>
    <row r="294" spans="1:5" x14ac:dyDescent="0.35">
      <c r="A294" t="s">
        <v>747</v>
      </c>
      <c r="B294">
        <v>1599.42</v>
      </c>
      <c r="C294" t="s">
        <v>5</v>
      </c>
      <c r="D294">
        <v>500599</v>
      </c>
      <c r="E294" t="s">
        <v>748</v>
      </c>
    </row>
    <row r="295" spans="1:5" x14ac:dyDescent="0.35">
      <c r="A295" t="s">
        <v>749</v>
      </c>
      <c r="B295">
        <v>44.22</v>
      </c>
      <c r="C295" t="s">
        <v>5</v>
      </c>
      <c r="D295">
        <v>291870079</v>
      </c>
      <c r="E295" t="s">
        <v>750</v>
      </c>
    </row>
    <row r="296" spans="1:5" x14ac:dyDescent="0.35">
      <c r="A296" t="s">
        <v>751</v>
      </c>
      <c r="B296">
        <v>294.74</v>
      </c>
      <c r="C296" t="s">
        <v>5</v>
      </c>
      <c r="D296">
        <v>274168785</v>
      </c>
      <c r="E296" t="s">
        <v>752</v>
      </c>
    </row>
    <row r="297" spans="1:5" x14ac:dyDescent="0.35">
      <c r="A297" t="s">
        <v>751</v>
      </c>
      <c r="B297">
        <v>201.4</v>
      </c>
      <c r="C297" t="s">
        <v>5</v>
      </c>
      <c r="D297">
        <v>274170688</v>
      </c>
      <c r="E297" t="s">
        <v>753</v>
      </c>
    </row>
    <row r="298" spans="1:5" x14ac:dyDescent="0.35">
      <c r="A298" t="s">
        <v>751</v>
      </c>
      <c r="B298">
        <v>106.1</v>
      </c>
      <c r="C298" t="s">
        <v>5</v>
      </c>
      <c r="D298">
        <v>274131757</v>
      </c>
      <c r="E298" t="s">
        <v>754</v>
      </c>
    </row>
    <row r="299" spans="1:5" x14ac:dyDescent="0.35">
      <c r="A299" t="s">
        <v>751</v>
      </c>
      <c r="B299">
        <v>37.33</v>
      </c>
      <c r="C299" t="s">
        <v>5</v>
      </c>
      <c r="D299">
        <v>274105724</v>
      </c>
      <c r="E299" t="s">
        <v>755</v>
      </c>
    </row>
    <row r="300" spans="1:5" x14ac:dyDescent="0.35">
      <c r="A300" t="s">
        <v>756</v>
      </c>
      <c r="B300">
        <v>1522.76</v>
      </c>
      <c r="C300" t="s">
        <v>5</v>
      </c>
      <c r="D300">
        <v>1072563</v>
      </c>
      <c r="E300" t="s">
        <v>757</v>
      </c>
    </row>
    <row r="301" spans="1:5" x14ac:dyDescent="0.35">
      <c r="A301" t="s">
        <v>758</v>
      </c>
      <c r="B301">
        <v>1519.79</v>
      </c>
      <c r="C301" t="s">
        <v>5</v>
      </c>
      <c r="D301">
        <v>1331678</v>
      </c>
      <c r="E301" t="s">
        <v>759</v>
      </c>
    </row>
    <row r="302" spans="1:5" x14ac:dyDescent="0.35">
      <c r="A302" t="s">
        <v>760</v>
      </c>
      <c r="B302">
        <v>2000.3</v>
      </c>
      <c r="C302" t="s">
        <v>5</v>
      </c>
      <c r="D302">
        <v>1569757</v>
      </c>
      <c r="E302" t="s">
        <v>761</v>
      </c>
    </row>
    <row r="303" spans="1:5" x14ac:dyDescent="0.35">
      <c r="A303" t="s">
        <v>760</v>
      </c>
      <c r="B303">
        <v>2029.73</v>
      </c>
      <c r="C303" t="s">
        <v>5</v>
      </c>
      <c r="D303">
        <v>1504939</v>
      </c>
      <c r="E303" t="s">
        <v>762</v>
      </c>
    </row>
    <row r="304" spans="1:5" x14ac:dyDescent="0.35">
      <c r="A304" t="s">
        <v>763</v>
      </c>
      <c r="B304">
        <v>181.74</v>
      </c>
      <c r="C304" t="s">
        <v>5</v>
      </c>
      <c r="D304">
        <v>1382035</v>
      </c>
      <c r="E304" t="s">
        <v>764</v>
      </c>
    </row>
    <row r="305" spans="1:5" x14ac:dyDescent="0.35">
      <c r="A305" t="s">
        <v>763</v>
      </c>
      <c r="B305">
        <v>1795.89</v>
      </c>
      <c r="C305" t="s">
        <v>5</v>
      </c>
      <c r="D305">
        <v>1382088</v>
      </c>
      <c r="E305" t="s">
        <v>765</v>
      </c>
    </row>
    <row r="306" spans="1:5" x14ac:dyDescent="0.35">
      <c r="A306" t="s">
        <v>763</v>
      </c>
      <c r="B306">
        <v>131.63999999999999</v>
      </c>
      <c r="C306" t="s">
        <v>5</v>
      </c>
      <c r="D306">
        <v>1382083</v>
      </c>
      <c r="E306" t="s">
        <v>766</v>
      </c>
    </row>
    <row r="307" spans="1:5" x14ac:dyDescent="0.35">
      <c r="A307" t="s">
        <v>763</v>
      </c>
      <c r="B307">
        <v>186.67</v>
      </c>
      <c r="C307" t="s">
        <v>5</v>
      </c>
      <c r="D307">
        <v>1382035</v>
      </c>
      <c r="E307" t="s">
        <v>767</v>
      </c>
    </row>
    <row r="308" spans="1:5" x14ac:dyDescent="0.35">
      <c r="A308" t="s">
        <v>768</v>
      </c>
      <c r="B308">
        <v>1771.34</v>
      </c>
      <c r="C308" t="s">
        <v>5</v>
      </c>
      <c r="D308">
        <v>395079</v>
      </c>
      <c r="E308" t="s">
        <v>769</v>
      </c>
    </row>
    <row r="309" spans="1:5" x14ac:dyDescent="0.35">
      <c r="A309" t="s">
        <v>770</v>
      </c>
      <c r="B309">
        <v>336.01</v>
      </c>
      <c r="C309" t="s">
        <v>5</v>
      </c>
      <c r="D309">
        <v>291320297</v>
      </c>
      <c r="E309" t="s">
        <v>771</v>
      </c>
    </row>
    <row r="310" spans="1:5" x14ac:dyDescent="0.35">
      <c r="A310" t="s">
        <v>772</v>
      </c>
      <c r="B310">
        <v>578.66</v>
      </c>
      <c r="C310" t="s">
        <v>5</v>
      </c>
      <c r="D310">
        <v>273210518</v>
      </c>
      <c r="E310" t="s">
        <v>773</v>
      </c>
    </row>
    <row r="311" spans="1:5" x14ac:dyDescent="0.35">
      <c r="A311" t="s">
        <v>774</v>
      </c>
      <c r="B311">
        <v>2103.39</v>
      </c>
      <c r="C311" t="s">
        <v>5</v>
      </c>
      <c r="D311">
        <v>994317</v>
      </c>
      <c r="E311" t="s">
        <v>775</v>
      </c>
    </row>
    <row r="312" spans="1:5" x14ac:dyDescent="0.35">
      <c r="A312" t="s">
        <v>776</v>
      </c>
      <c r="B312">
        <v>1976.65</v>
      </c>
      <c r="C312" t="s">
        <v>5</v>
      </c>
      <c r="D312">
        <v>1287618</v>
      </c>
      <c r="E312" t="s">
        <v>777</v>
      </c>
    </row>
    <row r="313" spans="1:5" x14ac:dyDescent="0.35">
      <c r="A313" t="s">
        <v>349</v>
      </c>
      <c r="B313">
        <v>55.02</v>
      </c>
      <c r="C313" t="s">
        <v>5</v>
      </c>
      <c r="D313">
        <v>1490517</v>
      </c>
      <c r="E313" t="s">
        <v>778</v>
      </c>
    </row>
    <row r="314" spans="1:5" x14ac:dyDescent="0.35">
      <c r="A314" t="s">
        <v>349</v>
      </c>
      <c r="B314">
        <v>3906.27</v>
      </c>
      <c r="C314" t="s">
        <v>5</v>
      </c>
      <c r="D314">
        <v>1490526</v>
      </c>
      <c r="E314" t="s">
        <v>779</v>
      </c>
    </row>
    <row r="315" spans="1:5" x14ac:dyDescent="0.35">
      <c r="A315" t="s">
        <v>349</v>
      </c>
      <c r="B315">
        <v>881.25</v>
      </c>
      <c r="C315" t="s">
        <v>5</v>
      </c>
      <c r="D315">
        <v>1490319</v>
      </c>
      <c r="E315" t="s">
        <v>350</v>
      </c>
    </row>
    <row r="316" spans="1:5" x14ac:dyDescent="0.35">
      <c r="A316" t="s">
        <v>351</v>
      </c>
      <c r="B316">
        <v>728.98</v>
      </c>
      <c r="C316" t="s">
        <v>5</v>
      </c>
      <c r="D316">
        <v>1296222</v>
      </c>
      <c r="E316" t="s">
        <v>352</v>
      </c>
    </row>
    <row r="317" spans="1:5" x14ac:dyDescent="0.35">
      <c r="A317" t="s">
        <v>201</v>
      </c>
      <c r="B317">
        <v>1064.99</v>
      </c>
      <c r="C317" t="s">
        <v>5</v>
      </c>
      <c r="D317">
        <v>299282</v>
      </c>
      <c r="E317" t="s">
        <v>353</v>
      </c>
    </row>
    <row r="318" spans="1:5" x14ac:dyDescent="0.35">
      <c r="A318" t="s">
        <v>376</v>
      </c>
      <c r="B318">
        <v>30.46</v>
      </c>
      <c r="C318" t="s">
        <v>5</v>
      </c>
      <c r="D318">
        <v>290860218</v>
      </c>
      <c r="E318" t="s">
        <v>377</v>
      </c>
    </row>
    <row r="319" spans="1:5" x14ac:dyDescent="0.35">
      <c r="A319" t="s">
        <v>354</v>
      </c>
      <c r="B319">
        <v>14.74</v>
      </c>
      <c r="C319" t="s">
        <v>5</v>
      </c>
      <c r="D319">
        <v>944807</v>
      </c>
      <c r="E319" t="s">
        <v>355</v>
      </c>
    </row>
    <row r="320" spans="1:5" x14ac:dyDescent="0.35">
      <c r="A320" t="s">
        <v>354</v>
      </c>
      <c r="B320">
        <v>1254.56</v>
      </c>
      <c r="C320" t="s">
        <v>5</v>
      </c>
      <c r="D320">
        <v>944806</v>
      </c>
      <c r="E320" t="s">
        <v>357</v>
      </c>
    </row>
    <row r="321" spans="1:5" x14ac:dyDescent="0.35">
      <c r="A321" t="s">
        <v>354</v>
      </c>
      <c r="B321">
        <v>384.13</v>
      </c>
      <c r="C321" t="s">
        <v>5</v>
      </c>
      <c r="D321">
        <v>944802</v>
      </c>
      <c r="E321" t="s">
        <v>356</v>
      </c>
    </row>
    <row r="322" spans="1:5" x14ac:dyDescent="0.35">
      <c r="A322" t="s">
        <v>358</v>
      </c>
      <c r="B322">
        <v>413.61</v>
      </c>
      <c r="C322" t="s">
        <v>5</v>
      </c>
      <c r="D322">
        <v>1228119</v>
      </c>
      <c r="E322" t="s">
        <v>361</v>
      </c>
    </row>
    <row r="323" spans="1:5" x14ac:dyDescent="0.35">
      <c r="A323" t="s">
        <v>358</v>
      </c>
      <c r="B323">
        <v>146.38</v>
      </c>
      <c r="C323" t="s">
        <v>5</v>
      </c>
      <c r="D323">
        <v>1228114</v>
      </c>
      <c r="E323" t="s">
        <v>360</v>
      </c>
    </row>
    <row r="324" spans="1:5" x14ac:dyDescent="0.35">
      <c r="A324" t="s">
        <v>358</v>
      </c>
      <c r="B324">
        <v>1599.37</v>
      </c>
      <c r="C324" t="s">
        <v>5</v>
      </c>
      <c r="D324">
        <v>1228116</v>
      </c>
      <c r="E324" t="s">
        <v>359</v>
      </c>
    </row>
    <row r="325" spans="1:5" x14ac:dyDescent="0.35">
      <c r="A325" t="s">
        <v>362</v>
      </c>
      <c r="B325">
        <v>476.49</v>
      </c>
      <c r="C325" t="s">
        <v>5</v>
      </c>
      <c r="D325">
        <v>192717</v>
      </c>
      <c r="E325" t="s">
        <v>363</v>
      </c>
    </row>
    <row r="326" spans="1:5" x14ac:dyDescent="0.35">
      <c r="A326" t="s">
        <v>362</v>
      </c>
      <c r="B326">
        <v>2895.32</v>
      </c>
      <c r="C326" t="s">
        <v>5</v>
      </c>
      <c r="D326">
        <v>192654</v>
      </c>
      <c r="E326" t="s">
        <v>365</v>
      </c>
    </row>
    <row r="327" spans="1:5" x14ac:dyDescent="0.35">
      <c r="A327" t="s">
        <v>362</v>
      </c>
      <c r="B327">
        <v>329.13</v>
      </c>
      <c r="C327" t="s">
        <v>5</v>
      </c>
      <c r="D327">
        <v>192719</v>
      </c>
      <c r="E327" t="s">
        <v>364</v>
      </c>
    </row>
    <row r="328" spans="1:5" x14ac:dyDescent="0.35">
      <c r="A328" t="s">
        <v>378</v>
      </c>
      <c r="B328">
        <v>592.42999999999995</v>
      </c>
      <c r="C328" t="s">
        <v>5</v>
      </c>
      <c r="D328">
        <v>290353277</v>
      </c>
      <c r="E328" t="s">
        <v>379</v>
      </c>
    </row>
    <row r="329" spans="1:5" x14ac:dyDescent="0.35">
      <c r="A329" t="s">
        <v>378</v>
      </c>
      <c r="B329">
        <v>84.49</v>
      </c>
      <c r="C329" t="s">
        <v>5</v>
      </c>
      <c r="D329">
        <v>290329401</v>
      </c>
      <c r="E329" t="s">
        <v>380</v>
      </c>
    </row>
    <row r="330" spans="1:5" x14ac:dyDescent="0.35">
      <c r="A330" t="s">
        <v>378</v>
      </c>
      <c r="B330">
        <v>62.88</v>
      </c>
      <c r="C330" t="s">
        <v>5</v>
      </c>
      <c r="D330">
        <v>290306671</v>
      </c>
      <c r="E330" t="s">
        <v>381</v>
      </c>
    </row>
    <row r="331" spans="1:5" x14ac:dyDescent="0.35">
      <c r="A331" t="s">
        <v>366</v>
      </c>
      <c r="B331">
        <v>738.82</v>
      </c>
      <c r="C331" t="s">
        <v>5</v>
      </c>
      <c r="D331">
        <v>868695</v>
      </c>
      <c r="E331" t="s">
        <v>367</v>
      </c>
    </row>
    <row r="332" spans="1:5" x14ac:dyDescent="0.35">
      <c r="A332" t="s">
        <v>332</v>
      </c>
      <c r="B332">
        <v>789.84</v>
      </c>
      <c r="C332" t="s">
        <v>5</v>
      </c>
      <c r="D332">
        <v>1169011</v>
      </c>
      <c r="E332" t="s">
        <v>368</v>
      </c>
    </row>
    <row r="333" spans="1:5" x14ac:dyDescent="0.35">
      <c r="A333" t="s">
        <v>288</v>
      </c>
      <c r="B333">
        <v>1707.51</v>
      </c>
      <c r="C333" t="s">
        <v>5</v>
      </c>
      <c r="D333">
        <v>1340374</v>
      </c>
      <c r="E333" t="s">
        <v>369</v>
      </c>
    </row>
    <row r="334" spans="1:5" x14ac:dyDescent="0.35">
      <c r="A334" t="s">
        <v>370</v>
      </c>
      <c r="B334">
        <v>443.07</v>
      </c>
      <c r="C334" t="s">
        <v>5</v>
      </c>
      <c r="D334">
        <v>1544831</v>
      </c>
      <c r="E334" t="s">
        <v>371</v>
      </c>
    </row>
    <row r="335" spans="1:5" x14ac:dyDescent="0.35">
      <c r="A335" t="s">
        <v>382</v>
      </c>
      <c r="B335">
        <v>117.9</v>
      </c>
      <c r="C335" t="s">
        <v>5</v>
      </c>
      <c r="D335">
        <v>289403820</v>
      </c>
      <c r="E335" t="s">
        <v>383</v>
      </c>
    </row>
    <row r="336" spans="1:5" x14ac:dyDescent="0.35">
      <c r="A336" t="s">
        <v>372</v>
      </c>
      <c r="B336">
        <v>44.21</v>
      </c>
      <c r="C336" t="s">
        <v>5</v>
      </c>
      <c r="D336">
        <v>257402292</v>
      </c>
      <c r="E336" t="s">
        <v>373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5DB0D-CC8A-442A-A85A-781DDC0077D5}">
  <dimension ref="A85:E109"/>
  <sheetViews>
    <sheetView topLeftCell="A595" zoomScale="36" workbookViewId="0">
      <selection activeCell="A86" sqref="A86:H611"/>
    </sheetView>
  </sheetViews>
  <sheetFormatPr baseColWidth="10" defaultColWidth="8.7265625" defaultRowHeight="14.5" x14ac:dyDescent="0.35"/>
  <sheetData>
    <row r="85" spans="1:5" x14ac:dyDescent="0.35">
      <c r="A85" t="s">
        <v>21</v>
      </c>
      <c r="B85" t="s">
        <v>26</v>
      </c>
      <c r="C85" t="s">
        <v>23</v>
      </c>
      <c r="D85" t="s">
        <v>24</v>
      </c>
      <c r="E85" t="s">
        <v>25</v>
      </c>
    </row>
    <row r="86" spans="1:5" ht="72.5" x14ac:dyDescent="0.35">
      <c r="A86" t="s">
        <v>477</v>
      </c>
      <c r="B86">
        <v>-448.5</v>
      </c>
      <c r="C86" t="s">
        <v>780</v>
      </c>
      <c r="D86">
        <v>10042690000</v>
      </c>
      <c r="E86" s="183" t="s">
        <v>781</v>
      </c>
    </row>
    <row r="87" spans="1:5" ht="58" x14ac:dyDescent="0.35">
      <c r="A87" t="s">
        <v>477</v>
      </c>
      <c r="B87">
        <v>-1345.5</v>
      </c>
      <c r="C87" t="s">
        <v>780</v>
      </c>
      <c r="D87">
        <v>10042680000</v>
      </c>
      <c r="E87" s="183" t="s">
        <v>782</v>
      </c>
    </row>
    <row r="88" spans="1:5" ht="101.5" x14ac:dyDescent="0.35">
      <c r="A88" t="s">
        <v>331</v>
      </c>
      <c r="B88">
        <v>-21784.6</v>
      </c>
      <c r="D88">
        <v>114592615</v>
      </c>
      <c r="E88" s="183" t="s">
        <v>783</v>
      </c>
    </row>
    <row r="89" spans="1:5" ht="101.5" x14ac:dyDescent="0.35">
      <c r="A89" t="s">
        <v>527</v>
      </c>
      <c r="B89">
        <v>-8</v>
      </c>
      <c r="C89" t="s">
        <v>780</v>
      </c>
      <c r="D89">
        <v>54761590000</v>
      </c>
      <c r="E89" s="183" t="s">
        <v>784</v>
      </c>
    </row>
    <row r="90" spans="1:5" ht="72.5" x14ac:dyDescent="0.35">
      <c r="A90" t="s">
        <v>535</v>
      </c>
      <c r="B90">
        <v>-8966.9</v>
      </c>
      <c r="C90" t="s">
        <v>785</v>
      </c>
      <c r="D90">
        <v>45035860000</v>
      </c>
      <c r="E90" s="183" t="s">
        <v>786</v>
      </c>
    </row>
    <row r="91" spans="1:5" ht="72.5" x14ac:dyDescent="0.35">
      <c r="A91" t="s">
        <v>576</v>
      </c>
      <c r="B91">
        <v>-2407.77</v>
      </c>
      <c r="C91" t="s">
        <v>780</v>
      </c>
      <c r="D91">
        <v>65069850000</v>
      </c>
      <c r="E91" s="183" t="s">
        <v>787</v>
      </c>
    </row>
    <row r="92" spans="1:5" ht="58" x14ac:dyDescent="0.35">
      <c r="A92" t="s">
        <v>579</v>
      </c>
      <c r="B92">
        <v>-1404</v>
      </c>
      <c r="C92" t="s">
        <v>780</v>
      </c>
      <c r="D92">
        <v>79380460000</v>
      </c>
      <c r="E92" s="183" t="s">
        <v>788</v>
      </c>
    </row>
    <row r="93" spans="1:5" ht="72.5" x14ac:dyDescent="0.35">
      <c r="A93" t="s">
        <v>579</v>
      </c>
      <c r="B93">
        <v>-1286.75</v>
      </c>
      <c r="C93" t="s">
        <v>789</v>
      </c>
      <c r="D93">
        <v>79380480000</v>
      </c>
      <c r="E93" s="183" t="s">
        <v>790</v>
      </c>
    </row>
    <row r="94" spans="1:5" ht="87" x14ac:dyDescent="0.35">
      <c r="A94" t="s">
        <v>791</v>
      </c>
      <c r="B94">
        <v>-648.15</v>
      </c>
      <c r="C94" t="s">
        <v>780</v>
      </c>
      <c r="D94">
        <v>19136400000</v>
      </c>
      <c r="E94" s="183" t="s">
        <v>792</v>
      </c>
    </row>
    <row r="95" spans="1:5" ht="58" x14ac:dyDescent="0.35">
      <c r="A95" t="s">
        <v>611</v>
      </c>
      <c r="B95">
        <v>-6796.76</v>
      </c>
      <c r="C95" t="s">
        <v>780</v>
      </c>
      <c r="D95">
        <v>22911420000</v>
      </c>
      <c r="E95" s="183" t="s">
        <v>793</v>
      </c>
    </row>
    <row r="96" spans="1:5" ht="72.5" x14ac:dyDescent="0.35">
      <c r="A96" t="s">
        <v>624</v>
      </c>
      <c r="B96">
        <v>-3259.1</v>
      </c>
      <c r="C96" t="s">
        <v>780</v>
      </c>
      <c r="D96">
        <v>12131700000</v>
      </c>
      <c r="E96" s="183" t="s">
        <v>794</v>
      </c>
    </row>
    <row r="97" spans="1:5" ht="87" x14ac:dyDescent="0.35">
      <c r="A97" t="s">
        <v>626</v>
      </c>
      <c r="B97">
        <v>-2088</v>
      </c>
      <c r="C97" t="s">
        <v>780</v>
      </c>
      <c r="D97">
        <v>85429420000</v>
      </c>
      <c r="E97" s="183" t="s">
        <v>795</v>
      </c>
    </row>
    <row r="98" spans="1:5" ht="101.5" x14ac:dyDescent="0.35">
      <c r="A98" t="s">
        <v>638</v>
      </c>
      <c r="B98">
        <v>-50000</v>
      </c>
      <c r="D98">
        <v>175694291</v>
      </c>
      <c r="E98" s="183" t="s">
        <v>796</v>
      </c>
    </row>
    <row r="99" spans="1:5" ht="72.5" x14ac:dyDescent="0.35">
      <c r="A99" t="s">
        <v>797</v>
      </c>
      <c r="B99">
        <v>-32735</v>
      </c>
      <c r="C99" t="s">
        <v>780</v>
      </c>
      <c r="D99">
        <v>62748000000</v>
      </c>
      <c r="E99" s="183" t="s">
        <v>798</v>
      </c>
    </row>
    <row r="100" spans="1:5" ht="87" x14ac:dyDescent="0.35">
      <c r="A100" t="s">
        <v>671</v>
      </c>
      <c r="B100">
        <v>-347.5</v>
      </c>
      <c r="C100" t="s">
        <v>780</v>
      </c>
      <c r="D100">
        <v>90089470000</v>
      </c>
      <c r="E100" s="183" t="s">
        <v>799</v>
      </c>
    </row>
    <row r="101" spans="1:5" ht="101.5" x14ac:dyDescent="0.35">
      <c r="A101" t="s">
        <v>671</v>
      </c>
      <c r="B101">
        <v>-1150</v>
      </c>
      <c r="C101" t="s">
        <v>800</v>
      </c>
      <c r="D101">
        <v>90089480000</v>
      </c>
      <c r="E101" s="183" t="s">
        <v>801</v>
      </c>
    </row>
    <row r="102" spans="1:5" ht="87" x14ac:dyDescent="0.35">
      <c r="A102" t="s">
        <v>671</v>
      </c>
      <c r="B102">
        <v>-486.5</v>
      </c>
      <c r="C102" t="s">
        <v>780</v>
      </c>
      <c r="D102">
        <v>90089460000</v>
      </c>
      <c r="E102" s="183" t="s">
        <v>802</v>
      </c>
    </row>
    <row r="103" spans="1:5" ht="72.5" x14ac:dyDescent="0.35">
      <c r="A103" t="s">
        <v>671</v>
      </c>
      <c r="B103">
        <v>-32414.34</v>
      </c>
      <c r="C103" t="s">
        <v>780</v>
      </c>
      <c r="D103">
        <v>90089450000</v>
      </c>
      <c r="E103" s="183" t="s">
        <v>803</v>
      </c>
    </row>
    <row r="104" spans="1:5" ht="101.5" x14ac:dyDescent="0.35">
      <c r="A104" t="s">
        <v>700</v>
      </c>
      <c r="B104">
        <v>-32401.63</v>
      </c>
      <c r="D104">
        <v>172399792</v>
      </c>
      <c r="E104" s="183" t="s">
        <v>804</v>
      </c>
    </row>
    <row r="105" spans="1:5" ht="87" x14ac:dyDescent="0.35">
      <c r="A105" t="s">
        <v>700</v>
      </c>
      <c r="B105">
        <v>-2182.6999999999998</v>
      </c>
      <c r="C105" t="s">
        <v>780</v>
      </c>
      <c r="D105">
        <v>99450530000</v>
      </c>
      <c r="E105" s="183" t="s">
        <v>805</v>
      </c>
    </row>
    <row r="106" spans="1:5" ht="58" x14ac:dyDescent="0.35">
      <c r="A106" t="s">
        <v>708</v>
      </c>
      <c r="B106">
        <v>-3670.4</v>
      </c>
      <c r="C106" t="s">
        <v>780</v>
      </c>
      <c r="D106">
        <v>90297920000</v>
      </c>
      <c r="E106" s="183" t="s">
        <v>788</v>
      </c>
    </row>
    <row r="107" spans="1:5" ht="43.5" x14ac:dyDescent="0.35">
      <c r="A107" t="s">
        <v>708</v>
      </c>
      <c r="B107">
        <v>-3350.4</v>
      </c>
      <c r="C107" t="s">
        <v>780</v>
      </c>
      <c r="D107">
        <v>90297890000</v>
      </c>
      <c r="E107" s="183" t="s">
        <v>806</v>
      </c>
    </row>
    <row r="108" spans="1:5" ht="58" x14ac:dyDescent="0.35">
      <c r="A108" t="s">
        <v>730</v>
      </c>
      <c r="B108">
        <v>-230</v>
      </c>
      <c r="C108" t="s">
        <v>780</v>
      </c>
      <c r="D108">
        <v>97912930000</v>
      </c>
      <c r="E108" s="183" t="s">
        <v>807</v>
      </c>
    </row>
    <row r="109" spans="1:5" x14ac:dyDescent="0.35">
      <c r="A109" t="s">
        <v>758</v>
      </c>
      <c r="B109">
        <v>-25888.15</v>
      </c>
      <c r="D109">
        <v>130692947</v>
      </c>
      <c r="E109" t="s">
        <v>808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ACD91-383F-46B3-84BE-19AA9048F31D}">
  <dimension ref="A80:E129"/>
  <sheetViews>
    <sheetView topLeftCell="A72" workbookViewId="0">
      <selection activeCell="G86" sqref="G86"/>
    </sheetView>
  </sheetViews>
  <sheetFormatPr baseColWidth="10" defaultColWidth="8.7265625" defaultRowHeight="14.5" x14ac:dyDescent="0.35"/>
  <sheetData>
    <row r="80" spans="1:5" x14ac:dyDescent="0.35">
      <c r="A80" t="s">
        <v>21</v>
      </c>
      <c r="B80" t="s">
        <v>22</v>
      </c>
      <c r="C80" t="s">
        <v>23</v>
      </c>
      <c r="D80" t="s">
        <v>24</v>
      </c>
      <c r="E80" t="s">
        <v>25</v>
      </c>
    </row>
    <row r="81" spans="1:5" x14ac:dyDescent="0.35">
      <c r="A81" t="s">
        <v>384</v>
      </c>
      <c r="B81">
        <v>113.92</v>
      </c>
      <c r="C81" t="s">
        <v>5</v>
      </c>
      <c r="D81">
        <v>1210905</v>
      </c>
      <c r="E81" t="s">
        <v>809</v>
      </c>
    </row>
    <row r="82" spans="1:5" x14ac:dyDescent="0.35">
      <c r="A82" t="s">
        <v>391</v>
      </c>
      <c r="B82">
        <v>78.56</v>
      </c>
      <c r="C82" t="s">
        <v>5</v>
      </c>
      <c r="D82">
        <v>609956</v>
      </c>
      <c r="E82" t="s">
        <v>810</v>
      </c>
    </row>
    <row r="83" spans="1:5" x14ac:dyDescent="0.35">
      <c r="A83" t="s">
        <v>811</v>
      </c>
      <c r="B83">
        <v>31.43</v>
      </c>
      <c r="C83" t="s">
        <v>5</v>
      </c>
      <c r="D83">
        <v>487034</v>
      </c>
      <c r="E83" t="s">
        <v>812</v>
      </c>
    </row>
    <row r="84" spans="1:5" x14ac:dyDescent="0.35">
      <c r="A84" t="s">
        <v>393</v>
      </c>
      <c r="B84">
        <v>64.819999999999993</v>
      </c>
      <c r="C84" t="s">
        <v>5</v>
      </c>
      <c r="D84">
        <v>1241127</v>
      </c>
      <c r="E84" t="s">
        <v>813</v>
      </c>
    </row>
    <row r="85" spans="1:5" x14ac:dyDescent="0.35">
      <c r="A85" t="s">
        <v>425</v>
      </c>
      <c r="B85">
        <v>19.64</v>
      </c>
      <c r="C85" t="s">
        <v>5</v>
      </c>
      <c r="D85">
        <v>714500</v>
      </c>
      <c r="E85" t="s">
        <v>814</v>
      </c>
    </row>
    <row r="86" spans="1:5" x14ac:dyDescent="0.35">
      <c r="A86" t="s">
        <v>430</v>
      </c>
      <c r="B86">
        <v>402</v>
      </c>
      <c r="C86" t="s">
        <v>5</v>
      </c>
      <c r="D86">
        <v>10143</v>
      </c>
      <c r="E86" t="s">
        <v>815</v>
      </c>
    </row>
    <row r="87" spans="1:5" x14ac:dyDescent="0.35">
      <c r="A87" t="s">
        <v>432</v>
      </c>
      <c r="B87">
        <v>182</v>
      </c>
      <c r="C87" t="s">
        <v>5</v>
      </c>
      <c r="D87">
        <v>10141</v>
      </c>
      <c r="E87" t="s">
        <v>815</v>
      </c>
    </row>
    <row r="88" spans="1:5" x14ac:dyDescent="0.35">
      <c r="A88" t="s">
        <v>443</v>
      </c>
      <c r="B88">
        <v>202.31</v>
      </c>
      <c r="C88" t="s">
        <v>5</v>
      </c>
      <c r="D88">
        <v>820777</v>
      </c>
      <c r="E88" t="s">
        <v>816</v>
      </c>
    </row>
    <row r="89" spans="1:5" x14ac:dyDescent="0.35">
      <c r="A89" t="s">
        <v>451</v>
      </c>
      <c r="B89">
        <v>85.62</v>
      </c>
      <c r="C89" t="s">
        <v>5</v>
      </c>
      <c r="D89">
        <v>391661</v>
      </c>
      <c r="E89" t="s">
        <v>817</v>
      </c>
    </row>
    <row r="90" spans="1:5" x14ac:dyDescent="0.35">
      <c r="A90" t="s">
        <v>463</v>
      </c>
      <c r="B90">
        <v>58</v>
      </c>
      <c r="C90" t="s">
        <v>5</v>
      </c>
      <c r="D90">
        <v>10147</v>
      </c>
      <c r="E90" t="s">
        <v>815</v>
      </c>
    </row>
    <row r="91" spans="1:5" x14ac:dyDescent="0.35">
      <c r="A91" t="s">
        <v>479</v>
      </c>
      <c r="B91">
        <v>52.05</v>
      </c>
      <c r="C91" t="s">
        <v>5</v>
      </c>
      <c r="D91">
        <v>768485</v>
      </c>
      <c r="E91" t="s">
        <v>818</v>
      </c>
    </row>
    <row r="92" spans="1:5" x14ac:dyDescent="0.35">
      <c r="A92" t="s">
        <v>483</v>
      </c>
      <c r="B92">
        <v>61.85</v>
      </c>
      <c r="C92" t="s">
        <v>5</v>
      </c>
      <c r="D92">
        <v>922686</v>
      </c>
      <c r="E92" t="s">
        <v>819</v>
      </c>
    </row>
    <row r="93" spans="1:5" x14ac:dyDescent="0.35">
      <c r="A93" t="s">
        <v>331</v>
      </c>
      <c r="B93">
        <v>35</v>
      </c>
      <c r="C93" t="s">
        <v>5</v>
      </c>
      <c r="D93">
        <v>10153</v>
      </c>
      <c r="E93" t="s">
        <v>815</v>
      </c>
    </row>
    <row r="94" spans="1:5" x14ac:dyDescent="0.35">
      <c r="A94" t="s">
        <v>331</v>
      </c>
      <c r="B94">
        <v>30</v>
      </c>
      <c r="C94" t="s">
        <v>5</v>
      </c>
      <c r="D94">
        <v>10154</v>
      </c>
      <c r="E94" t="s">
        <v>815</v>
      </c>
    </row>
    <row r="95" spans="1:5" x14ac:dyDescent="0.35">
      <c r="A95" t="s">
        <v>820</v>
      </c>
      <c r="B95">
        <v>54</v>
      </c>
      <c r="C95" t="s">
        <v>5</v>
      </c>
      <c r="D95">
        <v>10150</v>
      </c>
      <c r="E95" t="s">
        <v>815</v>
      </c>
    </row>
    <row r="96" spans="1:5" x14ac:dyDescent="0.35">
      <c r="A96" t="s">
        <v>501</v>
      </c>
      <c r="B96">
        <v>144.37</v>
      </c>
      <c r="C96" t="s">
        <v>5</v>
      </c>
      <c r="D96">
        <v>584102</v>
      </c>
      <c r="E96" t="s">
        <v>821</v>
      </c>
    </row>
    <row r="97" spans="1:5" x14ac:dyDescent="0.35">
      <c r="A97" t="s">
        <v>521</v>
      </c>
      <c r="B97">
        <v>113</v>
      </c>
      <c r="C97" t="s">
        <v>5</v>
      </c>
      <c r="D97">
        <v>10140</v>
      </c>
      <c r="E97" t="s">
        <v>815</v>
      </c>
    </row>
    <row r="98" spans="1:5" x14ac:dyDescent="0.35">
      <c r="A98" t="s">
        <v>543</v>
      </c>
      <c r="B98">
        <v>49.1</v>
      </c>
      <c r="C98" t="s">
        <v>5</v>
      </c>
      <c r="D98">
        <v>793571</v>
      </c>
      <c r="E98" t="s">
        <v>822</v>
      </c>
    </row>
    <row r="99" spans="1:5" x14ac:dyDescent="0.35">
      <c r="A99" t="s">
        <v>823</v>
      </c>
      <c r="B99">
        <v>14.73</v>
      </c>
      <c r="C99" t="s">
        <v>5</v>
      </c>
      <c r="D99">
        <v>685922</v>
      </c>
      <c r="E99" t="s">
        <v>824</v>
      </c>
    </row>
    <row r="100" spans="1:5" x14ac:dyDescent="0.35">
      <c r="A100" t="s">
        <v>549</v>
      </c>
      <c r="B100">
        <v>117.84</v>
      </c>
      <c r="C100" t="s">
        <v>5</v>
      </c>
      <c r="D100">
        <v>462516</v>
      </c>
      <c r="E100" t="s">
        <v>825</v>
      </c>
    </row>
    <row r="101" spans="1:5" x14ac:dyDescent="0.35">
      <c r="A101" t="s">
        <v>551</v>
      </c>
      <c r="B101">
        <v>96</v>
      </c>
      <c r="C101" t="s">
        <v>5</v>
      </c>
      <c r="D101">
        <v>10142</v>
      </c>
      <c r="E101" t="s">
        <v>815</v>
      </c>
    </row>
    <row r="102" spans="1:5" x14ac:dyDescent="0.35">
      <c r="A102" t="s">
        <v>553</v>
      </c>
      <c r="B102">
        <v>438.56</v>
      </c>
      <c r="C102" t="s">
        <v>5</v>
      </c>
      <c r="D102">
        <v>1450281</v>
      </c>
      <c r="E102" t="s">
        <v>826</v>
      </c>
    </row>
    <row r="103" spans="1:5" x14ac:dyDescent="0.35">
      <c r="A103" t="s">
        <v>572</v>
      </c>
      <c r="B103">
        <v>1203</v>
      </c>
      <c r="C103" t="s">
        <v>5</v>
      </c>
      <c r="D103">
        <v>10138</v>
      </c>
      <c r="E103" t="s">
        <v>815</v>
      </c>
    </row>
    <row r="104" spans="1:5" x14ac:dyDescent="0.35">
      <c r="A104" t="s">
        <v>587</v>
      </c>
      <c r="B104">
        <v>93.27</v>
      </c>
      <c r="C104" t="s">
        <v>5</v>
      </c>
      <c r="D104">
        <v>894617</v>
      </c>
      <c r="E104" t="s">
        <v>827</v>
      </c>
    </row>
    <row r="105" spans="1:5" x14ac:dyDescent="0.35">
      <c r="A105" t="s">
        <v>611</v>
      </c>
      <c r="B105">
        <v>120.79</v>
      </c>
      <c r="C105" t="s">
        <v>5</v>
      </c>
      <c r="D105">
        <v>556903</v>
      </c>
      <c r="E105" t="s">
        <v>828</v>
      </c>
    </row>
    <row r="106" spans="1:5" x14ac:dyDescent="0.35">
      <c r="A106" t="s">
        <v>37</v>
      </c>
      <c r="B106">
        <v>580</v>
      </c>
      <c r="C106" t="s">
        <v>5</v>
      </c>
      <c r="D106">
        <v>10137</v>
      </c>
      <c r="E106" t="s">
        <v>815</v>
      </c>
    </row>
    <row r="107" spans="1:5" x14ac:dyDescent="0.35">
      <c r="A107" t="s">
        <v>636</v>
      </c>
      <c r="B107">
        <v>60</v>
      </c>
      <c r="C107" t="s">
        <v>5</v>
      </c>
      <c r="D107">
        <v>10146</v>
      </c>
      <c r="E107" t="s">
        <v>815</v>
      </c>
    </row>
    <row r="108" spans="1:5" x14ac:dyDescent="0.35">
      <c r="A108" t="s">
        <v>646</v>
      </c>
      <c r="B108">
        <v>29.46</v>
      </c>
      <c r="C108" t="s">
        <v>5</v>
      </c>
      <c r="D108">
        <v>766956</v>
      </c>
      <c r="E108" t="s">
        <v>829</v>
      </c>
    </row>
    <row r="109" spans="1:5" x14ac:dyDescent="0.35">
      <c r="A109" t="s">
        <v>646</v>
      </c>
      <c r="B109">
        <v>82</v>
      </c>
      <c r="C109" t="s">
        <v>5</v>
      </c>
      <c r="D109">
        <v>10152</v>
      </c>
      <c r="E109" t="s">
        <v>815</v>
      </c>
    </row>
    <row r="110" spans="1:5" x14ac:dyDescent="0.35">
      <c r="A110" t="s">
        <v>648</v>
      </c>
      <c r="B110">
        <v>53.04</v>
      </c>
      <c r="C110" t="s">
        <v>5</v>
      </c>
      <c r="D110">
        <v>660991</v>
      </c>
      <c r="E110" t="s">
        <v>830</v>
      </c>
    </row>
    <row r="111" spans="1:5" x14ac:dyDescent="0.35">
      <c r="A111" t="s">
        <v>654</v>
      </c>
      <c r="B111">
        <v>81.510000000000005</v>
      </c>
      <c r="C111" t="s">
        <v>5</v>
      </c>
      <c r="D111">
        <v>431660</v>
      </c>
      <c r="E111" t="s">
        <v>831</v>
      </c>
    </row>
    <row r="112" spans="1:5" x14ac:dyDescent="0.35">
      <c r="A112" t="s">
        <v>656</v>
      </c>
      <c r="B112">
        <v>214.09</v>
      </c>
      <c r="C112" t="s">
        <v>5</v>
      </c>
      <c r="D112">
        <v>988727</v>
      </c>
      <c r="E112" t="s">
        <v>832</v>
      </c>
    </row>
    <row r="113" spans="1:5" x14ac:dyDescent="0.35">
      <c r="A113" t="s">
        <v>685</v>
      </c>
      <c r="B113">
        <v>44</v>
      </c>
      <c r="C113" t="s">
        <v>5</v>
      </c>
      <c r="D113">
        <v>10136</v>
      </c>
      <c r="E113" t="s">
        <v>815</v>
      </c>
    </row>
    <row r="114" spans="1:5" x14ac:dyDescent="0.35">
      <c r="A114" t="s">
        <v>696</v>
      </c>
      <c r="B114">
        <v>30</v>
      </c>
      <c r="C114" t="s">
        <v>5</v>
      </c>
      <c r="D114">
        <v>10149</v>
      </c>
      <c r="E114" t="s">
        <v>815</v>
      </c>
    </row>
    <row r="115" spans="1:5" x14ac:dyDescent="0.35">
      <c r="A115" t="s">
        <v>700</v>
      </c>
      <c r="B115">
        <v>230</v>
      </c>
      <c r="C115" t="s">
        <v>5</v>
      </c>
      <c r="D115">
        <v>10144</v>
      </c>
      <c r="E115" t="s">
        <v>815</v>
      </c>
    </row>
    <row r="116" spans="1:5" x14ac:dyDescent="0.35">
      <c r="A116" t="s">
        <v>704</v>
      </c>
      <c r="B116">
        <v>62</v>
      </c>
      <c r="C116" t="s">
        <v>5</v>
      </c>
      <c r="D116">
        <v>10139</v>
      </c>
      <c r="E116" t="s">
        <v>815</v>
      </c>
    </row>
    <row r="117" spans="1:5" x14ac:dyDescent="0.35">
      <c r="A117" t="s">
        <v>833</v>
      </c>
      <c r="B117">
        <v>84</v>
      </c>
      <c r="C117" t="s">
        <v>5</v>
      </c>
      <c r="D117">
        <v>10135</v>
      </c>
      <c r="E117" t="s">
        <v>815</v>
      </c>
    </row>
    <row r="118" spans="1:5" x14ac:dyDescent="0.35">
      <c r="A118" t="s">
        <v>718</v>
      </c>
      <c r="B118">
        <v>538</v>
      </c>
      <c r="C118" t="s">
        <v>5</v>
      </c>
      <c r="D118">
        <v>10134</v>
      </c>
      <c r="E118" t="s">
        <v>815</v>
      </c>
    </row>
    <row r="119" spans="1:5" x14ac:dyDescent="0.35">
      <c r="A119" t="s">
        <v>724</v>
      </c>
      <c r="B119">
        <v>118.83</v>
      </c>
      <c r="C119" t="s">
        <v>5</v>
      </c>
      <c r="D119">
        <v>124987</v>
      </c>
      <c r="E119" t="s">
        <v>834</v>
      </c>
    </row>
    <row r="120" spans="1:5" x14ac:dyDescent="0.35">
      <c r="A120" t="s">
        <v>730</v>
      </c>
      <c r="B120">
        <v>74.64</v>
      </c>
      <c r="C120" t="s">
        <v>5</v>
      </c>
      <c r="D120">
        <v>850098</v>
      </c>
      <c r="E120" t="s">
        <v>835</v>
      </c>
    </row>
    <row r="121" spans="1:5" x14ac:dyDescent="0.35">
      <c r="A121" t="s">
        <v>739</v>
      </c>
      <c r="B121">
        <v>29.46</v>
      </c>
      <c r="C121" t="s">
        <v>5</v>
      </c>
      <c r="D121">
        <v>742401</v>
      </c>
      <c r="E121" t="s">
        <v>836</v>
      </c>
    </row>
    <row r="122" spans="1:5" x14ac:dyDescent="0.35">
      <c r="A122" t="s">
        <v>739</v>
      </c>
      <c r="B122">
        <v>29</v>
      </c>
      <c r="C122" t="s">
        <v>5</v>
      </c>
      <c r="D122">
        <v>10151</v>
      </c>
      <c r="E122" t="s">
        <v>815</v>
      </c>
    </row>
    <row r="123" spans="1:5" x14ac:dyDescent="0.35">
      <c r="A123" t="s">
        <v>741</v>
      </c>
      <c r="B123">
        <v>53.04</v>
      </c>
      <c r="C123" t="s">
        <v>5</v>
      </c>
      <c r="D123">
        <v>635646</v>
      </c>
      <c r="E123" t="s">
        <v>837</v>
      </c>
    </row>
    <row r="124" spans="1:5" x14ac:dyDescent="0.35">
      <c r="A124" t="s">
        <v>838</v>
      </c>
      <c r="B124">
        <v>196</v>
      </c>
      <c r="C124" t="s">
        <v>5</v>
      </c>
      <c r="D124">
        <v>10145</v>
      </c>
      <c r="E124" t="s">
        <v>815</v>
      </c>
    </row>
    <row r="125" spans="1:5" x14ac:dyDescent="0.35">
      <c r="A125" t="s">
        <v>743</v>
      </c>
      <c r="B125">
        <v>63.83</v>
      </c>
      <c r="C125" t="s">
        <v>5</v>
      </c>
      <c r="D125">
        <v>131728</v>
      </c>
      <c r="E125" t="s">
        <v>839</v>
      </c>
    </row>
    <row r="126" spans="1:5" x14ac:dyDescent="0.35">
      <c r="A126" t="s">
        <v>747</v>
      </c>
      <c r="B126">
        <v>173.83</v>
      </c>
      <c r="C126" t="s">
        <v>5</v>
      </c>
      <c r="D126">
        <v>496549</v>
      </c>
      <c r="E126" t="s">
        <v>840</v>
      </c>
    </row>
    <row r="127" spans="1:5" x14ac:dyDescent="0.35">
      <c r="A127" t="s">
        <v>772</v>
      </c>
      <c r="B127">
        <v>32.4</v>
      </c>
      <c r="C127" t="s">
        <v>5</v>
      </c>
      <c r="D127">
        <v>952187</v>
      </c>
      <c r="E127" t="s">
        <v>841</v>
      </c>
    </row>
    <row r="128" spans="1:5" x14ac:dyDescent="0.35">
      <c r="A128" t="s">
        <v>201</v>
      </c>
      <c r="B128">
        <v>234</v>
      </c>
      <c r="C128" t="s">
        <v>5</v>
      </c>
      <c r="D128">
        <v>10133</v>
      </c>
      <c r="E128" t="s">
        <v>815</v>
      </c>
    </row>
    <row r="129" spans="1:5" x14ac:dyDescent="0.35">
      <c r="A129" t="s">
        <v>332</v>
      </c>
      <c r="B129">
        <v>30</v>
      </c>
      <c r="C129" t="s">
        <v>5</v>
      </c>
      <c r="D129">
        <v>10148</v>
      </c>
      <c r="E129" t="s">
        <v>815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F4FB8-E54D-4DB2-B64B-1AE5E2C7CB4A}">
  <sheetPr codeName="Sheet32"/>
  <dimension ref="A1:D58"/>
  <sheetViews>
    <sheetView workbookViewId="0">
      <selection activeCell="Y21" sqref="Y21"/>
    </sheetView>
  </sheetViews>
  <sheetFormatPr baseColWidth="10" defaultColWidth="8.7265625" defaultRowHeight="14.5" x14ac:dyDescent="0.35"/>
  <cols>
    <col min="1" max="1" width="25.453125" bestFit="1" customWidth="1"/>
    <col min="2" max="2" width="13.1796875" bestFit="1" customWidth="1"/>
    <col min="3" max="3" width="8.1796875" bestFit="1" customWidth="1"/>
    <col min="4" max="4" width="16.453125" bestFit="1" customWidth="1"/>
    <col min="5" max="5" width="11" bestFit="1" customWidth="1"/>
  </cols>
  <sheetData>
    <row r="1" spans="1:4" x14ac:dyDescent="0.35">
      <c r="A1" t="s">
        <v>183</v>
      </c>
      <c r="B1" t="s">
        <v>186</v>
      </c>
      <c r="C1" t="s">
        <v>82</v>
      </c>
      <c r="D1" t="s">
        <v>187</v>
      </c>
    </row>
    <row r="2" spans="1:4" x14ac:dyDescent="0.35">
      <c r="A2" t="s">
        <v>132</v>
      </c>
      <c r="B2" t="s">
        <v>188</v>
      </c>
      <c r="C2">
        <v>103</v>
      </c>
      <c r="D2">
        <v>1030</v>
      </c>
    </row>
    <row r="3" spans="1:4" x14ac:dyDescent="0.35">
      <c r="A3" t="s">
        <v>151</v>
      </c>
      <c r="B3" t="s">
        <v>69</v>
      </c>
      <c r="C3">
        <v>82</v>
      </c>
      <c r="D3">
        <v>656</v>
      </c>
    </row>
    <row r="4" spans="1:4" x14ac:dyDescent="0.35">
      <c r="A4" t="s">
        <v>122</v>
      </c>
      <c r="B4" t="s">
        <v>68</v>
      </c>
      <c r="C4">
        <v>72</v>
      </c>
      <c r="D4">
        <v>1440</v>
      </c>
    </row>
    <row r="5" spans="1:4" x14ac:dyDescent="0.35">
      <c r="A5" t="s">
        <v>142</v>
      </c>
      <c r="B5" t="s">
        <v>69</v>
      </c>
      <c r="C5">
        <v>61</v>
      </c>
      <c r="D5">
        <v>610</v>
      </c>
    </row>
    <row r="6" spans="1:4" x14ac:dyDescent="0.35">
      <c r="A6" t="s">
        <v>131</v>
      </c>
      <c r="B6" t="s">
        <v>188</v>
      </c>
      <c r="C6">
        <v>60</v>
      </c>
      <c r="D6">
        <v>1080</v>
      </c>
    </row>
    <row r="7" spans="1:4" x14ac:dyDescent="0.35">
      <c r="A7" t="s">
        <v>143</v>
      </c>
      <c r="B7" t="s">
        <v>69</v>
      </c>
      <c r="C7">
        <v>56</v>
      </c>
      <c r="D7">
        <v>1120</v>
      </c>
    </row>
    <row r="8" spans="1:4" x14ac:dyDescent="0.35">
      <c r="A8" t="s">
        <v>118</v>
      </c>
      <c r="B8" t="s">
        <v>190</v>
      </c>
      <c r="C8">
        <v>51</v>
      </c>
      <c r="D8">
        <v>765</v>
      </c>
    </row>
    <row r="9" spans="1:4" x14ac:dyDescent="0.35">
      <c r="A9" t="s">
        <v>92</v>
      </c>
      <c r="B9" t="s">
        <v>189</v>
      </c>
      <c r="C9">
        <v>50</v>
      </c>
      <c r="D9">
        <v>1500</v>
      </c>
    </row>
    <row r="10" spans="1:4" x14ac:dyDescent="0.35">
      <c r="A10" t="s">
        <v>133</v>
      </c>
      <c r="B10" t="s">
        <v>188</v>
      </c>
      <c r="C10">
        <v>50</v>
      </c>
      <c r="D10">
        <v>1250</v>
      </c>
    </row>
    <row r="11" spans="1:4" x14ac:dyDescent="0.35">
      <c r="A11" t="s">
        <v>88</v>
      </c>
      <c r="B11" t="s">
        <v>189</v>
      </c>
      <c r="C11">
        <v>48</v>
      </c>
      <c r="D11">
        <v>1440</v>
      </c>
    </row>
    <row r="12" spans="1:4" x14ac:dyDescent="0.35">
      <c r="A12" t="s">
        <v>140</v>
      </c>
      <c r="B12" t="s">
        <v>188</v>
      </c>
      <c r="C12">
        <v>47</v>
      </c>
      <c r="D12">
        <v>940</v>
      </c>
    </row>
    <row r="13" spans="1:4" x14ac:dyDescent="0.35">
      <c r="A13" t="s">
        <v>139</v>
      </c>
      <c r="B13" t="s">
        <v>188</v>
      </c>
      <c r="C13">
        <v>45</v>
      </c>
      <c r="D13">
        <v>900</v>
      </c>
    </row>
    <row r="14" spans="1:4" x14ac:dyDescent="0.35">
      <c r="A14" t="s">
        <v>136</v>
      </c>
      <c r="B14" t="s">
        <v>188</v>
      </c>
      <c r="C14">
        <v>44</v>
      </c>
      <c r="D14">
        <v>1100</v>
      </c>
    </row>
    <row r="15" spans="1:4" x14ac:dyDescent="0.35">
      <c r="A15" t="s">
        <v>98</v>
      </c>
      <c r="B15" t="s">
        <v>189</v>
      </c>
      <c r="C15">
        <v>43</v>
      </c>
      <c r="D15">
        <v>1161</v>
      </c>
    </row>
    <row r="16" spans="1:4" x14ac:dyDescent="0.35">
      <c r="A16" t="s">
        <v>90</v>
      </c>
      <c r="B16" t="s">
        <v>189</v>
      </c>
      <c r="C16">
        <v>41</v>
      </c>
      <c r="D16">
        <v>1230</v>
      </c>
    </row>
    <row r="17" spans="1:4" x14ac:dyDescent="0.35">
      <c r="A17" t="s">
        <v>121</v>
      </c>
      <c r="B17" t="s">
        <v>68</v>
      </c>
      <c r="C17">
        <v>41</v>
      </c>
      <c r="D17">
        <v>1148</v>
      </c>
    </row>
    <row r="18" spans="1:4" x14ac:dyDescent="0.35">
      <c r="A18" t="s">
        <v>141</v>
      </c>
      <c r="B18" t="s">
        <v>69</v>
      </c>
      <c r="C18">
        <v>40</v>
      </c>
      <c r="D18">
        <v>400</v>
      </c>
    </row>
    <row r="19" spans="1:4" x14ac:dyDescent="0.35">
      <c r="A19" t="s">
        <v>149</v>
      </c>
      <c r="B19" t="s">
        <v>69</v>
      </c>
      <c r="C19">
        <v>35</v>
      </c>
      <c r="D19">
        <v>700</v>
      </c>
    </row>
    <row r="20" spans="1:4" x14ac:dyDescent="0.35">
      <c r="A20" t="s">
        <v>103</v>
      </c>
      <c r="B20" t="s">
        <v>189</v>
      </c>
      <c r="C20">
        <v>31</v>
      </c>
      <c r="D20">
        <v>868</v>
      </c>
    </row>
    <row r="21" spans="1:4" x14ac:dyDescent="0.35">
      <c r="A21" t="s">
        <v>153</v>
      </c>
      <c r="B21" t="s">
        <v>69</v>
      </c>
      <c r="C21">
        <v>29</v>
      </c>
      <c r="D21">
        <v>232</v>
      </c>
    </row>
    <row r="22" spans="1:4" x14ac:dyDescent="0.35">
      <c r="A22" t="s">
        <v>137</v>
      </c>
      <c r="B22" t="s">
        <v>188</v>
      </c>
      <c r="C22">
        <v>29</v>
      </c>
      <c r="D22">
        <v>812</v>
      </c>
    </row>
    <row r="23" spans="1:4" x14ac:dyDescent="0.35">
      <c r="A23" t="s">
        <v>107</v>
      </c>
      <c r="B23" t="s">
        <v>189</v>
      </c>
      <c r="C23">
        <v>27</v>
      </c>
      <c r="D23">
        <v>756</v>
      </c>
    </row>
    <row r="24" spans="1:4" x14ac:dyDescent="0.35">
      <c r="A24" t="s">
        <v>123</v>
      </c>
      <c r="B24" t="s">
        <v>68</v>
      </c>
      <c r="C24">
        <v>27</v>
      </c>
      <c r="D24">
        <v>540</v>
      </c>
    </row>
    <row r="25" spans="1:4" x14ac:dyDescent="0.35">
      <c r="A25" t="s">
        <v>89</v>
      </c>
      <c r="B25" t="s">
        <v>189</v>
      </c>
      <c r="C25">
        <v>27</v>
      </c>
      <c r="D25">
        <v>810</v>
      </c>
    </row>
    <row r="26" spans="1:4" x14ac:dyDescent="0.35">
      <c r="A26" t="s">
        <v>130</v>
      </c>
      <c r="B26" t="s">
        <v>188</v>
      </c>
      <c r="C26">
        <v>26</v>
      </c>
      <c r="D26">
        <v>910</v>
      </c>
    </row>
    <row r="27" spans="1:4" x14ac:dyDescent="0.35">
      <c r="A27" t="s">
        <v>144</v>
      </c>
      <c r="B27" t="s">
        <v>69</v>
      </c>
      <c r="C27">
        <v>25</v>
      </c>
      <c r="D27">
        <v>375</v>
      </c>
    </row>
    <row r="28" spans="1:4" x14ac:dyDescent="0.35">
      <c r="A28" t="s">
        <v>115</v>
      </c>
      <c r="B28" t="s">
        <v>190</v>
      </c>
      <c r="C28">
        <v>24</v>
      </c>
      <c r="D28">
        <v>576</v>
      </c>
    </row>
    <row r="29" spans="1:4" x14ac:dyDescent="0.35">
      <c r="A29" t="s">
        <v>128</v>
      </c>
      <c r="B29" t="s">
        <v>188</v>
      </c>
      <c r="C29">
        <v>24</v>
      </c>
      <c r="D29">
        <v>840</v>
      </c>
    </row>
    <row r="30" spans="1:4" x14ac:dyDescent="0.35">
      <c r="A30" t="s">
        <v>147</v>
      </c>
      <c r="B30" t="s">
        <v>192</v>
      </c>
      <c r="C30">
        <v>23</v>
      </c>
      <c r="D30">
        <v>414</v>
      </c>
    </row>
    <row r="31" spans="1:4" x14ac:dyDescent="0.35">
      <c r="A31" t="s">
        <v>113</v>
      </c>
      <c r="B31" t="s">
        <v>190</v>
      </c>
      <c r="C31">
        <v>22</v>
      </c>
      <c r="D31">
        <v>528</v>
      </c>
    </row>
    <row r="32" spans="1:4" x14ac:dyDescent="0.35">
      <c r="A32" t="s">
        <v>146</v>
      </c>
      <c r="B32" t="s">
        <v>192</v>
      </c>
      <c r="C32">
        <v>20</v>
      </c>
      <c r="D32">
        <v>360</v>
      </c>
    </row>
    <row r="33" spans="1:4" x14ac:dyDescent="0.35">
      <c r="A33" t="s">
        <v>156</v>
      </c>
      <c r="B33" t="s">
        <v>192</v>
      </c>
      <c r="C33">
        <v>19</v>
      </c>
      <c r="D33">
        <v>475</v>
      </c>
    </row>
    <row r="34" spans="1:4" x14ac:dyDescent="0.35">
      <c r="A34" t="s">
        <v>102</v>
      </c>
      <c r="B34" t="s">
        <v>189</v>
      </c>
      <c r="C34">
        <v>18</v>
      </c>
      <c r="D34">
        <v>270</v>
      </c>
    </row>
    <row r="35" spans="1:4" x14ac:dyDescent="0.35">
      <c r="A35" t="s">
        <v>111</v>
      </c>
      <c r="B35" t="s">
        <v>189</v>
      </c>
      <c r="C35">
        <v>17</v>
      </c>
      <c r="D35">
        <v>510</v>
      </c>
    </row>
    <row r="36" spans="1:4" x14ac:dyDescent="0.35">
      <c r="A36" t="s">
        <v>145</v>
      </c>
      <c r="B36" t="s">
        <v>192</v>
      </c>
      <c r="C36">
        <v>17</v>
      </c>
      <c r="D36">
        <v>306</v>
      </c>
    </row>
    <row r="37" spans="1:4" x14ac:dyDescent="0.35">
      <c r="A37" t="s">
        <v>105</v>
      </c>
      <c r="B37" t="s">
        <v>189</v>
      </c>
      <c r="C37">
        <v>15</v>
      </c>
      <c r="D37">
        <v>420</v>
      </c>
    </row>
    <row r="38" spans="1:4" x14ac:dyDescent="0.35">
      <c r="A38" t="s">
        <v>119</v>
      </c>
      <c r="B38" t="s">
        <v>68</v>
      </c>
      <c r="C38">
        <v>15</v>
      </c>
      <c r="D38">
        <v>420</v>
      </c>
    </row>
    <row r="39" spans="1:4" x14ac:dyDescent="0.35">
      <c r="A39" t="s">
        <v>112</v>
      </c>
      <c r="B39" t="s">
        <v>190</v>
      </c>
      <c r="C39">
        <v>15</v>
      </c>
      <c r="D39">
        <v>360</v>
      </c>
    </row>
    <row r="40" spans="1:4" x14ac:dyDescent="0.35">
      <c r="A40" t="s">
        <v>114</v>
      </c>
      <c r="B40" t="s">
        <v>190</v>
      </c>
      <c r="C40">
        <v>15</v>
      </c>
      <c r="D40">
        <v>360</v>
      </c>
    </row>
    <row r="41" spans="1:4" x14ac:dyDescent="0.35">
      <c r="A41" t="s">
        <v>126</v>
      </c>
      <c r="B41" t="s">
        <v>68</v>
      </c>
      <c r="C41">
        <v>15</v>
      </c>
      <c r="D41">
        <v>420</v>
      </c>
    </row>
    <row r="42" spans="1:4" x14ac:dyDescent="0.35">
      <c r="A42" t="s">
        <v>127</v>
      </c>
      <c r="B42" t="s">
        <v>68</v>
      </c>
      <c r="C42">
        <v>15</v>
      </c>
      <c r="D42">
        <v>420</v>
      </c>
    </row>
    <row r="43" spans="1:4" x14ac:dyDescent="0.35">
      <c r="A43" t="s">
        <v>138</v>
      </c>
      <c r="B43" t="s">
        <v>188</v>
      </c>
      <c r="C43">
        <v>15</v>
      </c>
      <c r="D43">
        <v>420</v>
      </c>
    </row>
    <row r="44" spans="1:4" x14ac:dyDescent="0.35">
      <c r="A44" t="s">
        <v>101</v>
      </c>
      <c r="B44" t="s">
        <v>189</v>
      </c>
      <c r="C44">
        <v>15</v>
      </c>
      <c r="D44">
        <v>225</v>
      </c>
    </row>
    <row r="45" spans="1:4" x14ac:dyDescent="0.35">
      <c r="A45" t="s">
        <v>124</v>
      </c>
      <c r="B45" t="s">
        <v>68</v>
      </c>
      <c r="C45">
        <v>13</v>
      </c>
      <c r="D45">
        <v>260</v>
      </c>
    </row>
    <row r="46" spans="1:4" x14ac:dyDescent="0.35">
      <c r="A46" t="s">
        <v>152</v>
      </c>
      <c r="B46" t="s">
        <v>192</v>
      </c>
      <c r="C46">
        <v>12</v>
      </c>
      <c r="D46">
        <v>180</v>
      </c>
    </row>
    <row r="47" spans="1:4" x14ac:dyDescent="0.35">
      <c r="A47" t="s">
        <v>117</v>
      </c>
      <c r="B47" t="s">
        <v>190</v>
      </c>
      <c r="C47">
        <v>12</v>
      </c>
      <c r="D47">
        <v>288</v>
      </c>
    </row>
    <row r="48" spans="1:4" x14ac:dyDescent="0.35">
      <c r="A48" t="s">
        <v>91</v>
      </c>
      <c r="B48" t="s">
        <v>189</v>
      </c>
      <c r="C48">
        <v>10</v>
      </c>
      <c r="D48">
        <v>300</v>
      </c>
    </row>
    <row r="49" spans="1:4" x14ac:dyDescent="0.35">
      <c r="A49" t="s">
        <v>99</v>
      </c>
      <c r="B49" t="s">
        <v>189</v>
      </c>
      <c r="C49">
        <v>7</v>
      </c>
      <c r="D49">
        <v>189</v>
      </c>
    </row>
    <row r="50" spans="1:4" x14ac:dyDescent="0.35">
      <c r="A50" t="s">
        <v>120</v>
      </c>
      <c r="B50" t="s">
        <v>68</v>
      </c>
      <c r="C50">
        <v>6</v>
      </c>
      <c r="D50">
        <v>168</v>
      </c>
    </row>
    <row r="51" spans="1:4" x14ac:dyDescent="0.35">
      <c r="A51" t="s">
        <v>154</v>
      </c>
      <c r="B51" t="s">
        <v>192</v>
      </c>
      <c r="C51">
        <v>6</v>
      </c>
      <c r="D51">
        <v>60</v>
      </c>
    </row>
    <row r="52" spans="1:4" x14ac:dyDescent="0.35">
      <c r="A52" t="s">
        <v>96</v>
      </c>
      <c r="B52" t="s">
        <v>189</v>
      </c>
      <c r="C52">
        <v>6</v>
      </c>
      <c r="D52">
        <v>162</v>
      </c>
    </row>
    <row r="53" spans="1:4" x14ac:dyDescent="0.35">
      <c r="A53" t="s">
        <v>93</v>
      </c>
      <c r="B53" t="s">
        <v>189</v>
      </c>
      <c r="C53">
        <v>5</v>
      </c>
      <c r="D53">
        <v>135</v>
      </c>
    </row>
    <row r="54" spans="1:4" x14ac:dyDescent="0.35">
      <c r="A54" t="s">
        <v>94</v>
      </c>
      <c r="B54" t="s">
        <v>189</v>
      </c>
      <c r="C54">
        <v>3</v>
      </c>
      <c r="D54">
        <v>120</v>
      </c>
    </row>
    <row r="55" spans="1:4" x14ac:dyDescent="0.35">
      <c r="A55" t="s">
        <v>97</v>
      </c>
      <c r="B55" t="s">
        <v>189</v>
      </c>
      <c r="C55">
        <v>3</v>
      </c>
      <c r="D55">
        <v>81</v>
      </c>
    </row>
    <row r="56" spans="1:4" x14ac:dyDescent="0.35">
      <c r="A56" t="s">
        <v>116</v>
      </c>
      <c r="B56" t="s">
        <v>190</v>
      </c>
      <c r="C56">
        <v>1</v>
      </c>
      <c r="D56">
        <v>24</v>
      </c>
    </row>
    <row r="57" spans="1:4" x14ac:dyDescent="0.35">
      <c r="A57" t="s">
        <v>155</v>
      </c>
      <c r="B57" t="s">
        <v>192</v>
      </c>
      <c r="C57">
        <v>1</v>
      </c>
      <c r="D57">
        <v>10</v>
      </c>
    </row>
    <row r="58" spans="1:4" x14ac:dyDescent="0.35">
      <c r="A58" t="s">
        <v>193</v>
      </c>
      <c r="B58" t="s">
        <v>189</v>
      </c>
      <c r="C58">
        <v>1</v>
      </c>
      <c r="D58">
        <v>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4CD001-DADE-47D6-8DA1-7ADE3E934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42</vt:i4>
      </vt:variant>
    </vt:vector>
  </HeadingPairs>
  <TitlesOfParts>
    <vt:vector size="42" baseType="lpstr">
      <vt:lpstr>Master kiosk</vt:lpstr>
      <vt:lpstr>Inn Kiosk</vt:lpstr>
      <vt:lpstr>Januar</vt:lpstr>
      <vt:lpstr>Februar</vt:lpstr>
      <vt:lpstr>Mars</vt:lpstr>
      <vt:lpstr>April</vt:lpstr>
      <vt:lpstr>Mai</vt:lpstr>
      <vt:lpstr>Vippsutskrifter</vt:lpstr>
      <vt:lpstr>Salg_Total</vt:lpstr>
      <vt:lpstr>Vipps_Totalraport</vt:lpstr>
      <vt:lpstr>Terminalutskrifter</vt:lpstr>
      <vt:lpstr>Master</vt:lpstr>
      <vt:lpstr>Inkjøp</vt:lpstr>
      <vt:lpstr>Vipps_salg_Klar_til_sammensveis</vt:lpstr>
      <vt:lpstr>Isruss</vt:lpstr>
      <vt:lpstr>Milkshake</vt:lpstr>
      <vt:lpstr>Panteruss</vt:lpstr>
      <vt:lpstr>Basar</vt:lpstr>
      <vt:lpstr>Misjonsløp</vt:lpstr>
      <vt:lpstr>Kjøregodtgjørelse</vt:lpstr>
      <vt:lpstr>Barrista</vt:lpstr>
      <vt:lpstr>Nattcup</vt:lpstr>
      <vt:lpstr>Måneskinstur</vt:lpstr>
      <vt:lpstr>Premiere Leaugue</vt:lpstr>
      <vt:lpstr>Oktober</vt:lpstr>
      <vt:lpstr>GammelVipps</vt:lpstr>
      <vt:lpstr>November</vt:lpstr>
      <vt:lpstr>Desember</vt:lpstr>
      <vt:lpstr>GammelVipps (2)</vt:lpstr>
      <vt:lpstr>TerminalV1</vt:lpstr>
      <vt:lpstr>TerminalV2</vt:lpstr>
      <vt:lpstr>Terminal_Totalraport</vt:lpstr>
      <vt:lpstr>Terminal_Salg_klar_til_sammensv</vt:lpstr>
      <vt:lpstr>Salg_Totalraport_Ferdigprodukt</vt:lpstr>
      <vt:lpstr>Krympefest</vt:lpstr>
      <vt:lpstr>Redaksjonen</vt:lpstr>
      <vt:lpstr>Rolle Bryllup</vt:lpstr>
      <vt:lpstr>Skolegensere</vt:lpstr>
      <vt:lpstr>Vippsutskrifter Python</vt:lpstr>
      <vt:lpstr>Inn Kiosk Python</vt:lpstr>
      <vt:lpstr>Terminalutskrifter Python</vt:lpstr>
      <vt:lpstr>Sept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Martin Linnebo</dc:creator>
  <cp:lastModifiedBy>Carl Martin Linnebo</cp:lastModifiedBy>
  <dcterms:created xsi:type="dcterms:W3CDTF">2025-09-10T14:35:01Z</dcterms:created>
  <dcterms:modified xsi:type="dcterms:W3CDTF">2026-06-06T11:22:39Z</dcterms:modified>
</cp:coreProperties>
</file>