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3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4.xml" ContentType="application/vnd.openxmlformats-officedocument.spreadsheetml.queryTable+xml"/>
  <Override PartName="/xl/tables/table19.xml" ContentType="application/vnd.openxmlformats-officedocument.spreadsheetml.table+xml"/>
  <Override PartName="/xl/queryTables/queryTable5.xml" ContentType="application/vnd.openxmlformats-officedocument.spreadsheetml.queryTable+xml"/>
  <Override PartName="/xl/tables/table20.xml" ContentType="application/vnd.openxmlformats-officedocument.spreadsheetml.table+xml"/>
  <Override PartName="/xl/queryTables/queryTable6.xml" ContentType="application/vnd.openxmlformats-officedocument.spreadsheetml.queryTable+xml"/>
  <Override PartName="/xl/tables/table21.xml" ContentType="application/vnd.openxmlformats-officedocument.spreadsheetml.table+xml"/>
  <Override PartName="/xl/queryTables/queryTable7.xml" ContentType="application/vnd.openxmlformats-officedocument.spreadsheetml.queryTable+xml"/>
  <Override PartName="/xl/tables/table22.xml" ContentType="application/vnd.openxmlformats-officedocument.spreadsheetml.table+xml"/>
  <Override PartName="/xl/queryTables/queryTable8.xml" ContentType="application/vnd.openxmlformats-officedocument.spreadsheetml.queryTable+xml"/>
  <Override PartName="/xl/tables/table23.xml" ContentType="application/vnd.openxmlformats-officedocument.spreadsheetml.table+xml"/>
  <Override PartName="/xl/queryTables/queryTable9.xml" ContentType="application/vnd.openxmlformats-officedocument.spreadsheetml.queryTable+xml"/>
  <Override PartName="/xl/tables/table24.xml" ContentType="application/vnd.openxmlformats-officedocument.spreadsheetml.table+xml"/>
  <Override PartName="/xl/queryTables/queryTable10.xml" ContentType="application/vnd.openxmlformats-officedocument.spreadsheetml.query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Regnskap\"/>
    </mc:Choice>
  </mc:AlternateContent>
  <xr:revisionPtr revIDLastSave="0" documentId="13_ncr:1_{25922452-5F02-46C4-BC96-562CEE25E45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ster" sheetId="1" r:id="rId1"/>
    <sheet name="Master kiosk" sheetId="2" r:id="rId2"/>
    <sheet name="Inn Kiosk" sheetId="5" r:id="rId3"/>
    <sheet name="Vippsutskrifter" sheetId="7" r:id="rId4"/>
    <sheet name="Terminalutskrifter" sheetId="9" r:id="rId5"/>
    <sheet name="Sheet1" sheetId="49" r:id="rId6"/>
    <sheet name="Salg_Total" sheetId="42" r:id="rId7"/>
    <sheet name="Inkjøp" sheetId="45" state="hidden" r:id="rId8"/>
    <sheet name="Vipps_salg_Klar_til_sammensveis" sheetId="39" state="hidden" r:id="rId9"/>
    <sheet name="Krympefest" sheetId="3" r:id="rId10"/>
    <sheet name="Premiere Leaugue" sheetId="4" r:id="rId11"/>
    <sheet name="Oktober" sheetId="24" state="hidden" r:id="rId12"/>
    <sheet name="GammelVipps" sheetId="25" state="hidden" r:id="rId13"/>
    <sheet name="November" sheetId="26" state="hidden" r:id="rId14"/>
    <sheet name="Desember" sheetId="27" state="hidden" r:id="rId15"/>
    <sheet name="GammelVipps (2)" sheetId="30" state="hidden" r:id="rId16"/>
    <sheet name="Vipps_Totalraport" sheetId="31" state="hidden" r:id="rId17"/>
    <sheet name="TerminalV1" sheetId="32" state="hidden" r:id="rId18"/>
    <sheet name="TerminalV2" sheetId="33" state="hidden" r:id="rId19"/>
    <sheet name="Terminal_Totalraport" sheetId="36" state="hidden" r:id="rId20"/>
    <sheet name="Terminal_Salg_klar_til_sammensv" sheetId="38" state="hidden" r:id="rId21"/>
    <sheet name="Salg_Totalraport_Ferdigprodukt" sheetId="40" state="hidden" r:id="rId22"/>
    <sheet name="Redaksjonen" sheetId="8" r:id="rId23"/>
    <sheet name="Kjøregodtgjørelse" sheetId="10" r:id="rId24"/>
    <sheet name="Misjonsløp" sheetId="11" r:id="rId25"/>
    <sheet name="Nattcup" sheetId="12" r:id="rId26"/>
    <sheet name="Basar" sheetId="13" r:id="rId27"/>
    <sheet name="Barrista" sheetId="14" r:id="rId28"/>
    <sheet name="Milkshake" sheetId="15" r:id="rId29"/>
    <sheet name="Panteruss" sheetId="16" r:id="rId30"/>
    <sheet name="Isruss" sheetId="17" r:id="rId31"/>
    <sheet name="Vippsutskrifter Python" sheetId="46" state="hidden" r:id="rId32"/>
    <sheet name="Inn Kiosk Python" sheetId="47" state="hidden" r:id="rId33"/>
    <sheet name="Terminalutskrifter Python" sheetId="48" state="hidden" r:id="rId34"/>
    <sheet name="Måneskinstur" sheetId="18" r:id="rId35"/>
    <sheet name="Sept" sheetId="23" state="hidden" r:id="rId36"/>
  </sheets>
  <externalReferences>
    <externalReference r:id="rId37"/>
    <externalReference r:id="rId38"/>
  </externalReferences>
  <definedNames>
    <definedName name="ExternalData_1" localSheetId="14" hidden="1">Desember!$A$1:$D$59</definedName>
    <definedName name="ExternalData_1" localSheetId="12" hidden="1">GammelVipps!$A$1:$D$62</definedName>
    <definedName name="ExternalData_1" localSheetId="15" hidden="1">'GammelVipps (2)'!$A$1:$D$61</definedName>
    <definedName name="ExternalData_1" localSheetId="7" hidden="1">Inkjøp!$A$1:$C$70</definedName>
    <definedName name="ExternalData_1" localSheetId="23" hidden="1">Kjøregodtgjørelse!$A$1:$O$10</definedName>
    <definedName name="ExternalData_1" localSheetId="13" hidden="1">November!$A$1:$E$57</definedName>
    <definedName name="ExternalData_1" localSheetId="11" hidden="1">Oktober!$A$1:$D$59</definedName>
    <definedName name="ExternalData_1" localSheetId="21" hidden="1">Salg_Totalraport_Ferdigprodukt!$A$1:$C$68</definedName>
    <definedName name="ExternalData_1" localSheetId="35" hidden="1">Sept!$A$1:$D$58</definedName>
    <definedName name="ExternalData_1" localSheetId="20" hidden="1">Terminal_Salg_klar_til_sammensv!$A$1:$C$68</definedName>
    <definedName name="ExternalData_1" localSheetId="19" hidden="1">Terminal_Totalraport!$A$1:$C$67</definedName>
    <definedName name="ExternalData_1" localSheetId="17" hidden="1">TerminalV1!$A$1:$D$67</definedName>
    <definedName name="ExternalData_1" localSheetId="18" hidden="1">TerminalV2!$A$1:$D$67</definedName>
    <definedName name="ExternalData_1" localSheetId="8" hidden="1">Vipps_salg_Klar_til_sammensveis!$A$1:$C$68</definedName>
    <definedName name="ExternalData_1" localSheetId="16" hidden="1">Vipps_Totalraport!$A$1:$C$72</definedName>
    <definedName name="ExternalData_2" localSheetId="6" hidden="1">Salg_Total!$A$1:$C$73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2" l="1"/>
  <c r="AE70" i="2"/>
  <c r="AF69" i="2" l="1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2" i="7"/>
  <c r="C2" i="5" a="1"/>
  <c r="C2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  <c r="C19" i="5" a="1"/>
  <c r="C19" i="5" s="1"/>
  <c r="C20" i="5" a="1"/>
  <c r="C20" i="5" s="1"/>
  <c r="C21" i="5" a="1"/>
  <c r="C21" i="5" s="1"/>
  <c r="C22" i="5" a="1"/>
  <c r="C22" i="5" s="1"/>
  <c r="C23" i="5" a="1"/>
  <c r="C23" i="5" s="1"/>
  <c r="C24" i="5" a="1"/>
  <c r="C24" i="5" s="1"/>
  <c r="C25" i="5" a="1"/>
  <c r="C25" i="5" s="1"/>
  <c r="C26" i="5" a="1"/>
  <c r="C26" i="5" s="1"/>
  <c r="C27" i="5" a="1"/>
  <c r="C27" i="5" s="1"/>
  <c r="C28" i="5" a="1"/>
  <c r="C28" i="5" s="1"/>
  <c r="C29" i="5" a="1"/>
  <c r="C29" i="5" s="1"/>
  <c r="C30" i="5" a="1"/>
  <c r="C30" i="5" s="1"/>
  <c r="C31" i="5" a="1"/>
  <c r="C31" i="5" s="1"/>
  <c r="C32" i="5" a="1"/>
  <c r="C32" i="5" s="1"/>
  <c r="C33" i="5" a="1"/>
  <c r="C33" i="5" s="1"/>
  <c r="C34" i="5" a="1"/>
  <c r="C34" i="5" s="1"/>
  <c r="C35" i="5" a="1"/>
  <c r="C35" i="5" s="1"/>
  <c r="C36" i="5" a="1"/>
  <c r="C36" i="5" s="1"/>
  <c r="C37" i="5" a="1"/>
  <c r="C37" i="5" s="1"/>
  <c r="C38" i="5" a="1"/>
  <c r="C38" i="5" s="1"/>
  <c r="C39" i="5" a="1"/>
  <c r="C39" i="5" s="1"/>
  <c r="C40" i="5" a="1"/>
  <c r="C40" i="5" s="1"/>
  <c r="C41" i="5" a="1"/>
  <c r="C41" i="5" s="1"/>
  <c r="C42" i="5" a="1"/>
  <c r="C42" i="5" s="1"/>
  <c r="C43" i="5" a="1"/>
  <c r="C43" i="5" s="1"/>
  <c r="C44" i="5" a="1"/>
  <c r="C44" i="5" s="1"/>
  <c r="C45" i="5" a="1"/>
  <c r="C45" i="5" s="1"/>
  <c r="C46" i="5" a="1"/>
  <c r="C46" i="5" s="1"/>
  <c r="C47" i="5" a="1"/>
  <c r="C47" i="5" s="1"/>
  <c r="C48" i="5" a="1"/>
  <c r="C48" i="5" s="1"/>
  <c r="C49" i="5" a="1"/>
  <c r="C49" i="5" s="1"/>
  <c r="C50" i="5" a="1"/>
  <c r="C50" i="5" s="1"/>
  <c r="C51" i="5" a="1"/>
  <c r="C51" i="5" s="1"/>
  <c r="C52" i="5" a="1"/>
  <c r="C52" i="5" s="1"/>
  <c r="C53" i="5" a="1"/>
  <c r="C53" i="5" s="1"/>
  <c r="C54" i="5" a="1"/>
  <c r="C54" i="5" s="1"/>
  <c r="C55" i="5" a="1"/>
  <c r="C55" i="5" s="1"/>
  <c r="C56" i="5" a="1"/>
  <c r="C56" i="5" s="1"/>
  <c r="C57" i="5" a="1"/>
  <c r="C57" i="5" s="1"/>
  <c r="C58" i="5" a="1"/>
  <c r="C58" i="5" s="1"/>
  <c r="C59" i="5" a="1"/>
  <c r="C59" i="5" s="1"/>
  <c r="C60" i="5" a="1"/>
  <c r="C60" i="5" s="1"/>
  <c r="C61" i="5" a="1"/>
  <c r="C61" i="5" s="1"/>
  <c r="C62" i="5" a="1"/>
  <c r="C62" i="5" s="1"/>
  <c r="C63" i="5" a="1"/>
  <c r="C63" i="5" s="1"/>
  <c r="C64" i="5" a="1"/>
  <c r="C64" i="5" s="1"/>
  <c r="C65" i="5" a="1"/>
  <c r="C65" i="5" s="1"/>
  <c r="C66" i="5" a="1"/>
  <c r="C66" i="5" s="1"/>
  <c r="C67" i="5" a="1"/>
  <c r="C67" i="5" s="1"/>
  <c r="C68" i="5" a="1"/>
  <c r="C68" i="5" s="1"/>
  <c r="C69" i="5" a="1"/>
  <c r="C69" i="5" s="1"/>
  <c r="C70" i="5" a="1"/>
  <c r="C70" i="5" s="1"/>
  <c r="AJ72" i="5"/>
  <c r="AI72" i="5"/>
  <c r="AH72" i="5"/>
  <c r="AJ71" i="5"/>
  <c r="AH71" i="5"/>
  <c r="AK70" i="5"/>
  <c r="AJ70" i="5"/>
  <c r="AI70" i="5"/>
  <c r="AH70" i="5"/>
  <c r="AK69" i="5"/>
  <c r="AJ69" i="5"/>
  <c r="AI69" i="5"/>
  <c r="AH69" i="5"/>
  <c r="AJ68" i="5"/>
  <c r="AI68" i="5"/>
  <c r="AH68" i="5"/>
  <c r="AJ67" i="5"/>
  <c r="AI67" i="5"/>
  <c r="AH67" i="5"/>
  <c r="AJ66" i="5"/>
  <c r="AI66" i="5"/>
  <c r="AH66" i="5"/>
  <c r="AJ65" i="5"/>
  <c r="AI65" i="5"/>
  <c r="AH65" i="5"/>
  <c r="AJ64" i="5"/>
  <c r="AI64" i="5"/>
  <c r="AH64" i="5"/>
  <c r="AJ63" i="5"/>
  <c r="AI63" i="5"/>
  <c r="AH63" i="5"/>
  <c r="AJ62" i="5"/>
  <c r="AI62" i="5"/>
  <c r="AH62" i="5"/>
  <c r="AJ61" i="5"/>
  <c r="AI61" i="5"/>
  <c r="AH61" i="5"/>
  <c r="AJ60" i="5"/>
  <c r="AI60" i="5"/>
  <c r="AH60" i="5"/>
  <c r="AJ59" i="5"/>
  <c r="AI59" i="5"/>
  <c r="AH59" i="5"/>
  <c r="AJ58" i="5"/>
  <c r="AI58" i="5"/>
  <c r="AH58" i="5"/>
  <c r="AJ57" i="5"/>
  <c r="AI57" i="5"/>
  <c r="AH57" i="5"/>
  <c r="AJ56" i="5"/>
  <c r="AI56" i="5"/>
  <c r="AH56" i="5"/>
  <c r="AJ55" i="5"/>
  <c r="AI55" i="5"/>
  <c r="AH55" i="5"/>
  <c r="AJ54" i="5"/>
  <c r="AI54" i="5"/>
  <c r="AH54" i="5"/>
  <c r="AJ53" i="5"/>
  <c r="AI53" i="5"/>
  <c r="AH53" i="5"/>
  <c r="AJ52" i="5"/>
  <c r="AI52" i="5"/>
  <c r="AH52" i="5"/>
  <c r="AJ51" i="5"/>
  <c r="AI51" i="5"/>
  <c r="AH51" i="5"/>
  <c r="AJ50" i="5"/>
  <c r="AI50" i="5"/>
  <c r="AH50" i="5"/>
  <c r="AJ49" i="5"/>
  <c r="AI49" i="5"/>
  <c r="AH49" i="5"/>
  <c r="AJ48" i="5"/>
  <c r="AI48" i="5"/>
  <c r="AH48" i="5"/>
  <c r="AJ47" i="5"/>
  <c r="AI47" i="5"/>
  <c r="AH47" i="5"/>
  <c r="AJ46" i="5"/>
  <c r="AI46" i="5"/>
  <c r="AH46" i="5"/>
  <c r="AJ45" i="5"/>
  <c r="AI45" i="5"/>
  <c r="AH45" i="5"/>
  <c r="AJ44" i="5"/>
  <c r="AI44" i="5"/>
  <c r="AH44" i="5"/>
  <c r="AJ43" i="5"/>
  <c r="AI43" i="5"/>
  <c r="AH43" i="5"/>
  <c r="AJ42" i="5"/>
  <c r="AI42" i="5"/>
  <c r="AH42" i="5"/>
  <c r="AJ41" i="5"/>
  <c r="AI41" i="5"/>
  <c r="AK40" i="5"/>
  <c r="AJ40" i="5"/>
  <c r="AI40" i="5"/>
  <c r="AH40" i="5"/>
  <c r="AK39" i="5"/>
  <c r="AJ39" i="5"/>
  <c r="AI39" i="5"/>
  <c r="AH39" i="5"/>
  <c r="AK38" i="5"/>
  <c r="AJ38" i="5"/>
  <c r="AI38" i="5"/>
  <c r="AH38" i="5"/>
  <c r="AK37" i="5"/>
  <c r="AJ37" i="5"/>
  <c r="AI37" i="5"/>
  <c r="AH37" i="5"/>
  <c r="AJ36" i="5"/>
  <c r="AI36" i="5"/>
  <c r="AH36" i="5"/>
  <c r="AK35" i="5"/>
  <c r="AJ35" i="5"/>
  <c r="AI35" i="5"/>
  <c r="AH35" i="5"/>
  <c r="AK34" i="5"/>
  <c r="AJ34" i="5"/>
  <c r="AI34" i="5"/>
  <c r="AH34" i="5"/>
  <c r="AK33" i="5"/>
  <c r="AJ33" i="5"/>
  <c r="AI33" i="5"/>
  <c r="AH33" i="5"/>
  <c r="AK32" i="5"/>
  <c r="AJ32" i="5"/>
  <c r="AI32" i="5"/>
  <c r="AH32" i="5"/>
  <c r="AK31" i="5"/>
  <c r="AJ31" i="5"/>
  <c r="AI31" i="5"/>
  <c r="AH31" i="5"/>
  <c r="AJ30" i="5"/>
  <c r="AI30" i="5"/>
  <c r="AH30" i="5"/>
  <c r="AJ29" i="5"/>
  <c r="AI29" i="5"/>
  <c r="AH29" i="5"/>
  <c r="AJ28" i="5"/>
  <c r="AI28" i="5"/>
  <c r="AH28" i="5"/>
  <c r="AJ27" i="5"/>
  <c r="AI27" i="5"/>
  <c r="AH27" i="5"/>
  <c r="AJ26" i="5"/>
  <c r="AI26" i="5"/>
  <c r="AH26" i="5"/>
  <c r="AJ25" i="5"/>
  <c r="AI25" i="5"/>
  <c r="AH25" i="5"/>
  <c r="AJ24" i="5"/>
  <c r="AI24" i="5"/>
  <c r="AH24" i="5"/>
  <c r="AK23" i="5"/>
  <c r="AJ23" i="5"/>
  <c r="AI23" i="5"/>
  <c r="AH23" i="5"/>
  <c r="AK22" i="5"/>
  <c r="AJ22" i="5"/>
  <c r="AI22" i="5"/>
  <c r="AH22" i="5"/>
  <c r="AK21" i="5"/>
  <c r="AJ21" i="5"/>
  <c r="AI21" i="5"/>
  <c r="AH21" i="5"/>
  <c r="AK20" i="5"/>
  <c r="AJ20" i="5"/>
  <c r="AI20" i="5"/>
  <c r="AH20" i="5"/>
  <c r="AK19" i="5"/>
  <c r="AJ19" i="5"/>
  <c r="AI19" i="5"/>
  <c r="AH19" i="5"/>
  <c r="AK18" i="5"/>
  <c r="AJ18" i="5"/>
  <c r="AI18" i="5"/>
  <c r="AH18" i="5"/>
  <c r="AK17" i="5"/>
  <c r="AJ17" i="5"/>
  <c r="AI17" i="5"/>
  <c r="AH17" i="5"/>
  <c r="AK16" i="5"/>
  <c r="AJ16" i="5"/>
  <c r="AI16" i="5"/>
  <c r="AH16" i="5"/>
  <c r="AK15" i="5"/>
  <c r="AJ15" i="5"/>
  <c r="AI15" i="5"/>
  <c r="AH15" i="5"/>
  <c r="AK14" i="5"/>
  <c r="AJ14" i="5"/>
  <c r="AI14" i="5"/>
  <c r="AH14" i="5"/>
  <c r="AK13" i="5"/>
  <c r="AJ13" i="5"/>
  <c r="AI13" i="5"/>
  <c r="AH13" i="5"/>
  <c r="AK12" i="5"/>
  <c r="AJ12" i="5"/>
  <c r="AI12" i="5"/>
  <c r="AH12" i="5"/>
  <c r="AK11" i="5"/>
  <c r="AJ11" i="5"/>
  <c r="AI11" i="5"/>
  <c r="AH11" i="5"/>
  <c r="AK10" i="5"/>
  <c r="AJ10" i="5"/>
  <c r="AI10" i="5"/>
  <c r="AH10" i="5"/>
  <c r="AK9" i="5"/>
  <c r="AJ9" i="5"/>
  <c r="AI9" i="5"/>
  <c r="AH9" i="5"/>
  <c r="AK8" i="5"/>
  <c r="AJ8" i="5"/>
  <c r="AI8" i="5"/>
  <c r="AH8" i="5"/>
  <c r="AK7" i="5"/>
  <c r="AJ7" i="5"/>
  <c r="AI7" i="5"/>
  <c r="AH7" i="5"/>
  <c r="AK6" i="5"/>
  <c r="AJ6" i="5"/>
  <c r="AI6" i="5"/>
  <c r="AH6" i="5"/>
  <c r="AK5" i="5"/>
  <c r="AJ5" i="5"/>
  <c r="AI5" i="5"/>
  <c r="AH5" i="5"/>
  <c r="AK4" i="5"/>
  <c r="AJ4" i="5"/>
  <c r="AI4" i="5"/>
  <c r="AH4" i="5"/>
  <c r="AK3" i="5"/>
  <c r="AJ3" i="5"/>
  <c r="AI3" i="5"/>
  <c r="AH3" i="5"/>
  <c r="AK2" i="5"/>
  <c r="AJ2" i="5"/>
  <c r="AI2" i="5"/>
  <c r="AI76" i="5" s="1"/>
  <c r="AH2" i="5"/>
  <c r="AF76" i="5"/>
  <c r="AJ80" i="5" s="1"/>
  <c r="AF86" i="5"/>
  <c r="AJ78" i="5" s="1"/>
  <c r="B71" i="9"/>
  <c r="C71" i="9"/>
  <c r="C4" i="11"/>
  <c r="W83" i="5"/>
  <c r="AK76" i="5" l="1"/>
  <c r="AJ76" i="5"/>
  <c r="AD70" i="2"/>
  <c r="AD71" i="2"/>
  <c r="AF71" i="2" s="1"/>
  <c r="AD72" i="2"/>
  <c r="AF72" i="2" s="1"/>
  <c r="AD73" i="2"/>
  <c r="AF73" i="2" s="1"/>
  <c r="AJ77" i="5" l="1"/>
  <c r="AJ79" i="5" s="1"/>
  <c r="C16" i="1"/>
  <c r="C21" i="1"/>
  <c r="O9" i="1"/>
  <c r="E22" i="1" s="1"/>
  <c r="Y3" i="1"/>
  <c r="E23" i="1" s="1"/>
  <c r="AE3" i="1"/>
  <c r="D5" i="3"/>
  <c r="B5" i="10"/>
  <c r="B7" i="10"/>
  <c r="AD69" i="2" l="1"/>
  <c r="AD7" i="2"/>
  <c r="AJ7" i="2" s="1"/>
  <c r="AD59" i="7"/>
  <c r="AC59" i="7"/>
  <c r="A80" i="9" a="1"/>
  <c r="J77" i="9" s="1"/>
  <c r="A80" i="7" a="1"/>
  <c r="A93" i="5" a="1"/>
  <c r="A93" i="5" s="1"/>
  <c r="AD71" i="5" l="1"/>
  <c r="AD72" i="5"/>
  <c r="AD69" i="5"/>
  <c r="AD70" i="5"/>
  <c r="AD65" i="5"/>
  <c r="AD57" i="5"/>
  <c r="AD49" i="5"/>
  <c r="AD41" i="5"/>
  <c r="AD33" i="5"/>
  <c r="AD25" i="5"/>
  <c r="AD17" i="5"/>
  <c r="AD9" i="5"/>
  <c r="AD37" i="5"/>
  <c r="AD59" i="5"/>
  <c r="AD11" i="5"/>
  <c r="AD42" i="5"/>
  <c r="AD2" i="5"/>
  <c r="AD64" i="5"/>
  <c r="AD56" i="5"/>
  <c r="AD48" i="5"/>
  <c r="AD40" i="5"/>
  <c r="AD32" i="5"/>
  <c r="AD24" i="5"/>
  <c r="AD16" i="5"/>
  <c r="AD8" i="5"/>
  <c r="AD21" i="5"/>
  <c r="AD35" i="5"/>
  <c r="AD34" i="5"/>
  <c r="AD63" i="5"/>
  <c r="AD55" i="5"/>
  <c r="AD47" i="5"/>
  <c r="AD39" i="5"/>
  <c r="AD31" i="5"/>
  <c r="AD23" i="5"/>
  <c r="AD15" i="5"/>
  <c r="AD7" i="5"/>
  <c r="AD13" i="5"/>
  <c r="AD51" i="5"/>
  <c r="AD27" i="5"/>
  <c r="AD66" i="5"/>
  <c r="AD26" i="5"/>
  <c r="AD62" i="5"/>
  <c r="AD54" i="5"/>
  <c r="AD46" i="5"/>
  <c r="AD38" i="5"/>
  <c r="AD30" i="5"/>
  <c r="AD22" i="5"/>
  <c r="AD14" i="5"/>
  <c r="AD6" i="5"/>
  <c r="AD45" i="5"/>
  <c r="AD5" i="5"/>
  <c r="AD67" i="5"/>
  <c r="AD3" i="5"/>
  <c r="AD50" i="5"/>
  <c r="AD10" i="5"/>
  <c r="AD61" i="5"/>
  <c r="AD53" i="5"/>
  <c r="AD29" i="5"/>
  <c r="AD68" i="5"/>
  <c r="AD60" i="5"/>
  <c r="AD52" i="5"/>
  <c r="AD44" i="5"/>
  <c r="AD36" i="5"/>
  <c r="AD28" i="5"/>
  <c r="AD20" i="5"/>
  <c r="AD12" i="5"/>
  <c r="AD4" i="5"/>
  <c r="AD43" i="5"/>
  <c r="AD19" i="5"/>
  <c r="AD58" i="5"/>
  <c r="AD18" i="5"/>
  <c r="A80" i="7"/>
  <c r="B76" i="7"/>
  <c r="C81" i="2" s="1"/>
  <c r="A80" i="9"/>
  <c r="C82" i="2"/>
  <c r="I77" i="7"/>
  <c r="A2" i="9" a="1"/>
  <c r="O62" i="7"/>
  <c r="B2" i="7" a="1"/>
  <c r="J64" i="7"/>
  <c r="B2" i="2" a="1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AD85" i="7"/>
  <c r="Y66" i="7"/>
  <c r="T66" i="7"/>
  <c r="O66" i="7"/>
  <c r="I66" i="7"/>
  <c r="Y62" i="7"/>
  <c r="AD81" i="7"/>
  <c r="T62" i="7"/>
  <c r="I63" i="7"/>
  <c r="J63" i="7" s="1"/>
  <c r="H3" i="2" l="1"/>
  <c r="D39" i="2"/>
  <c r="I39" i="2"/>
  <c r="C70" i="9"/>
  <c r="C69" i="9"/>
  <c r="B70" i="9"/>
  <c r="B69" i="9"/>
  <c r="C70" i="7"/>
  <c r="D70" i="7"/>
  <c r="C71" i="7"/>
  <c r="D71" i="7"/>
  <c r="C83" i="2"/>
  <c r="C94" i="2" s="1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C3" i="2" s="1"/>
  <c r="G11" i="2"/>
  <c r="C11" i="2" s="1"/>
  <c r="G19" i="2"/>
  <c r="C19" i="2" s="1"/>
  <c r="G27" i="2"/>
  <c r="C27" i="2" s="1"/>
  <c r="G35" i="2"/>
  <c r="C35" i="2" s="1"/>
  <c r="G43" i="2"/>
  <c r="C43" i="2" s="1"/>
  <c r="G51" i="2"/>
  <c r="C51" i="2" s="1"/>
  <c r="G59" i="2"/>
  <c r="G67" i="2"/>
  <c r="G54" i="2"/>
  <c r="G23" i="2"/>
  <c r="G16" i="2"/>
  <c r="G24" i="2"/>
  <c r="G40" i="2"/>
  <c r="G64" i="2"/>
  <c r="G17" i="2"/>
  <c r="G41" i="2"/>
  <c r="G57" i="2"/>
  <c r="G18" i="2"/>
  <c r="G42" i="2"/>
  <c r="G58" i="2"/>
  <c r="G4" i="2"/>
  <c r="G12" i="2"/>
  <c r="G20" i="2"/>
  <c r="G28" i="2"/>
  <c r="G36" i="2"/>
  <c r="G44" i="2"/>
  <c r="C44" i="2" s="1"/>
  <c r="G52" i="2"/>
  <c r="G60" i="2"/>
  <c r="G68" i="2"/>
  <c r="G5" i="2"/>
  <c r="G13" i="2"/>
  <c r="G21" i="2"/>
  <c r="C21" i="2" s="1"/>
  <c r="G29" i="2"/>
  <c r="G37" i="2"/>
  <c r="G45" i="2"/>
  <c r="G53" i="2"/>
  <c r="G61" i="2"/>
  <c r="G69" i="2"/>
  <c r="G6" i="2"/>
  <c r="G14" i="2"/>
  <c r="G22" i="2"/>
  <c r="G30" i="2"/>
  <c r="G38" i="2"/>
  <c r="G46" i="2"/>
  <c r="G62" i="2"/>
  <c r="G7" i="2"/>
  <c r="C7" i="2" s="1"/>
  <c r="G15" i="2"/>
  <c r="C15" i="2" s="1"/>
  <c r="G31" i="2"/>
  <c r="G39" i="2"/>
  <c r="G47" i="2"/>
  <c r="G55" i="2"/>
  <c r="G63" i="2"/>
  <c r="G8" i="2"/>
  <c r="G32" i="2"/>
  <c r="G48" i="2"/>
  <c r="G56" i="2"/>
  <c r="G9" i="2"/>
  <c r="C9" i="2" s="1"/>
  <c r="G25" i="2"/>
  <c r="G33" i="2"/>
  <c r="G49" i="2"/>
  <c r="G65" i="2"/>
  <c r="G10" i="2"/>
  <c r="G26" i="2"/>
  <c r="G34" i="2"/>
  <c r="G50" i="2"/>
  <c r="C50" i="2" s="1"/>
  <c r="G66" i="2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B2" i="7"/>
  <c r="C9" i="7"/>
  <c r="C17" i="7"/>
  <c r="C25" i="7"/>
  <c r="C33" i="7"/>
  <c r="C41" i="7"/>
  <c r="C49" i="7"/>
  <c r="C57" i="7"/>
  <c r="C65" i="7"/>
  <c r="C11" i="7"/>
  <c r="C19" i="7"/>
  <c r="C35" i="7"/>
  <c r="C51" i="7"/>
  <c r="C67" i="7"/>
  <c r="C12" i="7"/>
  <c r="C28" i="7"/>
  <c r="C44" i="7"/>
  <c r="C60" i="7"/>
  <c r="C5" i="7"/>
  <c r="C29" i="7"/>
  <c r="C45" i="7"/>
  <c r="C53" i="7"/>
  <c r="C69" i="7"/>
  <c r="C14" i="7"/>
  <c r="C30" i="7"/>
  <c r="C46" i="7"/>
  <c r="C54" i="7"/>
  <c r="C47" i="7"/>
  <c r="C63" i="7"/>
  <c r="C8" i="7"/>
  <c r="C24" i="7"/>
  <c r="C40" i="7"/>
  <c r="C64" i="7"/>
  <c r="C10" i="7"/>
  <c r="C18" i="7"/>
  <c r="C26" i="7"/>
  <c r="C34" i="7"/>
  <c r="C42" i="7"/>
  <c r="C50" i="7"/>
  <c r="C58" i="7"/>
  <c r="C66" i="7"/>
  <c r="C3" i="7"/>
  <c r="C27" i="7"/>
  <c r="C43" i="7"/>
  <c r="C59" i="7"/>
  <c r="C4" i="7"/>
  <c r="C20" i="7"/>
  <c r="C36" i="7"/>
  <c r="C52" i="7"/>
  <c r="C68" i="7"/>
  <c r="C13" i="7"/>
  <c r="C21" i="7"/>
  <c r="C37" i="7"/>
  <c r="C61" i="7"/>
  <c r="C6" i="7"/>
  <c r="C22" i="7"/>
  <c r="C38" i="7"/>
  <c r="C62" i="7"/>
  <c r="C7" i="7"/>
  <c r="C15" i="7"/>
  <c r="C23" i="7"/>
  <c r="C31" i="7"/>
  <c r="C39" i="7"/>
  <c r="C55" i="7"/>
  <c r="C16" i="7"/>
  <c r="C32" i="7"/>
  <c r="C48" i="7"/>
  <c r="C56" i="7"/>
  <c r="B2" i="2"/>
  <c r="H2" i="2" s="1"/>
  <c r="P59" i="7"/>
  <c r="Z9" i="7"/>
  <c r="Z17" i="7"/>
  <c r="Z25" i="7"/>
  <c r="U8" i="7"/>
  <c r="U16" i="7"/>
  <c r="U32" i="7"/>
  <c r="U40" i="7"/>
  <c r="U48" i="7"/>
  <c r="U56" i="7"/>
  <c r="Z10" i="7"/>
  <c r="Z18" i="7"/>
  <c r="Z26" i="7"/>
  <c r="Z34" i="7"/>
  <c r="Z40" i="7"/>
  <c r="U9" i="7"/>
  <c r="U17" i="7"/>
  <c r="U25" i="7"/>
  <c r="U33" i="7"/>
  <c r="U41" i="7"/>
  <c r="U49" i="7"/>
  <c r="Z3" i="7"/>
  <c r="Z11" i="7"/>
  <c r="Z19" i="7"/>
  <c r="Z27" i="7"/>
  <c r="Z35" i="7"/>
  <c r="U57" i="7"/>
  <c r="U10" i="7"/>
  <c r="U18" i="7"/>
  <c r="U26" i="7"/>
  <c r="U34" i="7"/>
  <c r="U42" i="7"/>
  <c r="U50" i="7"/>
  <c r="Z4" i="7"/>
  <c r="Z12" i="7"/>
  <c r="Z20" i="7"/>
  <c r="Z28" i="7"/>
  <c r="Z36" i="7"/>
  <c r="U3" i="7"/>
  <c r="U11" i="7"/>
  <c r="U19" i="7"/>
  <c r="U27" i="7"/>
  <c r="U35" i="7"/>
  <c r="U43" i="7"/>
  <c r="U51" i="7"/>
  <c r="Z5" i="7"/>
  <c r="Z13" i="7"/>
  <c r="Z21" i="7"/>
  <c r="Z29" i="7"/>
  <c r="Z37" i="7"/>
  <c r="U4" i="7"/>
  <c r="U12" i="7"/>
  <c r="U20" i="7"/>
  <c r="U28" i="7"/>
  <c r="U36" i="7"/>
  <c r="U44" i="7"/>
  <c r="U52" i="7"/>
  <c r="Z6" i="7"/>
  <c r="Z14" i="7"/>
  <c r="Z22" i="7"/>
  <c r="Z30" i="7"/>
  <c r="Z38" i="7"/>
  <c r="U5" i="7"/>
  <c r="U13" i="7"/>
  <c r="U21" i="7"/>
  <c r="U29" i="7"/>
  <c r="U37" i="7"/>
  <c r="U45" i="7"/>
  <c r="U53" i="7"/>
  <c r="Z7" i="7"/>
  <c r="Z15" i="7"/>
  <c r="Z23" i="7"/>
  <c r="Z31" i="7"/>
  <c r="Z39" i="7"/>
  <c r="U6" i="7"/>
  <c r="U14" i="7"/>
  <c r="U22" i="7"/>
  <c r="U30" i="7"/>
  <c r="U38" i="7"/>
  <c r="U46" i="7"/>
  <c r="U54" i="7"/>
  <c r="Z8" i="7"/>
  <c r="Z16" i="7"/>
  <c r="Z24" i="7"/>
  <c r="Z32" i="7"/>
  <c r="U7" i="7"/>
  <c r="U15" i="7"/>
  <c r="U23" i="7"/>
  <c r="U55" i="7"/>
  <c r="U47" i="7"/>
  <c r="U39" i="7"/>
  <c r="U31" i="7"/>
  <c r="Z33" i="7"/>
  <c r="D64" i="7"/>
  <c r="D32" i="7"/>
  <c r="D57" i="7"/>
  <c r="D25" i="7"/>
  <c r="D56" i="7"/>
  <c r="D24" i="7"/>
  <c r="D49" i="7"/>
  <c r="D17" i="7"/>
  <c r="D48" i="7"/>
  <c r="D16" i="7"/>
  <c r="D41" i="7"/>
  <c r="D9" i="7"/>
  <c r="D40" i="7"/>
  <c r="D8" i="7"/>
  <c r="D65" i="7"/>
  <c r="D33" i="7"/>
  <c r="D63" i="7"/>
  <c r="D55" i="7"/>
  <c r="D47" i="7"/>
  <c r="D39" i="7"/>
  <c r="D31" i="7"/>
  <c r="D23" i="7"/>
  <c r="D15" i="7"/>
  <c r="D7" i="7"/>
  <c r="D62" i="7"/>
  <c r="D54" i="7"/>
  <c r="D46" i="7"/>
  <c r="D38" i="7"/>
  <c r="D30" i="7"/>
  <c r="D22" i="7"/>
  <c r="D14" i="7"/>
  <c r="D6" i="7"/>
  <c r="D69" i="7"/>
  <c r="D61" i="7"/>
  <c r="D53" i="7"/>
  <c r="D45" i="7"/>
  <c r="D37" i="7"/>
  <c r="D29" i="7"/>
  <c r="D21" i="7"/>
  <c r="D13" i="7"/>
  <c r="D5" i="7"/>
  <c r="D68" i="7"/>
  <c r="D60" i="7"/>
  <c r="D52" i="7"/>
  <c r="D44" i="7"/>
  <c r="D36" i="7"/>
  <c r="D28" i="7"/>
  <c r="D20" i="7"/>
  <c r="D12" i="7"/>
  <c r="D4" i="7"/>
  <c r="D67" i="7"/>
  <c r="D59" i="7"/>
  <c r="D51" i="7"/>
  <c r="D43" i="7"/>
  <c r="D35" i="7"/>
  <c r="D27" i="7"/>
  <c r="D19" i="7"/>
  <c r="D11" i="7"/>
  <c r="D3" i="7"/>
  <c r="D66" i="7"/>
  <c r="D58" i="7"/>
  <c r="D50" i="7"/>
  <c r="D42" i="7"/>
  <c r="D34" i="7"/>
  <c r="D26" i="7"/>
  <c r="D18" i="7"/>
  <c r="D10" i="7"/>
  <c r="D2" i="7"/>
  <c r="I76" i="7"/>
  <c r="C30" i="2" l="1"/>
  <c r="C67" i="2"/>
  <c r="C33" i="2"/>
  <c r="C66" i="2"/>
  <c r="C37" i="2"/>
  <c r="C23" i="2"/>
  <c r="C45" i="2"/>
  <c r="C41" i="2"/>
  <c r="C18" i="2"/>
  <c r="C38" i="2"/>
  <c r="C63" i="2"/>
  <c r="C52" i="2"/>
  <c r="C42" i="2"/>
  <c r="C16" i="2"/>
  <c r="C25" i="2"/>
  <c r="C22" i="2"/>
  <c r="C29" i="2"/>
  <c r="C57" i="2"/>
  <c r="C54" i="2"/>
  <c r="E7" i="1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G86" i="2" s="1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C2" i="7"/>
  <c r="Z56" i="7"/>
  <c r="Z49" i="7"/>
  <c r="Z53" i="7"/>
  <c r="Z41" i="7"/>
  <c r="Z51" i="7"/>
  <c r="Z48" i="7"/>
  <c r="Z46" i="7"/>
  <c r="Z43" i="7"/>
  <c r="Z47" i="7"/>
  <c r="Z42" i="7"/>
  <c r="Z55" i="7"/>
  <c r="Z45" i="7"/>
  <c r="Z44" i="7"/>
  <c r="Z54" i="7"/>
  <c r="Z52" i="7"/>
  <c r="Z50" i="7"/>
  <c r="U24" i="7"/>
  <c r="K58" i="7"/>
  <c r="B68" i="9" l="1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E2" i="2" s="1"/>
  <c r="AD38" i="2"/>
  <c r="D69" i="2"/>
  <c r="C3" i="11"/>
  <c r="Q11" i="3"/>
  <c r="Q12" i="3"/>
  <c r="Q17" i="3"/>
  <c r="Q18" i="3"/>
  <c r="Q10" i="3"/>
  <c r="AA73" i="5"/>
  <c r="B79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B8" i="10"/>
  <c r="D5" i="18"/>
  <c r="E17" i="1" s="1"/>
  <c r="D4" i="18"/>
  <c r="D5" i="17"/>
  <c r="E8" i="1" s="1"/>
  <c r="D4" i="17"/>
  <c r="D8" i="1" s="1"/>
  <c r="D5" i="16"/>
  <c r="D6" i="16" s="1"/>
  <c r="D4" i="16"/>
  <c r="D5" i="15"/>
  <c r="E9" i="1" s="1"/>
  <c r="D4" i="15"/>
  <c r="D9" i="1" s="1"/>
  <c r="D5" i="14"/>
  <c r="E14" i="1" s="1"/>
  <c r="D4" i="14"/>
  <c r="E5" i="13"/>
  <c r="E11" i="1" s="1"/>
  <c r="C11" i="1" s="1"/>
  <c r="E4" i="13"/>
  <c r="D5" i="12"/>
  <c r="E15" i="1" s="1"/>
  <c r="D4" i="12"/>
  <c r="D15" i="1" s="1"/>
  <c r="U2" i="10"/>
  <c r="H6" i="1" s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Z68" i="5"/>
  <c r="Y68" i="5"/>
  <c r="AA68" i="5" s="1"/>
  <c r="R68" i="5"/>
  <c r="Q68" i="5"/>
  <c r="S68" i="5" s="1"/>
  <c r="Z67" i="5"/>
  <c r="Y67" i="5"/>
  <c r="AA67" i="5" s="1"/>
  <c r="R67" i="5"/>
  <c r="Q67" i="5"/>
  <c r="S67" i="5" s="1"/>
  <c r="Z65" i="5"/>
  <c r="Y65" i="5"/>
  <c r="AA65" i="5" s="1"/>
  <c r="R65" i="5"/>
  <c r="Q65" i="5"/>
  <c r="S65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Z52" i="5"/>
  <c r="Y52" i="5"/>
  <c r="AA52" i="5" s="1"/>
  <c r="R52" i="5"/>
  <c r="Q52" i="5"/>
  <c r="S52" i="5" s="1"/>
  <c r="Z51" i="5"/>
  <c r="Y51" i="5"/>
  <c r="AA51" i="5" s="1"/>
  <c r="R51" i="5"/>
  <c r="Q51" i="5"/>
  <c r="S51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AA46" i="5"/>
  <c r="Z46" i="5"/>
  <c r="AA45" i="5"/>
  <c r="Z45" i="5"/>
  <c r="R45" i="5"/>
  <c r="Q45" i="5"/>
  <c r="S45" i="5" s="1"/>
  <c r="J45" i="5"/>
  <c r="I45" i="5"/>
  <c r="K45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Z42" i="5"/>
  <c r="Y42" i="5"/>
  <c r="AA42" i="5" s="1"/>
  <c r="R42" i="5"/>
  <c r="Q42" i="5"/>
  <c r="S42" i="5" s="1"/>
  <c r="J42" i="5"/>
  <c r="I42" i="5"/>
  <c r="K42" i="5" s="1"/>
  <c r="AA41" i="5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T36" i="5"/>
  <c r="R36" i="5"/>
  <c r="Q36" i="5"/>
  <c r="S36" i="5" s="1"/>
  <c r="L36" i="5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Z24" i="5"/>
  <c r="Y24" i="5"/>
  <c r="AA24" i="5" s="1"/>
  <c r="R24" i="5"/>
  <c r="Q24" i="5"/>
  <c r="S24" i="5" s="1"/>
  <c r="J24" i="5"/>
  <c r="I24" i="5"/>
  <c r="K24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D5" i="4"/>
  <c r="E18" i="1" s="1"/>
  <c r="D4" i="4"/>
  <c r="DS21" i="3"/>
  <c r="DS20" i="3"/>
  <c r="DS19" i="3"/>
  <c r="DT18" i="3"/>
  <c r="DT17" i="3"/>
  <c r="DT16" i="3"/>
  <c r="DT15" i="3"/>
  <c r="DS14" i="3"/>
  <c r="DT13" i="3"/>
  <c r="E19" i="1"/>
  <c r="D4" i="3"/>
  <c r="D22" i="1"/>
  <c r="C22" i="1" s="1"/>
  <c r="E20" i="1"/>
  <c r="D20" i="1"/>
  <c r="O8" i="1"/>
  <c r="C5" i="1"/>
  <c r="C4" i="1"/>
  <c r="D23" i="1"/>
  <c r="C23" i="1" s="1"/>
  <c r="C3" i="1"/>
  <c r="E42" i="2" l="1"/>
  <c r="L42" i="2" s="1"/>
  <c r="C5" i="11"/>
  <c r="E12" i="1" s="1"/>
  <c r="D12" i="1"/>
  <c r="C8" i="1"/>
  <c r="E24" i="2"/>
  <c r="L24" i="2" s="1"/>
  <c r="E36" i="2"/>
  <c r="L36" i="2" s="1"/>
  <c r="E45" i="2"/>
  <c r="L45" i="2" s="1"/>
  <c r="DT23" i="3"/>
  <c r="DT25" i="3" s="1"/>
  <c r="E10" i="2"/>
  <c r="L10" i="2" s="1"/>
  <c r="E13" i="2"/>
  <c r="L13" i="2" s="1"/>
  <c r="E16" i="2"/>
  <c r="L16" i="2" s="1"/>
  <c r="E32" i="2"/>
  <c r="L32" i="2" s="1"/>
  <c r="E4" i="2"/>
  <c r="L4" i="2" s="1"/>
  <c r="E19" i="2"/>
  <c r="L19" i="2" s="1"/>
  <c r="C9" i="1"/>
  <c r="C20" i="1"/>
  <c r="E5" i="2"/>
  <c r="L5" i="2" s="1"/>
  <c r="C15" i="1"/>
  <c r="D7" i="1"/>
  <c r="C7" i="1" s="1"/>
  <c r="C85" i="2"/>
  <c r="I38" i="2"/>
  <c r="D6" i="14"/>
  <c r="I2" i="2"/>
  <c r="F69" i="2"/>
  <c r="D13" i="1"/>
  <c r="C13" i="1" s="1"/>
  <c r="D14" i="1"/>
  <c r="C14" i="1" s="1"/>
  <c r="D6" i="15"/>
  <c r="D6" i="18"/>
  <c r="AD57" i="2"/>
  <c r="AD65" i="2"/>
  <c r="AD61" i="2"/>
  <c r="B72" i="5"/>
  <c r="AD60" i="2"/>
  <c r="AD59" i="2"/>
  <c r="AD66" i="2"/>
  <c r="AD67" i="2"/>
  <c r="AD58" i="2"/>
  <c r="D44" i="2"/>
  <c r="AD45" i="2"/>
  <c r="D35" i="2"/>
  <c r="AD35" i="2"/>
  <c r="D19" i="2"/>
  <c r="AD19" i="2"/>
  <c r="D3" i="2"/>
  <c r="AD3" i="2"/>
  <c r="AE3" i="2" s="1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D40" i="2"/>
  <c r="D15" i="2"/>
  <c r="AD15" i="2"/>
  <c r="D38" i="2"/>
  <c r="AD39" i="2"/>
  <c r="D20" i="2"/>
  <c r="AD20" i="2"/>
  <c r="D27" i="2"/>
  <c r="AD27" i="2"/>
  <c r="D11" i="2"/>
  <c r="AD11" i="2"/>
  <c r="D48" i="2"/>
  <c r="AD49" i="2"/>
  <c r="D8" i="2"/>
  <c r="AD8" i="2"/>
  <c r="D55" i="2"/>
  <c r="AD56" i="2"/>
  <c r="D47" i="2"/>
  <c r="AD48" i="2"/>
  <c r="D31" i="2"/>
  <c r="AD31" i="2"/>
  <c r="D23" i="2"/>
  <c r="AD23" i="2"/>
  <c r="D7" i="2"/>
  <c r="F7" i="2" s="1"/>
  <c r="I7" i="2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AD21" i="2"/>
  <c r="D13" i="2"/>
  <c r="AD13" i="2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I78" i="7"/>
  <c r="H4" i="1" s="1"/>
  <c r="E7" i="2"/>
  <c r="L7" i="2" s="1"/>
  <c r="E69" i="2"/>
  <c r="L69" i="2" s="1"/>
  <c r="E8" i="2"/>
  <c r="L8" i="2" s="1"/>
  <c r="E11" i="2"/>
  <c r="L11" i="2" s="1"/>
  <c r="E48" i="2"/>
  <c r="L48" i="2" s="1"/>
  <c r="E29" i="2"/>
  <c r="L29" i="2" s="1"/>
  <c r="E3" i="2"/>
  <c r="L3" i="2" s="1"/>
  <c r="E25" i="2"/>
  <c r="L25" i="2" s="1"/>
  <c r="E17" i="2"/>
  <c r="L17" i="2" s="1"/>
  <c r="E6" i="2"/>
  <c r="L6" i="2" s="1"/>
  <c r="E34" i="2"/>
  <c r="L34" i="2" s="1"/>
  <c r="C73" i="5"/>
  <c r="B78" i="5" s="1"/>
  <c r="B80" i="5" s="1"/>
  <c r="H3" i="1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C12" i="1" l="1"/>
  <c r="C27" i="1" s="1"/>
  <c r="C29" i="1" s="1"/>
  <c r="D24" i="1"/>
  <c r="E24" i="1"/>
  <c r="K2" i="2"/>
  <c r="C87" i="2"/>
  <c r="C98" i="2"/>
  <c r="K7" i="2"/>
  <c r="I29" i="2"/>
  <c r="I30" i="2"/>
  <c r="I27" i="2"/>
  <c r="I18" i="2"/>
  <c r="I4" i="2"/>
  <c r="I17" i="2"/>
  <c r="I26" i="2"/>
  <c r="I23" i="2"/>
  <c r="I20" i="2"/>
  <c r="I65" i="2"/>
  <c r="I24" i="2"/>
  <c r="I16" i="2"/>
  <c r="I36" i="2"/>
  <c r="I37" i="2"/>
  <c r="I14" i="2"/>
  <c r="I31" i="2"/>
  <c r="I28" i="2"/>
  <c r="I34" i="2"/>
  <c r="I3" i="2"/>
  <c r="I67" i="2"/>
  <c r="I11" i="2"/>
  <c r="I32" i="2"/>
  <c r="I19" i="2"/>
  <c r="I6" i="2"/>
  <c r="I21" i="2"/>
  <c r="I22" i="2"/>
  <c r="I15" i="2"/>
  <c r="I33" i="2"/>
  <c r="I10" i="2"/>
  <c r="I5" i="2"/>
  <c r="I40" i="2"/>
  <c r="I12" i="2"/>
  <c r="I9" i="2"/>
  <c r="I35" i="2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E21" i="2"/>
  <c r="L21" i="2" s="1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C72" i="5"/>
  <c r="C74" i="5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I51" i="2" l="1"/>
  <c r="I59" i="2"/>
  <c r="I47" i="2"/>
  <c r="K47" i="2" s="1"/>
  <c r="I56" i="2"/>
  <c r="I62" i="2"/>
  <c r="I45" i="2"/>
  <c r="K45" i="2" s="1"/>
  <c r="I48" i="2"/>
  <c r="I41" i="2"/>
  <c r="I42" i="2"/>
  <c r="I54" i="2"/>
  <c r="I58" i="2"/>
  <c r="I50" i="2"/>
  <c r="I57" i="2"/>
  <c r="I43" i="2"/>
  <c r="I68" i="2"/>
  <c r="K68" i="2" s="1"/>
  <c r="I69" i="2"/>
  <c r="I52" i="2"/>
  <c r="I53" i="2"/>
  <c r="I44" i="2"/>
  <c r="I60" i="2"/>
  <c r="I63" i="2"/>
  <c r="I49" i="2"/>
  <c r="I46" i="2"/>
  <c r="I55" i="2"/>
  <c r="K55" i="2" s="1"/>
  <c r="I61" i="2"/>
  <c r="G84" i="2" a="1"/>
  <c r="G84" i="2" s="1"/>
  <c r="C97" i="2" s="1"/>
  <c r="C99" i="2" s="1"/>
  <c r="G83" i="2" a="1"/>
  <c r="G83" i="2" s="1"/>
  <c r="K67" i="2"/>
  <c r="K8" i="2"/>
  <c r="K39" i="2"/>
  <c r="K29" i="2"/>
  <c r="K12" i="2"/>
  <c r="K4" i="2"/>
  <c r="K66" i="2"/>
  <c r="H5" i="1"/>
  <c r="K65" i="2"/>
  <c r="G88" i="2" l="1" a="1"/>
  <c r="G88" i="2" s="1"/>
  <c r="J69" i="2"/>
  <c r="K69" i="2"/>
  <c r="M69" i="2" s="1"/>
  <c r="K9" i="2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48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F21" i="2"/>
  <c r="S21" i="2" s="1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F20" i="2"/>
  <c r="Q20" i="2" s="1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AE5" i="2" s="1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K63" i="7" l="1"/>
  <c r="K65" i="7"/>
  <c r="K64" i="7"/>
  <c r="F23" i="7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Z2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G95" i="2" s="1" a="1"/>
  <c r="G95" i="2" s="1"/>
  <c r="C2" i="2"/>
  <c r="R2" i="2" s="1"/>
  <c r="F2" i="2" l="1"/>
  <c r="S2" i="2" s="1"/>
  <c r="M2" i="2"/>
  <c r="G91" i="2" s="1" a="1"/>
  <c r="G91" i="2" s="1"/>
  <c r="J2" i="2"/>
  <c r="G89" i="2" s="1" a="1"/>
  <c r="G89" i="2" s="1"/>
  <c r="G85" i="2" l="1" a="1"/>
  <c r="G85" i="2" s="1"/>
  <c r="G97" i="2" s="1"/>
  <c r="P2" i="2"/>
  <c r="Q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<sst xmlns="http://schemas.openxmlformats.org/spreadsheetml/2006/main" count="4651" uniqueCount="947">
  <si>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</si>
  <si>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</si>
  <si>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</si>
  <si>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</si>
  <si>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</si>
  <si>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</si>
  <si>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</si>
  <si>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</si>
  <si>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</si>
  <si>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</si>
  <si>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</si>
  <si>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</si>
  <si>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</si>
  <si>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</si>
  <si>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</si>
  <si>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</si>
  <si>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</si>
  <si>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</si>
  <si>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</si>
  <si>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</si>
  <si>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</si>
  <si>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</si>
  <si>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</si>
  <si>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</si>
  <si>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</si>
  <si>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</si>
  <si>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</si>
  <si>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</si>
  <si>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</si>
  <si>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30.09.2025</t>
  </si>
  <si>
    <t>03.11.2025</t>
  </si>
  <si>
    <t>10.11.2025</t>
  </si>
  <si>
    <t>kiosk</t>
  </si>
  <si>
    <t>29.09.2025</t>
  </si>
  <si>
    <t>13.10.2025</t>
  </si>
  <si>
    <t>Isruss</t>
  </si>
  <si>
    <t>Total forklart</t>
  </si>
  <si>
    <t>28.10.2025</t>
  </si>
  <si>
    <t>Milkshake</t>
  </si>
  <si>
    <t>Total bank</t>
  </si>
  <si>
    <t>26.11.2025</t>
  </si>
  <si>
    <t>04.11.2025</t>
  </si>
  <si>
    <t>15.08.2025</t>
  </si>
  <si>
    <t>Pant</t>
  </si>
  <si>
    <t>Ukjent</t>
  </si>
  <si>
    <t>26.09.2025</t>
  </si>
  <si>
    <t>15.09.2025</t>
  </si>
  <si>
    <t>Basar</t>
  </si>
  <si>
    <t>22.09.2025</t>
  </si>
  <si>
    <t>05.11.2025</t>
  </si>
  <si>
    <t>17.11.2025</t>
  </si>
  <si>
    <t>Misjonsløp</t>
  </si>
  <si>
    <t>21.10.2025</t>
  </si>
  <si>
    <t>19.09.2025</t>
  </si>
  <si>
    <t>Kjøring</t>
  </si>
  <si>
    <t>06.11.2025</t>
  </si>
  <si>
    <t>20.10.2025</t>
  </si>
  <si>
    <t>Barista</t>
  </si>
  <si>
    <t>17.09.2025</t>
  </si>
  <si>
    <t>Nattcup</t>
  </si>
  <si>
    <t>16.10.2025</t>
  </si>
  <si>
    <t>23.10.2025</t>
  </si>
  <si>
    <t>bokbind</t>
  </si>
  <si>
    <t>16.09.2025</t>
  </si>
  <si>
    <t>07.11.2025</t>
  </si>
  <si>
    <t>25.11.2025</t>
  </si>
  <si>
    <t>Måneskinstur</t>
  </si>
  <si>
    <t>14.10.2025</t>
  </si>
  <si>
    <t>Premiere Leaugue</t>
  </si>
  <si>
    <t>Krympefest</t>
  </si>
  <si>
    <t>Redaksjonen</t>
  </si>
  <si>
    <t>11.11.2025</t>
  </si>
  <si>
    <t>10.10.2025</t>
  </si>
  <si>
    <t>30.11.2025</t>
  </si>
  <si>
    <t>10.09.2025</t>
  </si>
  <si>
    <t>SUM</t>
  </si>
  <si>
    <t>08.10.2025</t>
  </si>
  <si>
    <t>31.08.2025</t>
  </si>
  <si>
    <t>14.08.2025</t>
  </si>
  <si>
    <t>31.10.2025</t>
  </si>
  <si>
    <t>Estimert konto</t>
  </si>
  <si>
    <t>på konto</t>
  </si>
  <si>
    <t>02.09.2025</t>
  </si>
  <si>
    <t>Differanse</t>
  </si>
  <si>
    <t>18.11.2025</t>
  </si>
  <si>
    <t>19.11.2025</t>
  </si>
  <si>
    <t>20.11.2025</t>
  </si>
  <si>
    <t>21.11.2025</t>
  </si>
  <si>
    <t>22.10.2025</t>
  </si>
  <si>
    <t>24.10.2025</t>
  </si>
  <si>
    <t>24.11.2025</t>
  </si>
  <si>
    <t>27.10.2025</t>
  </si>
  <si>
    <t>27.11.2025</t>
  </si>
  <si>
    <t>29.10.2025</t>
  </si>
  <si>
    <t>30.10.2025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</si>
  <si>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</si>
  <si>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</si>
  <si>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</si>
  <si>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</si>
  <si>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</si>
  <si>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</si>
  <si>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</si>
  <si>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</si>
  <si>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</si>
  <si>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</si>
  <si>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</si>
  <si>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</si>
  <si>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</si>
  <si>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</si>
  <si>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</si>
  <si>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</si>
  <si>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</si>
  <si>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</si>
  <si>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</si>
  <si>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</si>
  <si>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</si>
  <si>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</si>
  <si>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</si>
  <si>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</si>
  <si>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</si>
  <si>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</si>
  <si>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</si>
  <si>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</si>
  <si>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</si>
  <si>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</si>
  <si>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</si>
  <si>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</si>
  <si>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</si>
  <si>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</si>
  <si>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</si>
  <si>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</si>
  <si>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</si>
  <si>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</si>
  <si>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</si>
  <si>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</si>
  <si>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</si>
  <si>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</si>
  <si>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</si>
  <si>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</si>
  <si>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</si>
  <si>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</si>
  <si>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</si>
  <si>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</si>
  <si>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</si>
  <si>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</si>
  <si>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</si>
  <si>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</si>
  <si>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</si>
  <si>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</si>
  <si>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</si>
  <si>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</si>
  <si>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</si>
  <si>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</si>
  <si>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</si>
  <si>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</si>
  <si>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</si>
  <si>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</si>
  <si>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</si>
  <si>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</si>
  <si>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</si>
  <si>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</si>
  <si>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</si>
  <si>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</si>
  <si>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</si>
  <si>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</si>
  <si>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</si>
  <si>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</si>
  <si>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</si>
  <si>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</si>
  <si>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</si>
  <si>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</si>
  <si>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</si>
  <si>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</si>
  <si>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</si>
  <si>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</si>
  <si>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</si>
  <si>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</si>
  <si>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</si>
  <si>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</si>
  <si>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</si>
  <si>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</si>
  <si>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</si>
  <si>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</si>
  <si>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</si>
  <si>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</si>
  <si>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</si>
  <si>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</si>
  <si>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</si>
  <si>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</si>
  <si>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</si>
  <si>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</si>
  <si>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</si>
  <si>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</si>
  <si>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</si>
  <si>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</si>
  <si>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</si>
  <si>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</si>
  <si>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</si>
  <si>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</si>
  <si>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</si>
  <si>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</si>
  <si>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</si>
  <si>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</si>
  <si>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</si>
  <si>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</si>
  <si>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</si>
  <si>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</si>
  <si>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</si>
  <si>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</si>
  <si>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</si>
  <si>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</si>
  <si>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</si>
  <si>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</si>
  <si>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</si>
  <si>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</si>
  <si>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</si>
  <si>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</si>
  <si>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</si>
  <si>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</si>
  <si>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</si>
  <si>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</si>
  <si>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</si>
  <si>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</si>
  <si>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</si>
  <si>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Viktor Aandstad</t>
  </si>
  <si>
    <t>Johannes Sødal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</si>
  <si>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</si>
  <si>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</si>
  <si>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</si>
  <si>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</si>
  <si>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</si>
  <si>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</si>
  <si>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</si>
  <si>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</si>
  <si>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</si>
  <si>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</si>
  <si>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</si>
  <si>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</si>
  <si>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</si>
  <si>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</si>
  <si>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</si>
  <si>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</si>
  <si>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</si>
  <si>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</si>
  <si>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</si>
  <si>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17.10.2025</t>
  </si>
  <si>
    <t>15.10.2025</t>
  </si>
  <si>
    <t>07.10.2025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</si>
  <si>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</si>
  <si>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</si>
  <si>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</si>
  <si>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</si>
  <si>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</si>
  <si>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</si>
  <si>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</si>
  <si>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</si>
  <si>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</si>
  <si>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</si>
  <si>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</si>
  <si>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</si>
  <si>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</si>
  <si>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</si>
  <si>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</si>
  <si>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</si>
  <si>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</si>
  <si>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</si>
  <si>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</si>
  <si>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</si>
  <si>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</si>
  <si>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</si>
  <si>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</si>
  <si>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</si>
  <si>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</si>
  <si>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</si>
  <si>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</si>
  <si>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</si>
  <si>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</si>
  <si>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</si>
  <si>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</si>
  <si>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</si>
  <si>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</si>
  <si>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</si>
  <si>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</si>
  <si>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</si>
  <si>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</si>
  <si>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</si>
  <si>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</si>
  <si>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</si>
  <si>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</si>
  <si>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</si>
  <si>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</si>
  <si>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</si>
  <si>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</si>
  <si>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</si>
  <si>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</si>
  <si>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</si>
  <si>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ukjent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</si>
  <si>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</si>
  <si>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</si>
  <si>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</si>
  <si>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</si>
  <si>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</si>
  <si>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</si>
  <si>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</si>
  <si>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</si>
  <si>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</si>
  <si>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</si>
  <si>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</si>
  <si>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</si>
  <si>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</si>
  <si>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</rPr>
      <t>Vare</t>
    </r>
  </si>
  <si>
    <r>
      <rPr>
        <b/>
        <sz val="12"/>
        <rFont val="Calibri"/>
      </rPr>
      <t>Varegruppe</t>
    </r>
  </si>
  <si>
    <r>
      <rPr>
        <b/>
        <sz val="12"/>
        <rFont val="Calibri"/>
      </rPr>
      <t>Antall</t>
    </r>
  </si>
  <si>
    <r>
      <rPr>
        <b/>
        <sz val="12"/>
        <rFont val="Calibri"/>
      </rPr>
      <t>Beløp inkl. MVA</t>
    </r>
  </si>
  <si>
    <t>Sjokoladeplate 200g</t>
  </si>
  <si>
    <r>
      <rPr>
        <b/>
        <sz val="12"/>
        <rFont val="Calibri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</si>
  <si>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</si>
  <si>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</si>
  <si>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</si>
  <si>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</si>
  <si>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</si>
  <si>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</si>
  <si>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</si>
  <si>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</si>
  <si>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</si>
  <si>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</si>
  <si>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</si>
  <si>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</si>
  <si>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</si>
  <si>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</si>
  <si>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</si>
  <si>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</si>
  <si>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</si>
  <si>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</si>
  <si>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</si>
  <si>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</si>
  <si>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Utb. 2000043 Vippsnr 126635</t>
  </si>
  <si>
    <t>Utb. 2001577 Vippsnr 126635</t>
  </si>
  <si>
    <t>Utb. 2000064 Vippsnr 126635</t>
  </si>
  <si>
    <t>Utb. 2000042 Vippsnr 126635</t>
  </si>
  <si>
    <t>Utb. 2000018 Vippsnr 126635</t>
  </si>
  <si>
    <t>Utb. 2000041 Vippsnr 126635</t>
  </si>
  <si>
    <t>Utb. 2000017 Vippsnr 126635</t>
  </si>
  <si>
    <t>Utb. 2000038 Vippsnr 126635</t>
  </si>
  <si>
    <t>Utb. 2000039 Vippsnr 126635</t>
  </si>
  <si>
    <t>Utb. 2000040 Vippsnr 126635</t>
  </si>
  <si>
    <t>28.08.2025</t>
  </si>
  <si>
    <t>Utb. 2001576 Vippsnr 126635</t>
  </si>
  <si>
    <t>Utb. 2000063 Vippsnr 126635</t>
  </si>
  <si>
    <t>Utb. 2000037 Vippsnr 126635</t>
  </si>
  <si>
    <t>27.08.2025</t>
  </si>
  <si>
    <t>Utb. 2001575 Vippsnr 126635</t>
  </si>
  <si>
    <t>Utb. 2000062 Vippsnr 126635</t>
  </si>
  <si>
    <t>Utb. 2000016 Vippsnr 126635</t>
  </si>
  <si>
    <t>26.08.2025</t>
  </si>
  <si>
    <t>Utb. 2001573 Vippsnr 126635</t>
  </si>
  <si>
    <t>Utb. 2001572 Vippsnr 126635</t>
  </si>
  <si>
    <t>Utb. 2001574 Vippsnr 126635</t>
  </si>
  <si>
    <t>Utb. 2000060 Vippsnr 126635</t>
  </si>
  <si>
    <t>Utb. 2000059 Vippsnr 126635</t>
  </si>
  <si>
    <t>Utb. 2000061 Vippsnr 126635</t>
  </si>
  <si>
    <t>25.09.2025</t>
  </si>
  <si>
    <t>Utb. 2000015 Vippsnr 126635</t>
  </si>
  <si>
    <t>25.08.2025</t>
  </si>
  <si>
    <t>Utb. 2001571 Vippsnr 126635</t>
  </si>
  <si>
    <t>Utb. 2000058 Vippsnr 126635</t>
  </si>
  <si>
    <t>Utb. 2000036 Vippsnr 126635</t>
  </si>
  <si>
    <t>24.09.2025</t>
  </si>
  <si>
    <t>Utb. 2000014 Vippsnr 126635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</si>
  <si>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</si>
  <si>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</si>
  <si>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</si>
  <si>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</si>
  <si>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</si>
  <si>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Utb. 2000034 Vippsnr 126635</t>
  </si>
  <si>
    <t>Utb. 2000010 Vippsnr 126635</t>
  </si>
  <si>
    <t>22.08.2025</t>
  </si>
  <si>
    <t>Utb. 2001570 Vippsnr 126635</t>
  </si>
  <si>
    <t>Utb. 2000057 Vippsnr 126635</t>
  </si>
  <si>
    <t>Utb. 2000032 Vippsnr 126635</t>
  </si>
  <si>
    <t>Utb. 2000033 Vippsnr 126635</t>
  </si>
  <si>
    <t>Utb. 2000031 Vippsnr 126635</t>
  </si>
  <si>
    <t>21.08.2025</t>
  </si>
  <si>
    <t>Utb. 2001569 Vippsnr 126635</t>
  </si>
  <si>
    <t>Utb. 2000056 Vippsnr 126635</t>
  </si>
  <si>
    <t>Utb. 2000030 Vippsnr 126635</t>
  </si>
  <si>
    <t>20.08.2025</t>
  </si>
  <si>
    <t>Utb. 2001568 Vippsnr 126635</t>
  </si>
  <si>
    <t>Utb. 2000055 Vippsnr 126635</t>
  </si>
  <si>
    <t>Utb. 2000009 Vippsnr 126635</t>
  </si>
  <si>
    <t>19.08.2025</t>
  </si>
  <si>
    <t>Utb. 2001566 Vippsnr 126635</t>
  </si>
  <si>
    <t>Utb. 2001565 Vippsnr 126635</t>
  </si>
  <si>
    <t>Utb. 2001567 Vippsnr 126635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</si>
  <si>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</si>
  <si>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</si>
  <si>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</si>
  <si>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</si>
  <si>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</si>
  <si>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</si>
  <si>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Utb. 2000029 Vippsnr 126635</t>
  </si>
  <si>
    <t>Utb. 2000007 Vippsnr 126635</t>
  </si>
  <si>
    <t>Utb. 2000028 Vippsnr 126635</t>
  </si>
  <si>
    <t>Utb. 2000005 Vippsnr 126635</t>
  </si>
  <si>
    <t>Utb. 2000006 Vippsnr 126635</t>
  </si>
  <si>
    <t>Utb. 2000004 Vippsnr 126635</t>
  </si>
  <si>
    <t>Utb. 2000027 Vippsnr 126635</t>
  </si>
  <si>
    <t>Utb. 2000003 Vippsnr 126635</t>
  </si>
  <si>
    <t>Utb. 2001563 Vippsnr 126635</t>
  </si>
  <si>
    <t>Utb. 2000024 Vippsnr 126635</t>
  </si>
  <si>
    <t>Utb. 2000025 Vippsnr 126635</t>
  </si>
  <si>
    <t>Utb. 2000026 Vippsnr 126635</t>
  </si>
  <si>
    <t>Utb. 2001562 Vippsnr 126635</t>
  </si>
  <si>
    <t>Utb. 2000023 Vippsnr 126635</t>
  </si>
  <si>
    <t>12.09.2025</t>
  </si>
  <si>
    <t>Utb. 2000002 Vippsnr 126635</t>
  </si>
  <si>
    <t>Utb. 2000052 Vippsnr 126635</t>
  </si>
  <si>
    <t>Utb. 2000053 Vippsnr 126635</t>
  </si>
  <si>
    <t>11.09.2025</t>
  </si>
  <si>
    <t>Utb. 2000001 Vippsnr 126635</t>
  </si>
  <si>
    <t>Utb. 2001590 Vippsnr 970538</t>
  </si>
  <si>
    <t>Utb. 2000051 Vippsnr 126635</t>
  </si>
  <si>
    <t>Utb. 2000022 Vippsnr 126635</t>
  </si>
  <si>
    <t>Utb. 2001589 Vippsnr 126635</t>
  </si>
  <si>
    <t>Utb. 2001587 Vippsnr 126635</t>
  </si>
  <si>
    <t>Utb. 2001588 Vippsnr 126635</t>
  </si>
  <si>
    <t>Utb. 2001586 Vippsnr 126635</t>
  </si>
  <si>
    <t>09.10.2025</t>
  </si>
  <si>
    <t>Utb. 2000021 Vippsnr 126635</t>
  </si>
  <si>
    <t>Utb. 2000020 Vippsnr 126635</t>
  </si>
  <si>
    <t>08.09.2025</t>
  </si>
  <si>
    <t>Utb. 2001585 Vippsnr 126635</t>
  </si>
  <si>
    <t>Utb. 2000050 Vippsnr 126635</t>
  </si>
  <si>
    <t>Utb. 2000019 Vippsnr 126635</t>
  </si>
  <si>
    <t>Utb. 2000049 Vippsnr 126635</t>
  </si>
  <si>
    <t>Utb. 2001593 Vippsnr 970538</t>
  </si>
  <si>
    <t>Utb. 2001592 Vippsnr 970538</t>
  </si>
  <si>
    <t>Utb. 2000048 Vippsnr 126635</t>
  </si>
  <si>
    <t>05.09.2025</t>
  </si>
  <si>
    <t>Utb. 2001584 Vippsnr 126635</t>
  </si>
  <si>
    <t>Utb. 2000046 Vippsnr 126635</t>
  </si>
  <si>
    <t>Utb. 2001591 Vippsnr 970538</t>
  </si>
  <si>
    <t>Utb. 2000047 Vippsnr 126635</t>
  </si>
  <si>
    <t>Utb. 2000045 Vippsnr 126635</t>
  </si>
  <si>
    <t>04.09.2025</t>
  </si>
  <si>
    <t>Utb. 2001583 Vippsnr 126635</t>
  </si>
  <si>
    <t>Utb. 2000044 Vippsnr 126635</t>
  </si>
  <si>
    <t>Utb. 2001582 Vippsnr 126635</t>
  </si>
  <si>
    <t>Utb. 2001581 Vippsnr 126635</t>
  </si>
  <si>
    <t>Utb. 2001580 Vippsnr 126635</t>
  </si>
  <si>
    <t>Utb. 2001579 Vippsnr 126635</t>
  </si>
  <si>
    <t>01.09.2025</t>
  </si>
  <si>
    <t>Utb. 2001578 Vippsnr 126635</t>
  </si>
  <si>
    <t>Til: Viktor Aandstad
Kioskruss sjokolande</t>
  </si>
  <si>
    <t>Til: Viktor Aandstad
Kioskruss sjokolade</t>
  </si>
  <si>
    <t>Til: Johannes Sødal
Kioskens andel</t>
  </si>
  <si>
    <t>Til: Viktor Aandstad
Kiosken, sjokolade fra sverige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</si>
  <si>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</si>
  <si>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</si>
  <si>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</si>
  <si>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</si>
  <si>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</si>
  <si>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</si>
  <si>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</si>
  <si>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</si>
  <si>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</si>
  <si>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Nets 0032 5351127</t>
  </si>
  <si>
    <t>Nets 0034 5351127</t>
  </si>
  <si>
    <t>DROTTNINGBORGRU DROTTNINGBO  769821</t>
  </si>
  <si>
    <t>Nets 0030 5351127</t>
  </si>
  <si>
    <t>Nets 0031 5351127</t>
  </si>
  <si>
    <t>Nets 0029 5351127</t>
  </si>
  <si>
    <t>Nets 0028 5351127</t>
  </si>
  <si>
    <t>09.09.2025</t>
  </si>
  <si>
    <t>Nets 0033 5351127</t>
  </si>
  <si>
    <t>Nets 0027 5351127</t>
  </si>
  <si>
    <t>19.12.2025</t>
  </si>
  <si>
    <t>Utb. 2000085 Vippsnr 126635</t>
  </si>
  <si>
    <t>18.12.2025</t>
  </si>
  <si>
    <t>Utb. 2000084 Vippsnr 126635</t>
  </si>
  <si>
    <t>17.12.2025</t>
  </si>
  <si>
    <t>Utb. 2000083 Vippsnr 126635</t>
  </si>
  <si>
    <t>16.12.2025</t>
  </si>
  <si>
    <t>Utb. 2000081 Vippsnr 126635</t>
  </si>
  <si>
    <t>Utb. 2000080 Vippsnr 126635</t>
  </si>
  <si>
    <t>Utb. 2000082 Vippsnr 126635</t>
  </si>
  <si>
    <t>15.12.2025</t>
  </si>
  <si>
    <t>Utb. 2000079 Vippsnr 126635</t>
  </si>
  <si>
    <t>12.12.2025</t>
  </si>
  <si>
    <t>Utb. 2000078 Vippsnr 126635</t>
  </si>
  <si>
    <t>11.12.2025</t>
  </si>
  <si>
    <t>Utb. 2000077 Vippsnr 126635</t>
  </si>
  <si>
    <t>10.12.2025</t>
  </si>
  <si>
    <t>Utb. 2000076 Vippsnr 126635</t>
  </si>
  <si>
    <t>09.12.2025</t>
  </si>
  <si>
    <t>Utb. 2000073 Vippsnr 126635</t>
  </si>
  <si>
    <t>Utb. 2000075 Vippsnr 126635</t>
  </si>
  <si>
    <t>Utb. 2000074 Vippsnr 126635</t>
  </si>
  <si>
    <t>08.12.2025</t>
  </si>
  <si>
    <t>Utb. 2000072 Vippsnr 126635</t>
  </si>
  <si>
    <t>05.12.2025</t>
  </si>
  <si>
    <t>Utb. 2000071 Vippsnr 126635</t>
  </si>
  <si>
    <t>04.12.2025</t>
  </si>
  <si>
    <t>Utb. 2000069 Vippsnr 126635</t>
  </si>
  <si>
    <t>Utb. 2000070 Vippsnr 126635</t>
  </si>
  <si>
    <t>03.12.2025</t>
  </si>
  <si>
    <t>Utb. 2000068 Vippsnr 126635</t>
  </si>
  <si>
    <t>Utb. 2000067 Vippsnr 126635</t>
  </si>
  <si>
    <t>Utb. 2000066 Vippsnr 126635</t>
  </si>
  <si>
    <t>01.12.2025</t>
  </si>
  <si>
    <t>Utb. 2000065 Vippsnr 126635</t>
  </si>
  <si>
    <t>Til: Viktor Aandstad
kioskrussen sjokolade. kvit 5</t>
  </si>
  <si>
    <t>Nets 0037 5351127</t>
  </si>
  <si>
    <t>Nets 0036 5351127</t>
  </si>
  <si>
    <t>Nets 0035 5351127</t>
  </si>
  <si>
    <t>Julebrus boks</t>
  </si>
  <si>
    <t>Drottningborg vgs.</t>
  </si>
  <si>
    <t>Til: Drottningborg vgs.
Kjøring drottniborgrussen</t>
  </si>
  <si>
    <t>Inn Terminal</t>
  </si>
  <si>
    <t>Inn Vippsutskrifter</t>
  </si>
  <si>
    <t>Inn Vipps</t>
  </si>
  <si>
    <t>Totalt inn</t>
  </si>
  <si>
    <t>Grovregnskap Direkte fra bank</t>
  </si>
  <si>
    <t>Sluttsum</t>
  </si>
  <si>
    <t>Carl Martin Linnebo</t>
  </si>
  <si>
    <t>Til: Carl Martin Linnebo
Isrussen, penger vippset av Carl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</si>
  <si>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</si>
  <si>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</si>
  <si>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</si>
  <si>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</si>
  <si>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</si>
  <si>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</si>
  <si>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</si>
  <si>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</si>
  <si>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</si>
  <si>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</si>
  <si>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2000140 Vippsnr 625973</t>
  </si>
  <si>
    <t>Utb. 2000133 Vippsnr 625973</t>
  </si>
  <si>
    <t>Utb. 2000132 Vippsnr 625973</t>
  </si>
  <si>
    <t>Utb. 2000139 Vippsnr 625973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</si>
  <si>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</si>
  <si>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</si>
  <si>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</si>
  <si>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</si>
  <si>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</si>
  <si>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</si>
  <si>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</si>
  <si>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</si>
  <si>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</si>
  <si>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</si>
  <si>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</si>
  <si>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</si>
  <si>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</si>
  <si>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</si>
  <si>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</si>
  <si>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</si>
  <si>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</si>
  <si>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</si>
  <si>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</si>
  <si>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</si>
  <si>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</si>
  <si>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Pantepenger til misjonsprosjektet</t>
  </si>
  <si>
    <t>Panting</t>
  </si>
  <si>
    <t>Pantepenger</t>
  </si>
  <si>
    <t>Til: Ånund Tveit
milkshakerussen ingredienser inkjøp v4</t>
  </si>
  <si>
    <t>Til: Ånund Tveit
Milkshakerussen blender</t>
  </si>
  <si>
    <t>Til: Viktor Aandstad
milkshakeruss ingredienser</t>
  </si>
  <si>
    <t>Til: Ånund Tveit
milkshakerussen, manglende til blender</t>
  </si>
  <si>
    <t>Til: Ole Aasen
Retur</t>
  </si>
  <si>
    <t>Til: Johannes Sødal
Milkshakerussens andel</t>
  </si>
  <si>
    <t>Til: Ånund Tveit
Milkshakeruss blender</t>
  </si>
  <si>
    <t>Til: Ånund Tveit
Milkshakerussen ingredienser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</si>
  <si>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</si>
  <si>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</si>
  <si>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</si>
  <si>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</si>
  <si>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</si>
  <si>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</si>
  <si>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</si>
  <si>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Utb. 2000031 Vippsnr 625974</t>
  </si>
  <si>
    <t>Utb. 2000030 Vippsnr 625974</t>
  </si>
  <si>
    <t>Utb. 2000029 Vippsnr 625974</t>
  </si>
  <si>
    <t>Utb. 2000035 Vippsnr 625974</t>
  </si>
  <si>
    <t>Utb. 2000034 Vippsnr 625974</t>
  </si>
  <si>
    <t>Utb. 2000028 Vippsnr 625974</t>
  </si>
  <si>
    <t>Utb. 2000026 Vippsnr 625974</t>
  </si>
  <si>
    <t>Utb. 2000024 Vippsnr 625974</t>
  </si>
  <si>
    <t>Utb. 2000025 Vippsnr 625974</t>
  </si>
  <si>
    <t>Utb. 2000033 Vippsnr 625974</t>
  </si>
  <si>
    <t>Utb. 2000027 Vippsnr 625974</t>
  </si>
  <si>
    <t>Utb. 2000036 Vippsnr 625974</t>
  </si>
  <si>
    <t>Utb. 2000032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</si>
  <si>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</si>
  <si>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</si>
  <si>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</si>
  <si>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</si>
  <si>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</si>
  <si>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</si>
  <si>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</si>
  <si>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</si>
  <si>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</si>
  <si>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</si>
  <si>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</si>
  <si>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</si>
  <si>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</si>
  <si>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</si>
  <si>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</si>
  <si>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</si>
  <si>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</si>
  <si>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</si>
  <si>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</si>
  <si>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</si>
  <si>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</si>
  <si>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</si>
  <si>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</si>
  <si>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</si>
  <si>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Utb. 2000057 Vippsnr 625975</t>
  </si>
  <si>
    <t>Utb. 2000056 Vippsnr 625975</t>
  </si>
  <si>
    <t>Nathalie Øksendal</t>
  </si>
  <si>
    <t>Til: Nathalie Øksendal
krympefest  bilrebus</t>
  </si>
  <si>
    <t>Pernille Aagesen</t>
  </si>
  <si>
    <t>Til: Pernille Aagesen
krympefest  bilrebus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</si>
  <si>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</si>
  <si>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</si>
  <si>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</si>
  <si>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</si>
  <si>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</si>
  <si>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</si>
  <si>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</si>
  <si>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</si>
  <si>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</si>
  <si>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</si>
  <si>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</si>
  <si>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</si>
  <si>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</si>
  <si>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</si>
  <si>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</si>
  <si>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Maya Brooks</t>
  </si>
  <si>
    <t>Til: Maya Brooks
Krympefest pynt</t>
  </si>
  <si>
    <t>Til: Tilde Gunleifsen
krympefest brus</t>
  </si>
  <si>
    <t>Martin Berg Hovden</t>
  </si>
  <si>
    <t>Til: Martin Berg Hovden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</si>
  <si>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</si>
  <si>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</si>
  <si>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</si>
  <si>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</si>
  <si>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</si>
  <si>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</si>
  <si>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</si>
  <si>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</si>
  <si>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</si>
  <si>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</si>
  <si>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</si>
  <si>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</si>
  <si>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</si>
  <si>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</si>
  <si>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</si>
  <si>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Vegard Straume Kleven</t>
  </si>
  <si>
    <t>Til: Vegard Straume Kleven
krympefest  bilrebus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</si>
  <si>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</si>
  <si>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</si>
  <si>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</si>
  <si>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</si>
  <si>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</si>
  <si>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</si>
  <si>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</si>
  <si>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</si>
  <si>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</si>
  <si>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</si>
  <si>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</si>
  <si>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</si>
  <si>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2000126 Vippsnr 723903</t>
  </si>
  <si>
    <t>Utb. 2000125 Vippsnr 723903</t>
  </si>
  <si>
    <t>723903 Magne Haugsjå 50/50 Sunderland og Crystal Palace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</si>
  <si>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</si>
  <si>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</si>
  <si>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</si>
  <si>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</si>
  <si>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</si>
  <si>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2000118 Vippsnr 723903</t>
  </si>
  <si>
    <t>Utb. 2000119 Vippsnr 723903</t>
  </si>
  <si>
    <t>Utb. 2000136 Vippsnr 723903</t>
  </si>
  <si>
    <t>Utb. 2000117 Vippsnr 723903</t>
  </si>
  <si>
    <t>Utb. 2000135 Vippsnr 723903</t>
  </si>
  <si>
    <t>Utb. 2000134 Vippsnr 723903</t>
  </si>
  <si>
    <t>Utb. 2000133 Vippsnr 723903</t>
  </si>
  <si>
    <t>Utb. 2000132 Vippsnr 723903</t>
  </si>
  <si>
    <t>Utb. 2000131 Vippsnr 723903</t>
  </si>
  <si>
    <t>Utb. 2000129 Vippsnr 723903</t>
  </si>
  <si>
    <t>Utb. 2000130 Vippsnr 723903</t>
  </si>
  <si>
    <t>Utb. 2000128 Vippsnr 723903</t>
  </si>
  <si>
    <t>08.12 STORCASH BARSTØLVEIEN KRISTIANSAND</t>
  </si>
  <si>
    <t>12.11.2025</t>
  </si>
  <si>
    <t>13.11.2025</t>
  </si>
  <si>
    <t>22.12.2025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</si>
  <si>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</si>
  <si>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</si>
  <si>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</si>
  <si>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</si>
  <si>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</si>
  <si>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</si>
  <si>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</si>
  <si>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Samuel Stoveland</t>
  </si>
  <si>
    <t>3207 32 24194</t>
  </si>
  <si>
    <t>Til: Samuel Stoveland
Soundbox</t>
  </si>
  <si>
    <t>Til: Våge Multimedia AS
0010239812 Våge Mulltimedia</t>
  </si>
  <si>
    <t>01.10.2025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</si>
  <si>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</si>
  <si>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</si>
  <si>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</si>
  <si>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</si>
  <si>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</si>
  <si>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</si>
  <si>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</si>
  <si>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</si>
  <si>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</si>
  <si>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</si>
  <si>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</si>
  <si>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</si>
  <si>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</si>
  <si>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</si>
  <si>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</si>
  <si>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</si>
  <si>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</si>
  <si>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</si>
  <si>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</si>
  <si>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</si>
  <si>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</si>
  <si>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</si>
  <si>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</si>
  <si>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</si>
  <si>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</si>
  <si>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</si>
  <si>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</si>
  <si>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</si>
  <si>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</si>
  <si>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</si>
  <si>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</si>
  <si>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</si>
  <si>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</si>
  <si>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</si>
  <si>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</si>
  <si>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</si>
  <si>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</si>
  <si>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</si>
  <si>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</si>
  <si>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</si>
  <si>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</si>
  <si>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</si>
  <si>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</si>
  <si>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</si>
  <si>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</si>
  <si>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</si>
  <si>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</si>
  <si>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</si>
  <si>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</si>
  <si>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</si>
  <si>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</si>
  <si>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</si>
  <si>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</si>
  <si>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</si>
  <si>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</si>
  <si>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23.12.2025</t>
  </si>
  <si>
    <t>Utb. 2000087 Vippsnr 126635</t>
  </si>
  <si>
    <t>Utb. 2000086 Vippsnr 126635</t>
  </si>
  <si>
    <t>15.01.2026</t>
  </si>
  <si>
    <t>Utb. 2000096 Vippsnr 126635</t>
  </si>
  <si>
    <t>14.01.2026</t>
  </si>
  <si>
    <t>Utb. 2000095 Vippsnr 126635</t>
  </si>
  <si>
    <t>13.01.2026</t>
  </si>
  <si>
    <t>Utb. 2000094 Vippsnr 126635</t>
  </si>
  <si>
    <t>Utb. 2000092 Vippsnr 126635</t>
  </si>
  <si>
    <t>Utb. 2000093 Vippsnr 126635</t>
  </si>
  <si>
    <t>12.01.2026</t>
  </si>
  <si>
    <t>Utb. 2000091 Vippsnr 126635</t>
  </si>
  <si>
    <t>09.01.2026</t>
  </si>
  <si>
    <t>Utb. 2000090 Vippsnr 126635</t>
  </si>
  <si>
    <t>08.01.2026</t>
  </si>
  <si>
    <t>Utb. 2000089 Vippsnr 126635</t>
  </si>
  <si>
    <t>07.01.2026</t>
  </si>
  <si>
    <t>Utb. 2000088 Vippsnr 126635</t>
  </si>
  <si>
    <t>Til: Viktor Aandstad
Kioskruss, sjokolade</t>
  </si>
  <si>
    <t>30.12.2025</t>
  </si>
  <si>
    <t>Nets 0038 5351127</t>
  </si>
  <si>
    <t>06.01.2026</t>
  </si>
  <si>
    <t>Utb. 2000141 Vippsnr 625973</t>
  </si>
  <si>
    <t>Maya Aarsland</t>
  </si>
  <si>
    <t>Til: Maya Aarsland
Måneskinstur retur</t>
  </si>
  <si>
    <t>Pantepenger:)</t>
  </si>
  <si>
    <t>Utb. 2000137 Vippsnr 723903</t>
  </si>
  <si>
    <t>29.12.2025</t>
  </si>
  <si>
    <t>3000 31 24475</t>
  </si>
  <si>
    <t>Til: Leah Viste Urstad
Misjonstur Leah</t>
  </si>
  <si>
    <t>Maia Bergan Knutsen</t>
  </si>
  <si>
    <t>Til: Maia Bergan Knutsen
Misjonstur Maia</t>
  </si>
  <si>
    <t>.</t>
  </si>
  <si>
    <t>Til: .
Bakerussrn</t>
  </si>
  <si>
    <t>Kredinor AS</t>
  </si>
  <si>
    <t>STØ AS</t>
  </si>
  <si>
    <t>NettBedrift betalingsformidling</t>
  </si>
  <si>
    <t>16.01.2026</t>
  </si>
  <si>
    <t>Harrald Husby</t>
  </si>
  <si>
    <t>Til: Harrald Husby
mosjonsløp krbabpizza premie</t>
  </si>
  <si>
    <t>Til: .
Bakerussen ingrediensinkjøp 1 v3</t>
  </si>
  <si>
    <t>Elise Nasralla</t>
  </si>
  <si>
    <t>Til: Elise Nasralla</t>
  </si>
  <si>
    <t>Årspris  Visa</t>
  </si>
  <si>
    <t>ÅRSPRIS VISA</t>
  </si>
  <si>
    <t>Til: Vegard Straume Kleven
natcupp gaffa teip</t>
  </si>
  <si>
    <t>OCR-GIRO MÅNEDSAVGIFT               1 TRANS(ER) TYPE 438 763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</si>
  <si>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</si>
  <si>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</si>
  <si>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</si>
  <si>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</si>
  <si>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</si>
  <si>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</si>
  <si>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</si>
  <si>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</si>
  <si>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31.12.2025</t>
  </si>
  <si>
    <t>FILFORSENDELSE FRA NETS             6 TRANS(ER) TYPE 438 711</t>
  </si>
  <si>
    <t>OCR-GIRO                            9 TRANS(ER) TYPE 438 105</t>
  </si>
  <si>
    <t>VAREKJØP                            2 TRANS(ER) TYPE 709</t>
  </si>
  <si>
    <t>TRANSAVG INNLØSNING BANKAXEPT       7 TRANS(ER) TYPE 438 751</t>
  </si>
  <si>
    <t>Gi en dag. Julie Eline Arntsen</t>
  </si>
  <si>
    <t>Innbetaling</t>
  </si>
  <si>
    <t>Gi en dag aksjonen</t>
  </si>
  <si>
    <t>Fra Jonathan F. D. - Russeprosjekt</t>
  </si>
  <si>
    <t>Gi en Dag, Julie Tvinnereim</t>
  </si>
  <si>
    <t>Gi en dag for Ida Mathilde T. Johansen</t>
  </si>
  <si>
    <t>4814UJ Magne Haugsjå Everton</t>
  </si>
  <si>
    <t>Gi en dag-aksjonen, Odin Olsvik</t>
  </si>
  <si>
    <t>Gi en dag aksjon Emanuel Stea</t>
  </si>
  <si>
    <t>Gi en dag aksjon Torbjørn Brandsæter</t>
  </si>
  <si>
    <t>OD sunniva Aasen</t>
  </si>
  <si>
    <t>Gi en dag-aksjon</t>
  </si>
  <si>
    <t>02.12.2025</t>
  </si>
  <si>
    <t>Gi-en-dag fra Ariane Elisabeth Bakken</t>
  </si>
  <si>
    <t>Gi en dag Melissa Lysaker</t>
  </si>
  <si>
    <t>Jakob Erikstein gi en dag aksjon</t>
  </si>
  <si>
    <t>05.01.2026</t>
  </si>
  <si>
    <t>Daniel Korneev arbeidsdag</t>
  </si>
  <si>
    <t>Fra: Noah Martin Bø Betalt: 02.01.26</t>
  </si>
  <si>
    <t>Gi en dag</t>
  </si>
  <si>
    <t>Misjonsløp     (Johannes Sødal)</t>
  </si>
  <si>
    <t>Nathalie Øksendal Gi en dag aksjonen</t>
  </si>
  <si>
    <t>KONTO FINNES IKKE : 86017725507</t>
  </si>
  <si>
    <t>Anna Martine Hovland gi en dag</t>
  </si>
  <si>
    <t>Operasjon dagsverk Julie Askedal</t>
  </si>
  <si>
    <t>KONTO FINNES IKKE : 81110707037</t>
  </si>
  <si>
    <t>Solveig M Nedland , gi det viderer aksjon</t>
  </si>
  <si>
    <t>Utb. 2000024 Vippsnr 126054</t>
  </si>
  <si>
    <t>Utb. 2000001 Vippsnr 38180</t>
  </si>
  <si>
    <t>Overførsel</t>
  </si>
  <si>
    <t>Gi en dag - aksjon</t>
  </si>
  <si>
    <t>Gi en dag aksjon Eline Ståhl</t>
  </si>
  <si>
    <t>Rannveig Tveit</t>
  </si>
  <si>
    <t>For Hannah Nordby Bergland</t>
  </si>
  <si>
    <t>Gi en dag Hannah Vågen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</si>
  <si>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</si>
  <si>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</si>
  <si>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</si>
  <si>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</si>
  <si>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</si>
  <si>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</si>
  <si>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</si>
  <si>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</si>
  <si>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</si>
  <si>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Filip N Bøe</t>
  </si>
  <si>
    <t>Gi en dag aksjon Trygve M. Kaatorp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</si>
  <si>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</si>
  <si>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</si>
  <si>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</si>
  <si>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</si>
  <si>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</si>
  <si>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</si>
  <si>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</si>
  <si>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</si>
  <si>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</si>
  <si>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</si>
  <si>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</si>
  <si>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</si>
  <si>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</si>
  <si>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</si>
  <si>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1679 11 850417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</si>
  <si>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</si>
  <si>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</si>
  <si>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</si>
  <si>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</si>
  <si>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</si>
  <si>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</si>
  <si>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</si>
  <si>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</si>
  <si>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</si>
  <si>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</si>
  <si>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</si>
  <si>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</si>
  <si>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</si>
  <si>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</si>
  <si>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</si>
  <si>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</si>
  <si>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Gi en dag - fra Leonie Wiltsch</t>
  </si>
  <si>
    <t>TBF ÅRSPRIS VISA</t>
  </si>
  <si>
    <t>Bidrag fra Malin Malingam Andersen</t>
  </si>
  <si>
    <t>Rebecca Håland, "gi en dag"</t>
  </si>
  <si>
    <t>Misjonsløpet</t>
  </si>
  <si>
    <t>Betaling også for Margit Sordal Kjebekk</t>
  </si>
  <si>
    <t>Fra Tor Egil Karinen</t>
  </si>
  <si>
    <t>-Ella Linnea Ohma-</t>
  </si>
  <si>
    <t>Utb. 2000043 Vippsnr 625971</t>
  </si>
  <si>
    <t>Utb. 2000044 Vippsnr 625971</t>
  </si>
  <si>
    <t>Carl Linnebo gi en dag</t>
  </si>
  <si>
    <t>Henriette Malerød</t>
  </si>
  <si>
    <t>KREDITRENTER</t>
  </si>
  <si>
    <t>Utb. 2000689 Vippsnr 115851</t>
  </si>
  <si>
    <t>Utb. 2000688 Vippsnr 115851</t>
  </si>
  <si>
    <t>Utb. 2000697 Vippsnr 115851</t>
  </si>
  <si>
    <t>Utb. 2000702 Vippsnr 115851</t>
  </si>
  <si>
    <t>Utb. 2000687 Vippsnr 115851</t>
  </si>
  <si>
    <t>Utb. 2000686 Vippsnr 115851</t>
  </si>
  <si>
    <t>Utb. 2000696 Vippsnr 115851</t>
  </si>
  <si>
    <t>Utb. 2000685 Vippsnr 115851</t>
  </si>
  <si>
    <t>Utb. 2000704 Vippsnr 115851</t>
  </si>
  <si>
    <t>Utb. 2000684 Vippsnr 115851</t>
  </si>
  <si>
    <t>Utb. 2000695 Vippsnr 115851</t>
  </si>
  <si>
    <t>Utb. 2000683 Vippsnr 115851</t>
  </si>
  <si>
    <t>Utb. 2000705 Vippsnr 115851</t>
  </si>
  <si>
    <t>Utb. 2000694 Vippsnr 115851</t>
  </si>
  <si>
    <t>Utb. 2000693 Vippsnr 115851</t>
  </si>
  <si>
    <t>Utb. 2000692 Vippsnr 115851</t>
  </si>
  <si>
    <t>Utb. 2000701 Vippsnr 115851</t>
  </si>
  <si>
    <t>Utb. 2000691 Vippsnr 115851</t>
  </si>
  <si>
    <t>Utb. 2000681 Vippsnr 115851</t>
  </si>
  <si>
    <t>Utb. 2000682 Vippsnr 115851</t>
  </si>
  <si>
    <t>Utb. 2000690 Vippsnr 115851</t>
  </si>
  <si>
    <t>Utb. 2000700 Vippsnr 115851</t>
  </si>
  <si>
    <t>Utb. 2000699 Vippsnr 115851</t>
  </si>
  <si>
    <t>Utb. 2000703 Vippsnr 115851</t>
  </si>
  <si>
    <t>Utb. 2000698 Vippsnr 115851</t>
  </si>
  <si>
    <t>Utb. 2000680 Vippsnr 115851</t>
  </si>
  <si>
    <t>Produkt 4</t>
  </si>
  <si>
    <t>Godkjent hvis +-20</t>
  </si>
  <si>
    <t>Dette er hvor du sjekker at du har gjort ting riktig</t>
  </si>
  <si>
    <t>Kvitering 1</t>
  </si>
  <si>
    <t>Betalt</t>
  </si>
  <si>
    <t>Varer mangler</t>
  </si>
  <si>
    <t>Kvitering 2</t>
  </si>
  <si>
    <t>medlem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</si>
</sst>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11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9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5" xfId="0" applyFill="1" applyBorder="1"/>
    <xf numFmtId="164" fontId="0" fillId="8" borderId="1" xfId="0" applyNumberFormat="1" applyFill="1" applyBorder="1"/>
    <xf numFmtId="164" fontId="0" fillId="0" borderId="27" xfId="0" applyNumberFormat="1" applyBorder="1"/>
    <xf numFmtId="0" fontId="0" fillId="13" borderId="24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5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30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30" xfId="0" applyFill="1" applyBorder="1"/>
    <xf numFmtId="0" fontId="0" fillId="0" borderId="29" xfId="0" applyBorder="1"/>
    <xf numFmtId="0" fontId="0" fillId="0" borderId="22" xfId="0" applyBorder="1"/>
    <xf numFmtId="165" fontId="0" fillId="0" borderId="22" xfId="0" applyNumberFormat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1" xfId="0" applyFill="1" applyBorder="1"/>
    <xf numFmtId="1" fontId="3" fillId="10" borderId="32" xfId="0" applyNumberFormat="1" applyFont="1" applyFill="1" applyBorder="1"/>
    <xf numFmtId="0" fontId="0" fillId="10" borderId="33" xfId="0" applyFill="1" applyBorder="1"/>
    <xf numFmtId="1" fontId="3" fillId="3" borderId="23" xfId="0" applyNumberFormat="1" applyFont="1" applyFill="1" applyBorder="1"/>
    <xf numFmtId="1" fontId="3" fillId="3" borderId="34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5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6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  <xf numFmtId="0" fontId="3" fillId="2" borderId="1" xfId="0" applyFont="1" applyFill="1" applyBorder="1"/>
    <xf numFmtId="0" fontId="3" fillId="2" borderId="4" xfId="0" applyFont="1" applyFill="1" applyBorder="1"/>
    <xf numFmtId="0" fontId="0" fillId="13" borderId="17" xfId="0" applyFill="1" applyBorder="1"/>
    <xf numFmtId="0" fontId="0" fillId="10" borderId="1" xfId="0" applyFill="1" applyBorder="1"/>
    <xf numFmtId="0" fontId="3" fillId="11" borderId="5" xfId="0" applyFont="1" applyFill="1" applyBorder="1"/>
    <xf numFmtId="2" fontId="0" fillId="13" borderId="4" xfId="0" applyNumberFormat="1" applyFill="1" applyBorder="1"/>
    <xf numFmtId="2" fontId="0" fillId="0" borderId="13" xfId="0" applyNumberFormat="1" applyBorder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er cent" xfId="3" builtinId="5"/>
  </cellStyles>
  <dxfs count="9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connections" Target="connection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2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linnebo07\Downloads\Russens%20Regnskap%20Helautomatisert%20(4).xlsx" TargetMode="External"/><Relationship Id="rId1" Type="http://schemas.openxmlformats.org/officeDocument/2006/relationships/externalLinkPath" Target="/Users/clinnebo07/Downloads/Russens%20Regnskap%20Helautomatisert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Relationship Id="rId1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ster kiosk"/>
      <sheetName val="Inn Kiosk"/>
      <sheetName val="Vippsutskrifter"/>
      <sheetName val="Terminalutskrifter"/>
      <sheetName val="Salg_Total"/>
      <sheetName val="Inkjøp"/>
      <sheetName val="Vipps_salg_Klar_til_sammensveis"/>
      <sheetName val="Krympefest"/>
      <sheetName val="Premiere Leaugue"/>
      <sheetName val="Oktober"/>
      <sheetName val="GammelVipps"/>
      <sheetName val="November"/>
      <sheetName val="Desember"/>
      <sheetName val="GammelVipps (2)"/>
      <sheetName val="Vipps_Totalraport"/>
      <sheetName val="TerminalV1"/>
      <sheetName val="TerminalV2"/>
      <sheetName val="Terminal_Totalraport"/>
      <sheetName val="Terminal_Salg_klar_til_sammensv"/>
      <sheetName val="Salg_Totalraport_Ferdigprodukt"/>
      <sheetName val="Redaksjonen"/>
      <sheetName val="Kjøregodtgjørelse"/>
      <sheetName val="Misjonsløp"/>
      <sheetName val="Nattcup"/>
      <sheetName val="Basar"/>
      <sheetName val="Barrista"/>
      <sheetName val="Milkshake"/>
      <sheetName val="Panteruss"/>
      <sheetName val="Isruss"/>
      <sheetName val="Vippsutskrifter Python"/>
      <sheetName val="Inn Kiosk Python"/>
      <sheetName val="Terminalutskrifter Python"/>
      <sheetName val="Måneskinstur"/>
      <sheetName val="Sept"/>
    </sheetNames>
    <sheetDataSet>
      <sheetData sheetId="0"/>
      <sheetData sheetId="1">
        <row r="69">
          <cell r="AD69">
            <v>37</v>
          </cell>
          <cell r="AE69">
            <v>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Mal for kiosk inkjøp"/>
    </sheetNames>
    <sheetDataSet>
      <sheetData sheetId="0"/>
      <sheetData sheetId="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70" totalsRowShown="0" tableBorderDxfId="97">
  <autoFilter ref="A1:C70" xr:uid="{E000D430-21E5-4206-ACD1-A03E0534EE4E}"/>
  <tableColumns count="3">
    <tableColumn id="1" xr3:uid="{FBEE7985-93B6-4253-8DC8-33035EDC671B}" name="Produkt" dataDxfId="96"/>
    <tableColumn id="2" xr3:uid="{68D73E7D-9AEC-4BF8-A656-3D3600ACAC17}" name="Antall(solgt)" dataDxfId="95">
      <calculatedColumnFormula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calculatedColumnFormula>
    </tableColumn>
    <tableColumn id="3" xr3:uid="{F1D07DF3-2883-46F3-AF7A-DA81C8C44DD3}" name="Total Kjøpsum" dataDxfId="94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93" dataDxfId="92">
  <autoFilter ref="F1:M68" xr:uid="{0CB1F573-1F1F-4F6B-A9F8-01E256444AD0}"/>
  <tableColumns count="8">
    <tableColumn id="1" xr3:uid="{1599D5FF-0C19-4890-BA4F-0AA5840C618C}" name="Produkt" dataDxfId="91"/>
    <tableColumn id="2" xr3:uid="{470898CA-034A-4776-BE63-E382F05BAC15}" name="Antall" dataDxfId="90"/>
    <tableColumn id="3" xr3:uid="{148CA7C8-A98D-457B-83BB-EE2B1C4C37C4}" name="Pris SC" dataDxfId="89"/>
    <tableColumn id="4" xr3:uid="{A4FE6AED-2BC8-4C96-9A35-759009766B65}" name="pris SC (m. mva)" dataDxfId="88"/>
    <tableColumn id="5" xr3:uid="{38B3F55B-11D2-4D15-8811-66DB9D74E340}" name="Totalt (u mva)" dataDxfId="87"/>
    <tableColumn id="6" xr3:uid="{FB55CD04-BCBA-43B4-81B5-782A139E1A19}" name="Totalt (m mva)" dataDxfId="86"/>
    <tableColumn id="7" xr3:uid="{31E94CDD-D0D3-4EED-BA9B-8F558627131C}" name="pant" dataDxfId="85"/>
    <tableColumn id="8" xr3:uid="{E917037F-1A78-4FAC-84A8-83A2E4F3089F}" name="Column1" dataDxfId="84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83">
  <autoFilter ref="N1:U68" xr:uid="{D689675D-925D-4F33-B973-1310A75B0860}"/>
  <tableColumns count="8">
    <tableColumn id="1" xr3:uid="{570C1480-E45E-4734-9E4E-45D5759A88A6}" name="Produkt" dataDxfId="82"/>
    <tableColumn id="2" xr3:uid="{FFFBC534-B7A7-40CE-9ED7-86D3C2238B05}" name="Antall" dataDxfId="81"/>
    <tableColumn id="3" xr3:uid="{92AA7D0F-31DC-4B67-B22F-15E39E4D7917}" name="Pris SC" dataDxfId="80" dataCellStyle="Normal 2"/>
    <tableColumn id="4" xr3:uid="{E7A22B00-FE36-4ECD-84FB-5C8ACEDBE0DE}" name="pris SC (m. mva)" dataDxfId="79">
      <calculatedColumnFormula>P2*1.15</calculatedColumnFormula>
    </tableColumn>
    <tableColumn id="5" xr3:uid="{B46C8F22-A388-4446-B3B9-33C5672D81CE}" name="Totalt (u mva)" dataDxfId="78">
      <calculatedColumnFormula>P2*O2</calculatedColumnFormula>
    </tableColumn>
    <tableColumn id="6" xr3:uid="{E2D40874-8886-4B83-87CE-E04E479D1B72}" name="Totalt (m mva)" dataDxfId="77">
      <calculatedColumnFormula>Q2*O2</calculatedColumnFormula>
    </tableColumn>
    <tableColumn id="7" xr3:uid="{0622041F-3944-4E77-B8C3-18504A385D7E}" name="pant" dataDxfId="76"/>
    <tableColumn id="8" xr3:uid="{C9CEA403-201F-4321-96A0-72A0DE3BE003}" name="Column1" dataDxfId="75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74">
  <autoFilter ref="V1:AB68" xr:uid="{8FD75222-C02C-4AE3-BB70-DC7CF3E2866E}"/>
  <tableColumns count="7">
    <tableColumn id="1" xr3:uid="{61161BF8-6C4A-43CD-9996-B2D9C40F45F4}" name="Produkt" dataDxfId="73"/>
    <tableColumn id="2" xr3:uid="{65ACB106-54E3-4F90-9DFE-6D0A1D21A1AD}" name="Antall" dataDxfId="72"/>
    <tableColumn id="3" xr3:uid="{D957A862-1816-4039-A9AA-D4152C295DA5}" name="Pris SC" dataDxfId="71" dataCellStyle="Normal 2"/>
    <tableColumn id="4" xr3:uid="{91C1BDD1-8054-445A-8976-C40728979CFE}" name="pris SC (m. mva)" dataDxfId="70">
      <calculatedColumnFormula>X2*1.15</calculatedColumnFormula>
    </tableColumn>
    <tableColumn id="5" xr3:uid="{B2C2C958-9BC5-4AB6-A6B9-10EABA911F86}" name="Totalt (u mva)" dataDxfId="69">
      <calculatedColumnFormula>X2*W2</calculatedColumnFormula>
    </tableColumn>
    <tableColumn id="6" xr3:uid="{63D71641-FBA3-4EB8-956B-547525FB5EA3}" name="Totalt (m mva)" dataDxfId="68">
      <calculatedColumnFormula>Y2*W2</calculatedColumnFormula>
    </tableColumn>
    <tableColumn id="7" xr3:uid="{801EEF2C-FEA8-4957-8236-1E11469D9BAE}" name="pant" dataDxfId="6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7F836-BF56-4FFF-8D4E-1051E5FAA619}" name="KviteringV4" displayName="KviteringV4" ref="AE1:AK72" totalsRowShown="0" headerRowDxfId="66">
  <autoFilter ref="AE1:AK72" xr:uid="{C797F836-BF56-4FFF-8D4E-1051E5FAA619}"/>
  <tableColumns count="7">
    <tableColumn id="1" xr3:uid="{8B7A2B43-CEB9-49E9-8534-D2DEF30343FF}" name="Produkt" dataDxfId="65"/>
    <tableColumn id="2" xr3:uid="{59E1DA03-CBB7-494E-9679-AADF26E325E1}" name="Antall" dataDxfId="64"/>
    <tableColumn id="3" xr3:uid="{5CFC0A50-B498-49C9-96C3-416F18FC4B08}" name="Pris SC" dataDxfId="63" dataCellStyle="Normal 2"/>
    <tableColumn id="4" xr3:uid="{B6F13962-6F8E-428C-A719-B29D4B837FD3}" name="pris SC (m. mva)" dataDxfId="62"/>
    <tableColumn id="5" xr3:uid="{5D9ACD15-DAA7-4C7B-B888-38DFDE0B8F7B}" name="Totalt (u mva)" dataDxfId="61"/>
    <tableColumn id="6" xr3:uid="{4123EDC0-02CF-4A2F-82C7-95A8809D25FF}" name="Totalt (m mva)" dataDxfId="60">
      <calculatedColumnFormula>[2]!KviteringV3[[#This Row],[pris SC (m. mva)]]*[2]!KviteringV3[[#This Row],[Antall]]</calculatedColumnFormula>
    </tableColumn>
    <tableColumn id="7" xr3:uid="{9204E26D-E8F1-4C43-9A2C-D2FFE484BF16}" name="pant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58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57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9" totalsRowShown="0" headerRowBorderDxfId="56" dataCellStyle="Normal 3">
  <autoFilter ref="AA1:AD59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55" dataCellStyle="Normal 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54" dataDxfId="53" tableBorderDxfId="52">
  <autoFilter ref="G1:J61" xr:uid="{0ED29AF0-CBB9-451C-B703-B43922A4ED5E}"/>
  <tableColumns count="4">
    <tableColumn id="1" xr3:uid="{7E48CB60-9EDE-4805-9522-11B60B460518}" name="Vare" dataDxfId="51"/>
    <tableColumn id="2" xr3:uid="{D3039F3C-0652-4CD8-931C-6A4B2669A13A}" name="Antall" dataDxfId="50"/>
    <tableColumn id="3" xr3:uid="{0FAFED11-9DDC-4F4B-9236-C4505C8A51A9}" name="Beløp inkl. MVA" dataDxfId="49"/>
    <tableColumn id="4" xr3:uid="{883AC29B-8FB4-40A2-92DD-5F15938CBDB7}" name="Column1" dataDxfId="48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47" tableBorderDxfId="46" dataCellStyle="Normal 3">
  <autoFilter ref="Q1:T59" xr:uid="{0C2A77D7-BF88-48CB-9CB3-A3D403745877}"/>
  <tableColumns count="4">
    <tableColumn id="1" xr3:uid="{E71B448F-6567-4D1D-9021-366D15DCBB38}" name="Vare" dataDxfId="45" dataCellStyle="Normal 3"/>
    <tableColumn id="2" xr3:uid="{20B807AE-19F8-4D17-B1CF-0A10D3880F7C}" name="Varegruppe" dataDxfId="44" dataCellStyle="Normal 3"/>
    <tableColumn id="3" xr3:uid="{60D4B80F-0B9F-4A4B-BA76-26F7978B6506}" name="Antall" dataDxfId="43" dataCellStyle="Normal 3"/>
    <tableColumn id="4" xr3:uid="{1F5D7486-8B29-44BD-AB63-33CC3C258E61}" name="Beløp inkl. MVA" dataDxfId="42" dataCellStyle="Normal 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41" tableBorderDxfId="40" dataCellStyle="Normal 3">
  <autoFilter ref="L1:O58" xr:uid="{C75B9548-23D1-402A-BE8C-488AD2648C03}"/>
  <tableColumns count="4">
    <tableColumn id="1" xr3:uid="{D83CD5C0-5527-4E3F-8D04-989C6448939D}" name="Vare" dataDxfId="39" dataCellStyle="Normal 3"/>
    <tableColumn id="2" xr3:uid="{B0718281-E5B3-4FC9-994C-6CBE4C955E96}" name="Varegruppe" dataDxfId="38" dataCellStyle="Normal 3"/>
    <tableColumn id="3" xr3:uid="{100BB219-D1BA-49D2-9D10-7D21C0161F5C}" name="Antall" dataDxfId="37" dataCellStyle="Normal 3"/>
    <tableColumn id="4" xr3:uid="{5F82A6A0-509E-4707-8802-D3C90EF4EBF0}" name="Beløp inkl. MVA" dataDxfId="36" dataCellStyle="Normal 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35" headerRowBorderDxfId="34" tableBorderDxfId="33">
  <autoFilter ref="H1:K67" xr:uid="{F913F832-76EB-47D5-AA85-6EEB0CF9F22C}"/>
  <tableColumns count="4">
    <tableColumn id="1" xr3:uid="{6689ECBD-706F-457D-949D-4F09D133D461}" name="Vare" dataDxfId="32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1" headerRowBorderDxfId="30" tableBorderDxfId="29">
  <autoFilter ref="M1:P67" xr:uid="{EE3F3204-08EA-40EA-A94B-BA88B153B26D}"/>
  <tableColumns count="4">
    <tableColumn id="1" xr3:uid="{4C2CD249-D416-4428-82B1-0FD58676738F}" name="Vare" dataDxfId="28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3" tableType="queryTable" totalsRowShown="0">
  <autoFilter ref="A1:C73" xr:uid="{F030711C-E17C-4F0E-962A-6AC95ED7A927}"/>
  <tableColumns count="3">
    <tableColumn id="1" xr3:uid="{732994E5-21BC-41DA-A4C8-4E69BBAFB80F}" uniqueName="1" name="Vare" queryTableFieldId="1" dataDxfId="27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70" tableType="queryTable" totalsRowShown="0">
  <autoFilter ref="A1:C70" xr:uid="{29FB9440-EA7B-4755-B408-0B18710BB655}"/>
  <tableColumns count="3">
    <tableColumn id="1" xr3:uid="{A7DB3F56-3940-460A-8C86-9D364936FB71}" uniqueName="1" name="Produkt" queryTableFieldId="1" dataDxfId="26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25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24"/>
    <tableColumn id="2" xr3:uid="{05348D68-5B5C-4F84-B722-7E1A8348EEEE}" uniqueName="2" name="Varegruppe" queryTableFieldId="2" dataDxfId="23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2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1"/>
    <tableColumn id="2" xr3:uid="{276068A4-0C5A-4CEA-A82C-BCB8E25AE98E}" uniqueName="2" name="Varegruppe" queryTableFieldId="2" dataDxfId="20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9" tableType="queryTable" totalsRowShown="0">
  <autoFilter ref="A1:D59" xr:uid="{A982B08F-B902-4D97-B1BE-1CE8D16146A6}"/>
  <tableColumns count="4">
    <tableColumn id="1" xr3:uid="{D2B99279-B281-4B3B-8104-24E2680CAB89}" uniqueName="1" name="Vare" queryTableFieldId="1" dataDxfId="19"/>
    <tableColumn id="2" xr3:uid="{19BB1334-F014-4460-9352-8FFF955FF013}" uniqueName="2" name="Varegruppe" queryTableFieldId="2" dataDxfId="18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17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2" tableType="queryTable" totalsRowShown="0">
  <autoFilter ref="A1:C72" xr:uid="{CCEDDFE4-DB74-4D8C-841C-EDDEBA20581C}"/>
  <tableColumns count="3">
    <tableColumn id="1" xr3:uid="{CD051CA4-40AC-4787-B130-F7347E05D482}" uniqueName="1" name="Vare" queryTableFieldId="1" dataDxfId="16"/>
    <tableColumn id="8" xr3:uid="{D79DE6D7-7882-469F-BBF6-5089749AFAA5}" uniqueName="8" name="Antall" queryTableFieldId="10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15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14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13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12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1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10"/>
    <tableColumn id="2" xr3:uid="{FCE32E00-97DC-4047-B667-CD87334E5332}" uniqueName="2" name="Varegruppe" queryTableFieldId="2" dataDxfId="9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H167"/>
  <sheetViews>
    <sheetView tabSelected="1" zoomScale="45" workbookViewId="0">
      <selection activeCell="D27" sqref="D27"/>
    </sheetView>
  </sheetViews>
  <sheetFormatPr defaultColWidth="8.7265625" defaultRowHeight="14.5" x14ac:dyDescent="0.35"/>
  <cols>
    <col min="2" max="2" width="22.6328125" customWidth="1"/>
    <col min="3" max="3" width="26.90625" customWidth="1"/>
    <col min="4" max="4" width="25.36328125" customWidth="1"/>
    <col min="5" max="5" width="22" customWidth="1"/>
    <col min="6" max="6" width="33.26953125" customWidth="1"/>
    <col min="7" max="7" width="19.08984375" customWidth="1"/>
    <col min="8" max="8" width="12.453125" customWidth="1"/>
    <col min="9" max="9" width="16.36328125" customWidth="1"/>
    <col min="12" max="12" width="13.36328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90625" bestFit="1" customWidth="1"/>
    <col min="20" max="20" width="12.7265625" customWidth="1"/>
    <col min="21" max="21" width="28.81640625" customWidth="1"/>
    <col min="23" max="23" width="13.81640625" customWidth="1"/>
    <col min="24" max="24" width="10.08984375" customWidth="1"/>
    <col min="25" max="25" width="13.90625" bestFit="1" customWidth="1"/>
    <col min="27" max="27" width="37.54296875" customWidth="1"/>
    <col min="28" max="28" width="31.81640625" customWidth="1"/>
    <col min="31" max="31" width="15.26953125" bestFit="1" customWidth="1"/>
    <col min="33" max="33" width="28.54296875" customWidth="1"/>
    <col min="34" max="34" width="56.6328125" customWidth="1"/>
  </cols>
  <sheetData>
    <row r="1" spans="2:34" ht="26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4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4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Kiosk'!B80</f>
        <v>32456.48000000001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119026.6</v>
      </c>
      <c r="Z3" s="17"/>
      <c r="AA3" s="17"/>
      <c r="AB3" s="17"/>
      <c r="AC3" s="89" t="s">
        <v>13</v>
      </c>
      <c r="AD3" s="95" t="s">
        <v>14</v>
      </c>
      <c r="AE3" s="95">
        <f>SUM(AE4:AE100)</f>
        <v>-14881.189999999999</v>
      </c>
      <c r="AF3" s="73"/>
      <c r="AG3" s="73"/>
      <c r="AH3" s="73"/>
    </row>
    <row r="4" spans="2:34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-75269.127936118035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4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1947.33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4" ht="29" x14ac:dyDescent="0.35">
      <c r="G6" s="92" t="s">
        <v>27</v>
      </c>
      <c r="H6" s="110">
        <f>Kjøregodtgjørelse!U2</f>
        <v>-2649.44</v>
      </c>
      <c r="M6" s="89"/>
      <c r="N6" s="27" t="s">
        <v>28</v>
      </c>
      <c r="O6" s="27">
        <v>-900</v>
      </c>
      <c r="P6" s="27"/>
      <c r="Q6" s="17" t="s">
        <v>29</v>
      </c>
      <c r="R6" s="17">
        <v>147.37</v>
      </c>
      <c r="S6" s="17" t="s">
        <v>5</v>
      </c>
      <c r="T6" s="17">
        <v>606892</v>
      </c>
      <c r="U6" s="17" t="s">
        <v>913</v>
      </c>
      <c r="W6" s="89"/>
      <c r="X6" s="17" t="s">
        <v>509</v>
      </c>
      <c r="Y6" s="17">
        <v>500</v>
      </c>
      <c r="Z6" s="17" t="s">
        <v>5</v>
      </c>
      <c r="AA6" s="17">
        <v>49531050001</v>
      </c>
      <c r="AB6" s="17" t="s">
        <v>823</v>
      </c>
      <c r="AC6" s="89"/>
      <c r="AD6" s="73" t="s">
        <v>775</v>
      </c>
      <c r="AE6" s="73">
        <v>-3246</v>
      </c>
      <c r="AF6" s="73" t="s">
        <v>631</v>
      </c>
      <c r="AG6" s="73">
        <v>51702880000</v>
      </c>
      <c r="AH6" s="186" t="s">
        <v>792</v>
      </c>
    </row>
    <row r="7" spans="2:34" ht="29" x14ac:dyDescent="0.35">
      <c r="B7" s="89" t="s">
        <v>32</v>
      </c>
      <c r="C7" s="96">
        <f>E7+D7</f>
        <v>30439.520000000077</v>
      </c>
      <c r="D7" s="96">
        <f>'Inn Kiosk'!B79</f>
        <v>-168473.82</v>
      </c>
      <c r="E7" s="96">
        <f>'Master kiosk'!C83</f>
        <v>198913.34000000008</v>
      </c>
      <c r="M7" s="89"/>
      <c r="N7" s="27"/>
      <c r="O7" s="27"/>
      <c r="P7" s="27"/>
      <c r="Q7" s="17" t="s">
        <v>33</v>
      </c>
      <c r="R7" s="17">
        <v>294.74</v>
      </c>
      <c r="S7" s="17" t="s">
        <v>5</v>
      </c>
      <c r="T7" s="17">
        <v>476321</v>
      </c>
      <c r="U7" s="17" t="s">
        <v>914</v>
      </c>
      <c r="W7" s="89"/>
      <c r="X7" s="17" t="s">
        <v>509</v>
      </c>
      <c r="Y7" s="17">
        <v>500</v>
      </c>
      <c r="Z7" s="17" t="s">
        <v>5</v>
      </c>
      <c r="AA7" s="17">
        <v>387295</v>
      </c>
      <c r="AB7" s="17" t="s">
        <v>824</v>
      </c>
      <c r="AC7" s="89"/>
      <c r="AD7" s="73" t="s">
        <v>775</v>
      </c>
      <c r="AE7" s="73">
        <v>-4322</v>
      </c>
      <c r="AF7" s="73" t="s">
        <v>793</v>
      </c>
      <c r="AG7" s="73">
        <v>51702870000</v>
      </c>
      <c r="AH7" s="186" t="s">
        <v>794</v>
      </c>
    </row>
    <row r="8" spans="2:34" x14ac:dyDescent="0.35">
      <c r="B8" s="89" t="s">
        <v>35</v>
      </c>
      <c r="C8" s="96">
        <f t="shared" ref="C8:C22" si="0">E8+D8</f>
        <v>2057.5899999999983</v>
      </c>
      <c r="D8" s="96">
        <f>Isruss!D4</f>
        <v>-3917.8500000000004</v>
      </c>
      <c r="E8" s="96">
        <f>Isruss!D5</f>
        <v>5975.4399999999987</v>
      </c>
      <c r="M8" s="89"/>
      <c r="N8" s="27" t="s">
        <v>36</v>
      </c>
      <c r="O8" s="27">
        <f>SUM(O5:O6)</f>
        <v>-9075</v>
      </c>
      <c r="P8" s="27"/>
      <c r="Q8" s="17" t="s">
        <v>37</v>
      </c>
      <c r="R8" s="17">
        <v>1473.75</v>
      </c>
      <c r="S8" s="17" t="s">
        <v>5</v>
      </c>
      <c r="T8" s="17">
        <v>941095</v>
      </c>
      <c r="U8" s="17" t="s">
        <v>915</v>
      </c>
      <c r="W8" s="89"/>
      <c r="X8" s="17" t="s">
        <v>509</v>
      </c>
      <c r="Y8" s="17">
        <v>500</v>
      </c>
      <c r="Z8" s="17" t="s">
        <v>5</v>
      </c>
      <c r="AA8" s="17">
        <v>535</v>
      </c>
      <c r="AB8" s="17" t="s">
        <v>795</v>
      </c>
      <c r="AC8" s="89"/>
      <c r="AD8" s="73" t="s">
        <v>494</v>
      </c>
      <c r="AE8" s="73">
        <v>-209.52</v>
      </c>
      <c r="AF8" s="73"/>
      <c r="AG8" s="73">
        <v>172196538</v>
      </c>
      <c r="AH8" s="186" t="s">
        <v>691</v>
      </c>
    </row>
    <row r="9" spans="2:34" ht="29" x14ac:dyDescent="0.35">
      <c r="B9" s="89" t="s">
        <v>38</v>
      </c>
      <c r="C9" s="96">
        <f t="shared" si="0"/>
        <v>9199.07</v>
      </c>
      <c r="D9" s="96">
        <f>Milkshake!D4</f>
        <v>-8838.0499999999993</v>
      </c>
      <c r="E9" s="96">
        <f>Milkshake!D5</f>
        <v>18037.12</v>
      </c>
      <c r="M9" s="89"/>
      <c r="N9" s="27" t="s">
        <v>39</v>
      </c>
      <c r="O9" s="27">
        <f>SUM(R3:R400)</f>
        <v>18395.18</v>
      </c>
      <c r="P9" s="27"/>
      <c r="Q9" s="17" t="s">
        <v>40</v>
      </c>
      <c r="R9" s="17">
        <v>491.25</v>
      </c>
      <c r="S9" s="17" t="s">
        <v>5</v>
      </c>
      <c r="T9" s="17">
        <v>1098672</v>
      </c>
      <c r="U9" s="17" t="s">
        <v>916</v>
      </c>
      <c r="W9" s="89"/>
      <c r="X9" s="17" t="s">
        <v>509</v>
      </c>
      <c r="Y9" s="17">
        <v>500</v>
      </c>
      <c r="Z9" s="17" t="s">
        <v>5</v>
      </c>
      <c r="AA9" s="17">
        <v>151</v>
      </c>
      <c r="AB9" s="17" t="s">
        <v>795</v>
      </c>
      <c r="AC9" s="89"/>
      <c r="AD9" s="73" t="s">
        <v>31</v>
      </c>
      <c r="AE9" s="73">
        <v>-208.1</v>
      </c>
      <c r="AF9" s="73" t="s">
        <v>795</v>
      </c>
      <c r="AG9" s="73">
        <v>54207430000</v>
      </c>
      <c r="AH9" s="186" t="s">
        <v>796</v>
      </c>
    </row>
    <row r="10" spans="2:34" x14ac:dyDescent="0.35">
      <c r="B10" s="89" t="s">
        <v>43</v>
      </c>
      <c r="C10" s="96">
        <f t="shared" si="0"/>
        <v>13759</v>
      </c>
      <c r="D10" s="96">
        <v>0</v>
      </c>
      <c r="E10" s="96">
        <f>Panteruss!D5</f>
        <v>13759</v>
      </c>
      <c r="M10" s="89"/>
      <c r="N10" s="27" t="s">
        <v>44</v>
      </c>
      <c r="O10" s="27">
        <f>O9+O8</f>
        <v>9320.18</v>
      </c>
      <c r="P10" s="27"/>
      <c r="Q10" s="17" t="s">
        <v>45</v>
      </c>
      <c r="R10" s="17">
        <v>147.37</v>
      </c>
      <c r="S10" s="17" t="s">
        <v>5</v>
      </c>
      <c r="T10" s="17">
        <v>393270</v>
      </c>
      <c r="U10" s="17" t="s">
        <v>917</v>
      </c>
      <c r="W10" s="89"/>
      <c r="X10" s="17" t="s">
        <v>509</v>
      </c>
      <c r="Y10" s="17">
        <v>500</v>
      </c>
      <c r="Z10" s="17" t="s">
        <v>5</v>
      </c>
      <c r="AA10" s="17">
        <v>3184646516</v>
      </c>
      <c r="AB10" s="17" t="s">
        <v>825</v>
      </c>
      <c r="AC10" s="89"/>
      <c r="AD10" s="73" t="s">
        <v>34</v>
      </c>
      <c r="AE10" s="73">
        <v>-154.08000000000001</v>
      </c>
      <c r="AF10" s="73" t="s">
        <v>797</v>
      </c>
      <c r="AG10" s="73"/>
      <c r="AH10" s="73" t="s">
        <v>798</v>
      </c>
    </row>
    <row r="11" spans="2:34" x14ac:dyDescent="0.35">
      <c r="B11" s="89" t="s">
        <v>47</v>
      </c>
      <c r="C11" s="96">
        <f t="shared" si="0"/>
        <v>51922.17</v>
      </c>
      <c r="D11" s="96"/>
      <c r="E11" s="96">
        <f>Basar!E5</f>
        <v>51922.17</v>
      </c>
      <c r="M11" s="89"/>
      <c r="N11" s="89"/>
      <c r="O11" s="89"/>
      <c r="P11" s="89"/>
      <c r="Q11" s="17" t="s">
        <v>48</v>
      </c>
      <c r="R11" s="17">
        <v>491.25</v>
      </c>
      <c r="S11" s="17" t="s">
        <v>5</v>
      </c>
      <c r="T11" s="17">
        <v>1526097</v>
      </c>
      <c r="U11" s="17" t="s">
        <v>918</v>
      </c>
      <c r="W11" s="89"/>
      <c r="X11" s="17" t="s">
        <v>509</v>
      </c>
      <c r="Y11" s="17">
        <v>500</v>
      </c>
      <c r="Z11" s="17" t="s">
        <v>5</v>
      </c>
      <c r="AA11" s="17">
        <v>534</v>
      </c>
      <c r="AB11" s="17" t="s">
        <v>826</v>
      </c>
      <c r="AC11" s="89"/>
      <c r="AD11" s="73" t="s">
        <v>540</v>
      </c>
      <c r="AE11" s="73">
        <v>-170.1</v>
      </c>
      <c r="AF11" s="73"/>
      <c r="AG11" s="73">
        <v>92549710000</v>
      </c>
      <c r="AH11" s="73" t="s">
        <v>799</v>
      </c>
    </row>
    <row r="12" spans="2:34" x14ac:dyDescent="0.35">
      <c r="B12" s="89" t="s">
        <v>51</v>
      </c>
      <c r="C12" s="96">
        <f>E12+D12</f>
        <v>658988.5</v>
      </c>
      <c r="D12" s="96">
        <f>Misjonsløp!C3</f>
        <v>-41390.25</v>
      </c>
      <c r="E12" s="96">
        <f>Misjonsløp!C5</f>
        <v>700378.75</v>
      </c>
      <c r="M12" s="89"/>
      <c r="N12" s="89"/>
      <c r="O12" s="89"/>
      <c r="P12" s="89"/>
      <c r="Q12" s="17" t="s">
        <v>52</v>
      </c>
      <c r="R12" s="17">
        <v>13.75</v>
      </c>
      <c r="S12" s="17" t="s">
        <v>5</v>
      </c>
      <c r="T12" s="17">
        <v>517802</v>
      </c>
      <c r="U12" s="17" t="s">
        <v>919</v>
      </c>
      <c r="W12" s="89"/>
      <c r="X12" s="17" t="s">
        <v>509</v>
      </c>
      <c r="Y12" s="17">
        <v>500</v>
      </c>
      <c r="Z12" s="17" t="s">
        <v>5</v>
      </c>
      <c r="AA12" s="17">
        <v>912857</v>
      </c>
      <c r="AB12" s="17" t="s">
        <v>827</v>
      </c>
      <c r="AC12" s="89"/>
      <c r="AD12" s="73" t="s">
        <v>42</v>
      </c>
      <c r="AE12" s="73">
        <v>-70</v>
      </c>
      <c r="AF12" s="73"/>
      <c r="AG12" s="73">
        <v>82802400000</v>
      </c>
      <c r="AH12" s="73" t="s">
        <v>799</v>
      </c>
    </row>
    <row r="13" spans="2:34" x14ac:dyDescent="0.35">
      <c r="B13" s="89" t="s">
        <v>54</v>
      </c>
      <c r="C13" s="96">
        <f t="shared" si="0"/>
        <v>-1820.44</v>
      </c>
      <c r="D13" s="96">
        <f>Kjøregodtgjørelse!B7</f>
        <v>-1820.44</v>
      </c>
      <c r="E13" s="96"/>
      <c r="M13" s="89"/>
      <c r="N13" s="89"/>
      <c r="O13" s="89"/>
      <c r="P13" s="89"/>
      <c r="Q13" s="17" t="s">
        <v>53</v>
      </c>
      <c r="R13" s="17">
        <v>299.66000000000003</v>
      </c>
      <c r="S13" s="17" t="s">
        <v>5</v>
      </c>
      <c r="T13" s="17">
        <v>1451306</v>
      </c>
      <c r="U13" s="17" t="s">
        <v>920</v>
      </c>
      <c r="W13" s="89"/>
      <c r="X13" s="17" t="s">
        <v>509</v>
      </c>
      <c r="Y13" s="17">
        <v>500</v>
      </c>
      <c r="Z13" s="17" t="s">
        <v>5</v>
      </c>
      <c r="AA13" s="17">
        <v>364206</v>
      </c>
      <c r="AB13" s="17" t="s">
        <v>828</v>
      </c>
      <c r="AC13" s="89"/>
      <c r="AD13" s="73" t="s">
        <v>46</v>
      </c>
      <c r="AE13" s="73">
        <v>-150.07</v>
      </c>
      <c r="AF13" s="73" t="s">
        <v>797</v>
      </c>
      <c r="AG13" s="73"/>
      <c r="AH13" s="186" t="s">
        <v>798</v>
      </c>
    </row>
    <row r="14" spans="2:34" x14ac:dyDescent="0.35">
      <c r="B14" s="89" t="s">
        <v>57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480</v>
      </c>
      <c r="R14" s="17">
        <v>1041.44</v>
      </c>
      <c r="S14" s="17" t="s">
        <v>5</v>
      </c>
      <c r="T14" s="17">
        <v>685846</v>
      </c>
      <c r="U14" s="17" t="s">
        <v>921</v>
      </c>
      <c r="W14" s="89"/>
      <c r="X14" s="17" t="s">
        <v>509</v>
      </c>
      <c r="Y14" s="17">
        <v>2500</v>
      </c>
      <c r="Z14" s="17" t="s">
        <v>5</v>
      </c>
      <c r="AA14" s="17">
        <v>266158</v>
      </c>
      <c r="AB14" s="17" t="s">
        <v>829</v>
      </c>
      <c r="AC14" s="89"/>
      <c r="AD14" s="73" t="s">
        <v>486</v>
      </c>
      <c r="AE14" s="73">
        <v>-150.78</v>
      </c>
      <c r="AF14" s="73" t="s">
        <v>797</v>
      </c>
      <c r="AG14" s="73"/>
      <c r="AH14" s="73" t="s">
        <v>798</v>
      </c>
    </row>
    <row r="15" spans="2:34" x14ac:dyDescent="0.35">
      <c r="B15" s="89" t="s">
        <v>59</v>
      </c>
      <c r="C15" s="96">
        <f t="shared" si="0"/>
        <v>77330.739999999976</v>
      </c>
      <c r="D15" s="96">
        <f>Nattcup!D4</f>
        <v>-10744</v>
      </c>
      <c r="E15" s="96">
        <f>Nattcup!D5</f>
        <v>88074.739999999976</v>
      </c>
      <c r="M15" s="89"/>
      <c r="N15" s="89"/>
      <c r="O15" s="89"/>
      <c r="P15" s="89"/>
      <c r="Q15" s="17" t="s">
        <v>58</v>
      </c>
      <c r="R15" s="17">
        <v>343.87</v>
      </c>
      <c r="S15" s="17" t="s">
        <v>5</v>
      </c>
      <c r="T15" s="17">
        <v>1275771</v>
      </c>
      <c r="U15" s="17" t="s">
        <v>922</v>
      </c>
      <c r="W15" s="89"/>
      <c r="X15" s="17" t="s">
        <v>509</v>
      </c>
      <c r="Y15" s="17">
        <v>500</v>
      </c>
      <c r="Z15" s="17" t="s">
        <v>5</v>
      </c>
      <c r="AA15" s="17">
        <v>924552</v>
      </c>
      <c r="AB15" s="17" t="s">
        <v>824</v>
      </c>
      <c r="AC15" s="89"/>
      <c r="AD15" s="73" t="s">
        <v>800</v>
      </c>
      <c r="AE15" s="73">
        <v>-178.5</v>
      </c>
      <c r="AF15" s="73"/>
      <c r="AG15" s="73">
        <v>98814160000</v>
      </c>
      <c r="AH15" s="186" t="s">
        <v>326</v>
      </c>
    </row>
    <row r="16" spans="2:34" x14ac:dyDescent="0.35">
      <c r="B16" s="89" t="s">
        <v>62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60</v>
      </c>
      <c r="R16" s="17">
        <v>196.5</v>
      </c>
      <c r="S16" s="17" t="s">
        <v>5</v>
      </c>
      <c r="T16" s="17">
        <v>234408</v>
      </c>
      <c r="U16" s="17" t="s">
        <v>923</v>
      </c>
      <c r="W16" s="89"/>
      <c r="X16" s="17" t="s">
        <v>509</v>
      </c>
      <c r="Y16" s="17">
        <v>500</v>
      </c>
      <c r="Z16" s="17" t="s">
        <v>5</v>
      </c>
      <c r="AA16" s="17">
        <v>663</v>
      </c>
      <c r="AB16" s="17" t="s">
        <v>830</v>
      </c>
      <c r="AC16" s="89"/>
      <c r="AD16" s="73" t="s">
        <v>50</v>
      </c>
      <c r="AE16" s="73">
        <v>-150.59</v>
      </c>
      <c r="AF16" s="73" t="s">
        <v>797</v>
      </c>
      <c r="AG16" s="73"/>
      <c r="AH16" s="73" t="s">
        <v>798</v>
      </c>
    </row>
    <row r="17" spans="2:34" x14ac:dyDescent="0.35">
      <c r="B17" s="89" t="s">
        <v>66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63</v>
      </c>
      <c r="R17" s="17">
        <v>638.62</v>
      </c>
      <c r="S17" s="17" t="s">
        <v>5</v>
      </c>
      <c r="T17" s="17">
        <v>1169644</v>
      </c>
      <c r="U17" s="17" t="s">
        <v>924</v>
      </c>
      <c r="W17" s="89"/>
      <c r="X17" s="17" t="s">
        <v>509</v>
      </c>
      <c r="Y17" s="17">
        <v>500</v>
      </c>
      <c r="Z17" s="17" t="s">
        <v>5</v>
      </c>
      <c r="AA17" s="17">
        <v>4772</v>
      </c>
      <c r="AB17" s="17" t="s">
        <v>831</v>
      </c>
      <c r="AC17" s="89"/>
      <c r="AD17" s="73" t="s">
        <v>53</v>
      </c>
      <c r="AE17" s="73">
        <v>-73.5</v>
      </c>
      <c r="AF17" s="73"/>
      <c r="AG17" s="73">
        <v>86018570000</v>
      </c>
      <c r="AH17" s="186" t="s">
        <v>799</v>
      </c>
    </row>
    <row r="18" spans="2:34" x14ac:dyDescent="0.35">
      <c r="B18" s="89" t="s">
        <v>68</v>
      </c>
      <c r="C18" s="96">
        <f t="shared" si="0"/>
        <v>37667.149999999994</v>
      </c>
      <c r="D18" s="96">
        <f>'Premiere Leaugue'!D4</f>
        <v>-331</v>
      </c>
      <c r="E18" s="96">
        <f>'Premiere Leaugue'!D5</f>
        <v>37998.149999999994</v>
      </c>
      <c r="G18" s="98"/>
      <c r="M18" s="89"/>
      <c r="N18" s="89"/>
      <c r="O18" s="89"/>
      <c r="P18" s="89"/>
      <c r="Q18" s="17" t="s">
        <v>765</v>
      </c>
      <c r="R18" s="17">
        <v>196.5</v>
      </c>
      <c r="S18" s="17" t="s">
        <v>5</v>
      </c>
      <c r="T18" s="17">
        <v>464037</v>
      </c>
      <c r="U18" s="17" t="s">
        <v>925</v>
      </c>
      <c r="W18" s="89"/>
      <c r="X18" s="17" t="s">
        <v>509</v>
      </c>
      <c r="Y18" s="17">
        <v>500</v>
      </c>
      <c r="Z18" s="17" t="s">
        <v>5</v>
      </c>
      <c r="AA18" s="17">
        <v>160337</v>
      </c>
      <c r="AB18" s="17" t="s">
        <v>832</v>
      </c>
      <c r="AC18" s="89"/>
      <c r="AD18" s="73" t="s">
        <v>476</v>
      </c>
      <c r="AE18" s="73">
        <v>-140</v>
      </c>
      <c r="AF18" s="73"/>
      <c r="AG18" s="73">
        <v>95651990000</v>
      </c>
      <c r="AH18" s="186" t="s">
        <v>799</v>
      </c>
    </row>
    <row r="19" spans="2:34" ht="29" x14ac:dyDescent="0.35">
      <c r="B19" s="89" t="s">
        <v>69</v>
      </c>
      <c r="C19" s="96">
        <f t="shared" si="0"/>
        <v>1823.4099999999962</v>
      </c>
      <c r="D19" s="96">
        <f>Krympefest!D4</f>
        <v>-20602.360000000004</v>
      </c>
      <c r="E19" s="96">
        <f>Krympefest!D5</f>
        <v>22425.77</v>
      </c>
      <c r="M19" s="89"/>
      <c r="N19" s="89"/>
      <c r="O19" s="89"/>
      <c r="P19" s="89"/>
      <c r="Q19" s="17" t="s">
        <v>67</v>
      </c>
      <c r="R19" s="17">
        <v>368.44</v>
      </c>
      <c r="S19" s="17" t="s">
        <v>5</v>
      </c>
      <c r="T19" s="17">
        <v>1556212</v>
      </c>
      <c r="U19" s="17" t="s">
        <v>926</v>
      </c>
      <c r="W19" s="89"/>
      <c r="X19" s="17" t="s">
        <v>509</v>
      </c>
      <c r="Y19" s="17">
        <v>500</v>
      </c>
      <c r="Z19" s="17" t="s">
        <v>5</v>
      </c>
      <c r="AA19" s="17">
        <v>3185864192</v>
      </c>
      <c r="AB19" s="17" t="s">
        <v>833</v>
      </c>
      <c r="AC19" s="89"/>
      <c r="AD19" s="73" t="s">
        <v>56</v>
      </c>
      <c r="AE19" s="73">
        <v>-870</v>
      </c>
      <c r="AF19" s="73" t="s">
        <v>801</v>
      </c>
      <c r="AG19" s="73">
        <v>45035890000</v>
      </c>
      <c r="AH19" s="186" t="s">
        <v>802</v>
      </c>
    </row>
    <row r="20" spans="2:34" x14ac:dyDescent="0.35">
      <c r="B20" s="89" t="s">
        <v>70</v>
      </c>
      <c r="C20" s="96">
        <f t="shared" si="0"/>
        <v>0</v>
      </c>
      <c r="D20" s="96">
        <f>Redaksjonen!D5</f>
        <v>0</v>
      </c>
      <c r="E20" s="96">
        <f>Redaksjonen!D6</f>
        <v>0</v>
      </c>
      <c r="M20" s="89"/>
      <c r="N20" s="89"/>
      <c r="O20" s="89"/>
      <c r="P20" s="89"/>
      <c r="Q20" s="17" t="s">
        <v>67</v>
      </c>
      <c r="R20" s="17">
        <v>98.25</v>
      </c>
      <c r="S20" s="17" t="s">
        <v>5</v>
      </c>
      <c r="T20" s="17">
        <v>1555163</v>
      </c>
      <c r="U20" s="17" t="s">
        <v>927</v>
      </c>
      <c r="W20" s="89"/>
      <c r="X20" s="17" t="s">
        <v>509</v>
      </c>
      <c r="Y20" s="17">
        <v>500</v>
      </c>
      <c r="Z20" s="17" t="s">
        <v>5</v>
      </c>
      <c r="AA20" s="17">
        <v>285657</v>
      </c>
      <c r="AB20" s="17" t="s">
        <v>834</v>
      </c>
      <c r="AC20" s="89"/>
      <c r="AD20" s="73" t="s">
        <v>56</v>
      </c>
      <c r="AE20" s="73">
        <v>-120.05</v>
      </c>
      <c r="AF20" s="73"/>
      <c r="AG20" s="73">
        <v>89340400000</v>
      </c>
      <c r="AH20" s="73" t="s">
        <v>799</v>
      </c>
    </row>
    <row r="21" spans="2:34" ht="29" x14ac:dyDescent="0.35">
      <c r="C21" s="96">
        <f t="shared" si="0"/>
        <v>0</v>
      </c>
      <c r="M21" s="89"/>
      <c r="N21" s="89"/>
      <c r="O21" s="89"/>
      <c r="P21" s="89"/>
      <c r="Q21" s="17" t="s">
        <v>34</v>
      </c>
      <c r="R21" s="17">
        <v>835.12</v>
      </c>
      <c r="S21" s="17" t="s">
        <v>5</v>
      </c>
      <c r="T21" s="17">
        <v>1438142</v>
      </c>
      <c r="U21" s="17" t="s">
        <v>928</v>
      </c>
      <c r="W21" s="89"/>
      <c r="X21" s="17" t="s">
        <v>835</v>
      </c>
      <c r="Y21" s="17">
        <v>500</v>
      </c>
      <c r="Z21" s="17" t="s">
        <v>5</v>
      </c>
      <c r="AA21" s="17">
        <v>379525</v>
      </c>
      <c r="AB21" s="17" t="s">
        <v>836</v>
      </c>
      <c r="AC21" s="89"/>
      <c r="AD21" s="73" t="s">
        <v>61</v>
      </c>
      <c r="AE21" s="73">
        <v>-1316.8</v>
      </c>
      <c r="AF21" s="73" t="s">
        <v>795</v>
      </c>
      <c r="AG21" s="73">
        <v>94483110000</v>
      </c>
      <c r="AH21" s="186" t="s">
        <v>803</v>
      </c>
    </row>
    <row r="22" spans="2:34" x14ac:dyDescent="0.35">
      <c r="B22" s="89" t="s">
        <v>5</v>
      </c>
      <c r="C22" s="96">
        <f t="shared" si="0"/>
        <v>18395.18</v>
      </c>
      <c r="D22" s="96">
        <f>M5</f>
        <v>0</v>
      </c>
      <c r="E22" s="96">
        <f>O9</f>
        <v>18395.18</v>
      </c>
      <c r="M22" s="89"/>
      <c r="N22" s="89"/>
      <c r="O22" s="89"/>
      <c r="P22" s="89"/>
      <c r="Q22" s="17" t="s">
        <v>71</v>
      </c>
      <c r="R22" s="17">
        <v>982.5</v>
      </c>
      <c r="S22" s="17" t="s">
        <v>5</v>
      </c>
      <c r="T22" s="17">
        <v>280431</v>
      </c>
      <c r="U22" s="17" t="s">
        <v>929</v>
      </c>
      <c r="W22" s="89"/>
      <c r="X22" s="17" t="s">
        <v>835</v>
      </c>
      <c r="Y22" s="17">
        <v>500</v>
      </c>
      <c r="Z22" s="17" t="s">
        <v>5</v>
      </c>
      <c r="AA22" s="17">
        <v>636791</v>
      </c>
      <c r="AB22" s="17" t="s">
        <v>837</v>
      </c>
      <c r="AC22" s="89"/>
      <c r="AD22" s="73" t="s">
        <v>762</v>
      </c>
      <c r="AE22" s="73">
        <v>-85</v>
      </c>
      <c r="AF22" s="73" t="s">
        <v>804</v>
      </c>
      <c r="AG22" s="73">
        <v>53407460000</v>
      </c>
      <c r="AH22" s="186" t="s">
        <v>805</v>
      </c>
    </row>
    <row r="23" spans="2:34" x14ac:dyDescent="0.35">
      <c r="B23" s="89" t="s">
        <v>296</v>
      </c>
      <c r="C23" s="96">
        <f>E23+D23</f>
        <v>104145.41</v>
      </c>
      <c r="D23" s="96">
        <f>AE3</f>
        <v>-14881.189999999999</v>
      </c>
      <c r="E23" s="96">
        <f>Y3</f>
        <v>119026.6</v>
      </c>
      <c r="M23" s="89"/>
      <c r="N23" s="89"/>
      <c r="O23" s="89"/>
      <c r="P23" s="89"/>
      <c r="Q23" s="17" t="s">
        <v>72</v>
      </c>
      <c r="R23" s="17">
        <v>811.54</v>
      </c>
      <c r="S23" s="17" t="s">
        <v>5</v>
      </c>
      <c r="T23" s="17">
        <v>1362518</v>
      </c>
      <c r="U23" s="17" t="s">
        <v>930</v>
      </c>
      <c r="W23" s="89"/>
      <c r="X23" s="17" t="s">
        <v>30</v>
      </c>
      <c r="Y23" s="17">
        <v>100</v>
      </c>
      <c r="Z23" s="17" t="s">
        <v>5</v>
      </c>
      <c r="AA23" s="17">
        <v>541168</v>
      </c>
      <c r="AB23" s="17" t="s">
        <v>824</v>
      </c>
      <c r="AC23" s="89"/>
      <c r="AD23" s="73" t="s">
        <v>65</v>
      </c>
      <c r="AE23" s="73">
        <v>-300</v>
      </c>
      <c r="AF23" s="73"/>
      <c r="AG23" s="73"/>
      <c r="AH23" s="73" t="s">
        <v>806</v>
      </c>
    </row>
    <row r="24" spans="2:34" x14ac:dyDescent="0.35">
      <c r="B24" s="92" t="s">
        <v>75</v>
      </c>
      <c r="C24" s="92"/>
      <c r="D24" s="194">
        <f>SUM(D3:D23)</f>
        <v>-1673707.9500000002</v>
      </c>
      <c r="E24" s="194">
        <f>SUM(E4:E23)</f>
        <v>2665208.3400000003</v>
      </c>
      <c r="F24" s="98"/>
      <c r="M24" s="89"/>
      <c r="N24" s="89"/>
      <c r="O24" s="89"/>
      <c r="P24" s="89"/>
      <c r="Q24" s="17" t="s">
        <v>74</v>
      </c>
      <c r="R24" s="17">
        <v>8031.84</v>
      </c>
      <c r="S24" s="17" t="s">
        <v>5</v>
      </c>
      <c r="T24" s="17">
        <v>708562</v>
      </c>
      <c r="U24" s="17" t="s">
        <v>931</v>
      </c>
      <c r="W24" s="89"/>
      <c r="X24" s="17" t="s">
        <v>505</v>
      </c>
      <c r="Y24" s="17">
        <v>500</v>
      </c>
      <c r="Z24" s="17" t="s">
        <v>5</v>
      </c>
      <c r="AA24" s="17">
        <v>566362</v>
      </c>
      <c r="AB24" s="17" t="s">
        <v>838</v>
      </c>
      <c r="AC24" s="89"/>
      <c r="AD24" s="73" t="s">
        <v>40</v>
      </c>
      <c r="AE24" s="73">
        <v>-210</v>
      </c>
      <c r="AF24" s="73" t="s">
        <v>5</v>
      </c>
      <c r="AG24" s="73"/>
      <c r="AH24" s="73" t="s">
        <v>807</v>
      </c>
    </row>
    <row r="25" spans="2:34" ht="29" x14ac:dyDescent="0.35">
      <c r="Q25" t="s">
        <v>74</v>
      </c>
      <c r="R25">
        <v>98.25</v>
      </c>
      <c r="S25" t="s">
        <v>5</v>
      </c>
      <c r="T25">
        <v>708536</v>
      </c>
      <c r="U25" t="s">
        <v>932</v>
      </c>
      <c r="X25" t="s">
        <v>839</v>
      </c>
      <c r="Y25">
        <v>2000</v>
      </c>
      <c r="Z25" t="s">
        <v>5</v>
      </c>
      <c r="AA25">
        <v>1909</v>
      </c>
      <c r="AB25" t="s">
        <v>840</v>
      </c>
      <c r="AD25" t="s">
        <v>37</v>
      </c>
      <c r="AE25">
        <v>-119</v>
      </c>
      <c r="AF25" t="s">
        <v>657</v>
      </c>
      <c r="AG25">
        <v>37873160000</v>
      </c>
      <c r="AH25" s="187" t="s">
        <v>808</v>
      </c>
    </row>
    <row r="26" spans="2:34" x14ac:dyDescent="0.35">
      <c r="D26" s="98"/>
      <c r="E26" s="98"/>
      <c r="Q26" t="s">
        <v>76</v>
      </c>
      <c r="R26">
        <v>393</v>
      </c>
      <c r="S26" t="s">
        <v>5</v>
      </c>
      <c r="T26">
        <v>1173563</v>
      </c>
      <c r="U26" t="s">
        <v>933</v>
      </c>
      <c r="X26" t="s">
        <v>839</v>
      </c>
      <c r="Y26">
        <v>500</v>
      </c>
      <c r="Z26" t="s">
        <v>5</v>
      </c>
      <c r="AB26" t="s">
        <v>841</v>
      </c>
      <c r="AD26" t="s">
        <v>29</v>
      </c>
      <c r="AE26">
        <v>-52.5</v>
      </c>
      <c r="AH26" t="s">
        <v>809</v>
      </c>
    </row>
    <row r="27" spans="2:34" x14ac:dyDescent="0.35">
      <c r="B27" s="195" t="s">
        <v>80</v>
      </c>
      <c r="C27" s="196">
        <f>SUM(C2:C23)</f>
        <v>1034148.3900000004</v>
      </c>
      <c r="Q27" t="s">
        <v>64</v>
      </c>
      <c r="R27">
        <v>108.07</v>
      </c>
      <c r="S27" t="s">
        <v>5</v>
      </c>
      <c r="T27">
        <v>125521</v>
      </c>
      <c r="U27" t="s">
        <v>934</v>
      </c>
      <c r="X27" t="s">
        <v>500</v>
      </c>
      <c r="Y27">
        <v>500</v>
      </c>
      <c r="Z27" t="s">
        <v>5</v>
      </c>
      <c r="AA27">
        <v>248</v>
      </c>
      <c r="AB27" t="s">
        <v>795</v>
      </c>
      <c r="AD27" t="s">
        <v>29</v>
      </c>
      <c r="AE27">
        <v>-11.9</v>
      </c>
      <c r="AH27" t="s">
        <v>810</v>
      </c>
    </row>
    <row r="28" spans="2:34" x14ac:dyDescent="0.35">
      <c r="B28" s="195" t="s">
        <v>81</v>
      </c>
      <c r="C28" s="195">
        <v>1075539</v>
      </c>
      <c r="Q28" t="s">
        <v>55</v>
      </c>
      <c r="R28">
        <v>294.75</v>
      </c>
      <c r="S28" t="s">
        <v>5</v>
      </c>
      <c r="T28">
        <v>1535172</v>
      </c>
      <c r="U28" t="s">
        <v>935</v>
      </c>
      <c r="X28" t="s">
        <v>784</v>
      </c>
      <c r="Y28">
        <v>500</v>
      </c>
      <c r="Z28" t="s">
        <v>5</v>
      </c>
      <c r="AA28">
        <v>740368</v>
      </c>
      <c r="AB28" t="s">
        <v>842</v>
      </c>
      <c r="AD28" t="s">
        <v>73</v>
      </c>
      <c r="AE28">
        <v>-158.4</v>
      </c>
      <c r="AH28" t="s">
        <v>811</v>
      </c>
    </row>
    <row r="29" spans="2:34" x14ac:dyDescent="0.35">
      <c r="B29" s="195" t="s">
        <v>83</v>
      </c>
      <c r="C29" s="197">
        <f>C28-C27</f>
        <v>41390.609999999637</v>
      </c>
      <c r="Q29" t="s">
        <v>505</v>
      </c>
      <c r="R29">
        <v>7.86</v>
      </c>
      <c r="S29" t="s">
        <v>5</v>
      </c>
      <c r="T29">
        <v>1485174</v>
      </c>
      <c r="U29" t="s">
        <v>936</v>
      </c>
      <c r="X29" t="s">
        <v>55</v>
      </c>
      <c r="Y29">
        <v>2200</v>
      </c>
      <c r="Z29" t="s">
        <v>5</v>
      </c>
      <c r="AA29">
        <v>880026</v>
      </c>
      <c r="AB29" t="s">
        <v>843</v>
      </c>
      <c r="AD29" t="s">
        <v>73</v>
      </c>
      <c r="AE29">
        <v>-63</v>
      </c>
      <c r="AH29" t="s">
        <v>812</v>
      </c>
    </row>
    <row r="30" spans="2:34" x14ac:dyDescent="0.35">
      <c r="Q30" t="s">
        <v>30</v>
      </c>
      <c r="R30">
        <v>294.75</v>
      </c>
      <c r="S30" t="s">
        <v>5</v>
      </c>
      <c r="T30">
        <v>1296400</v>
      </c>
      <c r="U30" t="s">
        <v>937</v>
      </c>
      <c r="X30" t="s">
        <v>779</v>
      </c>
      <c r="Y30">
        <v>500</v>
      </c>
      <c r="Z30" t="s">
        <v>5</v>
      </c>
      <c r="AA30">
        <v>384562</v>
      </c>
      <c r="AB30" t="s">
        <v>824</v>
      </c>
      <c r="AD30" t="s">
        <v>73</v>
      </c>
      <c r="AE30">
        <v>-52.5</v>
      </c>
      <c r="AH30" t="s">
        <v>809</v>
      </c>
    </row>
    <row r="31" spans="2:34" x14ac:dyDescent="0.35">
      <c r="Q31" t="s">
        <v>82</v>
      </c>
      <c r="R31">
        <v>294.74</v>
      </c>
      <c r="S31" t="s">
        <v>5</v>
      </c>
      <c r="T31">
        <v>192719</v>
      </c>
      <c r="U31" t="s">
        <v>938</v>
      </c>
      <c r="X31" t="s">
        <v>777</v>
      </c>
      <c r="Y31">
        <v>500</v>
      </c>
      <c r="Z31" t="s">
        <v>5</v>
      </c>
      <c r="AA31">
        <v>348695</v>
      </c>
      <c r="AB31" t="s">
        <v>844</v>
      </c>
      <c r="AD31" t="s">
        <v>73</v>
      </c>
      <c r="AE31">
        <v>-1.3</v>
      </c>
      <c r="AH31" t="s">
        <v>813</v>
      </c>
    </row>
    <row r="32" spans="2:34" x14ac:dyDescent="0.35">
      <c r="X32" t="s">
        <v>498</v>
      </c>
      <c r="Y32">
        <v>60</v>
      </c>
      <c r="Z32" t="s">
        <v>5</v>
      </c>
      <c r="AB32" t="s">
        <v>845</v>
      </c>
      <c r="AD32" t="s">
        <v>77</v>
      </c>
      <c r="AE32">
        <v>-52.5</v>
      </c>
      <c r="AH32" t="s">
        <v>809</v>
      </c>
    </row>
    <row r="33" spans="24:34" x14ac:dyDescent="0.35">
      <c r="X33" t="s">
        <v>498</v>
      </c>
      <c r="Y33">
        <v>500</v>
      </c>
      <c r="Z33" t="s">
        <v>5</v>
      </c>
      <c r="AA33">
        <v>145604</v>
      </c>
      <c r="AB33" t="s">
        <v>846</v>
      </c>
      <c r="AD33" t="s">
        <v>79</v>
      </c>
      <c r="AE33">
        <v>-2064</v>
      </c>
      <c r="AH33" t="s">
        <v>814</v>
      </c>
    </row>
    <row r="34" spans="24:34" x14ac:dyDescent="0.35">
      <c r="X34" t="s">
        <v>498</v>
      </c>
      <c r="Y34">
        <v>500</v>
      </c>
      <c r="Z34" t="s">
        <v>5</v>
      </c>
      <c r="AA34">
        <v>3199650684</v>
      </c>
      <c r="AB34" t="s">
        <v>847</v>
      </c>
      <c r="AD34" t="s">
        <v>79</v>
      </c>
      <c r="AE34">
        <v>-52.5</v>
      </c>
      <c r="AH34" t="s">
        <v>809</v>
      </c>
    </row>
    <row r="35" spans="24:34" x14ac:dyDescent="0.35">
      <c r="X35" t="s">
        <v>31</v>
      </c>
      <c r="Y35">
        <v>263.7</v>
      </c>
      <c r="Z35" t="s">
        <v>5</v>
      </c>
      <c r="AB35" t="s">
        <v>848</v>
      </c>
      <c r="AD35" t="s">
        <v>79</v>
      </c>
      <c r="AE35">
        <v>-31.5</v>
      </c>
      <c r="AH35" t="s">
        <v>815</v>
      </c>
    </row>
    <row r="36" spans="24:34" x14ac:dyDescent="0.35">
      <c r="X36" t="s">
        <v>490</v>
      </c>
      <c r="Y36">
        <v>500</v>
      </c>
      <c r="Z36" t="s">
        <v>5</v>
      </c>
      <c r="AA36">
        <v>3209895514</v>
      </c>
      <c r="AB36" t="s">
        <v>849</v>
      </c>
      <c r="AD36" t="s">
        <v>79</v>
      </c>
      <c r="AE36">
        <v>-2.1</v>
      </c>
      <c r="AH36" t="s">
        <v>816</v>
      </c>
    </row>
    <row r="37" spans="24:34" x14ac:dyDescent="0.35">
      <c r="X37" t="s">
        <v>693</v>
      </c>
      <c r="Y37">
        <v>500</v>
      </c>
      <c r="Z37" t="s">
        <v>5</v>
      </c>
      <c r="AA37">
        <v>607991</v>
      </c>
      <c r="AB37" t="s">
        <v>824</v>
      </c>
      <c r="AD37" t="s">
        <v>79</v>
      </c>
      <c r="AE37">
        <v>-1.9</v>
      </c>
      <c r="AH37" t="s">
        <v>817</v>
      </c>
    </row>
    <row r="38" spans="24:34" x14ac:dyDescent="0.35">
      <c r="X38" t="s">
        <v>78</v>
      </c>
      <c r="Y38">
        <v>68.77</v>
      </c>
      <c r="Z38" t="s">
        <v>5</v>
      </c>
      <c r="AA38">
        <v>254875</v>
      </c>
      <c r="AB38" t="s">
        <v>850</v>
      </c>
      <c r="AD38" t="s">
        <v>818</v>
      </c>
      <c r="AE38">
        <v>-52.5</v>
      </c>
      <c r="AH38" t="s">
        <v>809</v>
      </c>
    </row>
    <row r="39" spans="24:34" x14ac:dyDescent="0.35">
      <c r="X39" t="s">
        <v>765</v>
      </c>
      <c r="Y39">
        <v>15719.71</v>
      </c>
      <c r="Z39" t="s">
        <v>5</v>
      </c>
      <c r="AA39">
        <v>464617</v>
      </c>
      <c r="AB39" t="s">
        <v>851</v>
      </c>
      <c r="AD39" t="s">
        <v>818</v>
      </c>
      <c r="AE39">
        <v>-21</v>
      </c>
      <c r="AH39" t="s">
        <v>819</v>
      </c>
    </row>
    <row r="40" spans="24:34" x14ac:dyDescent="0.35">
      <c r="X40" t="s">
        <v>800</v>
      </c>
      <c r="Y40">
        <v>120.79</v>
      </c>
      <c r="AA40">
        <v>556903</v>
      </c>
      <c r="AB40" t="s">
        <v>852</v>
      </c>
      <c r="AD40" t="s">
        <v>818</v>
      </c>
      <c r="AE40">
        <v>-14.4</v>
      </c>
      <c r="AH40" t="s">
        <v>820</v>
      </c>
    </row>
    <row r="41" spans="24:34" x14ac:dyDescent="0.35">
      <c r="X41" t="s">
        <v>84</v>
      </c>
      <c r="Y41">
        <v>500</v>
      </c>
      <c r="Z41" t="s">
        <v>5</v>
      </c>
      <c r="AA41">
        <v>754077</v>
      </c>
      <c r="AB41" t="s">
        <v>824</v>
      </c>
      <c r="AD41" t="s">
        <v>818</v>
      </c>
      <c r="AE41">
        <v>-4.2</v>
      </c>
      <c r="AH41" t="s">
        <v>821</v>
      </c>
    </row>
    <row r="42" spans="24:34" x14ac:dyDescent="0.35">
      <c r="X42" t="s">
        <v>84</v>
      </c>
      <c r="Y42">
        <v>500</v>
      </c>
      <c r="Z42" t="s">
        <v>5</v>
      </c>
      <c r="AA42">
        <v>877140</v>
      </c>
      <c r="AB42" t="s">
        <v>853</v>
      </c>
      <c r="AD42" t="s">
        <v>818</v>
      </c>
      <c r="AE42">
        <v>-0.9</v>
      </c>
      <c r="AH42" t="s">
        <v>822</v>
      </c>
    </row>
    <row r="43" spans="24:34" x14ac:dyDescent="0.35">
      <c r="X43" t="s">
        <v>84</v>
      </c>
      <c r="Y43">
        <v>500</v>
      </c>
      <c r="Z43" t="s">
        <v>5</v>
      </c>
      <c r="AA43">
        <v>652265</v>
      </c>
      <c r="AB43" t="s">
        <v>854</v>
      </c>
    </row>
    <row r="44" spans="24:34" x14ac:dyDescent="0.35">
      <c r="X44" t="s">
        <v>84</v>
      </c>
      <c r="Y44">
        <v>500</v>
      </c>
      <c r="Z44" t="s">
        <v>5</v>
      </c>
      <c r="AA44">
        <v>858422</v>
      </c>
      <c r="AB44" t="s">
        <v>855</v>
      </c>
    </row>
    <row r="45" spans="24:34" x14ac:dyDescent="0.35">
      <c r="X45" t="s">
        <v>84</v>
      </c>
      <c r="Y45">
        <v>500</v>
      </c>
      <c r="Z45" t="s">
        <v>5</v>
      </c>
      <c r="AA45">
        <v>284386</v>
      </c>
      <c r="AB45" t="s">
        <v>824</v>
      </c>
    </row>
    <row r="46" spans="24:34" x14ac:dyDescent="0.35">
      <c r="X46" t="s">
        <v>84</v>
      </c>
      <c r="Y46">
        <v>500</v>
      </c>
      <c r="Z46" t="s">
        <v>5</v>
      </c>
      <c r="AA46">
        <v>563865</v>
      </c>
      <c r="AB46" t="s">
        <v>856</v>
      </c>
    </row>
    <row r="47" spans="24:34" x14ac:dyDescent="0.35">
      <c r="X47" t="s">
        <v>84</v>
      </c>
      <c r="Y47">
        <v>500</v>
      </c>
      <c r="Z47" t="s">
        <v>5</v>
      </c>
      <c r="AA47">
        <v>536579</v>
      </c>
      <c r="AB47" t="s">
        <v>857</v>
      </c>
    </row>
    <row r="48" spans="24:34" x14ac:dyDescent="0.35">
      <c r="X48" t="s">
        <v>84</v>
      </c>
      <c r="Y48">
        <v>500</v>
      </c>
      <c r="Z48" t="s">
        <v>5</v>
      </c>
      <c r="AA48">
        <v>526561</v>
      </c>
      <c r="AB48" t="s">
        <v>825</v>
      </c>
    </row>
    <row r="49" spans="24:28" x14ac:dyDescent="0.35">
      <c r="X49" t="s">
        <v>84</v>
      </c>
      <c r="Y49">
        <v>500</v>
      </c>
      <c r="Z49" t="s">
        <v>5</v>
      </c>
      <c r="AA49">
        <v>318302</v>
      </c>
      <c r="AB49" t="s">
        <v>834</v>
      </c>
    </row>
    <row r="50" spans="24:28" x14ac:dyDescent="0.35">
      <c r="X50" t="s">
        <v>85</v>
      </c>
      <c r="Y50">
        <v>500</v>
      </c>
      <c r="Z50" t="s">
        <v>5</v>
      </c>
      <c r="AA50">
        <v>173466</v>
      </c>
      <c r="AB50" t="s">
        <v>834</v>
      </c>
    </row>
    <row r="51" spans="24:28" x14ac:dyDescent="0.35">
      <c r="X51" t="s">
        <v>85</v>
      </c>
      <c r="Y51">
        <v>500</v>
      </c>
      <c r="Z51" t="s">
        <v>5</v>
      </c>
      <c r="AA51">
        <v>1295</v>
      </c>
      <c r="AB51" t="s">
        <v>858</v>
      </c>
    </row>
    <row r="52" spans="24:28" x14ac:dyDescent="0.35">
      <c r="X52" t="s">
        <v>85</v>
      </c>
      <c r="Y52">
        <v>500</v>
      </c>
      <c r="Z52" t="s">
        <v>5</v>
      </c>
      <c r="AA52">
        <v>608580</v>
      </c>
      <c r="AB52" t="s">
        <v>859</v>
      </c>
    </row>
    <row r="53" spans="24:28" x14ac:dyDescent="0.35">
      <c r="X53" t="s">
        <v>85</v>
      </c>
      <c r="Y53">
        <v>500</v>
      </c>
      <c r="Z53" t="s">
        <v>5</v>
      </c>
      <c r="AA53">
        <v>611</v>
      </c>
      <c r="AB53" t="s">
        <v>860</v>
      </c>
    </row>
    <row r="54" spans="24:28" x14ac:dyDescent="0.35">
      <c r="X54" t="s">
        <v>85</v>
      </c>
      <c r="Y54">
        <v>1000</v>
      </c>
      <c r="Z54" t="s">
        <v>5</v>
      </c>
      <c r="AA54">
        <v>851368</v>
      </c>
      <c r="AB54" t="s">
        <v>861</v>
      </c>
    </row>
    <row r="55" spans="24:28" x14ac:dyDescent="0.35">
      <c r="X55" t="s">
        <v>85</v>
      </c>
      <c r="Y55">
        <v>500</v>
      </c>
      <c r="Z55" t="s">
        <v>5</v>
      </c>
      <c r="AA55">
        <v>646016</v>
      </c>
      <c r="AB55" t="s">
        <v>824</v>
      </c>
    </row>
    <row r="56" spans="24:28" x14ac:dyDescent="0.35">
      <c r="X56" t="s">
        <v>85</v>
      </c>
      <c r="Y56">
        <v>500</v>
      </c>
      <c r="Z56" t="s">
        <v>5</v>
      </c>
      <c r="AA56">
        <v>175340</v>
      </c>
      <c r="AB56" t="s">
        <v>824</v>
      </c>
    </row>
    <row r="57" spans="24:28" x14ac:dyDescent="0.35">
      <c r="X57" t="s">
        <v>85</v>
      </c>
      <c r="Y57">
        <v>500</v>
      </c>
      <c r="Z57" t="s">
        <v>5</v>
      </c>
      <c r="AA57">
        <v>432165</v>
      </c>
      <c r="AB57" t="s">
        <v>824</v>
      </c>
    </row>
    <row r="58" spans="24:28" x14ac:dyDescent="0.35">
      <c r="X58" t="s">
        <v>85</v>
      </c>
      <c r="Y58">
        <v>500</v>
      </c>
      <c r="Z58" t="s">
        <v>5</v>
      </c>
      <c r="AA58">
        <v>3159040156</v>
      </c>
      <c r="AB58" t="s">
        <v>862</v>
      </c>
    </row>
    <row r="59" spans="24:28" x14ac:dyDescent="0.35">
      <c r="X59" t="s">
        <v>85</v>
      </c>
      <c r="Y59">
        <v>500</v>
      </c>
      <c r="Z59" t="s">
        <v>5</v>
      </c>
      <c r="AA59">
        <v>476075</v>
      </c>
      <c r="AB59" t="s">
        <v>824</v>
      </c>
    </row>
    <row r="60" spans="24:28" x14ac:dyDescent="0.35">
      <c r="X60" t="s">
        <v>85</v>
      </c>
      <c r="Y60">
        <v>500</v>
      </c>
      <c r="Z60" t="s">
        <v>5</v>
      </c>
      <c r="AA60">
        <v>318475</v>
      </c>
      <c r="AB60" t="s">
        <v>824</v>
      </c>
    </row>
    <row r="61" spans="24:28" x14ac:dyDescent="0.35">
      <c r="X61" t="s">
        <v>85</v>
      </c>
      <c r="Y61">
        <v>500</v>
      </c>
      <c r="Z61" t="s">
        <v>5</v>
      </c>
      <c r="AA61">
        <v>392193</v>
      </c>
      <c r="AB61" t="s">
        <v>824</v>
      </c>
    </row>
    <row r="62" spans="24:28" x14ac:dyDescent="0.35">
      <c r="X62" t="s">
        <v>85</v>
      </c>
      <c r="Y62">
        <v>500</v>
      </c>
      <c r="Z62" t="s">
        <v>5</v>
      </c>
      <c r="AA62">
        <v>1925</v>
      </c>
      <c r="AB62" t="s">
        <v>863</v>
      </c>
    </row>
    <row r="63" spans="24:28" x14ac:dyDescent="0.35">
      <c r="X63" t="s">
        <v>85</v>
      </c>
      <c r="Y63">
        <v>1500</v>
      </c>
      <c r="Z63" t="s">
        <v>5</v>
      </c>
      <c r="AA63">
        <v>395262</v>
      </c>
      <c r="AB63" t="s">
        <v>864</v>
      </c>
    </row>
    <row r="64" spans="24:28" x14ac:dyDescent="0.35">
      <c r="X64" t="s">
        <v>85</v>
      </c>
      <c r="Y64">
        <v>500</v>
      </c>
      <c r="Z64" t="s">
        <v>5</v>
      </c>
      <c r="AA64">
        <v>3159558502</v>
      </c>
      <c r="AB64" t="s">
        <v>865</v>
      </c>
    </row>
    <row r="65" spans="24:28" x14ac:dyDescent="0.35">
      <c r="X65" t="s">
        <v>85</v>
      </c>
      <c r="Y65">
        <v>500</v>
      </c>
      <c r="Z65" t="s">
        <v>5</v>
      </c>
      <c r="AA65">
        <v>188213</v>
      </c>
      <c r="AB65" t="s">
        <v>824</v>
      </c>
    </row>
    <row r="66" spans="24:28" x14ac:dyDescent="0.35">
      <c r="X66" t="s">
        <v>85</v>
      </c>
      <c r="Y66">
        <v>500</v>
      </c>
      <c r="Z66" t="s">
        <v>5</v>
      </c>
      <c r="AA66">
        <v>3</v>
      </c>
      <c r="AB66" t="s">
        <v>795</v>
      </c>
    </row>
    <row r="67" spans="24:28" x14ac:dyDescent="0.35">
      <c r="X67" t="s">
        <v>85</v>
      </c>
      <c r="Y67">
        <v>500</v>
      </c>
      <c r="Z67" t="s">
        <v>5</v>
      </c>
      <c r="AA67">
        <v>3158958297</v>
      </c>
      <c r="AB67" t="s">
        <v>866</v>
      </c>
    </row>
    <row r="68" spans="24:28" x14ac:dyDescent="0.35">
      <c r="X68" t="s">
        <v>85</v>
      </c>
      <c r="Y68">
        <v>500</v>
      </c>
      <c r="Z68" t="s">
        <v>5</v>
      </c>
      <c r="AA68">
        <v>3</v>
      </c>
      <c r="AB68" t="s">
        <v>795</v>
      </c>
    </row>
    <row r="69" spans="24:28" x14ac:dyDescent="0.35">
      <c r="X69" t="s">
        <v>85</v>
      </c>
      <c r="Y69">
        <v>500</v>
      </c>
      <c r="Z69" t="s">
        <v>5</v>
      </c>
      <c r="AA69">
        <v>462000</v>
      </c>
      <c r="AB69" t="s">
        <v>842</v>
      </c>
    </row>
    <row r="70" spans="24:28" x14ac:dyDescent="0.35">
      <c r="X70" t="s">
        <v>85</v>
      </c>
      <c r="Y70">
        <v>500</v>
      </c>
      <c r="Z70" t="s">
        <v>5</v>
      </c>
      <c r="AA70">
        <v>384118</v>
      </c>
      <c r="AB70" t="s">
        <v>867</v>
      </c>
    </row>
    <row r="71" spans="24:28" x14ac:dyDescent="0.35">
      <c r="X71" t="s">
        <v>85</v>
      </c>
      <c r="Y71">
        <v>500</v>
      </c>
      <c r="Z71" t="s">
        <v>5</v>
      </c>
      <c r="AA71">
        <v>337153</v>
      </c>
      <c r="AB71" t="s">
        <v>868</v>
      </c>
    </row>
    <row r="72" spans="24:28" x14ac:dyDescent="0.35">
      <c r="X72" t="s">
        <v>86</v>
      </c>
      <c r="Y72">
        <v>500</v>
      </c>
      <c r="Z72" t="s">
        <v>5</v>
      </c>
      <c r="AA72">
        <v>6615</v>
      </c>
      <c r="AB72" t="s">
        <v>795</v>
      </c>
    </row>
    <row r="73" spans="24:28" x14ac:dyDescent="0.35">
      <c r="X73" t="s">
        <v>86</v>
      </c>
      <c r="Y73">
        <v>500</v>
      </c>
      <c r="Z73" t="s">
        <v>5</v>
      </c>
      <c r="AA73">
        <v>197718</v>
      </c>
      <c r="AB73" t="s">
        <v>869</v>
      </c>
    </row>
    <row r="74" spans="24:28" x14ac:dyDescent="0.35">
      <c r="X74" t="s">
        <v>86</v>
      </c>
      <c r="Y74">
        <v>1000</v>
      </c>
      <c r="Z74" t="s">
        <v>5</v>
      </c>
      <c r="AA74">
        <v>3919</v>
      </c>
      <c r="AB74" t="s">
        <v>870</v>
      </c>
    </row>
    <row r="75" spans="24:28" x14ac:dyDescent="0.35">
      <c r="X75" t="s">
        <v>86</v>
      </c>
      <c r="Y75">
        <v>500</v>
      </c>
      <c r="Z75" t="s">
        <v>5</v>
      </c>
      <c r="AA75">
        <v>3161529003</v>
      </c>
      <c r="AB75" t="s">
        <v>871</v>
      </c>
    </row>
    <row r="76" spans="24:28" x14ac:dyDescent="0.35">
      <c r="X76" t="s">
        <v>86</v>
      </c>
      <c r="Y76">
        <v>500</v>
      </c>
      <c r="Z76" t="s">
        <v>5</v>
      </c>
      <c r="AA76">
        <v>943803</v>
      </c>
      <c r="AB76" t="s">
        <v>824</v>
      </c>
    </row>
    <row r="77" spans="24:28" x14ac:dyDescent="0.35">
      <c r="X77" t="s">
        <v>86</v>
      </c>
      <c r="Y77">
        <v>500</v>
      </c>
      <c r="Z77" t="s">
        <v>5</v>
      </c>
      <c r="AA77">
        <v>593</v>
      </c>
      <c r="AB77" t="s">
        <v>862</v>
      </c>
    </row>
    <row r="78" spans="24:28" x14ac:dyDescent="0.35">
      <c r="X78" t="s">
        <v>86</v>
      </c>
      <c r="Y78">
        <v>500</v>
      </c>
      <c r="Z78" t="s">
        <v>5</v>
      </c>
      <c r="AA78">
        <v>201</v>
      </c>
      <c r="AB78" t="s">
        <v>795</v>
      </c>
    </row>
    <row r="79" spans="24:28" x14ac:dyDescent="0.35">
      <c r="X79" t="s">
        <v>86</v>
      </c>
      <c r="Y79">
        <v>500</v>
      </c>
      <c r="Z79" t="s">
        <v>5</v>
      </c>
      <c r="AA79">
        <v>764761</v>
      </c>
      <c r="AB79" t="s">
        <v>872</v>
      </c>
    </row>
    <row r="80" spans="24:28" x14ac:dyDescent="0.35">
      <c r="X80" t="s">
        <v>86</v>
      </c>
      <c r="Y80">
        <v>500</v>
      </c>
      <c r="Z80" t="s">
        <v>5</v>
      </c>
      <c r="AA80">
        <v>680286</v>
      </c>
      <c r="AB80" t="s">
        <v>873</v>
      </c>
    </row>
    <row r="81" spans="24:28" x14ac:dyDescent="0.35">
      <c r="X81" t="s">
        <v>52</v>
      </c>
      <c r="Y81">
        <v>1250</v>
      </c>
      <c r="Z81" t="s">
        <v>5</v>
      </c>
      <c r="AA81">
        <v>202</v>
      </c>
      <c r="AB81" t="s">
        <v>51</v>
      </c>
    </row>
    <row r="82" spans="24:28" x14ac:dyDescent="0.35">
      <c r="X82" t="s">
        <v>52</v>
      </c>
      <c r="Y82">
        <v>85</v>
      </c>
      <c r="Z82" t="s">
        <v>5</v>
      </c>
      <c r="AA82">
        <v>969655</v>
      </c>
      <c r="AB82" t="s">
        <v>874</v>
      </c>
    </row>
    <row r="83" spans="24:28" x14ac:dyDescent="0.35">
      <c r="X83" t="s">
        <v>52</v>
      </c>
      <c r="Y83">
        <v>2720</v>
      </c>
      <c r="Z83" t="s">
        <v>5</v>
      </c>
      <c r="AA83">
        <v>878329</v>
      </c>
      <c r="AB83">
        <v>16741620661</v>
      </c>
    </row>
    <row r="84" spans="24:28" x14ac:dyDescent="0.35">
      <c r="X84" t="s">
        <v>52</v>
      </c>
      <c r="Y84">
        <v>200</v>
      </c>
      <c r="Z84" t="s">
        <v>5</v>
      </c>
      <c r="AA84">
        <v>159950</v>
      </c>
      <c r="AB84" t="s">
        <v>824</v>
      </c>
    </row>
    <row r="85" spans="24:28" x14ac:dyDescent="0.35">
      <c r="X85" t="s">
        <v>52</v>
      </c>
      <c r="Y85">
        <v>26</v>
      </c>
      <c r="Z85" t="s">
        <v>5</v>
      </c>
      <c r="AA85">
        <v>112621</v>
      </c>
      <c r="AB85">
        <v>167400609126</v>
      </c>
    </row>
    <row r="86" spans="24:28" x14ac:dyDescent="0.35">
      <c r="X86" t="s">
        <v>52</v>
      </c>
      <c r="Y86">
        <v>220</v>
      </c>
      <c r="Z86" t="s">
        <v>5</v>
      </c>
      <c r="AA86">
        <v>833661</v>
      </c>
      <c r="AB86" t="s">
        <v>824</v>
      </c>
    </row>
    <row r="87" spans="24:28" x14ac:dyDescent="0.35">
      <c r="X87" t="s">
        <v>52</v>
      </c>
      <c r="Y87">
        <v>200</v>
      </c>
      <c r="Z87" t="s">
        <v>5</v>
      </c>
      <c r="AA87">
        <v>101760</v>
      </c>
      <c r="AB87" t="s">
        <v>875</v>
      </c>
    </row>
    <row r="88" spans="24:28" x14ac:dyDescent="0.35">
      <c r="X88" t="s">
        <v>52</v>
      </c>
      <c r="Y88">
        <v>200</v>
      </c>
      <c r="Z88" t="s">
        <v>5</v>
      </c>
      <c r="AA88">
        <v>377693</v>
      </c>
      <c r="AB88" t="s">
        <v>876</v>
      </c>
    </row>
    <row r="89" spans="24:28" x14ac:dyDescent="0.35">
      <c r="X89" t="s">
        <v>52</v>
      </c>
      <c r="Y89">
        <v>200</v>
      </c>
      <c r="Z89" t="s">
        <v>5</v>
      </c>
      <c r="AA89">
        <v>907111</v>
      </c>
      <c r="AB89" t="s">
        <v>877</v>
      </c>
    </row>
    <row r="90" spans="24:28" x14ac:dyDescent="0.35">
      <c r="X90" t="s">
        <v>52</v>
      </c>
      <c r="Y90">
        <v>360</v>
      </c>
      <c r="Z90" t="s">
        <v>5</v>
      </c>
      <c r="AA90">
        <v>239115</v>
      </c>
      <c r="AB90">
        <v>16741696964</v>
      </c>
    </row>
    <row r="91" spans="24:28" x14ac:dyDescent="0.35">
      <c r="X91" t="s">
        <v>52</v>
      </c>
      <c r="Y91">
        <v>100</v>
      </c>
      <c r="Z91" t="s">
        <v>5</v>
      </c>
      <c r="AA91">
        <v>1964</v>
      </c>
      <c r="AB91" t="s">
        <v>795</v>
      </c>
    </row>
    <row r="92" spans="24:28" x14ac:dyDescent="0.35">
      <c r="X92" t="s">
        <v>52</v>
      </c>
      <c r="Y92">
        <v>200</v>
      </c>
      <c r="Z92" t="s">
        <v>5</v>
      </c>
      <c r="AA92">
        <v>4604</v>
      </c>
      <c r="AB92">
        <v>167992060993</v>
      </c>
    </row>
    <row r="93" spans="24:28" x14ac:dyDescent="0.35">
      <c r="X93" t="s">
        <v>52</v>
      </c>
      <c r="Y93">
        <v>200</v>
      </c>
      <c r="Z93" t="s">
        <v>5</v>
      </c>
      <c r="AA93">
        <v>3097044239</v>
      </c>
      <c r="AB93">
        <v>16795923910</v>
      </c>
    </row>
    <row r="94" spans="24:28" x14ac:dyDescent="0.35">
      <c r="X94" t="s">
        <v>87</v>
      </c>
      <c r="Y94">
        <v>500</v>
      </c>
      <c r="Z94" t="s">
        <v>5</v>
      </c>
      <c r="AA94">
        <v>445296</v>
      </c>
      <c r="AB94" t="s">
        <v>878</v>
      </c>
    </row>
    <row r="95" spans="24:28" x14ac:dyDescent="0.35">
      <c r="X95" t="s">
        <v>87</v>
      </c>
      <c r="Y95">
        <v>500</v>
      </c>
      <c r="Z95" t="s">
        <v>5</v>
      </c>
      <c r="AA95">
        <v>1388</v>
      </c>
      <c r="AB95" t="s">
        <v>879</v>
      </c>
    </row>
    <row r="96" spans="24:28" x14ac:dyDescent="0.35">
      <c r="X96" t="s">
        <v>87</v>
      </c>
      <c r="Y96">
        <v>500</v>
      </c>
      <c r="Z96" t="s">
        <v>5</v>
      </c>
      <c r="AA96">
        <v>679823</v>
      </c>
      <c r="AB96" t="s">
        <v>880</v>
      </c>
    </row>
    <row r="97" spans="24:28" x14ac:dyDescent="0.35">
      <c r="X97" t="s">
        <v>87</v>
      </c>
      <c r="Y97">
        <v>500</v>
      </c>
      <c r="Z97" t="s">
        <v>5</v>
      </c>
      <c r="AA97">
        <v>777406</v>
      </c>
      <c r="AB97" t="s">
        <v>824</v>
      </c>
    </row>
    <row r="98" spans="24:28" x14ac:dyDescent="0.35">
      <c r="X98" t="s">
        <v>87</v>
      </c>
      <c r="Y98">
        <v>500</v>
      </c>
      <c r="Z98" t="s">
        <v>5</v>
      </c>
      <c r="AA98">
        <v>655244</v>
      </c>
      <c r="AB98" t="s">
        <v>824</v>
      </c>
    </row>
    <row r="99" spans="24:28" x14ac:dyDescent="0.35">
      <c r="X99" t="s">
        <v>87</v>
      </c>
      <c r="Y99">
        <v>500</v>
      </c>
      <c r="Z99" t="s">
        <v>5</v>
      </c>
      <c r="AA99">
        <v>538832</v>
      </c>
      <c r="AB99" t="s">
        <v>881</v>
      </c>
    </row>
    <row r="100" spans="24:28" x14ac:dyDescent="0.35">
      <c r="X100" t="s">
        <v>87</v>
      </c>
      <c r="Y100">
        <v>1000</v>
      </c>
      <c r="Z100" t="s">
        <v>5</v>
      </c>
      <c r="AA100">
        <v>221263</v>
      </c>
      <c r="AB100" t="s">
        <v>882</v>
      </c>
    </row>
    <row r="101" spans="24:28" x14ac:dyDescent="0.35">
      <c r="X101" t="s">
        <v>87</v>
      </c>
      <c r="Y101">
        <v>500</v>
      </c>
      <c r="Z101" t="s">
        <v>5</v>
      </c>
      <c r="AA101">
        <v>120302</v>
      </c>
      <c r="AB101" t="s">
        <v>824</v>
      </c>
    </row>
    <row r="102" spans="24:28" x14ac:dyDescent="0.35">
      <c r="X102" t="s">
        <v>88</v>
      </c>
      <c r="Y102">
        <v>500</v>
      </c>
      <c r="Z102" t="s">
        <v>5</v>
      </c>
      <c r="AA102">
        <v>3097303040</v>
      </c>
      <c r="AB102">
        <v>197909859875</v>
      </c>
    </row>
    <row r="103" spans="24:28" x14ac:dyDescent="0.35">
      <c r="X103" t="s">
        <v>88</v>
      </c>
      <c r="Y103">
        <v>100</v>
      </c>
      <c r="Z103" t="s">
        <v>5</v>
      </c>
      <c r="AA103">
        <v>683</v>
      </c>
      <c r="AB103">
        <v>167453731041</v>
      </c>
    </row>
    <row r="104" spans="24:28" x14ac:dyDescent="0.35">
      <c r="X104" t="s">
        <v>61</v>
      </c>
      <c r="Y104">
        <v>1200</v>
      </c>
      <c r="Z104" t="s">
        <v>5</v>
      </c>
      <c r="AA104">
        <v>385738</v>
      </c>
      <c r="AB104">
        <v>16791175512</v>
      </c>
    </row>
    <row r="105" spans="24:28" x14ac:dyDescent="0.35">
      <c r="X105" t="s">
        <v>61</v>
      </c>
      <c r="Y105">
        <v>30</v>
      </c>
      <c r="Z105" t="s">
        <v>5</v>
      </c>
      <c r="AA105">
        <v>315575</v>
      </c>
      <c r="AB105" t="s">
        <v>824</v>
      </c>
    </row>
    <row r="106" spans="24:28" x14ac:dyDescent="0.35">
      <c r="X106" t="s">
        <v>61</v>
      </c>
      <c r="Y106">
        <v>300</v>
      </c>
      <c r="Z106" t="s">
        <v>5</v>
      </c>
      <c r="AA106">
        <v>3319</v>
      </c>
      <c r="AB106" t="s">
        <v>795</v>
      </c>
    </row>
    <row r="107" spans="24:28" x14ac:dyDescent="0.35">
      <c r="X107" t="s">
        <v>61</v>
      </c>
      <c r="Y107">
        <v>250</v>
      </c>
      <c r="Z107" t="s">
        <v>5</v>
      </c>
      <c r="AA107">
        <v>892848</v>
      </c>
      <c r="AB107" t="s">
        <v>883</v>
      </c>
    </row>
    <row r="108" spans="24:28" x14ac:dyDescent="0.35">
      <c r="X108" t="s">
        <v>762</v>
      </c>
      <c r="Y108">
        <v>500</v>
      </c>
      <c r="Z108" t="s">
        <v>5</v>
      </c>
      <c r="AA108">
        <v>3241504940</v>
      </c>
      <c r="AB108" t="s">
        <v>842</v>
      </c>
    </row>
    <row r="109" spans="24:28" x14ac:dyDescent="0.35">
      <c r="X109" t="s">
        <v>89</v>
      </c>
      <c r="Y109">
        <v>200</v>
      </c>
      <c r="Z109" t="s">
        <v>5</v>
      </c>
      <c r="AA109">
        <v>20</v>
      </c>
      <c r="AB109" t="s">
        <v>795</v>
      </c>
    </row>
    <row r="110" spans="24:28" x14ac:dyDescent="0.35">
      <c r="X110" t="s">
        <v>89</v>
      </c>
      <c r="Y110">
        <v>161</v>
      </c>
      <c r="Z110" t="s">
        <v>5</v>
      </c>
      <c r="AA110">
        <v>105726</v>
      </c>
      <c r="AB110" t="s">
        <v>824</v>
      </c>
    </row>
    <row r="111" spans="24:28" x14ac:dyDescent="0.35">
      <c r="X111" t="s">
        <v>89</v>
      </c>
      <c r="Y111">
        <v>22</v>
      </c>
      <c r="Z111" t="s">
        <v>5</v>
      </c>
      <c r="AA111">
        <v>749</v>
      </c>
      <c r="AB111" t="s">
        <v>795</v>
      </c>
    </row>
    <row r="112" spans="24:28" x14ac:dyDescent="0.35">
      <c r="X112" t="s">
        <v>90</v>
      </c>
      <c r="Y112">
        <v>500</v>
      </c>
      <c r="Z112" t="s">
        <v>5</v>
      </c>
      <c r="AA112">
        <v>9</v>
      </c>
      <c r="AB112" t="s">
        <v>884</v>
      </c>
    </row>
    <row r="113" spans="24:28" x14ac:dyDescent="0.35">
      <c r="X113" t="s">
        <v>90</v>
      </c>
      <c r="Y113">
        <v>500</v>
      </c>
      <c r="Z113" t="s">
        <v>5</v>
      </c>
      <c r="AA113">
        <v>883389</v>
      </c>
      <c r="AB113" t="s">
        <v>824</v>
      </c>
    </row>
    <row r="114" spans="24:28" ht="43.5" x14ac:dyDescent="0.35">
      <c r="X114" t="s">
        <v>90</v>
      </c>
      <c r="Y114">
        <v>100</v>
      </c>
      <c r="Z114" t="s">
        <v>5</v>
      </c>
      <c r="AA114">
        <v>774</v>
      </c>
      <c r="AB114" s="187" t="s">
        <v>885</v>
      </c>
    </row>
    <row r="115" spans="24:28" x14ac:dyDescent="0.35">
      <c r="X115" t="s">
        <v>90</v>
      </c>
      <c r="Y115">
        <v>400</v>
      </c>
      <c r="Z115" t="s">
        <v>5</v>
      </c>
      <c r="AA115">
        <v>773</v>
      </c>
      <c r="AB115" t="s">
        <v>886</v>
      </c>
    </row>
    <row r="116" spans="24:28" x14ac:dyDescent="0.35">
      <c r="X116" t="s">
        <v>90</v>
      </c>
      <c r="Y116">
        <v>500</v>
      </c>
      <c r="Z116" t="s">
        <v>5</v>
      </c>
      <c r="AA116">
        <v>747285</v>
      </c>
      <c r="AB116" t="s">
        <v>887</v>
      </c>
    </row>
    <row r="117" spans="24:28" x14ac:dyDescent="0.35">
      <c r="X117" t="s">
        <v>90</v>
      </c>
      <c r="Y117">
        <v>500</v>
      </c>
      <c r="Z117" t="s">
        <v>5</v>
      </c>
      <c r="AA117">
        <v>592815</v>
      </c>
      <c r="AB117" t="s">
        <v>888</v>
      </c>
    </row>
    <row r="118" spans="24:28" x14ac:dyDescent="0.35">
      <c r="X118" t="s">
        <v>90</v>
      </c>
      <c r="Y118">
        <v>500</v>
      </c>
      <c r="Z118" t="s">
        <v>5</v>
      </c>
      <c r="AA118">
        <v>720565</v>
      </c>
      <c r="AB118" t="s">
        <v>889</v>
      </c>
    </row>
    <row r="119" spans="24:28" x14ac:dyDescent="0.35">
      <c r="X119" t="s">
        <v>90</v>
      </c>
      <c r="Y119">
        <v>500</v>
      </c>
      <c r="Z119" t="s">
        <v>5</v>
      </c>
      <c r="AA119">
        <v>289933</v>
      </c>
      <c r="AB119" t="s">
        <v>890</v>
      </c>
    </row>
    <row r="120" spans="24:28" x14ac:dyDescent="0.35">
      <c r="X120" t="s">
        <v>65</v>
      </c>
      <c r="Y120">
        <v>500</v>
      </c>
      <c r="Z120" t="s">
        <v>5</v>
      </c>
      <c r="AA120">
        <v>696839</v>
      </c>
      <c r="AB120" t="s">
        <v>891</v>
      </c>
    </row>
    <row r="121" spans="24:28" x14ac:dyDescent="0.35">
      <c r="X121" t="s">
        <v>65</v>
      </c>
      <c r="Y121">
        <v>500</v>
      </c>
      <c r="Z121" t="s">
        <v>5</v>
      </c>
      <c r="AA121">
        <v>392460</v>
      </c>
      <c r="AB121" t="s">
        <v>892</v>
      </c>
    </row>
    <row r="122" spans="24:28" x14ac:dyDescent="0.35">
      <c r="X122" t="s">
        <v>65</v>
      </c>
      <c r="Y122">
        <v>500</v>
      </c>
      <c r="Z122" t="s">
        <v>5</v>
      </c>
      <c r="AA122">
        <v>209857</v>
      </c>
      <c r="AB122" t="s">
        <v>893</v>
      </c>
    </row>
    <row r="123" spans="24:28" x14ac:dyDescent="0.35">
      <c r="X123" t="s">
        <v>65</v>
      </c>
      <c r="Y123">
        <v>500</v>
      </c>
      <c r="Z123" t="s">
        <v>5</v>
      </c>
      <c r="AA123">
        <v>7564</v>
      </c>
      <c r="AB123" t="s">
        <v>894</v>
      </c>
    </row>
    <row r="124" spans="24:28" x14ac:dyDescent="0.35">
      <c r="X124" t="s">
        <v>65</v>
      </c>
      <c r="Y124">
        <v>500</v>
      </c>
      <c r="Z124" t="s">
        <v>5</v>
      </c>
      <c r="AA124">
        <v>3173723499</v>
      </c>
      <c r="AB124" t="s">
        <v>895</v>
      </c>
    </row>
    <row r="125" spans="24:28" x14ac:dyDescent="0.35">
      <c r="X125" t="s">
        <v>65</v>
      </c>
      <c r="Y125">
        <v>500</v>
      </c>
      <c r="Z125" t="s">
        <v>5</v>
      </c>
      <c r="AA125">
        <v>2716</v>
      </c>
      <c r="AB125" t="s">
        <v>896</v>
      </c>
    </row>
    <row r="126" spans="24:28" x14ac:dyDescent="0.35">
      <c r="X126" t="s">
        <v>65</v>
      </c>
      <c r="Y126">
        <v>500</v>
      </c>
      <c r="Z126" t="s">
        <v>5</v>
      </c>
      <c r="AA126">
        <v>166</v>
      </c>
      <c r="AB126" t="s">
        <v>897</v>
      </c>
    </row>
    <row r="127" spans="24:28" x14ac:dyDescent="0.35">
      <c r="X127" t="s">
        <v>65</v>
      </c>
      <c r="Y127">
        <v>500</v>
      </c>
      <c r="Z127" t="s">
        <v>5</v>
      </c>
      <c r="AA127">
        <v>338738</v>
      </c>
      <c r="AB127" t="s">
        <v>898</v>
      </c>
    </row>
    <row r="128" spans="24:28" x14ac:dyDescent="0.35">
      <c r="X128" t="s">
        <v>65</v>
      </c>
      <c r="Y128">
        <v>500</v>
      </c>
      <c r="Z128" t="s">
        <v>5</v>
      </c>
      <c r="AA128">
        <v>22699010001</v>
      </c>
      <c r="AB128" t="s">
        <v>899</v>
      </c>
    </row>
    <row r="129" spans="24:28" x14ac:dyDescent="0.35">
      <c r="X129" t="s">
        <v>40</v>
      </c>
      <c r="Y129">
        <v>500</v>
      </c>
      <c r="Z129" t="s">
        <v>5</v>
      </c>
      <c r="AA129">
        <v>6289</v>
      </c>
      <c r="AB129" s="187" t="s">
        <v>900</v>
      </c>
    </row>
    <row r="130" spans="24:28" x14ac:dyDescent="0.35">
      <c r="X130" t="s">
        <v>40</v>
      </c>
      <c r="Y130">
        <v>300</v>
      </c>
      <c r="Z130" t="s">
        <v>5</v>
      </c>
      <c r="AB130" t="s">
        <v>901</v>
      </c>
    </row>
    <row r="131" spans="24:28" x14ac:dyDescent="0.35">
      <c r="X131" t="s">
        <v>40</v>
      </c>
      <c r="Y131">
        <v>500</v>
      </c>
      <c r="Z131" t="s">
        <v>5</v>
      </c>
      <c r="AA131">
        <v>3174590444</v>
      </c>
      <c r="AB131" t="s">
        <v>902</v>
      </c>
    </row>
    <row r="132" spans="24:28" x14ac:dyDescent="0.35">
      <c r="X132" t="s">
        <v>40</v>
      </c>
      <c r="Y132">
        <v>500</v>
      </c>
      <c r="Z132" t="s">
        <v>5</v>
      </c>
      <c r="AA132">
        <v>3174685268</v>
      </c>
      <c r="AB132" t="s">
        <v>903</v>
      </c>
    </row>
    <row r="133" spans="24:28" x14ac:dyDescent="0.35">
      <c r="X133" t="s">
        <v>91</v>
      </c>
      <c r="Y133">
        <v>140</v>
      </c>
      <c r="Z133" t="s">
        <v>5</v>
      </c>
      <c r="AA133">
        <v>996770</v>
      </c>
      <c r="AB133" t="s">
        <v>51</v>
      </c>
    </row>
    <row r="134" spans="24:28" x14ac:dyDescent="0.35">
      <c r="X134" t="s">
        <v>91</v>
      </c>
      <c r="Y134">
        <v>200</v>
      </c>
      <c r="Z134" t="s">
        <v>5</v>
      </c>
      <c r="AA134">
        <v>3106077853</v>
      </c>
      <c r="AB134">
        <v>167918253459</v>
      </c>
    </row>
    <row r="135" spans="24:28" x14ac:dyDescent="0.35">
      <c r="X135" t="s">
        <v>91</v>
      </c>
      <c r="Y135">
        <v>34</v>
      </c>
      <c r="Z135" t="s">
        <v>5</v>
      </c>
      <c r="AA135">
        <v>498</v>
      </c>
      <c r="AB135" t="s">
        <v>904</v>
      </c>
    </row>
    <row r="136" spans="24:28" x14ac:dyDescent="0.35">
      <c r="X136" t="s">
        <v>91</v>
      </c>
      <c r="Y136">
        <v>200</v>
      </c>
      <c r="Z136" t="s">
        <v>5</v>
      </c>
      <c r="AA136">
        <v>6542</v>
      </c>
      <c r="AB136" t="s">
        <v>795</v>
      </c>
    </row>
    <row r="137" spans="24:28" x14ac:dyDescent="0.35">
      <c r="X137" t="s">
        <v>91</v>
      </c>
      <c r="Y137">
        <v>400</v>
      </c>
      <c r="Z137" t="s">
        <v>5</v>
      </c>
      <c r="AA137">
        <v>240287</v>
      </c>
      <c r="AB137" t="s">
        <v>824</v>
      </c>
    </row>
    <row r="138" spans="24:28" x14ac:dyDescent="0.35">
      <c r="X138" t="s">
        <v>91</v>
      </c>
      <c r="Y138">
        <v>500</v>
      </c>
      <c r="Z138" t="s">
        <v>5</v>
      </c>
      <c r="AA138">
        <v>456645</v>
      </c>
      <c r="AB138" t="s">
        <v>905</v>
      </c>
    </row>
    <row r="139" spans="24:28" x14ac:dyDescent="0.35">
      <c r="X139" t="s">
        <v>91</v>
      </c>
      <c r="Y139">
        <v>200</v>
      </c>
      <c r="Z139" t="s">
        <v>5</v>
      </c>
      <c r="AB139" t="s">
        <v>906</v>
      </c>
    </row>
    <row r="140" spans="24:28" x14ac:dyDescent="0.35">
      <c r="X140" t="s">
        <v>92</v>
      </c>
      <c r="Y140">
        <v>500</v>
      </c>
      <c r="Z140" t="s">
        <v>5</v>
      </c>
      <c r="AA140">
        <v>923480</v>
      </c>
      <c r="AB140" t="s">
        <v>907</v>
      </c>
    </row>
    <row r="141" spans="24:28" x14ac:dyDescent="0.35">
      <c r="X141" t="s">
        <v>92</v>
      </c>
      <c r="Y141">
        <v>500</v>
      </c>
      <c r="Z141" t="s">
        <v>5</v>
      </c>
      <c r="AA141">
        <v>977018</v>
      </c>
      <c r="AB141" t="s">
        <v>824</v>
      </c>
    </row>
    <row r="142" spans="24:28" x14ac:dyDescent="0.35">
      <c r="X142" t="s">
        <v>37</v>
      </c>
      <c r="Y142">
        <v>25</v>
      </c>
      <c r="Z142" t="s">
        <v>5</v>
      </c>
      <c r="AA142">
        <v>3110053517</v>
      </c>
      <c r="AB142" t="s">
        <v>824</v>
      </c>
    </row>
    <row r="143" spans="24:28" x14ac:dyDescent="0.35">
      <c r="X143" t="s">
        <v>93</v>
      </c>
      <c r="Y143">
        <v>98.25</v>
      </c>
      <c r="Z143" t="s">
        <v>5</v>
      </c>
      <c r="AA143">
        <v>1029196</v>
      </c>
      <c r="AB143" t="s">
        <v>908</v>
      </c>
    </row>
    <row r="144" spans="24:28" x14ac:dyDescent="0.35">
      <c r="X144" t="s">
        <v>94</v>
      </c>
      <c r="Y144">
        <v>140</v>
      </c>
      <c r="Z144" t="s">
        <v>5</v>
      </c>
      <c r="AA144">
        <v>351886</v>
      </c>
      <c r="AB144" t="s">
        <v>824</v>
      </c>
    </row>
    <row r="145" spans="24:28" x14ac:dyDescent="0.35">
      <c r="X145" t="s">
        <v>94</v>
      </c>
      <c r="Y145">
        <v>50</v>
      </c>
      <c r="Z145" t="s">
        <v>5</v>
      </c>
      <c r="AA145">
        <v>333</v>
      </c>
      <c r="AB145" t="s">
        <v>795</v>
      </c>
    </row>
    <row r="146" spans="24:28" x14ac:dyDescent="0.35">
      <c r="X146" t="s">
        <v>94</v>
      </c>
      <c r="Y146">
        <v>19.649999999999999</v>
      </c>
      <c r="Z146" t="s">
        <v>5</v>
      </c>
      <c r="AA146">
        <v>1107991</v>
      </c>
      <c r="AB146" t="s">
        <v>909</v>
      </c>
    </row>
    <row r="147" spans="24:28" x14ac:dyDescent="0.35">
      <c r="X147" t="s">
        <v>73</v>
      </c>
      <c r="Y147">
        <v>500</v>
      </c>
      <c r="Z147" t="s">
        <v>5</v>
      </c>
      <c r="AA147">
        <v>645201</v>
      </c>
      <c r="AB147" t="s">
        <v>910</v>
      </c>
    </row>
    <row r="148" spans="24:28" x14ac:dyDescent="0.35">
      <c r="X148" t="s">
        <v>73</v>
      </c>
      <c r="Y148">
        <v>500</v>
      </c>
      <c r="Z148" t="s">
        <v>5</v>
      </c>
      <c r="AA148">
        <v>3928</v>
      </c>
      <c r="AB148" t="s">
        <v>911</v>
      </c>
    </row>
    <row r="149" spans="24:28" x14ac:dyDescent="0.35">
      <c r="X149" t="s">
        <v>818</v>
      </c>
      <c r="Y149">
        <v>33462.730000000003</v>
      </c>
      <c r="Z149" t="s">
        <v>5</v>
      </c>
      <c r="AB149" t="s">
        <v>912</v>
      </c>
    </row>
    <row r="160" spans="24:28" x14ac:dyDescent="0.35">
      <c r="AB160" s="187"/>
    </row>
    <row r="167" spans="28:28" x14ac:dyDescent="0.35">
      <c r="AB167" s="18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J99"/>
  <sheetViews>
    <sheetView zoomScale="49" zoomScaleNormal="67" workbookViewId="0">
      <pane ySplit="1" topLeftCell="A44" activePane="bottomLeft" state="frozen"/>
      <selection activeCell="H14" sqref="H14"/>
      <selection pane="bottomLeft" activeCell="AI16" sqref="AI16"/>
    </sheetView>
  </sheetViews>
  <sheetFormatPr defaultColWidth="8.81640625" defaultRowHeight="14.5" x14ac:dyDescent="0.35"/>
  <cols>
    <col min="1" max="1" width="15.453125" customWidth="1"/>
    <col min="2" max="2" width="32.453125" customWidth="1"/>
    <col min="3" max="3" width="24.36328125" customWidth="1"/>
    <col min="4" max="4" width="25.6328125" customWidth="1"/>
    <col min="5" max="5" width="19.36328125" customWidth="1"/>
    <col min="6" max="6" width="30.6328125" customWidth="1"/>
    <col min="7" max="7" width="21.453125" customWidth="1"/>
    <col min="8" max="8" width="22.453125" customWidth="1"/>
    <col min="9" max="9" width="26" customWidth="1"/>
    <col min="10" max="10" width="16.6328125" bestFit="1" customWidth="1"/>
    <col min="11" max="11" width="18.6328125" customWidth="1"/>
    <col min="12" max="12" width="25.26953125" customWidth="1"/>
    <col min="13" max="13" width="19.90625" customWidth="1"/>
    <col min="14" max="14" width="11.81640625" customWidth="1"/>
    <col min="17" max="17" width="9.632812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6" ht="16" customHeight="1" x14ac:dyDescent="0.4">
      <c r="B1" s="138" t="s">
        <v>123</v>
      </c>
      <c r="C1" s="138" t="s">
        <v>330</v>
      </c>
      <c r="D1" s="114" t="s">
        <v>335</v>
      </c>
      <c r="E1" s="114" t="s">
        <v>334</v>
      </c>
      <c r="F1" s="114" t="s">
        <v>318</v>
      </c>
      <c r="G1" s="12" t="s">
        <v>95</v>
      </c>
      <c r="H1" s="115" t="s">
        <v>319</v>
      </c>
      <c r="I1" s="20" t="s">
        <v>96</v>
      </c>
      <c r="J1" s="113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P1" s="58" t="s">
        <v>102</v>
      </c>
      <c r="Q1" s="150" t="s">
        <v>333</v>
      </c>
      <c r="R1" s="55" t="s">
        <v>16</v>
      </c>
      <c r="S1" s="55" t="s">
        <v>103</v>
      </c>
      <c r="AC1" s="128" t="s">
        <v>324</v>
      </c>
      <c r="AD1" s="129" t="s">
        <v>325</v>
      </c>
      <c r="AE1" s="129" t="s">
        <v>98</v>
      </c>
      <c r="AF1" s="130" t="s">
        <v>96</v>
      </c>
    </row>
    <row r="2" spans="1:36" ht="16" customHeight="1" x14ac:dyDescent="0.4">
      <c r="B2" s="13" t="str" cm="1">
        <f t="array" ref="B2:B70">Inkjøp[Produkt]</f>
        <v>Monster White</v>
      </c>
      <c r="C2" s="151">
        <f>IFERROR(H2/G2,0)</f>
        <v>29.475000000000005</v>
      </c>
      <c r="D2" s="185">
        <f>VLOOKUP(B2,Inkjøp[],2,FALSE)</f>
        <v>408</v>
      </c>
      <c r="E2" s="174">
        <f>VLOOKUP(B2,Inkjøp[],3,FALSE)</f>
        <v>10702.799999999997</v>
      </c>
      <c r="F2" s="174">
        <f>D2*C2</f>
        <v>12025.800000000003</v>
      </c>
      <c r="G2" s="175">
        <f>IFERROR(VLOOKUP(B2,Salg_Total[],2,FALSE),0)</f>
        <v>323</v>
      </c>
      <c r="H2" s="176">
        <f>IFERROR(VLOOKUP(B2,Salg_Total[],3,FALSE),0)*0.9825</f>
        <v>9520.4250000000011</v>
      </c>
      <c r="I2" s="177">
        <f>VLOOKUP(B2,'Master kiosk'!$AC$2:$AF$73,4,FALSE)</f>
        <v>13</v>
      </c>
      <c r="J2" s="116">
        <f t="shared" ref="J2:J33" si="0">I2*C2</f>
        <v>383.17500000000007</v>
      </c>
      <c r="K2" s="178">
        <f t="shared" ref="K2:K33" si="1">D2-G2-I2</f>
        <v>72</v>
      </c>
      <c r="L2" s="179">
        <f>H2-E2</f>
        <v>-1182.3749999999964</v>
      </c>
      <c r="M2" s="179">
        <f>K2*C2</f>
        <v>2122.2000000000003</v>
      </c>
      <c r="P2" s="56">
        <f t="shared" ref="P2:P33" si="2">(F2-E2-R2)/D2</f>
        <v>3.2413828125000133</v>
      </c>
      <c r="Q2" s="57">
        <f t="shared" ref="Q2:Q33" si="3">(F2-E2-F2*0.0225)/F2</f>
        <v>8.7513471037270293E-2</v>
      </c>
      <c r="R2" s="54">
        <f t="shared" ref="R2:R33" si="4">C2*0.0175</f>
        <v>0.51581250000000012</v>
      </c>
      <c r="S2" s="54">
        <f t="shared" ref="S2:S33" si="5">F2*0.0175</f>
        <v>210.45150000000007</v>
      </c>
      <c r="AC2" s="189" t="s">
        <v>130</v>
      </c>
      <c r="AD2" s="131">
        <f>VLOOKUP(AC2,Inkjøp[],2,FALSE)-VLOOKUP(AC2,Salg_Total[],2,FALSE)</f>
        <v>85</v>
      </c>
      <c r="AE2" s="131">
        <f>SUM(AD2
)</f>
        <v>85</v>
      </c>
      <c r="AF2" s="132">
        <v>13</v>
      </c>
      <c r="AG2">
        <f>SUM(AF2)</f>
        <v>13</v>
      </c>
    </row>
    <row r="3" spans="1:36" ht="16" customHeight="1" x14ac:dyDescent="0.4">
      <c r="A3" t="s">
        <v>104</v>
      </c>
      <c r="B3" s="13" t="str">
        <v>Monster Mango Loco</v>
      </c>
      <c r="C3" s="151">
        <f t="shared" ref="C3:C66" si="6">IFERROR(H3/G3,0)</f>
        <v>29.474999999999998</v>
      </c>
      <c r="D3" s="184">
        <f>VLOOKUP(B3,Inkjøp[],2,FALSE)</f>
        <v>360</v>
      </c>
      <c r="E3" s="174">
        <f>VLOOKUP(B3,Inkjøp[],3,FALSE)</f>
        <v>9097.3799999999974</v>
      </c>
      <c r="F3" s="174">
        <f t="shared" ref="F3:F65" si="7">D3*C3</f>
        <v>10611</v>
      </c>
      <c r="G3" s="175">
        <f>IFERROR(VLOOKUP(B3,Salg_Total[],2,FALSE),0)</f>
        <v>294</v>
      </c>
      <c r="H3" s="176">
        <f>IFERROR(VLOOKUP(B3,Salg_Total[],3,FALSE),0)*0.9825</f>
        <v>8665.65</v>
      </c>
      <c r="I3" s="177">
        <f>VLOOKUP(B3,'Master kiosk'!$AC$2:$AF$73,4,FALSE)</f>
        <v>7</v>
      </c>
      <c r="J3" s="116">
        <f t="shared" si="0"/>
        <v>206.32499999999999</v>
      </c>
      <c r="K3" s="178">
        <f t="shared" si="1"/>
        <v>59</v>
      </c>
      <c r="L3" s="179">
        <f t="shared" ref="L3:L65" si="8">H3-E3</f>
        <v>-431.72999999999774</v>
      </c>
      <c r="M3" s="179">
        <f t="shared" ref="M3:M33" si="9">K3*C3</f>
        <v>1739.0249999999999</v>
      </c>
      <c r="P3" s="56">
        <f t="shared" si="2"/>
        <v>4.2030671875000074</v>
      </c>
      <c r="Q3" s="57">
        <f t="shared" si="3"/>
        <v>0.12014631043257022</v>
      </c>
      <c r="R3" s="54">
        <f t="shared" si="4"/>
        <v>0.51581250000000001</v>
      </c>
      <c r="S3" s="54">
        <f t="shared" si="5"/>
        <v>185.69250000000002</v>
      </c>
      <c r="Y3" t="s">
        <v>105</v>
      </c>
      <c r="AC3" s="189" t="s">
        <v>131</v>
      </c>
      <c r="AD3" s="131">
        <f>VLOOKUP(AC3,Inkjøp[],2,FALSE)-VLOOKUP(AC3,Salg_Total[],2,FALSE)</f>
        <v>66</v>
      </c>
      <c r="AE3" s="133">
        <f>AD3+AF3</f>
        <v>73</v>
      </c>
      <c r="AF3" s="132">
        <v>7</v>
      </c>
    </row>
    <row r="4" spans="1:36" ht="16" customHeight="1" x14ac:dyDescent="0.4">
      <c r="B4" s="13" t="str">
        <v>Monster Monarch</v>
      </c>
      <c r="C4" s="151">
        <f t="shared" si="6"/>
        <v>29.475000000000001</v>
      </c>
      <c r="D4" s="173">
        <f>VLOOKUP(B4,Inkjøp[],2,FALSE)</f>
        <v>432</v>
      </c>
      <c r="E4" s="174">
        <f>VLOOKUP(B4,Inkjøp[],3,FALSE)</f>
        <v>10167.659999999998</v>
      </c>
      <c r="F4" s="174">
        <f t="shared" si="7"/>
        <v>12733.2</v>
      </c>
      <c r="G4" s="175">
        <f>IFERROR(VLOOKUP(B4,Salg_Total[],2,FALSE),0)</f>
        <v>321</v>
      </c>
      <c r="H4" s="176">
        <f>IFERROR(VLOOKUP(B4,Salg_Total[],3,FALSE),0)*0.9825</f>
        <v>9461.4750000000004</v>
      </c>
      <c r="I4" s="177">
        <f>VLOOKUP(B4,'Master kiosk'!$AC$2:$AF$73,4,FALSE)</f>
        <v>5</v>
      </c>
      <c r="J4" s="116">
        <f t="shared" si="0"/>
        <v>147.375</v>
      </c>
      <c r="K4" s="178">
        <f t="shared" si="1"/>
        <v>106</v>
      </c>
      <c r="L4" s="179">
        <f t="shared" si="8"/>
        <v>-706.18499999999767</v>
      </c>
      <c r="M4" s="179">
        <f>K4*C4</f>
        <v>3124.3500000000004</v>
      </c>
      <c r="P4" s="56">
        <f t="shared" si="2"/>
        <v>5.9375559895833403</v>
      </c>
      <c r="Q4" s="57">
        <f t="shared" si="3"/>
        <v>0.17898430873621735</v>
      </c>
      <c r="R4" s="54">
        <f t="shared" si="4"/>
        <v>0.51581250000000012</v>
      </c>
      <c r="S4" s="54">
        <f t="shared" si="5"/>
        <v>222.83100000000005</v>
      </c>
      <c r="Y4" t="s">
        <v>106</v>
      </c>
      <c r="AC4" s="189" t="s">
        <v>132</v>
      </c>
      <c r="AD4" s="131">
        <f>VLOOKUP(AC4,Inkjøp[],2,FALSE)-VLOOKUP(AC4,Salg_Total[],2,FALSE)</f>
        <v>111</v>
      </c>
      <c r="AE4" s="131">
        <v>0</v>
      </c>
      <c r="AF4" s="132">
        <v>5</v>
      </c>
    </row>
    <row r="5" spans="1:36" ht="16" customHeight="1" x14ac:dyDescent="0.4">
      <c r="B5" s="13" t="str">
        <v>Monster Lewis Hamilton</v>
      </c>
      <c r="C5" s="151">
        <f t="shared" si="6"/>
        <v>29.475000000000001</v>
      </c>
      <c r="D5" s="173">
        <f>VLOOKUP(B5,Inkjøp[],2,FALSE)</f>
        <v>192</v>
      </c>
      <c r="E5" s="174">
        <f>VLOOKUP(B5,Inkjøp[],3,FALSE)</f>
        <v>6421.6799999999985</v>
      </c>
      <c r="F5" s="174">
        <f t="shared" si="7"/>
        <v>5659.2000000000007</v>
      </c>
      <c r="G5" s="175">
        <f>IFERROR(VLOOKUP(B5,Salg_Total[],2,FALSE),0)</f>
        <v>151</v>
      </c>
      <c r="H5" s="176">
        <f>IFERROR(VLOOKUP(B5,Salg_Total[],3,FALSE),0)*0.9825</f>
        <v>4450.7250000000004</v>
      </c>
      <c r="I5" s="177">
        <f>VLOOKUP(B5,'Master kiosk'!$AC$2:$AF$73,4,FALSE)</f>
        <v>9</v>
      </c>
      <c r="J5" s="116">
        <f t="shared" si="0"/>
        <v>265.27500000000003</v>
      </c>
      <c r="K5" s="178">
        <f t="shared" si="1"/>
        <v>32</v>
      </c>
      <c r="L5" s="179">
        <f t="shared" si="8"/>
        <v>-1970.9549999999981</v>
      </c>
      <c r="M5" s="179">
        <f t="shared" si="9"/>
        <v>943.2</v>
      </c>
      <c r="P5" s="56">
        <f t="shared" si="2"/>
        <v>-3.9739365234374886</v>
      </c>
      <c r="Q5" s="57">
        <f t="shared" si="3"/>
        <v>-0.15723282442748049</v>
      </c>
      <c r="R5" s="54">
        <f t="shared" si="4"/>
        <v>0.51581250000000012</v>
      </c>
      <c r="S5" s="54">
        <f t="shared" si="5"/>
        <v>99.036000000000016</v>
      </c>
      <c r="Y5" t="s">
        <v>107</v>
      </c>
      <c r="Z5" t="s">
        <v>108</v>
      </c>
      <c r="AC5" s="189" t="s">
        <v>133</v>
      </c>
      <c r="AD5" s="131">
        <f>VLOOKUP(AC5,Inkjøp[],2,FALSE)-VLOOKUP(AC5,Salg_Total[],2,FALSE)</f>
        <v>41</v>
      </c>
      <c r="AE5" s="210">
        <f>SUM(P5
)</f>
        <v>-3.9739365234374886</v>
      </c>
      <c r="AF5" s="132">
        <v>9</v>
      </c>
    </row>
    <row r="6" spans="1:36" ht="16" customHeight="1" x14ac:dyDescent="0.4">
      <c r="B6" s="13" t="str">
        <v>Monster Punch</v>
      </c>
      <c r="C6" s="151">
        <f t="shared" si="6"/>
        <v>29.474999999999998</v>
      </c>
      <c r="D6" s="173">
        <f>VLOOKUP(B6,Inkjøp[],2,FALSE)</f>
        <v>288</v>
      </c>
      <c r="E6" s="174">
        <f>VLOOKUP(B6,Inkjøp[],3,FALSE)</f>
        <v>6421.6799999999985</v>
      </c>
      <c r="F6" s="174">
        <f t="shared" si="7"/>
        <v>8488.7999999999993</v>
      </c>
      <c r="G6" s="175">
        <f>IFERROR(VLOOKUP(B6,Salg_Total[],2,FALSE),0)</f>
        <v>227</v>
      </c>
      <c r="H6" s="176">
        <f>IFERROR(VLOOKUP(B6,Salg_Total[],3,FALSE),0)*0.9825</f>
        <v>6690.8249999999998</v>
      </c>
      <c r="I6" s="177">
        <f>VLOOKUP(B6,'Master kiosk'!$AC$2:$AF$73,4,FALSE)</f>
        <v>-3</v>
      </c>
      <c r="J6" s="116">
        <f t="shared" si="0"/>
        <v>-88.424999999999997</v>
      </c>
      <c r="K6" s="178">
        <f t="shared" si="1"/>
        <v>64</v>
      </c>
      <c r="L6" s="179">
        <f t="shared" si="8"/>
        <v>269.14500000000135</v>
      </c>
      <c r="M6" s="179">
        <f t="shared" si="9"/>
        <v>1886.3999999999999</v>
      </c>
      <c r="P6" s="56">
        <f t="shared" si="2"/>
        <v>7.175708984375003</v>
      </c>
      <c r="Q6" s="57">
        <f t="shared" si="3"/>
        <v>0.22101145038167949</v>
      </c>
      <c r="R6" s="54">
        <f t="shared" si="4"/>
        <v>0.51581250000000001</v>
      </c>
      <c r="S6" s="54">
        <f t="shared" si="5"/>
        <v>148.554</v>
      </c>
      <c r="Y6" t="s">
        <v>109</v>
      </c>
      <c r="AC6" s="189" t="s">
        <v>134</v>
      </c>
      <c r="AD6" s="131">
        <f>VLOOKUP(AC6,Inkjøp[],2,FALSE)-VLOOKUP(AC6,Salg_Total[],2,FALSE)</f>
        <v>61</v>
      </c>
      <c r="AE6" s="131">
        <v>0</v>
      </c>
      <c r="AF6" s="132">
        <v>-3</v>
      </c>
    </row>
    <row r="7" spans="1:36" ht="16" customHeight="1" x14ac:dyDescent="0.4">
      <c r="B7" s="13" t="str">
        <v>Monster Landon Norris</v>
      </c>
      <c r="C7" s="151">
        <f t="shared" si="6"/>
        <v>29.475000000000005</v>
      </c>
      <c r="D7" s="173">
        <f>VLOOKUP(B7,Inkjøp[],2,FALSE)</f>
        <v>24</v>
      </c>
      <c r="E7" s="174">
        <f>VLOOKUP(B7,Inkjøp[],3,FALSE)</f>
        <v>0</v>
      </c>
      <c r="F7" s="174">
        <f>D7*C7</f>
        <v>707.40000000000009</v>
      </c>
      <c r="G7" s="175">
        <f>IFERROR(VLOOKUP(B7,Salg_Total[],2,FALSE),0)</f>
        <v>9</v>
      </c>
      <c r="H7" s="176">
        <f>IFERROR(VLOOKUP(B7,Salg_Total[],3,FALSE),0)*0.9825</f>
        <v>265.27500000000003</v>
      </c>
      <c r="I7" s="177">
        <f>VLOOKUP(B7,'Master kiosk'!$AC$2:$AF$73,4,FALSE)</f>
        <v>39</v>
      </c>
      <c r="J7" s="116">
        <f t="shared" si="0"/>
        <v>1149.5250000000001</v>
      </c>
      <c r="K7" s="178">
        <f>D7-G7-I7</f>
        <v>-24</v>
      </c>
      <c r="L7" s="179">
        <f t="shared" si="8"/>
        <v>265.27500000000003</v>
      </c>
      <c r="M7" s="179">
        <f t="shared" si="9"/>
        <v>-707.40000000000009</v>
      </c>
      <c r="P7" s="56">
        <f t="shared" si="2"/>
        <v>29.453507812500003</v>
      </c>
      <c r="Q7" s="57">
        <f t="shared" si="3"/>
        <v>0.97749999999999992</v>
      </c>
      <c r="R7" s="54">
        <f t="shared" si="4"/>
        <v>0.51581250000000012</v>
      </c>
      <c r="S7" s="54">
        <f t="shared" si="5"/>
        <v>12.379500000000002</v>
      </c>
      <c r="AC7" s="189" t="s">
        <v>321</v>
      </c>
      <c r="AD7" s="131">
        <f>IFERROR(VLOOKUP(AC7,Inkjøp[],2,FALSE)-VLOOKUP(AC7,Salg_Total[],2,FALSE),0)</f>
        <v>15</v>
      </c>
      <c r="AE7">
        <v>0</v>
      </c>
      <c r="AF7" s="132">
        <v>39</v>
      </c>
      <c r="AJ7">
        <f>SUM(AD7:AI7)</f>
        <v>54</v>
      </c>
    </row>
    <row r="8" spans="1:36" ht="16" customHeight="1" x14ac:dyDescent="0.4">
      <c r="B8" s="13" t="str">
        <v>Redbull Original</v>
      </c>
      <c r="C8" s="151">
        <f t="shared" si="6"/>
        <v>27.40232876712329</v>
      </c>
      <c r="D8" s="173">
        <f>VLOOKUP(B8,Inkjøp[],2,FALSE)</f>
        <v>144</v>
      </c>
      <c r="E8" s="174">
        <f>VLOOKUP(B8,Inkjøp[],3,FALSE)</f>
        <v>3810.8159999999998</v>
      </c>
      <c r="F8" s="174">
        <f t="shared" si="7"/>
        <v>3945.9353424657538</v>
      </c>
      <c r="G8" s="175">
        <f>IFERROR(VLOOKUP(B8,Salg_Total[],2,FALSE),0)</f>
        <v>73</v>
      </c>
      <c r="H8" s="176">
        <f>IFERROR(VLOOKUP(B8,Salg_Total[],3,FALSE),0)*0.9825</f>
        <v>2000.3700000000001</v>
      </c>
      <c r="I8" s="177">
        <v>-2</v>
      </c>
      <c r="J8" s="116">
        <f t="shared" si="0"/>
        <v>-54.80465753424658</v>
      </c>
      <c r="K8" s="178">
        <f t="shared" si="1"/>
        <v>73</v>
      </c>
      <c r="L8" s="179">
        <f t="shared" si="8"/>
        <v>-1810.4459999999997</v>
      </c>
      <c r="M8" s="179">
        <f t="shared" si="9"/>
        <v>2000.3700000000001</v>
      </c>
      <c r="P8" s="56">
        <f t="shared" si="2"/>
        <v>0.9349986230022872</v>
      </c>
      <c r="Q8" s="57">
        <f t="shared" si="3"/>
        <v>1.1742665106955361E-2</v>
      </c>
      <c r="R8" s="54">
        <f t="shared" si="4"/>
        <v>0.47954075342465763</v>
      </c>
      <c r="S8" s="54">
        <f t="shared" si="5"/>
        <v>69.053868493150702</v>
      </c>
      <c r="AC8" s="189" t="s">
        <v>135</v>
      </c>
      <c r="AD8" s="131">
        <f>VLOOKUP(AC8,Inkjøp[],2,FALSE)-VLOOKUP(AC8,Salg_Total[],2,FALSE)</f>
        <v>71</v>
      </c>
      <c r="AE8" s="133">
        <v>42</v>
      </c>
      <c r="AF8" s="132">
        <v>-2</v>
      </c>
    </row>
    <row r="9" spans="1:36" ht="16" customHeight="1" x14ac:dyDescent="0.4">
      <c r="B9" s="13" t="str">
        <v>Redbull 473ml</v>
      </c>
      <c r="C9" s="151">
        <f t="shared" si="6"/>
        <v>39.300000000000004</v>
      </c>
      <c r="D9" s="173">
        <f>VLOOKUP(B9,Inkjøp[],2,FALSE)</f>
        <v>24</v>
      </c>
      <c r="E9" s="174">
        <f>VLOOKUP(B9,Inkjøp[],3,FALSE)</f>
        <v>782.98799999999994</v>
      </c>
      <c r="F9" s="174">
        <f t="shared" si="7"/>
        <v>943.2</v>
      </c>
      <c r="G9" s="175">
        <f>IFERROR(VLOOKUP(B9,Salg_Total[],2,FALSE),0)</f>
        <v>21</v>
      </c>
      <c r="H9" s="176">
        <f>IFERROR(VLOOKUP(B9,Salg_Total[],3,FALSE),0)*0.9825</f>
        <v>825.30000000000007</v>
      </c>
      <c r="I9" s="177">
        <f>VLOOKUP(B9,'Master kiosk'!$AC$2:$AF$73,4,FALSE)</f>
        <v>34</v>
      </c>
      <c r="J9" s="116">
        <f t="shared" si="0"/>
        <v>1336.2</v>
      </c>
      <c r="K9" s="178">
        <f t="shared" si="1"/>
        <v>-31</v>
      </c>
      <c r="L9" s="179">
        <f t="shared" si="8"/>
        <v>42.312000000000126</v>
      </c>
      <c r="M9" s="179">
        <f t="shared" si="9"/>
        <v>-1218.3000000000002</v>
      </c>
      <c r="P9" s="56">
        <f t="shared" si="2"/>
        <v>6.6468437500000048</v>
      </c>
      <c r="Q9" s="57">
        <f t="shared" si="3"/>
        <v>0.14736005089058535</v>
      </c>
      <c r="R9" s="54">
        <f t="shared" si="4"/>
        <v>0.68775000000000019</v>
      </c>
      <c r="S9" s="54">
        <f t="shared" si="5"/>
        <v>16.506000000000004</v>
      </c>
      <c r="AC9" s="189" t="s">
        <v>136</v>
      </c>
      <c r="AD9" s="131">
        <f>VLOOKUP(AC9,Inkjøp[],2,FALSE)-VLOOKUP(AC9,Salg_Total[],2,FALSE)</f>
        <v>3</v>
      </c>
      <c r="AE9" s="131">
        <v>0</v>
      </c>
      <c r="AF9" s="132">
        <v>34</v>
      </c>
    </row>
    <row r="10" spans="1:36" ht="16" customHeight="1" x14ac:dyDescent="0.4">
      <c r="B10" s="13" t="str">
        <v>Redbull Sukkerfri</v>
      </c>
      <c r="C10" s="151">
        <f t="shared" si="6"/>
        <v>24.5625</v>
      </c>
      <c r="D10" s="173">
        <f>VLOOKUP(B10,Inkjøp[],2,FALSE)</f>
        <v>96</v>
      </c>
      <c r="E10" s="174">
        <f>VLOOKUP(B10,Inkjøp[],3,FALSE)</f>
        <v>1899.8879999999999</v>
      </c>
      <c r="F10" s="174">
        <f t="shared" si="7"/>
        <v>2358</v>
      </c>
      <c r="G10" s="175">
        <f>IFERROR(VLOOKUP(B10,Salg_Total[],2,FALSE),0)</f>
        <v>17</v>
      </c>
      <c r="H10" s="176">
        <f>IFERROR(VLOOKUP(B10,Salg_Total[],3,FALSE),0)*0.9825</f>
        <v>417.5625</v>
      </c>
      <c r="I10" s="177">
        <f>VLOOKUP(B10,'Master kiosk'!$AC$2:$AF$73,4,FALSE)</f>
        <v>-6</v>
      </c>
      <c r="J10" s="116">
        <f t="shared" si="0"/>
        <v>-147.375</v>
      </c>
      <c r="K10" s="178">
        <f t="shared" si="1"/>
        <v>85</v>
      </c>
      <c r="L10" s="179">
        <f t="shared" si="8"/>
        <v>-1482.3254999999999</v>
      </c>
      <c r="M10" s="179">
        <f t="shared" si="9"/>
        <v>2087.8125</v>
      </c>
      <c r="P10" s="56">
        <f t="shared" si="2"/>
        <v>4.7675224609375011</v>
      </c>
      <c r="Q10" s="57">
        <f t="shared" si="3"/>
        <v>0.17177989821882955</v>
      </c>
      <c r="R10" s="54">
        <f t="shared" si="4"/>
        <v>0.42984375000000002</v>
      </c>
      <c r="S10" s="54">
        <f t="shared" si="5"/>
        <v>41.265000000000001</v>
      </c>
      <c r="AC10" s="189" t="s">
        <v>137</v>
      </c>
      <c r="AD10" s="131">
        <f>VLOOKUP(AC10,Inkjøp[],2,FALSE)-VLOOKUP(AC10,Salg_Total[],2,FALSE)</f>
        <v>79</v>
      </c>
      <c r="AE10" s="133">
        <v>45</v>
      </c>
      <c r="AF10" s="132">
        <v>-6</v>
      </c>
    </row>
    <row r="11" spans="1:36" ht="16" customHeight="1" x14ac:dyDescent="0.4">
      <c r="B11" s="13" t="str">
        <v>Redbull ZERO Cal</v>
      </c>
      <c r="C11" s="151">
        <f t="shared" si="6"/>
        <v>26.527500000000003</v>
      </c>
      <c r="D11" s="173">
        <f>VLOOKUP(B11,Inkjøp[],2,FALSE)</f>
        <v>48</v>
      </c>
      <c r="E11" s="174">
        <f>VLOOKUP(B11,Inkjøp[],3,FALSE)</f>
        <v>1636.056</v>
      </c>
      <c r="F11" s="174">
        <f t="shared" si="7"/>
        <v>1273.3200000000002</v>
      </c>
      <c r="G11" s="175">
        <f>IFERROR(VLOOKUP(B11,Salg_Total[],2,FALSE),0)</f>
        <v>20</v>
      </c>
      <c r="H11" s="176">
        <f>IFERROR(VLOOKUP(B11,Salg_Total[],3,FALSE),0)*0.9825</f>
        <v>530.55000000000007</v>
      </c>
      <c r="I11" s="177">
        <f>VLOOKUP(B11,'Master kiosk'!$AC$2:$AF$73,4,FALSE)</f>
        <v>6</v>
      </c>
      <c r="J11" s="116">
        <f t="shared" si="0"/>
        <v>159.16500000000002</v>
      </c>
      <c r="K11" s="178">
        <f t="shared" si="1"/>
        <v>22</v>
      </c>
      <c r="L11" s="179">
        <f t="shared" si="8"/>
        <v>-1105.5059999999999</v>
      </c>
      <c r="M11" s="179">
        <f t="shared" si="9"/>
        <v>583.60500000000002</v>
      </c>
      <c r="P11" s="56">
        <f t="shared" si="2"/>
        <v>-7.5666714843749974</v>
      </c>
      <c r="Q11" s="57">
        <f t="shared" si="3"/>
        <v>-0.30737418716426335</v>
      </c>
      <c r="R11" s="54">
        <f t="shared" si="4"/>
        <v>0.4642312500000001</v>
      </c>
      <c r="S11" s="54">
        <f t="shared" si="5"/>
        <v>22.283100000000005</v>
      </c>
      <c r="AC11" s="189" t="s">
        <v>138</v>
      </c>
      <c r="AD11" s="131">
        <f>VLOOKUP(AC11,Inkjøp[],2,FALSE)-VLOOKUP(AC11,Salg_Total[],2,FALSE)</f>
        <v>28</v>
      </c>
      <c r="AE11" s="131">
        <v>38</v>
      </c>
      <c r="AF11" s="132">
        <v>6</v>
      </c>
    </row>
    <row r="12" spans="1:36" ht="16" customHeight="1" x14ac:dyDescent="0.4">
      <c r="B12" s="13" t="str">
        <v>Redbull Yellow</v>
      </c>
      <c r="C12" s="151">
        <f t="shared" si="6"/>
        <v>26.527500000000003</v>
      </c>
      <c r="D12" s="173">
        <f>VLOOKUP(B12,Inkjøp[],2,FALSE)</f>
        <v>120</v>
      </c>
      <c r="E12" s="174">
        <f>VLOOKUP(B12,Inkjøp[],3,FALSE)</f>
        <v>3724.7279999999992</v>
      </c>
      <c r="F12" s="174">
        <f t="shared" si="7"/>
        <v>3183.3</v>
      </c>
      <c r="G12" s="175">
        <f>IFERROR(VLOOKUP(B12,Salg_Total[],2,FALSE),0)</f>
        <v>76</v>
      </c>
      <c r="H12" s="176">
        <f>IFERROR(VLOOKUP(B12,Salg_Total[],3,FALSE),0)*0.9825</f>
        <v>2016.0900000000001</v>
      </c>
      <c r="I12" s="177">
        <f>VLOOKUP(B12,'Master kiosk'!$AC$2:$AF$73,4,FALSE)</f>
        <v>12</v>
      </c>
      <c r="J12" s="116">
        <f t="shared" si="0"/>
        <v>318.33000000000004</v>
      </c>
      <c r="K12" s="178">
        <f t="shared" si="1"/>
        <v>32</v>
      </c>
      <c r="L12" s="179">
        <f t="shared" si="8"/>
        <v>-1708.637999999999</v>
      </c>
      <c r="M12" s="179">
        <f t="shared" si="9"/>
        <v>848.88000000000011</v>
      </c>
      <c r="P12" s="56">
        <f t="shared" si="2"/>
        <v>-4.5157685937499918</v>
      </c>
      <c r="Q12" s="57">
        <f t="shared" si="3"/>
        <v>-0.19258387522382397</v>
      </c>
      <c r="R12" s="54">
        <f t="shared" si="4"/>
        <v>0.4642312500000001</v>
      </c>
      <c r="S12" s="54">
        <f t="shared" si="5"/>
        <v>55.707750000000011</v>
      </c>
      <c r="AC12" s="189" t="s">
        <v>139</v>
      </c>
      <c r="AD12" s="131">
        <f>VLOOKUP(AC12,Inkjøp[],2,FALSE)-VLOOKUP(AC12,Salg_Total[],2,FALSE)</f>
        <v>44</v>
      </c>
      <c r="AE12" s="133">
        <v>42</v>
      </c>
      <c r="AF12" s="132">
        <v>12</v>
      </c>
    </row>
    <row r="13" spans="1:36" ht="16" customHeight="1" x14ac:dyDescent="0.4">
      <c r="B13" s="13" t="str">
        <v>Redbull Peach</v>
      </c>
      <c r="C13" s="151">
        <f t="shared" si="6"/>
        <v>26.527500000000003</v>
      </c>
      <c r="D13" s="173">
        <f>VLOOKUP(B13,Inkjøp[],2,FALSE)</f>
        <v>264</v>
      </c>
      <c r="E13" s="174">
        <f>VLOOKUP(B13,Inkjøp[],3,FALSE)</f>
        <v>7449.4559999999992</v>
      </c>
      <c r="F13" s="174">
        <f t="shared" si="7"/>
        <v>7003.2600000000011</v>
      </c>
      <c r="G13" s="175">
        <f>IFERROR(VLOOKUP(B13,Salg_Total[],2,FALSE),0)</f>
        <v>209</v>
      </c>
      <c r="H13" s="176">
        <f>IFERROR(VLOOKUP(B13,Salg_Total[],3,FALSE),0)*0.9825</f>
        <v>5544.2475000000004</v>
      </c>
      <c r="I13" s="177">
        <v>-16</v>
      </c>
      <c r="J13" s="116">
        <f t="shared" si="0"/>
        <v>-424.44000000000005</v>
      </c>
      <c r="K13" s="178">
        <f t="shared" si="1"/>
        <v>71</v>
      </c>
      <c r="L13" s="179">
        <f t="shared" si="8"/>
        <v>-1905.2084999999988</v>
      </c>
      <c r="M13" s="179">
        <f t="shared" si="9"/>
        <v>1883.4525000000003</v>
      </c>
      <c r="P13" s="56">
        <f t="shared" si="2"/>
        <v>-1.6918948153409019</v>
      </c>
      <c r="Q13" s="57">
        <f t="shared" si="3"/>
        <v>-8.6212613839840024E-2</v>
      </c>
      <c r="R13" s="54">
        <f t="shared" si="4"/>
        <v>0.4642312500000001</v>
      </c>
      <c r="S13" s="54">
        <f t="shared" si="5"/>
        <v>122.55705000000003</v>
      </c>
      <c r="AC13" s="189" t="s">
        <v>140</v>
      </c>
      <c r="AD13" s="131">
        <f>VLOOKUP(AC13,Inkjøp[],2,FALSE)-VLOOKUP(AC13,Salg_Total[],2,FALSE)</f>
        <v>55</v>
      </c>
      <c r="AE13" s="131">
        <v>7</v>
      </c>
      <c r="AF13" s="132">
        <v>-16</v>
      </c>
    </row>
    <row r="14" spans="1:36" ht="16" customHeight="1" x14ac:dyDescent="0.4">
      <c r="B14" s="13" t="str">
        <v>Redbull Blue</v>
      </c>
      <c r="C14" s="151">
        <f t="shared" si="6"/>
        <v>26.5275</v>
      </c>
      <c r="D14" s="173">
        <f>VLOOKUP(B14,Inkjøp[],2,FALSE)</f>
        <v>96</v>
      </c>
      <c r="E14" s="174">
        <f>VLOOKUP(B14,Inkjøp[],3,FALSE)</f>
        <v>1063.6559999999999</v>
      </c>
      <c r="F14" s="174">
        <f t="shared" si="7"/>
        <v>2546.64</v>
      </c>
      <c r="G14" s="175">
        <f>IFERROR(VLOOKUP(B14,Salg_Total[],2,FALSE),0)</f>
        <v>71</v>
      </c>
      <c r="H14" s="176">
        <f>IFERROR(VLOOKUP(B14,Salg_Total[],3,FALSE),0)*0.9825</f>
        <v>1883.4525000000001</v>
      </c>
      <c r="I14" s="177">
        <f>VLOOKUP(B14,'Master kiosk'!$AC$2:$AF$73,4,FALSE)</f>
        <v>3</v>
      </c>
      <c r="J14" s="116">
        <f t="shared" si="0"/>
        <v>79.582499999999996</v>
      </c>
      <c r="K14" s="178">
        <f t="shared" si="1"/>
        <v>22</v>
      </c>
      <c r="L14" s="179">
        <f t="shared" si="8"/>
        <v>819.79650000000015</v>
      </c>
      <c r="M14" s="179">
        <f t="shared" si="9"/>
        <v>583.60500000000002</v>
      </c>
      <c r="P14" s="56">
        <f t="shared" si="2"/>
        <v>15.442914257812498</v>
      </c>
      <c r="Q14" s="57">
        <f t="shared" si="3"/>
        <v>0.55982965790217698</v>
      </c>
      <c r="R14" s="54">
        <f t="shared" si="4"/>
        <v>0.46423125000000004</v>
      </c>
      <c r="S14" s="54">
        <f t="shared" si="5"/>
        <v>44.566200000000002</v>
      </c>
      <c r="AC14" s="189" t="s">
        <v>141</v>
      </c>
      <c r="AD14" s="131">
        <f>VLOOKUP(AC14,Inkjøp[],2,FALSE)-VLOOKUP(AC14,Salg_Total[],2,FALSE)</f>
        <v>25</v>
      </c>
      <c r="AE14" s="133">
        <v>0</v>
      </c>
      <c r="AF14" s="132">
        <v>3</v>
      </c>
    </row>
    <row r="15" spans="1:36" ht="16" customHeight="1" x14ac:dyDescent="0.4">
      <c r="B15" s="13" t="str">
        <v>Redbull Purple</v>
      </c>
      <c r="C15" s="151">
        <f t="shared" si="6"/>
        <v>26.036249999999999</v>
      </c>
      <c r="D15" s="173">
        <f>VLOOKUP(B15,Inkjøp[],2,FALSE)</f>
        <v>48</v>
      </c>
      <c r="E15" s="174">
        <f>VLOOKUP(B15,Inkjøp[],3,FALSE)</f>
        <v>1595.4839999999999</v>
      </c>
      <c r="F15" s="174">
        <f t="shared" si="7"/>
        <v>1249.74</v>
      </c>
      <c r="G15" s="175">
        <f>IFERROR(VLOOKUP(B15,Salg_Total[],2,FALSE),0)</f>
        <v>24</v>
      </c>
      <c r="H15" s="176">
        <f>IFERROR(VLOOKUP(B15,Salg_Total[],3,FALSE),0)*0.9825</f>
        <v>624.87</v>
      </c>
      <c r="I15" s="177">
        <f>VLOOKUP(B15,'Master kiosk'!$AC$2:$AF$73,4,FALSE)</f>
        <v>9</v>
      </c>
      <c r="J15" s="116">
        <f t="shared" si="0"/>
        <v>234.32624999999999</v>
      </c>
      <c r="K15" s="178">
        <f t="shared" si="1"/>
        <v>15</v>
      </c>
      <c r="L15" s="179">
        <f t="shared" si="8"/>
        <v>-970.61399999999992</v>
      </c>
      <c r="M15" s="179">
        <f t="shared" si="9"/>
        <v>390.54374999999999</v>
      </c>
      <c r="P15" s="56">
        <f t="shared" si="2"/>
        <v>-7.2124923828124983</v>
      </c>
      <c r="Q15" s="57">
        <f t="shared" si="3"/>
        <v>-0.29915274377070422</v>
      </c>
      <c r="R15" s="54">
        <f t="shared" si="4"/>
        <v>0.45563437500000004</v>
      </c>
      <c r="S15" s="54">
        <f t="shared" si="5"/>
        <v>21.870450000000002</v>
      </c>
      <c r="AC15" s="189" t="s">
        <v>142</v>
      </c>
      <c r="AD15" s="131">
        <f>VLOOKUP(AC15,Inkjøp[],2,FALSE)-VLOOKUP(AC15,Salg_Total[],2,FALSE)</f>
        <v>24</v>
      </c>
      <c r="AE15" s="131">
        <v>23</v>
      </c>
      <c r="AF15" s="132">
        <v>9</v>
      </c>
    </row>
    <row r="16" spans="1:36" ht="16" customHeight="1" x14ac:dyDescent="0.4">
      <c r="B16" s="13" t="str">
        <v>Powerking Svart</v>
      </c>
      <c r="C16" s="151">
        <f t="shared" si="6"/>
        <v>14.737499999999999</v>
      </c>
      <c r="D16" s="173">
        <f>VLOOKUP(B16,Inkjøp[],2,FALSE)</f>
        <v>216</v>
      </c>
      <c r="E16" s="174">
        <f>VLOOKUP(B16,Inkjøp[],3,FALSE)</f>
        <v>2326.44</v>
      </c>
      <c r="F16" s="174">
        <f t="shared" si="7"/>
        <v>3183.2999999999997</v>
      </c>
      <c r="G16" s="175">
        <f>IFERROR(VLOOKUP(B16,Salg_Total[],2,FALSE),0)</f>
        <v>182</v>
      </c>
      <c r="H16" s="176">
        <f>IFERROR(VLOOKUP(B16,Salg_Total[],3,FALSE),0)*0.9825</f>
        <v>2682.2249999999999</v>
      </c>
      <c r="I16" s="177">
        <f>VLOOKUP(B16,'Master kiosk'!$AC$2:$AF$73,4,FALSE)</f>
        <v>-18</v>
      </c>
      <c r="J16" s="116">
        <f t="shared" si="0"/>
        <v>-265.27499999999998</v>
      </c>
      <c r="K16" s="178">
        <f t="shared" si="1"/>
        <v>52</v>
      </c>
      <c r="L16" s="179">
        <f t="shared" si="8"/>
        <v>355.78499999999985</v>
      </c>
      <c r="M16" s="179">
        <f t="shared" si="9"/>
        <v>766.34999999999991</v>
      </c>
      <c r="P16" s="56">
        <f t="shared" si="2"/>
        <v>3.9657504340277763</v>
      </c>
      <c r="Q16" s="57">
        <f t="shared" si="3"/>
        <v>0.24667349919894443</v>
      </c>
      <c r="R16" s="54">
        <f t="shared" si="4"/>
        <v>0.25790625</v>
      </c>
      <c r="S16" s="54">
        <f t="shared" si="5"/>
        <v>55.707749999999997</v>
      </c>
      <c r="AC16" s="189" t="s">
        <v>143</v>
      </c>
      <c r="AD16" s="131">
        <f>VLOOKUP(AC16,Inkjøp[],2,FALSE)-VLOOKUP(AC16,Salg_Total[],2,FALSE)</f>
        <v>34</v>
      </c>
      <c r="AE16" s="133">
        <v>0</v>
      </c>
      <c r="AF16" s="132">
        <v>-18</v>
      </c>
    </row>
    <row r="17" spans="1:32" ht="16" customHeight="1" x14ac:dyDescent="0.4">
      <c r="B17" s="13" t="str">
        <v>Powerking Hvit</v>
      </c>
      <c r="C17" s="151">
        <f t="shared" si="6"/>
        <v>15.495684931506851</v>
      </c>
      <c r="D17" s="173">
        <f>VLOOKUP(B17,Inkjøp[],2,FALSE)</f>
        <v>216</v>
      </c>
      <c r="E17" s="174">
        <f>VLOOKUP(B17,Inkjøp[],3,FALSE)</f>
        <v>2174.6400000000003</v>
      </c>
      <c r="F17" s="174">
        <f t="shared" si="7"/>
        <v>3347.0679452054796</v>
      </c>
      <c r="G17" s="175">
        <f>IFERROR(VLOOKUP(B17,Salg_Total[],2,FALSE),0)</f>
        <v>219</v>
      </c>
      <c r="H17" s="176">
        <f>IFERROR(VLOOKUP(B17,Salg_Total[],3,FALSE),0)*0.9825</f>
        <v>3393.5550000000003</v>
      </c>
      <c r="I17" s="177">
        <f>VLOOKUP(B17,'Master kiosk'!$AC$2:$AF$73,4,FALSE)</f>
        <v>4</v>
      </c>
      <c r="J17" s="116">
        <f t="shared" si="0"/>
        <v>61.982739726027404</v>
      </c>
      <c r="K17" s="178">
        <f t="shared" si="1"/>
        <v>-7</v>
      </c>
      <c r="L17" s="179">
        <f t="shared" si="8"/>
        <v>1218.915</v>
      </c>
      <c r="M17" s="179">
        <f t="shared" si="9"/>
        <v>-108.46979452054796</v>
      </c>
      <c r="P17" s="56">
        <f t="shared" si="2"/>
        <v>5.4266517162924908</v>
      </c>
      <c r="Q17" s="57">
        <f t="shared" si="3"/>
        <v>0.32778507469796908</v>
      </c>
      <c r="R17" s="54">
        <f t="shared" si="4"/>
        <v>0.27117448630136992</v>
      </c>
      <c r="S17" s="54">
        <f t="shared" si="5"/>
        <v>58.573689041095896</v>
      </c>
      <c r="AC17" s="189" t="s">
        <v>144</v>
      </c>
      <c r="AD17" s="131">
        <f>VLOOKUP(AC17,Inkjøp[],2,FALSE)-VLOOKUP(AC17,Salg_Total[],2,FALSE)</f>
        <v>-3</v>
      </c>
      <c r="AE17" s="131">
        <v>0</v>
      </c>
      <c r="AF17" s="132">
        <v>4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3">
        <f>VLOOKUP(B18,Inkjøp[],2,FALSE)</f>
        <v>216</v>
      </c>
      <c r="E18" s="174">
        <f>VLOOKUP(B18,Inkjøp[],3,FALSE)</f>
        <v>5663.9879999999994</v>
      </c>
      <c r="F18" s="174">
        <f t="shared" si="7"/>
        <v>5942.1600000000008</v>
      </c>
      <c r="G18" s="175">
        <f>IFERROR(VLOOKUP(B18,Salg_Total[],2,FALSE),0)</f>
        <v>167</v>
      </c>
      <c r="H18" s="176">
        <f>IFERROR(VLOOKUP(B18,Salg_Total[],3,FALSE),0)*0.9825</f>
        <v>4594.17</v>
      </c>
      <c r="I18" s="177">
        <f>VLOOKUP(B18,'Master kiosk'!$AC$2:$AF$73,4,FALSE)</f>
        <v>-1</v>
      </c>
      <c r="J18" s="116">
        <f t="shared" si="0"/>
        <v>-27.51</v>
      </c>
      <c r="K18" s="178">
        <f t="shared" si="1"/>
        <v>50</v>
      </c>
      <c r="L18" s="179">
        <f t="shared" si="8"/>
        <v>-1069.8179999999993</v>
      </c>
      <c r="M18" s="179">
        <f t="shared" si="9"/>
        <v>1375.5</v>
      </c>
      <c r="P18" s="56">
        <f t="shared" si="2"/>
        <v>1.2856045138888954</v>
      </c>
      <c r="Q18" s="57">
        <f t="shared" si="3"/>
        <v>2.431328001938712E-2</v>
      </c>
      <c r="R18" s="54">
        <f t="shared" si="4"/>
        <v>0.48142500000000005</v>
      </c>
      <c r="S18" s="54">
        <f t="shared" si="5"/>
        <v>103.98780000000002</v>
      </c>
      <c r="AC18" s="189" t="s">
        <v>145</v>
      </c>
      <c r="AD18" s="131">
        <f>VLOOKUP(AC18,Inkjøp[],2,FALSE)-VLOOKUP(AC18,Salg_Total[],2,FALSE)</f>
        <v>49</v>
      </c>
      <c r="AE18" s="133">
        <v>42</v>
      </c>
      <c r="AF18" s="132">
        <v>-1</v>
      </c>
    </row>
    <row r="19" spans="1:32" ht="16" customHeight="1" x14ac:dyDescent="0.4">
      <c r="B19" s="13" t="str">
        <v>Battery Original</v>
      </c>
      <c r="C19" s="151">
        <f t="shared" si="6"/>
        <v>27.51</v>
      </c>
      <c r="D19" s="173">
        <f>VLOOKUP(B19,Inkjøp[],2,FALSE)</f>
        <v>168</v>
      </c>
      <c r="E19" s="174">
        <f>VLOOKUP(B19,Inkjøp[],3,FALSE)</f>
        <v>3334.9919999999993</v>
      </c>
      <c r="F19" s="174">
        <f t="shared" si="7"/>
        <v>4621.68</v>
      </c>
      <c r="G19" s="175">
        <f>IFERROR(VLOOKUP(B19,Salg_Total[],2,FALSE),0)</f>
        <v>121</v>
      </c>
      <c r="H19" s="176">
        <f>IFERROR(VLOOKUP(B19,Salg_Total[],3,FALSE),0)*0.9825</f>
        <v>3328.71</v>
      </c>
      <c r="I19" s="177">
        <f>VLOOKUP(B19,'Master kiosk'!$AC$2:$AF$73,4,FALSE)</f>
        <v>-23</v>
      </c>
      <c r="J19" s="116">
        <f t="shared" si="0"/>
        <v>-632.73</v>
      </c>
      <c r="K19" s="178">
        <f t="shared" si="1"/>
        <v>70</v>
      </c>
      <c r="L19" s="179">
        <f t="shared" si="8"/>
        <v>-6.2819999999992433</v>
      </c>
      <c r="M19" s="179">
        <f t="shared" si="9"/>
        <v>1925.7</v>
      </c>
      <c r="P19" s="56">
        <f t="shared" si="2"/>
        <v>7.6559915178571494</v>
      </c>
      <c r="Q19" s="57">
        <f t="shared" si="3"/>
        <v>0.25590265877343321</v>
      </c>
      <c r="R19" s="54">
        <f t="shared" si="4"/>
        <v>0.48142500000000005</v>
      </c>
      <c r="S19" s="54">
        <f t="shared" si="5"/>
        <v>80.879400000000018</v>
      </c>
      <c r="AC19" s="189" t="s">
        <v>147</v>
      </c>
      <c r="AD19" s="131">
        <f>VLOOKUP(AC19,Inkjøp[],2,FALSE)-VLOOKUP(AC19,Salg_Total[],2,FALSE)</f>
        <v>47</v>
      </c>
      <c r="AE19" s="131">
        <v>31</v>
      </c>
      <c r="AF19" s="132">
        <v>-23</v>
      </c>
    </row>
    <row r="20" spans="1:32" ht="16" customHeight="1" x14ac:dyDescent="0.4">
      <c r="B20" s="13" t="str">
        <v>Battery Peachberry</v>
      </c>
      <c r="C20" s="151">
        <f t="shared" si="6"/>
        <v>27.509999999999998</v>
      </c>
      <c r="D20" s="173">
        <f>VLOOKUP(B20,Inkjøp[],2,FALSE)</f>
        <v>360</v>
      </c>
      <c r="E20" s="174">
        <f>VLOOKUP(B20,Inkjøp[],3,FALSE)</f>
        <v>7740.8639999999987</v>
      </c>
      <c r="F20" s="174">
        <f t="shared" si="7"/>
        <v>9903.5999999999985</v>
      </c>
      <c r="G20" s="175">
        <f>IFERROR(VLOOKUP(B20,Salg_Total[],2,FALSE),0)</f>
        <v>308</v>
      </c>
      <c r="H20" s="176">
        <f>IFERROR(VLOOKUP(B20,Salg_Total[],3,FALSE),0)*0.9825</f>
        <v>8473.08</v>
      </c>
      <c r="I20" s="177">
        <f>VLOOKUP(B20,'Master kiosk'!$AC$2:$AF$73,4,FALSE)</f>
        <v>3</v>
      </c>
      <c r="J20" s="116">
        <f t="shared" si="0"/>
        <v>82.53</v>
      </c>
      <c r="K20" s="178">
        <f t="shared" si="1"/>
        <v>49</v>
      </c>
      <c r="L20" s="179">
        <f t="shared" si="8"/>
        <v>732.21600000000126</v>
      </c>
      <c r="M20" s="179">
        <f t="shared" si="9"/>
        <v>1347.99</v>
      </c>
      <c r="P20" s="56">
        <f t="shared" si="2"/>
        <v>6.0062627083333329</v>
      </c>
      <c r="Q20" s="57">
        <f t="shared" si="3"/>
        <v>0.19587877135587062</v>
      </c>
      <c r="R20" s="54">
        <f t="shared" si="4"/>
        <v>0.48142499999999999</v>
      </c>
      <c r="S20" s="54">
        <f t="shared" si="5"/>
        <v>173.31299999999999</v>
      </c>
      <c r="AC20" s="189" t="s">
        <v>149</v>
      </c>
      <c r="AD20" s="131">
        <f>VLOOKUP(AC20,Inkjøp[],2,FALSE)-VLOOKUP(AC20,Salg_Total[],2,FALSE)</f>
        <v>52</v>
      </c>
      <c r="AE20" s="133">
        <v>0</v>
      </c>
      <c r="AF20" s="132">
        <v>3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3">
        <f>VLOOKUP(B21,Inkjøp[],2,FALSE)</f>
        <v>24</v>
      </c>
      <c r="E21" s="174">
        <f>VLOOKUP(B21,Inkjøp[],3,FALSE)</f>
        <v>676.70399999999995</v>
      </c>
      <c r="F21" s="174">
        <f t="shared" si="7"/>
        <v>660.24</v>
      </c>
      <c r="G21" s="175">
        <f>IFERROR(VLOOKUP(B21,Salg_Total[],2,FALSE),0)</f>
        <v>21</v>
      </c>
      <c r="H21" s="176">
        <f>IFERROR(VLOOKUP(B21,Salg_Total[],3,FALSE),0)*0.9825</f>
        <v>577.71</v>
      </c>
      <c r="I21" s="177">
        <f>VLOOKUP(B21,'Master kiosk'!$AC$2:$AF$73,4,FALSE)</f>
        <v>18</v>
      </c>
      <c r="J21" s="116">
        <f t="shared" si="0"/>
        <v>495.18</v>
      </c>
      <c r="K21" s="178">
        <f t="shared" si="1"/>
        <v>-15</v>
      </c>
      <c r="L21" s="179">
        <f t="shared" si="8"/>
        <v>-98.993999999999915</v>
      </c>
      <c r="M21" s="179">
        <f t="shared" si="9"/>
        <v>-412.65000000000003</v>
      </c>
      <c r="P21" s="56">
        <f t="shared" si="2"/>
        <v>-0.7060593749999976</v>
      </c>
      <c r="Q21" s="57">
        <f t="shared" si="3"/>
        <v>-4.7436386768447747E-2</v>
      </c>
      <c r="R21" s="54">
        <f t="shared" si="4"/>
        <v>0.48142500000000005</v>
      </c>
      <c r="S21" s="54">
        <f t="shared" si="5"/>
        <v>11.554200000000002</v>
      </c>
      <c r="AC21" s="189" t="s">
        <v>150</v>
      </c>
      <c r="AD21" s="131">
        <f>VLOOKUP(AC21,Inkjøp[],2,FALSE)-VLOOKUP(AC21,Salg_Total[],2,FALSE)</f>
        <v>3</v>
      </c>
      <c r="AE21" s="131">
        <v>0</v>
      </c>
      <c r="AF21" s="132">
        <v>18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3">
        <f>VLOOKUP(B22,Inkjøp[],2,FALSE)</f>
        <v>24</v>
      </c>
      <c r="E22" s="174">
        <f>VLOOKUP(B22,Inkjøp[],3,FALSE)</f>
        <v>699.88799999999992</v>
      </c>
      <c r="F22" s="174">
        <f t="shared" si="7"/>
        <v>660.24</v>
      </c>
      <c r="G22" s="175">
        <f>IFERROR(VLOOKUP(B22,Salg_Total[],2,FALSE),0)</f>
        <v>6</v>
      </c>
      <c r="H22" s="176">
        <f>IFERROR(VLOOKUP(B22,Salg_Total[],3,FALSE),0)*0.9825</f>
        <v>165.06</v>
      </c>
      <c r="I22" s="177">
        <f>VLOOKUP(B22,'Master kiosk'!$AC$2:$AF$73,4,FALSE)</f>
        <v>2</v>
      </c>
      <c r="J22" s="116">
        <f t="shared" si="0"/>
        <v>55.02</v>
      </c>
      <c r="K22" s="178">
        <f t="shared" si="1"/>
        <v>16</v>
      </c>
      <c r="L22" s="179">
        <f t="shared" si="8"/>
        <v>-534.82799999999997</v>
      </c>
      <c r="M22" s="179">
        <f t="shared" si="9"/>
        <v>440.16</v>
      </c>
      <c r="P22" s="56">
        <f t="shared" si="2"/>
        <v>-1.6720593749999964</v>
      </c>
      <c r="Q22" s="57">
        <f t="shared" si="3"/>
        <v>-8.2550890585241593E-2</v>
      </c>
      <c r="R22" s="54">
        <f t="shared" si="4"/>
        <v>0.48142500000000005</v>
      </c>
      <c r="S22" s="54">
        <f t="shared" si="5"/>
        <v>11.554200000000002</v>
      </c>
      <c r="AC22" s="189" t="s">
        <v>151</v>
      </c>
      <c r="AD22" s="131">
        <f>VLOOKUP(AC22,Inkjøp[],2,FALSE)-VLOOKUP(AC22,Salg_Total[],2,FALSE)</f>
        <v>18</v>
      </c>
      <c r="AE22" s="133">
        <v>0</v>
      </c>
      <c r="AF22" s="132">
        <v>2</v>
      </c>
    </row>
    <row r="23" spans="1:32" ht="16" customHeight="1" x14ac:dyDescent="0.4">
      <c r="B23" s="13" t="str">
        <v>Battery Blueberry</v>
      </c>
      <c r="C23" s="151">
        <f t="shared" si="6"/>
        <v>27.549300000000002</v>
      </c>
      <c r="D23" s="173">
        <f>VLOOKUP(B23,Inkjøp[],2,FALSE)</f>
        <v>96</v>
      </c>
      <c r="E23" s="174">
        <f>VLOOKUP(B23,Inkjøp[],3,FALSE)</f>
        <v>2095.2959999999998</v>
      </c>
      <c r="F23" s="174">
        <f t="shared" si="7"/>
        <v>2644.7328000000002</v>
      </c>
      <c r="G23" s="175">
        <f>IFERROR(VLOOKUP(B23,Salg_Total[],2,FALSE),0)</f>
        <v>50</v>
      </c>
      <c r="H23" s="176">
        <f>IFERROR(VLOOKUP(B23,Salg_Total[],3,FALSE),0)*0.9825</f>
        <v>1377.4650000000001</v>
      </c>
      <c r="I23" s="177">
        <f>VLOOKUP(B23,'Master kiosk'!$AC$2:$AF$73,4,FALSE)</f>
        <v>-2</v>
      </c>
      <c r="J23" s="116">
        <f t="shared" si="0"/>
        <v>-55.098600000000005</v>
      </c>
      <c r="K23" s="178">
        <f t="shared" si="1"/>
        <v>48</v>
      </c>
      <c r="L23" s="179">
        <f t="shared" si="8"/>
        <v>-717.83099999999968</v>
      </c>
      <c r="M23" s="179">
        <f t="shared" si="9"/>
        <v>1322.3664000000001</v>
      </c>
      <c r="P23" s="56">
        <f t="shared" si="2"/>
        <v>5.7182779921875033</v>
      </c>
      <c r="Q23" s="57">
        <f t="shared" si="3"/>
        <v>0.18524756527389094</v>
      </c>
      <c r="R23" s="54">
        <f t="shared" si="4"/>
        <v>0.48211275000000009</v>
      </c>
      <c r="S23" s="54">
        <f t="shared" si="5"/>
        <v>46.282824000000005</v>
      </c>
      <c r="AC23" s="189" t="s">
        <v>152</v>
      </c>
      <c r="AD23" s="131">
        <f>VLOOKUP(AC23,Inkjøp[],2,FALSE)-VLOOKUP(AC23,Salg_Total[],2,FALSE)</f>
        <v>46</v>
      </c>
      <c r="AE23" s="131">
        <v>0</v>
      </c>
      <c r="AF23" s="132">
        <v>-2</v>
      </c>
    </row>
    <row r="24" spans="1:32" ht="16" customHeight="1" x14ac:dyDescent="0.4">
      <c r="B24" s="13" t="str">
        <v>Burn</v>
      </c>
      <c r="C24" s="151">
        <f t="shared" si="6"/>
        <v>29.134903846153847</v>
      </c>
      <c r="D24" s="173">
        <f>VLOOKUP(B24,Inkjøp[],2,FALSE)</f>
        <v>48</v>
      </c>
      <c r="E24" s="174">
        <f>VLOOKUP(B24,Inkjøp[],3,FALSE)</f>
        <v>1715.5439999999999</v>
      </c>
      <c r="F24" s="174">
        <f t="shared" si="7"/>
        <v>1398.4753846153847</v>
      </c>
      <c r="G24" s="175">
        <f>IFERROR(VLOOKUP(B24,Salg_Total[],2,FALSE),0)</f>
        <v>52</v>
      </c>
      <c r="H24" s="176">
        <f>IFERROR(VLOOKUP(B24,Salg_Total[],3,FALSE),0)*0.9825</f>
        <v>1515.0150000000001</v>
      </c>
      <c r="I24" s="177">
        <f>VLOOKUP(B24,'Master kiosk'!$AC$2:$AF$73,4,FALSE)</f>
        <v>15</v>
      </c>
      <c r="J24" s="116">
        <f t="shared" si="0"/>
        <v>437.02355769230769</v>
      </c>
      <c r="K24" s="178">
        <f t="shared" si="1"/>
        <v>-19</v>
      </c>
      <c r="L24" s="179">
        <f t="shared" si="8"/>
        <v>-200.52899999999977</v>
      </c>
      <c r="M24" s="179">
        <f t="shared" si="9"/>
        <v>-553.56317307692314</v>
      </c>
      <c r="P24" s="56">
        <f t="shared" si="2"/>
        <v>-6.6162182542067276</v>
      </c>
      <c r="Q24" s="57">
        <f t="shared" si="3"/>
        <v>-0.24922448787635751</v>
      </c>
      <c r="R24" s="54">
        <f t="shared" si="4"/>
        <v>0.50986081730769239</v>
      </c>
      <c r="S24" s="54">
        <f t="shared" si="5"/>
        <v>24.473319230769235</v>
      </c>
      <c r="AC24" s="189" t="s">
        <v>153</v>
      </c>
      <c r="AD24" s="131">
        <f>VLOOKUP(AC24,Inkjøp[],2,FALSE)-VLOOKUP(AC24,Salg_Total[],2,FALSE)</f>
        <v>-4</v>
      </c>
      <c r="AE24" s="133">
        <v>0</v>
      </c>
      <c r="AF24" s="132">
        <v>15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3">
        <f>VLOOKUP(B25,Inkjøp[],2,FALSE)</f>
        <v>96</v>
      </c>
      <c r="E25" s="174">
        <f>VLOOKUP(B25,Inkjøp[],3,FALSE)</f>
        <v>1963.6019999999999</v>
      </c>
      <c r="F25" s="174">
        <f t="shared" si="7"/>
        <v>2263.6800000000003</v>
      </c>
      <c r="G25" s="175">
        <f>IFERROR(VLOOKUP(B25,Salg_Total[],2,FALSE),0)</f>
        <v>58</v>
      </c>
      <c r="H25" s="176">
        <f>IFERROR(VLOOKUP(B25,Salg_Total[],3,FALSE),0)*0.9825</f>
        <v>1367.64</v>
      </c>
      <c r="I25" s="177">
        <v>1</v>
      </c>
      <c r="J25" s="116">
        <f t="shared" si="0"/>
        <v>23.580000000000002</v>
      </c>
      <c r="K25" s="178">
        <f t="shared" si="1"/>
        <v>37</v>
      </c>
      <c r="L25" s="179">
        <f t="shared" si="8"/>
        <v>-595.96199999999976</v>
      </c>
      <c r="M25" s="179">
        <f t="shared" si="9"/>
        <v>872.46</v>
      </c>
      <c r="P25" s="56">
        <f t="shared" si="2"/>
        <v>3.1215140625000046</v>
      </c>
      <c r="Q25" s="57">
        <f t="shared" si="3"/>
        <v>0.11006202290076353</v>
      </c>
      <c r="R25" s="54">
        <f t="shared" si="4"/>
        <v>0.41265000000000007</v>
      </c>
      <c r="S25" s="54">
        <f t="shared" si="5"/>
        <v>39.61440000000001</v>
      </c>
      <c r="AC25" s="189" t="s">
        <v>154</v>
      </c>
      <c r="AD25" s="131">
        <f>VLOOKUP(AC25,Inkjøp[],2,FALSE)-VLOOKUP(AC25,Salg_Total[],2,FALSE)</f>
        <v>38</v>
      </c>
      <c r="AE25" s="131">
        <v>0</v>
      </c>
      <c r="AF25" s="132">
        <v>1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3">
        <f>VLOOKUP(B26,Inkjøp[],2,FALSE)</f>
        <v>48</v>
      </c>
      <c r="E26" s="174">
        <f>VLOOKUP(B26,Inkjøp[],3,FALSE)</f>
        <v>1090.8899999999999</v>
      </c>
      <c r="F26" s="174">
        <f t="shared" si="7"/>
        <v>1131.8400000000001</v>
      </c>
      <c r="G26" s="175">
        <f>IFERROR(VLOOKUP(B26,Salg_Total[],2,FALSE),0)</f>
        <v>48</v>
      </c>
      <c r="H26" s="176">
        <f>IFERROR(VLOOKUP(B26,Salg_Total[],3,FALSE),0)*0.9825</f>
        <v>1131.8400000000001</v>
      </c>
      <c r="I26" s="177">
        <f>VLOOKUP(B26,'Master kiosk'!$AC$2:$AF$73,4,FALSE)</f>
        <v>-2</v>
      </c>
      <c r="J26" s="116">
        <f t="shared" si="0"/>
        <v>-47.160000000000004</v>
      </c>
      <c r="K26" s="178">
        <f t="shared" si="1"/>
        <v>2</v>
      </c>
      <c r="L26" s="179">
        <f t="shared" si="8"/>
        <v>40.950000000000273</v>
      </c>
      <c r="M26" s="179">
        <f t="shared" si="9"/>
        <v>47.160000000000004</v>
      </c>
      <c r="P26" s="56">
        <f t="shared" si="2"/>
        <v>0.84452812500000574</v>
      </c>
      <c r="Q26" s="57">
        <f t="shared" si="3"/>
        <v>1.3680025445292857E-2</v>
      </c>
      <c r="R26" s="54">
        <f t="shared" si="4"/>
        <v>0.41265000000000007</v>
      </c>
      <c r="S26" s="54">
        <f t="shared" si="5"/>
        <v>19.807200000000005</v>
      </c>
      <c r="AC26" s="189" t="s">
        <v>155</v>
      </c>
      <c r="AD26" s="131">
        <f>VLOOKUP(AC26,Inkjøp[],2,FALSE)-VLOOKUP(AC26,Salg_Total[],2,FALSE)</f>
        <v>0</v>
      </c>
      <c r="AE26" s="133">
        <v>0</v>
      </c>
      <c r="AF26" s="132">
        <v>-2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3">
        <f>VLOOKUP(B27,Inkjøp[],2,FALSE)</f>
        <v>84</v>
      </c>
      <c r="E27" s="174">
        <f>VLOOKUP(B27,Inkjøp[],3,FALSE)</f>
        <v>1529.1779999999999</v>
      </c>
      <c r="F27" s="174">
        <f t="shared" si="7"/>
        <v>1980.7200000000003</v>
      </c>
      <c r="G27" s="175">
        <f>IFERROR(VLOOKUP(B27,Salg_Total[],2,FALSE),0)</f>
        <v>78</v>
      </c>
      <c r="H27" s="176">
        <f>IFERROR(VLOOKUP(B27,Salg_Total[],3,FALSE),0)*0.9825</f>
        <v>1839.24</v>
      </c>
      <c r="I27" s="177">
        <f>VLOOKUP(B27,'Master kiosk'!$AC$2:$AF$73,4,FALSE)</f>
        <v>-13</v>
      </c>
      <c r="J27" s="116">
        <f t="shared" si="0"/>
        <v>-306.54000000000002</v>
      </c>
      <c r="K27" s="178">
        <f t="shared" si="1"/>
        <v>19</v>
      </c>
      <c r="L27" s="179">
        <f t="shared" si="8"/>
        <v>310.06200000000013</v>
      </c>
      <c r="M27" s="179">
        <f t="shared" si="9"/>
        <v>448.02000000000004</v>
      </c>
      <c r="P27" s="56">
        <f t="shared" si="2"/>
        <v>5.3705875000000045</v>
      </c>
      <c r="Q27" s="57">
        <f t="shared" si="3"/>
        <v>0.20546861747243444</v>
      </c>
      <c r="R27" s="54">
        <f t="shared" si="4"/>
        <v>0.41265000000000007</v>
      </c>
      <c r="S27" s="54">
        <f t="shared" si="5"/>
        <v>34.662600000000005</v>
      </c>
      <c r="AC27" s="189" t="s">
        <v>156</v>
      </c>
      <c r="AD27" s="131">
        <f>VLOOKUP(AC27,Inkjøp[],2,FALSE)-VLOOKUP(AC27,Salg_Total[],2,FALSE)</f>
        <v>6</v>
      </c>
      <c r="AE27" s="131">
        <v>0</v>
      </c>
      <c r="AF27" s="132">
        <v>-13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3">
        <f>VLOOKUP(B28,Inkjøp[],2,FALSE)</f>
        <v>82</v>
      </c>
      <c r="E28" s="174">
        <f>VLOOKUP(B28,Inkjøp[],3,FALSE)</f>
        <v>1692.7999999999997</v>
      </c>
      <c r="F28" s="174">
        <f t="shared" si="7"/>
        <v>1933.5600000000002</v>
      </c>
      <c r="G28" s="175">
        <f>IFERROR(VLOOKUP(B28,Salg_Total[],2,FALSE),0)</f>
        <v>81</v>
      </c>
      <c r="H28" s="176">
        <f>IFERROR(VLOOKUP(B28,Salg_Total[],3,FALSE),0)*0.9825</f>
        <v>1909.98</v>
      </c>
      <c r="I28" s="177">
        <f>VLOOKUP(B28,'Master kiosk'!$AC$2:$AF$73,4,FALSE)</f>
        <v>-2</v>
      </c>
      <c r="J28" s="116">
        <f t="shared" si="0"/>
        <v>-47.160000000000004</v>
      </c>
      <c r="K28" s="178">
        <f t="shared" si="1"/>
        <v>3</v>
      </c>
      <c r="L28" s="179">
        <f t="shared" si="8"/>
        <v>217.18000000000029</v>
      </c>
      <c r="M28" s="179">
        <f t="shared" si="9"/>
        <v>70.740000000000009</v>
      </c>
      <c r="P28" s="56">
        <f t="shared" si="2"/>
        <v>2.9310652439024443</v>
      </c>
      <c r="Q28" s="57">
        <f t="shared" si="3"/>
        <v>0.10201643600405493</v>
      </c>
      <c r="R28" s="54">
        <f t="shared" si="4"/>
        <v>0.41265000000000007</v>
      </c>
      <c r="S28" s="54">
        <f t="shared" si="5"/>
        <v>33.837300000000006</v>
      </c>
      <c r="AC28" s="189" t="s">
        <v>157</v>
      </c>
      <c r="AD28" s="131">
        <f>VLOOKUP(AC28,Inkjøp[],2,FALSE)-VLOOKUP(AC28,Salg_Total[],2,FALSE)</f>
        <v>1</v>
      </c>
      <c r="AE28" s="133">
        <v>0</v>
      </c>
      <c r="AF28" s="132">
        <v>-2</v>
      </c>
    </row>
    <row r="29" spans="1:32" ht="16" customHeight="1" x14ac:dyDescent="0.4">
      <c r="A29" t="s">
        <v>110</v>
      </c>
      <c r="B29" s="13" t="str">
        <v>Iskaffe Mocha</v>
      </c>
      <c r="C29" s="151">
        <f t="shared" si="6"/>
        <v>23.58</v>
      </c>
      <c r="D29" s="173">
        <f>VLOOKUP(B29,Inkjøp[],2,FALSE)</f>
        <v>60</v>
      </c>
      <c r="E29" s="174">
        <f>VLOOKUP(B29,Inkjøp[],3,FALSE)</f>
        <v>1090.8899999999999</v>
      </c>
      <c r="F29" s="174">
        <f t="shared" si="7"/>
        <v>1414.8</v>
      </c>
      <c r="G29" s="175">
        <f>IFERROR(VLOOKUP(B29,Salg_Total[],2,FALSE),0)</f>
        <v>44</v>
      </c>
      <c r="H29" s="176">
        <f>IFERROR(VLOOKUP(B29,Salg_Total[],3,FALSE),0)*0.9825</f>
        <v>1037.52</v>
      </c>
      <c r="I29" s="177">
        <f>VLOOKUP(B29,'Master kiosk'!$AC$2:$AF$73,4,FALSE)</f>
        <v>2</v>
      </c>
      <c r="J29" s="116">
        <f t="shared" si="0"/>
        <v>47.16</v>
      </c>
      <c r="K29" s="178">
        <f t="shared" si="1"/>
        <v>14</v>
      </c>
      <c r="L29" s="179">
        <f t="shared" si="8"/>
        <v>-53.369999999999891</v>
      </c>
      <c r="M29" s="179">
        <f t="shared" si="9"/>
        <v>330.12</v>
      </c>
      <c r="P29" s="56">
        <f t="shared" si="2"/>
        <v>5.3916225000000013</v>
      </c>
      <c r="Q29" s="57">
        <f t="shared" si="3"/>
        <v>0.20644402035623419</v>
      </c>
      <c r="R29" s="54">
        <f t="shared" si="4"/>
        <v>0.41265000000000002</v>
      </c>
      <c r="S29" s="54">
        <f t="shared" si="5"/>
        <v>24.759</v>
      </c>
      <c r="AC29" s="189" t="s">
        <v>158</v>
      </c>
      <c r="AD29" s="131">
        <f>VLOOKUP(AC29,Inkjøp[],2,FALSE)-VLOOKUP(AC29,Salg_Total[],2,FALSE)</f>
        <v>16</v>
      </c>
      <c r="AE29" s="131">
        <v>0</v>
      </c>
      <c r="AF29" s="132">
        <v>2</v>
      </c>
    </row>
    <row r="30" spans="1:32" ht="16" customHeight="1" x14ac:dyDescent="0.4">
      <c r="B30" s="13" t="str">
        <v>Iskaffe Pumpkin Spice</v>
      </c>
      <c r="C30" s="151">
        <f t="shared" si="6"/>
        <v>23.074714285714286</v>
      </c>
      <c r="D30" s="173">
        <f>VLOOKUP(B30,Inkjøp[],2,FALSE)</f>
        <v>36</v>
      </c>
      <c r="E30" s="174">
        <f>VLOOKUP(B30,Inkjøp[],3,FALSE)</f>
        <v>1157.8200000000002</v>
      </c>
      <c r="F30" s="174">
        <f t="shared" si="7"/>
        <v>830.68971428571433</v>
      </c>
      <c r="G30" s="175">
        <f>IFERROR(VLOOKUP(B30,Salg_Total[],2,FALSE),0)</f>
        <v>35</v>
      </c>
      <c r="H30" s="176">
        <f>IFERROR(VLOOKUP(B30,Salg_Total[],3,FALSE),0)*0.9825</f>
        <v>807.61500000000001</v>
      </c>
      <c r="I30" s="177">
        <f>VLOOKUP(B30,'Master kiosk'!$AC$2:$AF$73,4,FALSE)</f>
        <v>1</v>
      </c>
      <c r="J30" s="116">
        <f t="shared" si="0"/>
        <v>23.074714285714286</v>
      </c>
      <c r="K30" s="178">
        <f t="shared" si="1"/>
        <v>0</v>
      </c>
      <c r="L30" s="179">
        <f t="shared" si="8"/>
        <v>-350.20500000000015</v>
      </c>
      <c r="M30" s="179">
        <f t="shared" si="9"/>
        <v>0</v>
      </c>
      <c r="P30" s="56">
        <f t="shared" si="2"/>
        <v>-9.098169255952385</v>
      </c>
      <c r="Q30" s="57">
        <f t="shared" si="3"/>
        <v>-0.41630562933245846</v>
      </c>
      <c r="R30" s="54">
        <f t="shared" si="4"/>
        <v>0.40380750000000004</v>
      </c>
      <c r="S30" s="54">
        <f t="shared" si="5"/>
        <v>14.537070000000002</v>
      </c>
      <c r="AC30" s="189" t="s">
        <v>159</v>
      </c>
      <c r="AD30" s="131">
        <f>VLOOKUP(AC30,Inkjøp[],2,FALSE)-VLOOKUP(AC30,Salg_Total[],2,FALSE)</f>
        <v>1</v>
      </c>
      <c r="AE30" s="133">
        <v>0</v>
      </c>
      <c r="AF30" s="132">
        <v>1</v>
      </c>
    </row>
    <row r="31" spans="1:32" ht="16" customHeight="1" x14ac:dyDescent="0.4">
      <c r="B31" s="13" t="str">
        <v>Sjokomelk</v>
      </c>
      <c r="C31" s="151">
        <f t="shared" si="6"/>
        <v>14.949491701244815</v>
      </c>
      <c r="D31" s="173">
        <f>VLOOKUP(B31,Inkjøp[],2,FALSE)</f>
        <v>306</v>
      </c>
      <c r="E31" s="174">
        <f>VLOOKUP(B31,Inkjøp[],3,FALSE)</f>
        <v>3378.24</v>
      </c>
      <c r="F31" s="174">
        <f t="shared" si="7"/>
        <v>4574.5444605809134</v>
      </c>
      <c r="G31" s="175">
        <f>IFERROR(VLOOKUP(B31,Salg_Total[],2,FALSE),0)</f>
        <v>241</v>
      </c>
      <c r="H31" s="176">
        <f>IFERROR(VLOOKUP(B31,Salg_Total[],3,FALSE),0)*0.9825</f>
        <v>3602.8275000000003</v>
      </c>
      <c r="I31" s="177">
        <f>VLOOKUP(B31,'Master kiosk'!$AC$2:$AF$73,4,FALSE)</f>
        <v>6</v>
      </c>
      <c r="J31" s="116">
        <f t="shared" si="0"/>
        <v>89.696950207468888</v>
      </c>
      <c r="K31" s="178">
        <f t="shared" si="1"/>
        <v>59</v>
      </c>
      <c r="L31" s="179">
        <f t="shared" si="8"/>
        <v>224.58750000000055</v>
      </c>
      <c r="M31" s="179">
        <f t="shared" si="9"/>
        <v>882.02001037344405</v>
      </c>
      <c r="P31" s="56">
        <f t="shared" si="2"/>
        <v>3.9086367466540586</v>
      </c>
      <c r="Q31" s="57">
        <f t="shared" si="3"/>
        <v>0.23901335305395568</v>
      </c>
      <c r="R31" s="54">
        <f t="shared" si="4"/>
        <v>0.26161610477178426</v>
      </c>
      <c r="S31" s="54">
        <f t="shared" si="5"/>
        <v>80.054528060165993</v>
      </c>
      <c r="AC31" s="189" t="s">
        <v>160</v>
      </c>
      <c r="AD31" s="131">
        <f>VLOOKUP(AC31,Inkjøp[],2,FALSE)-VLOOKUP(AC31,Salg_Total[],2,FALSE)</f>
        <v>65</v>
      </c>
      <c r="AE31" s="131">
        <v>9</v>
      </c>
      <c r="AF31" s="132">
        <v>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3">
        <f>VLOOKUP(B32,Inkjøp[],2,FALSE)</f>
        <v>264</v>
      </c>
      <c r="E32" s="174">
        <f>VLOOKUP(B32,Inkjøp[],3,FALSE)</f>
        <v>5497.9319999999998</v>
      </c>
      <c r="F32" s="174">
        <f t="shared" si="7"/>
        <v>7262.64</v>
      </c>
      <c r="G32" s="175">
        <f>IFERROR(VLOOKUP(B32,Salg_Total[],2,FALSE),0)</f>
        <v>176</v>
      </c>
      <c r="H32" s="176">
        <f>IFERROR(VLOOKUP(B32,Salg_Total[],3,FALSE),0)*0.9825</f>
        <v>4841.76</v>
      </c>
      <c r="I32" s="177">
        <f>VLOOKUP(B32,'Master kiosk'!$AC$2:$AF$73,4,FALSE)</f>
        <v>-4</v>
      </c>
      <c r="J32" s="116">
        <f t="shared" si="0"/>
        <v>-110.04</v>
      </c>
      <c r="K32" s="178">
        <f t="shared" si="1"/>
        <v>92</v>
      </c>
      <c r="L32" s="179">
        <f t="shared" si="8"/>
        <v>-656.17199999999957</v>
      </c>
      <c r="M32" s="179">
        <f t="shared" si="9"/>
        <v>2530.92</v>
      </c>
      <c r="P32" s="56">
        <f t="shared" si="2"/>
        <v>6.6826764204545475</v>
      </c>
      <c r="Q32" s="57">
        <f t="shared" si="3"/>
        <v>0.22048436932024726</v>
      </c>
      <c r="R32" s="54">
        <f t="shared" si="4"/>
        <v>0.48142500000000005</v>
      </c>
      <c r="S32" s="54">
        <f t="shared" si="5"/>
        <v>127.09620000000002</v>
      </c>
      <c r="AC32" s="189" t="s">
        <v>161</v>
      </c>
      <c r="AD32" s="131">
        <f>VLOOKUP(AC32,Inkjøp[],2,FALSE)-VLOOKUP(AC32,Salg_Total[],2,FALSE)</f>
        <v>88</v>
      </c>
      <c r="AE32" s="133">
        <v>0</v>
      </c>
      <c r="AF32" s="132">
        <v>-4</v>
      </c>
    </row>
    <row r="33" spans="1:32" ht="16" customHeight="1" x14ac:dyDescent="0.4">
      <c r="B33" s="13" t="str">
        <v>Fanta Orange</v>
      </c>
      <c r="C33" s="151">
        <f t="shared" si="6"/>
        <v>27.509999999999998</v>
      </c>
      <c r="D33" s="173">
        <f>VLOOKUP(B33,Inkjøp[],2,FALSE)</f>
        <v>96</v>
      </c>
      <c r="E33" s="174">
        <f>VLOOKUP(B33,Inkjøp[],3,FALSE)</f>
        <v>2998.8719999999998</v>
      </c>
      <c r="F33" s="174">
        <f t="shared" si="7"/>
        <v>2640.96</v>
      </c>
      <c r="G33" s="175">
        <f>IFERROR(VLOOKUP(B33,Salg_Total[],2,FALSE),0)</f>
        <v>55</v>
      </c>
      <c r="H33" s="176">
        <f>IFERROR(VLOOKUP(B33,Salg_Total[],3,FALSE),0)*0.9825</f>
        <v>1513.05</v>
      </c>
      <c r="I33" s="177">
        <f>VLOOKUP(B33,'Master kiosk'!$AC$2:$AF$73,4,FALSE)</f>
        <v>9</v>
      </c>
      <c r="J33" s="116">
        <f t="shared" si="0"/>
        <v>247.58999999999997</v>
      </c>
      <c r="K33" s="178">
        <f t="shared" si="1"/>
        <v>32</v>
      </c>
      <c r="L33" s="179">
        <f t="shared" si="8"/>
        <v>-1485.8219999999999</v>
      </c>
      <c r="M33" s="179">
        <f t="shared" si="9"/>
        <v>880.31999999999994</v>
      </c>
      <c r="P33" s="56">
        <f t="shared" si="2"/>
        <v>-3.733264843749998</v>
      </c>
      <c r="Q33" s="57">
        <f t="shared" si="3"/>
        <v>-0.15802344601962914</v>
      </c>
      <c r="R33" s="54">
        <f t="shared" si="4"/>
        <v>0.48142499999999999</v>
      </c>
      <c r="S33" s="54">
        <f t="shared" si="5"/>
        <v>46.216800000000006</v>
      </c>
      <c r="AC33" s="189" t="s">
        <v>162</v>
      </c>
      <c r="AD33" s="131">
        <f>VLOOKUP(AC33,Inkjøp[],2,FALSE)-VLOOKUP(AC33,Salg_Total[],2,FALSE)</f>
        <v>41</v>
      </c>
      <c r="AE33" s="131">
        <v>49</v>
      </c>
      <c r="AF33" s="132">
        <v>9</v>
      </c>
    </row>
    <row r="34" spans="1:32" ht="16" customHeight="1" x14ac:dyDescent="0.4">
      <c r="B34" s="13" t="str">
        <v>Urge</v>
      </c>
      <c r="C34" s="151">
        <f t="shared" si="6"/>
        <v>27.311012658227849</v>
      </c>
      <c r="D34" s="173">
        <f>VLOOKUP(B34,Inkjøp[],2,FALSE)</f>
        <v>384</v>
      </c>
      <c r="E34" s="174">
        <f>VLOOKUP(B34,Inkjøp[],3,FALSE)</f>
        <v>9501.119999999999</v>
      </c>
      <c r="F34" s="174">
        <f t="shared" si="7"/>
        <v>10487.428860759494</v>
      </c>
      <c r="G34" s="175">
        <f>IFERROR(VLOOKUP(B34,Salg_Total[],2,FALSE),0)</f>
        <v>316</v>
      </c>
      <c r="H34" s="176">
        <f>IFERROR(VLOOKUP(B34,Salg_Total[],3,FALSE),0)*0.9825</f>
        <v>8630.2800000000007</v>
      </c>
      <c r="I34" s="177">
        <f>VLOOKUP(B34,'Master kiosk'!$AC$2:$AF$73,4,FALSE)</f>
        <v>4</v>
      </c>
      <c r="J34" s="116">
        <f t="shared" ref="J34:J65" si="10">I34*C34</f>
        <v>109.2440506329114</v>
      </c>
      <c r="K34" s="178">
        <f t="shared" ref="K34:K69" si="11">D34-G34-I34</f>
        <v>64</v>
      </c>
      <c r="L34" s="179">
        <f t="shared" si="8"/>
        <v>-870.83999999999833</v>
      </c>
      <c r="M34" s="179">
        <f t="shared" ref="M34:M66" si="12">K34*C34</f>
        <v>1747.9048101265823</v>
      </c>
      <c r="P34" s="56">
        <f t="shared" ref="P34:P66" si="13">(F34-E34-R34)/D34</f>
        <v>2.567268015723895</v>
      </c>
      <c r="Q34" s="57">
        <f t="shared" ref="Q34:Q66" si="14">(F34-E34-F34*0.0225)/F34</f>
        <v>7.1546774843921718E-2</v>
      </c>
      <c r="R34" s="54">
        <f t="shared" ref="R34:R66" si="15">C34*0.0175</f>
        <v>0.47794272151898742</v>
      </c>
      <c r="S34" s="54">
        <f t="shared" ref="S34:S66" si="16">F34*0.0175</f>
        <v>183.53000506329116</v>
      </c>
      <c r="AC34" s="189" t="s">
        <v>163</v>
      </c>
      <c r="AD34" s="131">
        <f>VLOOKUP(AC34,Inkjøp[],2,FALSE)-VLOOKUP(AC34,Salg_Total[],2,FALSE)</f>
        <v>68</v>
      </c>
      <c r="AE34" s="133">
        <v>0</v>
      </c>
      <c r="AF34" s="132">
        <v>4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3">
        <f>VLOOKUP(B35,Inkjøp[],2,FALSE)</f>
        <v>580</v>
      </c>
      <c r="E35" s="174">
        <f>VLOOKUP(B35,Inkjøp[],3,FALSE)</f>
        <v>7496.167199999999</v>
      </c>
      <c r="F35" s="174">
        <f t="shared" si="7"/>
        <v>11397.000000000002</v>
      </c>
      <c r="G35" s="175">
        <f>IFERROR(VLOOKUP(B35,Salg_Total[],2,FALSE),0)</f>
        <v>468</v>
      </c>
      <c r="H35" s="176">
        <f>IFERROR(VLOOKUP(B35,Salg_Total[],3,FALSE),0)*0.9825</f>
        <v>9196.2000000000007</v>
      </c>
      <c r="I35" s="177">
        <f>VLOOKUP(B35,'Master kiosk'!$AC$2:$AF$73,4,FALSE)</f>
        <v>0</v>
      </c>
      <c r="J35" s="116">
        <f t="shared" si="10"/>
        <v>0</v>
      </c>
      <c r="K35" s="178">
        <f t="shared" si="11"/>
        <v>112</v>
      </c>
      <c r="L35" s="179">
        <f t="shared" si="8"/>
        <v>1700.0328000000018</v>
      </c>
      <c r="M35" s="179">
        <f t="shared" si="12"/>
        <v>2200.8000000000002</v>
      </c>
      <c r="P35" s="56">
        <f t="shared" si="13"/>
        <v>6.7249809051724183</v>
      </c>
      <c r="Q35" s="57">
        <f t="shared" si="14"/>
        <v>0.31976838641747851</v>
      </c>
      <c r="R35" s="54">
        <f t="shared" si="15"/>
        <v>0.3438750000000001</v>
      </c>
      <c r="S35" s="54">
        <f t="shared" si="16"/>
        <v>199.44750000000005</v>
      </c>
      <c r="AC35" s="189" t="s">
        <v>164</v>
      </c>
      <c r="AD35" s="131">
        <f>VLOOKUP(AC35,Inkjøp[],2,FALSE)-VLOOKUP(AC35,Salg_Total[],2,FALSE)</f>
        <v>112</v>
      </c>
      <c r="AE35" s="131">
        <v>0</v>
      </c>
      <c r="AF35" s="132">
        <v>0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3">
        <f>VLOOKUP(B36,Inkjøp[],2,FALSE)</f>
        <v>240</v>
      </c>
      <c r="E36" s="174">
        <f>VLOOKUP(B36,Inkjøp[],3,FALSE)</f>
        <v>2639.0699999999997</v>
      </c>
      <c r="F36" s="174">
        <f t="shared" si="7"/>
        <v>4716.0000000000009</v>
      </c>
      <c r="G36" s="175">
        <f>IFERROR(VLOOKUP(B36,Salg_Total[],2,FALSE),0)</f>
        <v>156</v>
      </c>
      <c r="H36" s="176">
        <f>IFERROR(VLOOKUP(B36,Salg_Total[],3,FALSE),0)*0.9825</f>
        <v>3065.4</v>
      </c>
      <c r="I36" s="177">
        <f>VLOOKUP(B36,'Master kiosk'!$AC$2:$AF$73,4,FALSE)</f>
        <v>-8</v>
      </c>
      <c r="J36" s="116">
        <f t="shared" si="10"/>
        <v>-157.20000000000002</v>
      </c>
      <c r="K36" s="178">
        <f t="shared" si="11"/>
        <v>92</v>
      </c>
      <c r="L36" s="179">
        <f t="shared" si="8"/>
        <v>426.33000000000038</v>
      </c>
      <c r="M36" s="179">
        <f t="shared" si="12"/>
        <v>1807.8000000000002</v>
      </c>
      <c r="P36" s="56">
        <f t="shared" si="13"/>
        <v>8.6524421875000055</v>
      </c>
      <c r="Q36" s="57">
        <f t="shared" si="14"/>
        <v>0.41790076335877879</v>
      </c>
      <c r="R36" s="54">
        <f t="shared" si="15"/>
        <v>0.3438750000000001</v>
      </c>
      <c r="S36" s="54">
        <f t="shared" si="16"/>
        <v>82.53000000000003</v>
      </c>
      <c r="AC36" s="189" t="s">
        <v>165</v>
      </c>
      <c r="AD36" s="131">
        <f>VLOOKUP(AC36,Inkjøp[],2,FALSE)-VLOOKUP(AC36,Salg_Total[],2,FALSE)</f>
        <v>84</v>
      </c>
      <c r="AE36" s="133">
        <v>0</v>
      </c>
      <c r="AF36" s="132">
        <v>-8</v>
      </c>
    </row>
    <row r="37" spans="1:32" ht="16" customHeight="1" x14ac:dyDescent="0.4">
      <c r="A37" t="s">
        <v>111</v>
      </c>
      <c r="B37" s="13" t="str">
        <v>Coca Cola Zero</v>
      </c>
      <c r="C37" s="151">
        <f t="shared" si="6"/>
        <v>19.649999999999999</v>
      </c>
      <c r="D37" s="173">
        <f>VLOOKUP(B37,Inkjøp[],2,FALSE)</f>
        <v>60</v>
      </c>
      <c r="E37" s="174">
        <f>VLOOKUP(B37,Inkjøp[],3,FALSE)</f>
        <v>841.05</v>
      </c>
      <c r="F37" s="174">
        <f t="shared" si="7"/>
        <v>1179</v>
      </c>
      <c r="G37" s="175">
        <f>IFERROR(VLOOKUP(B37,Salg_Total[],2,FALSE),0)</f>
        <v>65</v>
      </c>
      <c r="H37" s="176">
        <f>IFERROR(VLOOKUP(B37,Salg_Total[],3,FALSE),0)*0.9825</f>
        <v>1277.25</v>
      </c>
      <c r="I37" s="177">
        <f>VLOOKUP(B37,'Master kiosk'!$AC$2:$AF$73,4,FALSE)</f>
        <v>15</v>
      </c>
      <c r="J37" s="116">
        <f t="shared" si="10"/>
        <v>294.75</v>
      </c>
      <c r="K37" s="178">
        <f t="shared" si="11"/>
        <v>-20</v>
      </c>
      <c r="L37" s="179">
        <f t="shared" si="8"/>
        <v>436.20000000000005</v>
      </c>
      <c r="M37" s="179">
        <f t="shared" si="12"/>
        <v>-393</v>
      </c>
      <c r="P37" s="56">
        <f t="shared" si="13"/>
        <v>5.6267687500000001</v>
      </c>
      <c r="Q37" s="57">
        <f t="shared" si="14"/>
        <v>0.26414122137404589</v>
      </c>
      <c r="R37" s="54">
        <f t="shared" si="15"/>
        <v>0.34387499999999999</v>
      </c>
      <c r="S37" s="54">
        <f t="shared" si="16"/>
        <v>20.6325</v>
      </c>
      <c r="AC37" s="189" t="s">
        <v>166</v>
      </c>
      <c r="AD37" s="131">
        <f>VLOOKUP(AC37,Inkjøp[],2,FALSE)-VLOOKUP(AC37,Salg_Total[],2,FALSE)</f>
        <v>-5</v>
      </c>
      <c r="AE37" s="131">
        <v>0</v>
      </c>
      <c r="AF37" s="132">
        <v>15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3">
        <f>VLOOKUP(B38,Inkjøp[],2,FALSE)</f>
        <v>96</v>
      </c>
      <c r="E38" s="174">
        <f>VLOOKUP(B38,Inkjøp[],3,FALSE)</f>
        <v>1836.9599999999998</v>
      </c>
      <c r="F38" s="174">
        <f t="shared" si="7"/>
        <v>2640.96</v>
      </c>
      <c r="G38" s="175">
        <f>IFERROR(VLOOKUP(B38,Salg_Total[],2,FALSE),0)</f>
        <v>42</v>
      </c>
      <c r="H38" s="176">
        <f>IFERROR(VLOOKUP(B38,Salg_Total[],3,FALSE),0)*0.9825</f>
        <v>1155.42</v>
      </c>
      <c r="I38" s="177">
        <f>VLOOKUP(B38,'Master kiosk'!$AC$2:$AF$73,4,FALSE)</f>
        <v>3</v>
      </c>
      <c r="J38" s="116">
        <f t="shared" si="10"/>
        <v>82.53</v>
      </c>
      <c r="K38" s="178">
        <f t="shared" si="11"/>
        <v>51</v>
      </c>
      <c r="L38" s="179">
        <f t="shared" si="8"/>
        <v>-681.53999999999974</v>
      </c>
      <c r="M38" s="179">
        <f t="shared" si="12"/>
        <v>1403.01</v>
      </c>
      <c r="N38">
        <v>1</v>
      </c>
      <c r="P38" s="56">
        <f t="shared" si="13"/>
        <v>8.3699851562500029</v>
      </c>
      <c r="Q38" s="57">
        <f t="shared" si="14"/>
        <v>0.28193475099963655</v>
      </c>
      <c r="R38" s="54">
        <f t="shared" si="15"/>
        <v>0.48142500000000005</v>
      </c>
      <c r="S38" s="54">
        <f t="shared" si="16"/>
        <v>46.216800000000006</v>
      </c>
      <c r="AC38" s="189" t="s">
        <v>167</v>
      </c>
      <c r="AD38" s="131">
        <f>VLOOKUP(AC38,Inkjøp[],2,FALSE)-VLOOKUP(AC38,Salg_Total[],2,FALSE)</f>
        <v>54</v>
      </c>
      <c r="AE38" s="133">
        <v>0</v>
      </c>
      <c r="AF38" s="132">
        <v>3</v>
      </c>
    </row>
    <row r="39" spans="1:32" ht="16" customHeight="1" x14ac:dyDescent="0.4">
      <c r="B39" s="13" t="str">
        <v>Julebrus boks</v>
      </c>
      <c r="C39" s="151">
        <f t="shared" si="6"/>
        <v>29.474999999999998</v>
      </c>
      <c r="D39" s="173">
        <f>VLOOKUP(B39,Inkjøp[],2,FALSE)</f>
        <v>48</v>
      </c>
      <c r="E39" s="174">
        <f>VLOOKUP(B39,Inkjøp[],3,FALSE)</f>
        <v>0</v>
      </c>
      <c r="F39" s="174">
        <f t="shared" si="7"/>
        <v>1414.8</v>
      </c>
      <c r="G39" s="175">
        <f>IFERROR(VLOOKUP(B39,Salg_Total[],2,FALSE),0)</f>
        <v>48</v>
      </c>
      <c r="H39" s="176">
        <f>IFERROR(VLOOKUP(B39,Salg_Total[],3,FALSE),0)*0.9825</f>
        <v>1414.8</v>
      </c>
      <c r="I39" s="177">
        <f>VLOOKUP(B39,'Master kiosk'!$AC$2:$AF$73,4,FALSE)</f>
        <v>0</v>
      </c>
      <c r="J39" s="116">
        <f t="shared" si="10"/>
        <v>0</v>
      </c>
      <c r="K39" s="178">
        <f t="shared" si="11"/>
        <v>0</v>
      </c>
      <c r="L39" s="179">
        <f t="shared" si="8"/>
        <v>1414.8</v>
      </c>
      <c r="M39" s="179">
        <f t="shared" si="12"/>
        <v>0</v>
      </c>
      <c r="P39" s="56">
        <f t="shared" si="13"/>
        <v>29.464253906249997</v>
      </c>
      <c r="Q39" s="57">
        <f t="shared" si="14"/>
        <v>0.97749999999999992</v>
      </c>
      <c r="R39" s="54">
        <f t="shared" si="15"/>
        <v>0.51581250000000001</v>
      </c>
      <c r="S39" s="54">
        <f t="shared" si="16"/>
        <v>24.759</v>
      </c>
      <c r="AC39" s="189" t="s">
        <v>168</v>
      </c>
      <c r="AD39" s="131">
        <f>VLOOKUP(AC39,Inkjøp[],2,FALSE)-VLOOKUP(AC39,Salg_Total[],2,FALSE)</f>
        <v>18</v>
      </c>
      <c r="AE39" s="131">
        <v>0</v>
      </c>
      <c r="AF39" s="132">
        <v>-4</v>
      </c>
    </row>
    <row r="40" spans="1:32" ht="16" customHeight="1" x14ac:dyDescent="0.4">
      <c r="B40" s="13" t="str">
        <v>Iste</v>
      </c>
      <c r="C40" s="151">
        <f t="shared" si="6"/>
        <v>27.892083333333336</v>
      </c>
      <c r="D40" s="173">
        <f>VLOOKUP(B40,Inkjøp[],2,FALSE)</f>
        <v>72</v>
      </c>
      <c r="E40" s="174">
        <f>VLOOKUP(B40,Inkjøp[],3,FALSE)</f>
        <v>1538.3519999999999</v>
      </c>
      <c r="F40" s="174">
        <f t="shared" si="7"/>
        <v>2008.2300000000002</v>
      </c>
      <c r="G40" s="175">
        <f>IFERROR(VLOOKUP(B40,Salg_Total[],2,FALSE),0)</f>
        <v>54</v>
      </c>
      <c r="H40" s="176">
        <f>IFERROR(VLOOKUP(B40,Salg_Total[],3,FALSE),0)*0.9825</f>
        <v>1506.1725000000001</v>
      </c>
      <c r="I40" s="177">
        <f>VLOOKUP(B40,'Master kiosk'!$AC$2:$AF$73,4,FALSE)</f>
        <v>-4</v>
      </c>
      <c r="J40" s="116">
        <f t="shared" si="10"/>
        <v>-111.56833333333334</v>
      </c>
      <c r="K40" s="178">
        <f t="shared" si="11"/>
        <v>22</v>
      </c>
      <c r="L40" s="179">
        <f t="shared" si="8"/>
        <v>-32.179499999999734</v>
      </c>
      <c r="M40" s="179">
        <f t="shared" si="12"/>
        <v>613.62583333333339</v>
      </c>
      <c r="P40" s="56">
        <f t="shared" si="13"/>
        <v>6.5193040075231536</v>
      </c>
      <c r="Q40" s="57">
        <f t="shared" si="14"/>
        <v>0.21147618798643597</v>
      </c>
      <c r="R40" s="54">
        <f t="shared" si="15"/>
        <v>0.48811145833333341</v>
      </c>
      <c r="S40" s="54">
        <f t="shared" si="16"/>
        <v>35.144025000000006</v>
      </c>
      <c r="AC40" s="189" t="s">
        <v>169</v>
      </c>
      <c r="AD40" s="131">
        <f>VLOOKUP(AC40,Inkjøp[],2,FALSE)-VLOOKUP(AC40,Salg_Total[],2,FALSE)</f>
        <v>16</v>
      </c>
      <c r="AE40" s="133">
        <v>0</v>
      </c>
      <c r="AF40" s="132">
        <v>0</v>
      </c>
    </row>
    <row r="41" spans="1:32" ht="16" customHeight="1" x14ac:dyDescent="0.4">
      <c r="B41" s="13" t="str">
        <v>Iste U/sukker</v>
      </c>
      <c r="C41" s="151">
        <f t="shared" si="6"/>
        <v>27.51</v>
      </c>
      <c r="D41" s="173">
        <f>VLOOKUP(B41,Inkjøp[],2,FALSE)</f>
        <v>48</v>
      </c>
      <c r="E41" s="174">
        <f>VLOOKUP(B41,Inkjøp[],3,FALSE)</f>
        <v>762.13799999999992</v>
      </c>
      <c r="F41" s="174">
        <f t="shared" si="7"/>
        <v>1320.48</v>
      </c>
      <c r="G41" s="175">
        <f>IFERROR(VLOOKUP(B41,Salg_Total[],2,FALSE),0)</f>
        <v>32</v>
      </c>
      <c r="H41" s="176">
        <f>IFERROR(VLOOKUP(B41,Salg_Total[],3,FALSE),0)*0.9825</f>
        <v>880.32</v>
      </c>
      <c r="I41" s="177">
        <f>VLOOKUP(B41,'Master kiosk'!$AC$2:$AF$73,4,FALSE)</f>
        <v>0</v>
      </c>
      <c r="J41" s="116">
        <f t="shared" si="10"/>
        <v>0</v>
      </c>
      <c r="K41" s="178">
        <f t="shared" si="11"/>
        <v>16</v>
      </c>
      <c r="L41" s="179">
        <f t="shared" si="8"/>
        <v>118.18200000000013</v>
      </c>
      <c r="M41" s="179">
        <f t="shared" si="12"/>
        <v>440.16</v>
      </c>
      <c r="P41" s="56">
        <f t="shared" si="13"/>
        <v>11.622095312500003</v>
      </c>
      <c r="Q41" s="57">
        <f t="shared" si="14"/>
        <v>0.40033260632497286</v>
      </c>
      <c r="R41" s="54">
        <f t="shared" si="15"/>
        <v>0.48142500000000005</v>
      </c>
      <c r="S41" s="54">
        <f t="shared" si="16"/>
        <v>23.108400000000003</v>
      </c>
      <c r="AC41" s="189" t="s">
        <v>170</v>
      </c>
      <c r="AD41" s="131">
        <f>VLOOKUP(AC41,Inkjøp[],2,FALSE)-VLOOKUP(AC41,Salg_Total[],2,FALSE)</f>
        <v>0</v>
      </c>
      <c r="AE41" s="131">
        <v>0</v>
      </c>
      <c r="AF41" s="132">
        <v>3</v>
      </c>
    </row>
    <row r="42" spans="1:32" ht="16" customHeight="1" x14ac:dyDescent="0.4">
      <c r="B42" s="13" t="str">
        <v>Smil</v>
      </c>
      <c r="C42" s="151">
        <f t="shared" si="6"/>
        <v>34.387500000000003</v>
      </c>
      <c r="D42" s="173">
        <f>VLOOKUP(B42,Inkjøp[],2,FALSE)</f>
        <v>55</v>
      </c>
      <c r="E42" s="174">
        <f>VLOOKUP(B42,Inkjøp[],3,FALSE)</f>
        <v>1331.9563349999999</v>
      </c>
      <c r="F42" s="174">
        <f t="shared" si="7"/>
        <v>1891.3125000000002</v>
      </c>
      <c r="G42" s="175">
        <f>IFERROR(VLOOKUP(B42,Salg_Total[],2,FALSE),0)</f>
        <v>55</v>
      </c>
      <c r="H42" s="176">
        <f>IFERROR(VLOOKUP(B42,Salg_Total[],3,FALSE),0)*0.9825</f>
        <v>1891.3125</v>
      </c>
      <c r="I42" s="177">
        <f>VLOOKUP(B42,'Master kiosk'!$AC$2:$AF$73,4,FALSE)</f>
        <v>3</v>
      </c>
      <c r="J42" s="116">
        <f t="shared" si="10"/>
        <v>103.16250000000001</v>
      </c>
      <c r="K42" s="178">
        <f t="shared" si="11"/>
        <v>-3</v>
      </c>
      <c r="L42" s="179">
        <f t="shared" si="8"/>
        <v>559.35616500000015</v>
      </c>
      <c r="M42" s="179">
        <f t="shared" si="12"/>
        <v>-103.16250000000001</v>
      </c>
      <c r="P42" s="56">
        <f t="shared" si="13"/>
        <v>10.15917061363637</v>
      </c>
      <c r="Q42" s="57">
        <f t="shared" si="14"/>
        <v>0.27325026073163494</v>
      </c>
      <c r="R42" s="54">
        <f t="shared" si="15"/>
        <v>0.60178125000000016</v>
      </c>
      <c r="S42" s="54">
        <f t="shared" si="16"/>
        <v>33.097968750000007</v>
      </c>
      <c r="AC42" s="189" t="s">
        <v>171</v>
      </c>
      <c r="AD42" s="131">
        <f>VLOOKUP(AC42,Inkjøp[],2,FALSE)-VLOOKUP(AC42,Salg_Total[],2,FALSE)</f>
        <v>0</v>
      </c>
      <c r="AE42" s="133">
        <v>0</v>
      </c>
      <c r="AF42" s="132">
        <v>-3</v>
      </c>
    </row>
    <row r="43" spans="1:32" ht="16" customHeight="1" x14ac:dyDescent="0.4">
      <c r="B43" s="13" t="str">
        <v>Melkesjokolade 100g</v>
      </c>
      <c r="C43" s="151">
        <f t="shared" si="6"/>
        <v>29.082000000000001</v>
      </c>
      <c r="D43" s="173">
        <f>VLOOKUP(B43,Inkjøp[],2,FALSE)</f>
        <v>60</v>
      </c>
      <c r="E43" s="174">
        <f>VLOOKUP(B43,Inkjøp[],3,FALSE)</f>
        <v>1188</v>
      </c>
      <c r="F43" s="174">
        <f t="shared" si="7"/>
        <v>1744.92</v>
      </c>
      <c r="G43" s="175">
        <f>IFERROR(VLOOKUP(B43,Salg_Total[],2,FALSE),0)</f>
        <v>60</v>
      </c>
      <c r="H43" s="176">
        <f>IFERROR(VLOOKUP(B43,Salg_Total[],3,FALSE),0)*0.9825</f>
        <v>1744.92</v>
      </c>
      <c r="I43" s="177">
        <f>VLOOKUP(B43,'Master kiosk'!$AC$2:$AF$73,4,FALSE)</f>
        <v>-3</v>
      </c>
      <c r="J43" s="116">
        <f t="shared" si="10"/>
        <v>-87.246000000000009</v>
      </c>
      <c r="K43" s="178">
        <f t="shared" si="11"/>
        <v>3</v>
      </c>
      <c r="L43" s="179">
        <f t="shared" si="8"/>
        <v>556.92000000000007</v>
      </c>
      <c r="M43" s="179">
        <f t="shared" si="12"/>
        <v>87.246000000000009</v>
      </c>
      <c r="P43" s="56">
        <f t="shared" si="13"/>
        <v>9.2735177500000017</v>
      </c>
      <c r="Q43" s="57">
        <f t="shared" si="14"/>
        <v>0.29666649473901385</v>
      </c>
      <c r="R43" s="54">
        <f t="shared" si="15"/>
        <v>0.50893500000000003</v>
      </c>
      <c r="S43" s="54">
        <f t="shared" si="16"/>
        <v>30.536100000000005</v>
      </c>
      <c r="AC43" s="189" t="s">
        <v>172</v>
      </c>
      <c r="AD43" s="131">
        <f>VLOOKUP(AC43,Inkjøp[],2,FALSE)-VLOOKUP(AC43,Salg_Total[],2,FALSE)</f>
        <v>-3</v>
      </c>
      <c r="AE43" s="131">
        <v>0</v>
      </c>
      <c r="AF43" s="132">
        <v>3</v>
      </c>
    </row>
    <row r="44" spans="1:32" ht="16" customHeight="1" x14ac:dyDescent="0.4">
      <c r="B44" s="13" t="str">
        <v>Melkerull</v>
      </c>
      <c r="C44" s="151">
        <f t="shared" si="6"/>
        <v>33.117025862068971</v>
      </c>
      <c r="D44" s="173">
        <f>VLOOKUP(B44,Inkjøp[],2,FALSE)</f>
        <v>55</v>
      </c>
      <c r="E44" s="174">
        <f>VLOOKUP(B44,Inkjøp[],3,FALSE)</f>
        <v>1406.9823349999999</v>
      </c>
      <c r="F44" s="174">
        <f t="shared" si="7"/>
        <v>1821.4364224137935</v>
      </c>
      <c r="G44" s="175">
        <f>IFERROR(VLOOKUP(B44,Salg_Total[],2,FALSE),0)</f>
        <v>58</v>
      </c>
      <c r="H44" s="176">
        <f>IFERROR(VLOOKUP(B44,Salg_Total[],3,FALSE),0)*0.9825</f>
        <v>1920.7875000000001</v>
      </c>
      <c r="I44" s="177">
        <f>VLOOKUP(B44,'Master kiosk'!$AC$2:$AF$73,4,FALSE)</f>
        <v>3</v>
      </c>
      <c r="J44" s="116">
        <f t="shared" si="10"/>
        <v>99.351077586206912</v>
      </c>
      <c r="K44" s="178">
        <f t="shared" si="11"/>
        <v>-6</v>
      </c>
      <c r="L44" s="179">
        <f t="shared" si="8"/>
        <v>513.80516500000022</v>
      </c>
      <c r="M44" s="179">
        <f t="shared" si="12"/>
        <v>-198.70215517241382</v>
      </c>
      <c r="N44">
        <v>-1</v>
      </c>
      <c r="P44" s="56">
        <f t="shared" si="13"/>
        <v>7.5249916265674059</v>
      </c>
      <c r="Q44" s="57">
        <f t="shared" si="14"/>
        <v>0.20504243975452799</v>
      </c>
      <c r="R44" s="54">
        <f t="shared" si="15"/>
        <v>0.57954795258620706</v>
      </c>
      <c r="S44" s="54">
        <f t="shared" si="16"/>
        <v>31.875137392241388</v>
      </c>
      <c r="AC44" s="189" t="s">
        <v>173</v>
      </c>
      <c r="AD44" s="131">
        <f>VLOOKUP(AC44,Inkjøp[],2,FALSE)-VLOOKUP(AC44,Salg_Total[],2,FALSE)</f>
        <v>97</v>
      </c>
      <c r="AE44" s="133">
        <v>0</v>
      </c>
      <c r="AF44" s="132">
        <v>4</v>
      </c>
    </row>
    <row r="45" spans="1:32" ht="16" customHeight="1" x14ac:dyDescent="0.4">
      <c r="B45" s="13" t="str">
        <v>Kinder Bueno</v>
      </c>
      <c r="C45" s="151">
        <f t="shared" si="6"/>
        <v>17.723966005665723</v>
      </c>
      <c r="D45" s="173">
        <f>VLOOKUP(B45,Inkjøp[],2,FALSE)</f>
        <v>450</v>
      </c>
      <c r="E45" s="174">
        <f>VLOOKUP(B45,Inkjøp[],3,FALSE)</f>
        <v>6922.079999999999</v>
      </c>
      <c r="F45" s="174">
        <f t="shared" si="7"/>
        <v>7975.7847025495757</v>
      </c>
      <c r="G45" s="175">
        <f>IFERROR(VLOOKUP(B45,Salg_Total[],2,FALSE),0)</f>
        <v>353</v>
      </c>
      <c r="H45" s="176">
        <f>IFERROR(VLOOKUP(B45,Salg_Total[],3,FALSE),0)*0.9825</f>
        <v>6256.56</v>
      </c>
      <c r="I45" s="177">
        <f>VLOOKUP(B45,'Master kiosk'!$AC$2:$AF$73,4,FALSE)</f>
        <v>4</v>
      </c>
      <c r="J45" s="116">
        <f t="shared" si="10"/>
        <v>70.895864022662892</v>
      </c>
      <c r="K45" s="178">
        <f t="shared" si="11"/>
        <v>93</v>
      </c>
      <c r="L45" s="179">
        <f t="shared" si="8"/>
        <v>-665.51999999999862</v>
      </c>
      <c r="M45" s="179">
        <f t="shared" si="12"/>
        <v>1648.3288385269123</v>
      </c>
      <c r="P45" s="56">
        <f t="shared" si="13"/>
        <v>2.3408767403210611</v>
      </c>
      <c r="Q45" s="57">
        <f t="shared" si="14"/>
        <v>0.10961298221386852</v>
      </c>
      <c r="R45" s="54">
        <f t="shared" si="15"/>
        <v>0.3101694050991502</v>
      </c>
      <c r="S45" s="54">
        <f t="shared" si="16"/>
        <v>139.5762322946176</v>
      </c>
      <c r="AC45" s="189" t="s">
        <v>174</v>
      </c>
      <c r="AD45" s="131">
        <f>VLOOKUP(AC45,Inkjøp[],2,FALSE)-VLOOKUP(AC45,Salg_Total[],2,FALSE)</f>
        <v>186</v>
      </c>
      <c r="AE45" s="131">
        <v>0</v>
      </c>
      <c r="AF45" s="132">
        <v>-10</v>
      </c>
    </row>
    <row r="46" spans="1:32" ht="16" customHeight="1" x14ac:dyDescent="0.4">
      <c r="B46" s="13" t="str">
        <v>Kinder Maxi</v>
      </c>
      <c r="C46" s="151">
        <f t="shared" si="6"/>
        <v>9.8250000000000011</v>
      </c>
      <c r="D46" s="173">
        <f>VLOOKUP(B46,Inkjøp[],2,FALSE)</f>
        <v>720</v>
      </c>
      <c r="E46" s="174">
        <f>VLOOKUP(B46,Inkjøp[],3,FALSE)</f>
        <v>4562.2799999999988</v>
      </c>
      <c r="F46" s="174">
        <f t="shared" si="7"/>
        <v>7074.0000000000009</v>
      </c>
      <c r="G46" s="175">
        <f>IFERROR(VLOOKUP(B46,Salg_Total[],2,FALSE),0)</f>
        <v>534</v>
      </c>
      <c r="H46" s="176">
        <f>IFERROR(VLOOKUP(B46,Salg_Total[],3,FALSE),0)*0.9825</f>
        <v>5246.55</v>
      </c>
      <c r="I46" s="177">
        <f>VLOOKUP(B46,'Master kiosk'!$AC$2:$AF$73,4,FALSE)</f>
        <v>-10</v>
      </c>
      <c r="J46" s="116">
        <f t="shared" si="10"/>
        <v>-98.250000000000014</v>
      </c>
      <c r="K46" s="178">
        <f t="shared" si="11"/>
        <v>196</v>
      </c>
      <c r="L46" s="179">
        <f t="shared" si="8"/>
        <v>684.27000000000135</v>
      </c>
      <c r="M46" s="179">
        <f t="shared" si="12"/>
        <v>1925.7000000000003</v>
      </c>
      <c r="P46" s="56">
        <f t="shared" si="13"/>
        <v>3.4882611979166698</v>
      </c>
      <c r="Q46" s="57">
        <f t="shared" si="14"/>
        <v>0.33256361323155242</v>
      </c>
      <c r="R46" s="54">
        <f t="shared" si="15"/>
        <v>0.17193750000000005</v>
      </c>
      <c r="S46" s="54">
        <f t="shared" si="16"/>
        <v>123.79500000000003</v>
      </c>
      <c r="AC46" s="189" t="s">
        <v>175</v>
      </c>
      <c r="AD46" s="131">
        <f>VLOOKUP(AC46,Inkjøp[],2,FALSE)-VLOOKUP(AC46,Salg_Total[],2,FALSE)</f>
        <v>-8</v>
      </c>
      <c r="AE46" s="133">
        <v>0</v>
      </c>
      <c r="AF46" s="132">
        <v>3</v>
      </c>
    </row>
    <row r="47" spans="1:32" ht="16" customHeight="1" x14ac:dyDescent="0.4">
      <c r="A47" t="s">
        <v>111</v>
      </c>
      <c r="B47" s="13" t="str">
        <v>Snickers</v>
      </c>
      <c r="C47" s="151">
        <f t="shared" si="6"/>
        <v>24.5625</v>
      </c>
      <c r="D47" s="173">
        <f>VLOOKUP(B47,Inkjøp[],2,FALSE)</f>
        <v>96</v>
      </c>
      <c r="E47" s="174">
        <f>VLOOKUP(B47,Inkjøp[],3,FALSE)</f>
        <v>2215.7279999999996</v>
      </c>
      <c r="F47" s="174">
        <f t="shared" si="7"/>
        <v>2358</v>
      </c>
      <c r="G47" s="175">
        <f>IFERROR(VLOOKUP(B47,Salg_Total[],2,FALSE),0)</f>
        <v>104</v>
      </c>
      <c r="H47" s="176">
        <f>IFERROR(VLOOKUP(B47,Salg_Total[],3,FALSE),0)*0.9825</f>
        <v>2554.5</v>
      </c>
      <c r="I47" s="177">
        <f>VLOOKUP(B47,'Master kiosk'!$AC$2:$AF$73,4,FALSE)</f>
        <v>3</v>
      </c>
      <c r="J47" s="116">
        <f t="shared" si="10"/>
        <v>73.6875</v>
      </c>
      <c r="K47" s="178">
        <f t="shared" si="11"/>
        <v>-11</v>
      </c>
      <c r="L47" s="179">
        <f t="shared" si="8"/>
        <v>338.77200000000039</v>
      </c>
      <c r="M47" s="179">
        <f t="shared" si="12"/>
        <v>-270.1875</v>
      </c>
      <c r="P47" s="56">
        <f t="shared" si="13"/>
        <v>1.4775224609375039</v>
      </c>
      <c r="Q47" s="57">
        <f t="shared" si="14"/>
        <v>3.7835877862595582E-2</v>
      </c>
      <c r="R47" s="54">
        <f t="shared" si="15"/>
        <v>0.42984375000000002</v>
      </c>
      <c r="S47" s="54">
        <f t="shared" si="16"/>
        <v>41.265000000000001</v>
      </c>
      <c r="AC47" s="189" t="s">
        <v>176</v>
      </c>
      <c r="AD47" s="131">
        <f>VLOOKUP(AC47,Inkjøp[],2,FALSE)-VLOOKUP(AC47,Salg_Total[],2,FALSE)</f>
        <v>115</v>
      </c>
      <c r="AE47" s="131">
        <v>28</v>
      </c>
      <c r="AF47" s="132">
        <v>37</v>
      </c>
    </row>
    <row r="48" spans="1:32" ht="16" customHeight="1" x14ac:dyDescent="0.4">
      <c r="B48" s="13" t="str">
        <v>sjokoladeplate 200g</v>
      </c>
      <c r="C48" s="151">
        <f t="shared" si="6"/>
        <v>44.212499999999999</v>
      </c>
      <c r="D48" s="173">
        <f>VLOOKUP(B48,Inkjøp[],2,FALSE)</f>
        <v>242</v>
      </c>
      <c r="E48" s="174">
        <f>VLOOKUP(B48,Inkjøp[],3,FALSE)</f>
        <v>14471.599999999999</v>
      </c>
      <c r="F48" s="174">
        <f t="shared" si="7"/>
        <v>10699.424999999999</v>
      </c>
      <c r="G48" s="175">
        <f>IFERROR(VLOOKUP(B48,Salg_Total[],2,FALSE),0)</f>
        <v>127</v>
      </c>
      <c r="H48" s="176">
        <f>IFERROR(VLOOKUP(B48,Salg_Total[],3,FALSE),0)*0.9825</f>
        <v>5614.9875000000002</v>
      </c>
      <c r="I48" s="177">
        <f>VLOOKUP(B48,'Master kiosk'!$AC$2:$AF$73,4,FALSE)</f>
        <v>37</v>
      </c>
      <c r="J48" s="116">
        <f t="shared" si="10"/>
        <v>1635.8625</v>
      </c>
      <c r="K48" s="178">
        <f t="shared" si="11"/>
        <v>78</v>
      </c>
      <c r="L48" s="179">
        <f t="shared" si="8"/>
        <v>-8856.6124999999993</v>
      </c>
      <c r="M48" s="179">
        <f t="shared" si="12"/>
        <v>3448.5749999999998</v>
      </c>
      <c r="P48" s="56">
        <f t="shared" si="13"/>
        <v>-15.590697184917353</v>
      </c>
      <c r="Q48" s="57">
        <f t="shared" si="14"/>
        <v>-0.37505866553576472</v>
      </c>
      <c r="R48" s="54">
        <f t="shared" si="15"/>
        <v>0.77371875000000001</v>
      </c>
      <c r="S48" s="54">
        <f t="shared" si="16"/>
        <v>187.2399375</v>
      </c>
      <c r="AC48" s="189" t="s">
        <v>177</v>
      </c>
      <c r="AD48" s="131">
        <f>VLOOKUP(AC48,Inkjøp[],2,FALSE)-VLOOKUP(AC48,Salg_Total[],2,FALSE)</f>
        <v>37</v>
      </c>
      <c r="AE48" s="133">
        <v>6</v>
      </c>
      <c r="AF48" s="132">
        <v>6</v>
      </c>
    </row>
    <row r="49" spans="2:32" ht="16" customHeight="1" x14ac:dyDescent="0.4">
      <c r="B49" s="13" t="str">
        <v>Snickers 50g</v>
      </c>
      <c r="C49" s="151">
        <f t="shared" si="6"/>
        <v>19.822747252747256</v>
      </c>
      <c r="D49" s="173">
        <f>VLOOKUP(B49,Inkjøp[],2,FALSE)</f>
        <v>128</v>
      </c>
      <c r="E49" s="174">
        <f>VLOOKUP(B49,Inkjøp[],3,FALSE)</f>
        <v>4395.3919999999998</v>
      </c>
      <c r="F49" s="174">
        <f t="shared" si="7"/>
        <v>2537.3116483516487</v>
      </c>
      <c r="G49" s="175">
        <f>IFERROR(VLOOKUP(B49,Salg_Total[],2,FALSE),0)</f>
        <v>91</v>
      </c>
      <c r="H49" s="176">
        <f>IFERROR(VLOOKUP(B49,Salg_Total[],3,FALSE),0)*0.9825</f>
        <v>1803.8700000000001</v>
      </c>
      <c r="I49" s="177">
        <f>VLOOKUP(B49,'Master kiosk'!$AC$2:$AF$73,4,FALSE)</f>
        <v>6</v>
      </c>
      <c r="J49" s="116">
        <f t="shared" si="10"/>
        <v>118.93648351648353</v>
      </c>
      <c r="K49" s="178">
        <f t="shared" si="11"/>
        <v>31</v>
      </c>
      <c r="L49" s="179">
        <f t="shared" si="8"/>
        <v>-2591.5219999999999</v>
      </c>
      <c r="M49" s="179">
        <f t="shared" si="12"/>
        <v>614.50516483516492</v>
      </c>
      <c r="P49" s="56">
        <f t="shared" si="13"/>
        <v>-14.518962888478704</v>
      </c>
      <c r="Q49" s="57">
        <f t="shared" si="14"/>
        <v>-0.7548027712640043</v>
      </c>
      <c r="R49" s="54">
        <f t="shared" si="15"/>
        <v>0.346898076923077</v>
      </c>
      <c r="S49" s="54">
        <f t="shared" si="16"/>
        <v>44.402953846153856</v>
      </c>
      <c r="AC49" s="189" t="s">
        <v>178</v>
      </c>
      <c r="AD49" s="131">
        <f>VLOOKUP(AC49,Inkjøp[],2,FALSE)-VLOOKUP(AC49,Salg_Total[],2,FALSE)</f>
        <v>6</v>
      </c>
      <c r="AE49" s="131">
        <v>0</v>
      </c>
      <c r="AF49" s="132">
        <v>7</v>
      </c>
    </row>
    <row r="50" spans="2:32" ht="16" customHeight="1" x14ac:dyDescent="0.4">
      <c r="B50" s="13" t="str">
        <v>Mars</v>
      </c>
      <c r="C50" s="151">
        <f t="shared" si="6"/>
        <v>24.5625</v>
      </c>
      <c r="D50" s="173">
        <f>VLOOKUP(B50,Inkjøp[],2,FALSE)</f>
        <v>120</v>
      </c>
      <c r="E50" s="174">
        <f>VLOOKUP(B50,Inkjøp[],3,FALSE)</f>
        <v>3709.4399999999996</v>
      </c>
      <c r="F50" s="174">
        <f t="shared" si="7"/>
        <v>2947.5</v>
      </c>
      <c r="G50" s="175">
        <f>IFERROR(VLOOKUP(B50,Salg_Total[],2,FALSE),0)</f>
        <v>114</v>
      </c>
      <c r="H50" s="176">
        <f>IFERROR(VLOOKUP(B50,Salg_Total[],3,FALSE),0)*0.9825</f>
        <v>2800.125</v>
      </c>
      <c r="I50" s="177">
        <f>VLOOKUP(B50,'Master kiosk'!$AC$2:$AF$73,4,FALSE)</f>
        <v>7</v>
      </c>
      <c r="J50" s="116">
        <f t="shared" si="10"/>
        <v>171.9375</v>
      </c>
      <c r="K50" s="178">
        <f t="shared" si="11"/>
        <v>-1</v>
      </c>
      <c r="L50" s="179">
        <f t="shared" si="8"/>
        <v>-909.3149999999996</v>
      </c>
      <c r="M50" s="179">
        <f t="shared" si="12"/>
        <v>-24.5625</v>
      </c>
      <c r="P50" s="56">
        <f t="shared" si="13"/>
        <v>-6.3530820312499969</v>
      </c>
      <c r="Q50" s="57">
        <f t="shared" si="14"/>
        <v>-0.28100381679389302</v>
      </c>
      <c r="R50" s="54">
        <f t="shared" si="15"/>
        <v>0.42984375000000002</v>
      </c>
      <c r="S50" s="54">
        <f t="shared" si="16"/>
        <v>51.581250000000004</v>
      </c>
      <c r="AC50" s="189" t="s">
        <v>179</v>
      </c>
      <c r="AD50" s="131">
        <f>VLOOKUP(AC50,Inkjøp[],2,FALSE)-VLOOKUP(AC50,Salg_Total[],2,FALSE)</f>
        <v>8</v>
      </c>
      <c r="AE50" s="133"/>
      <c r="AF50" s="132">
        <v>0</v>
      </c>
    </row>
    <row r="51" spans="2:32" ht="16" customHeight="1" x14ac:dyDescent="0.4">
      <c r="B51" s="13" t="str">
        <v>Twix</v>
      </c>
      <c r="C51" s="151">
        <f t="shared" si="6"/>
        <v>27.51</v>
      </c>
      <c r="D51" s="173">
        <f>VLOOKUP(B51,Inkjøp[],2,FALSE)</f>
        <v>150</v>
      </c>
      <c r="E51" s="174">
        <f>VLOOKUP(B51,Inkjøp[],3,FALSE)</f>
        <v>5798.76</v>
      </c>
      <c r="F51" s="174">
        <f t="shared" si="7"/>
        <v>4126.5</v>
      </c>
      <c r="G51" s="175">
        <f>IFERROR(VLOOKUP(B51,Salg_Total[],2,FALSE),0)</f>
        <v>142</v>
      </c>
      <c r="H51" s="176">
        <f>IFERROR(VLOOKUP(B51,Salg_Total[],3,FALSE),0)*0.9825</f>
        <v>3906.42</v>
      </c>
      <c r="I51" s="177">
        <f>VLOOKUP(B51,'Master kiosk'!$AC$2:$AF$73,4,FALSE)</f>
        <v>0</v>
      </c>
      <c r="J51" s="116">
        <f t="shared" si="10"/>
        <v>0</v>
      </c>
      <c r="K51" s="178">
        <f t="shared" si="11"/>
        <v>8</v>
      </c>
      <c r="L51" s="179">
        <f t="shared" si="8"/>
        <v>-1892.3400000000001</v>
      </c>
      <c r="M51" s="179">
        <f t="shared" si="12"/>
        <v>220.08</v>
      </c>
      <c r="P51" s="56">
        <f t="shared" si="13"/>
        <v>-11.151609500000001</v>
      </c>
      <c r="Q51" s="57">
        <f t="shared" si="14"/>
        <v>-0.42774900036350427</v>
      </c>
      <c r="R51" s="54">
        <f t="shared" si="15"/>
        <v>0.48142500000000005</v>
      </c>
      <c r="S51" s="54">
        <f t="shared" si="16"/>
        <v>72.213750000000005</v>
      </c>
      <c r="AC51" s="189" t="s">
        <v>180</v>
      </c>
      <c r="AD51" s="131">
        <f>VLOOKUP(AC51,Inkjøp[],2,FALSE)-VLOOKUP(AC51,Salg_Total[],2,FALSE)</f>
        <v>-2</v>
      </c>
      <c r="AE51" s="131">
        <v>0</v>
      </c>
      <c r="AF51" s="132">
        <v>3</v>
      </c>
    </row>
    <row r="52" spans="2:32" ht="16" customHeight="1" x14ac:dyDescent="0.4">
      <c r="B52" s="13" t="str">
        <v>Japp</v>
      </c>
      <c r="C52" s="151">
        <f t="shared" si="6"/>
        <v>27.085135135135136</v>
      </c>
      <c r="D52" s="173">
        <f>VLOOKUP(B52,Inkjøp[],2,FALSE)</f>
        <v>35</v>
      </c>
      <c r="E52" s="174">
        <f>VLOOKUP(B52,Inkjøp[],3,FALSE)</f>
        <v>735.52907499999992</v>
      </c>
      <c r="F52" s="174">
        <f t="shared" si="7"/>
        <v>947.9797297297298</v>
      </c>
      <c r="G52" s="175">
        <f>IFERROR(VLOOKUP(B52,Salg_Total[],2,FALSE),0)</f>
        <v>37</v>
      </c>
      <c r="H52" s="176">
        <f>IFERROR(VLOOKUP(B52,Salg_Total[],3,FALSE),0)*0.9825</f>
        <v>1002.1500000000001</v>
      </c>
      <c r="I52" s="177">
        <f>VLOOKUP(B52,'Master kiosk'!$AC$2:$AF$73,4,FALSE)</f>
        <v>3</v>
      </c>
      <c r="J52" s="116">
        <f t="shared" si="10"/>
        <v>81.255405405405412</v>
      </c>
      <c r="K52" s="178">
        <f t="shared" si="11"/>
        <v>-5</v>
      </c>
      <c r="L52" s="179">
        <f t="shared" si="8"/>
        <v>266.62092500000017</v>
      </c>
      <c r="M52" s="179">
        <f t="shared" si="12"/>
        <v>-135.42567567567568</v>
      </c>
      <c r="P52" s="56">
        <f t="shared" si="13"/>
        <v>6.0564761389961426</v>
      </c>
      <c r="Q52" s="57">
        <f t="shared" si="14"/>
        <v>0.20160885809794671</v>
      </c>
      <c r="R52" s="54">
        <f t="shared" si="15"/>
        <v>0.47398986486486494</v>
      </c>
      <c r="S52" s="54">
        <f t="shared" si="16"/>
        <v>16.589645270270275</v>
      </c>
      <c r="AC52" s="189" t="s">
        <v>181</v>
      </c>
      <c r="AD52" s="131">
        <f>VLOOKUP(AC52,Inkjøp[],2,FALSE)-VLOOKUP(AC52,Salg_Total[],2,FALSE)</f>
        <v>-1</v>
      </c>
      <c r="AE52" s="133">
        <v>0</v>
      </c>
      <c r="AF52" s="132">
        <v>-4</v>
      </c>
    </row>
    <row r="53" spans="2:32" ht="16" customHeight="1" x14ac:dyDescent="0.4">
      <c r="B53" s="13" t="str">
        <v>Lion</v>
      </c>
      <c r="C53" s="151">
        <f t="shared" si="6"/>
        <v>18.847959183673471</v>
      </c>
      <c r="D53" s="173">
        <f>VLOOKUP(B53,Inkjøp[],2,FALSE)</f>
        <v>48</v>
      </c>
      <c r="E53" s="174">
        <f>VLOOKUP(B53,Inkjøp[],3,FALSE)</f>
        <v>720.91200000000003</v>
      </c>
      <c r="F53" s="174">
        <f t="shared" si="7"/>
        <v>904.70204081632664</v>
      </c>
      <c r="G53" s="175">
        <f>IFERROR(VLOOKUP(B53,Salg_Total[],2,FALSE),0)</f>
        <v>49</v>
      </c>
      <c r="H53" s="176">
        <f>IFERROR(VLOOKUP(B53,Salg_Total[],3,FALSE),0)*0.9825</f>
        <v>923.55000000000007</v>
      </c>
      <c r="I53" s="177">
        <f>VLOOKUP(B53,'Master kiosk'!$AC$2:$AF$73,4,FALSE)</f>
        <v>-4</v>
      </c>
      <c r="J53" s="116">
        <f t="shared" si="10"/>
        <v>-75.391836734693882</v>
      </c>
      <c r="K53" s="178">
        <f t="shared" si="11"/>
        <v>3</v>
      </c>
      <c r="L53" s="179">
        <f t="shared" si="8"/>
        <v>202.63800000000003</v>
      </c>
      <c r="M53" s="179">
        <f t="shared" si="12"/>
        <v>56.543877551020415</v>
      </c>
      <c r="P53" s="56">
        <f t="shared" si="13"/>
        <v>3.8220875318877567</v>
      </c>
      <c r="Q53" s="57">
        <f t="shared" si="14"/>
        <v>0.18064980239294037</v>
      </c>
      <c r="R53" s="54">
        <f t="shared" si="15"/>
        <v>0.32983928571428578</v>
      </c>
      <c r="S53" s="54">
        <f t="shared" si="16"/>
        <v>15.832285714285717</v>
      </c>
      <c r="AC53" s="189" t="s">
        <v>182</v>
      </c>
      <c r="AD53" s="131">
        <f>VLOOKUP(AC53,Inkjøp[],2,FALSE)-VLOOKUP(AC53,Salg_Total[],2,FALSE)</f>
        <v>-14</v>
      </c>
      <c r="AE53" s="131">
        <v>0</v>
      </c>
      <c r="AF53" s="132">
        <v>4</v>
      </c>
    </row>
    <row r="54" spans="2:32" ht="16" customHeight="1" x14ac:dyDescent="0.4">
      <c r="B54" s="13" t="str">
        <v>Smarties</v>
      </c>
      <c r="C54" s="151">
        <f t="shared" si="6"/>
        <v>17.748387096774195</v>
      </c>
      <c r="D54" s="173">
        <f>VLOOKUP(B54,Inkjøp[],2,FALSE)</f>
        <v>48</v>
      </c>
      <c r="E54" s="174">
        <f>VLOOKUP(B54,Inkjøp[],3,FALSE)</f>
        <v>626.52</v>
      </c>
      <c r="F54" s="174">
        <f t="shared" si="7"/>
        <v>851.92258064516136</v>
      </c>
      <c r="G54" s="175">
        <f>IFERROR(VLOOKUP(B54,Salg_Total[],2,FALSE),0)</f>
        <v>62</v>
      </c>
      <c r="H54" s="176">
        <f>IFERROR(VLOOKUP(B54,Salg_Total[],3,FALSE),0)*0.9825</f>
        <v>1100.4000000000001</v>
      </c>
      <c r="I54" s="177">
        <f>VLOOKUP(B54,'Master kiosk'!$AC$2:$AF$73,4,FALSE)</f>
        <v>4</v>
      </c>
      <c r="J54" s="116">
        <f t="shared" si="10"/>
        <v>70.99354838709678</v>
      </c>
      <c r="K54" s="178">
        <f t="shared" si="11"/>
        <v>-18</v>
      </c>
      <c r="L54" s="179">
        <f t="shared" si="8"/>
        <v>473.88000000000011</v>
      </c>
      <c r="M54" s="179">
        <f t="shared" si="12"/>
        <v>-319.47096774193551</v>
      </c>
      <c r="P54" s="56">
        <f t="shared" si="13"/>
        <v>4.6894163306451633</v>
      </c>
      <c r="Q54" s="57">
        <f t="shared" si="14"/>
        <v>0.24208106143220656</v>
      </c>
      <c r="R54" s="54">
        <f t="shared" si="15"/>
        <v>0.31059677419354842</v>
      </c>
      <c r="S54" s="54">
        <f t="shared" si="16"/>
        <v>14.908645161290325</v>
      </c>
      <c r="AC54" s="189" t="s">
        <v>183</v>
      </c>
      <c r="AD54" s="131">
        <f>VLOOKUP(AC54,Inkjøp[],2,FALSE)-VLOOKUP(AC54,Salg_Total[],2,FALSE)</f>
        <v>53</v>
      </c>
      <c r="AE54" s="133">
        <v>53</v>
      </c>
      <c r="AF54" s="132">
        <v>1</v>
      </c>
    </row>
    <row r="55" spans="2:32" ht="16" customHeight="1" x14ac:dyDescent="0.4">
      <c r="B55" s="13" t="str">
        <v>Snap n´crackle</v>
      </c>
      <c r="C55" s="151">
        <f t="shared" si="6"/>
        <v>10.035160427807487</v>
      </c>
      <c r="D55" s="173">
        <f>VLOOKUP(B55,Inkjøp[],2,FALSE)</f>
        <v>240</v>
      </c>
      <c r="E55" s="174">
        <f>VLOOKUP(B55,Inkjøp[],3,FALSE)</f>
        <v>626.51999999999987</v>
      </c>
      <c r="F55" s="174">
        <f t="shared" si="7"/>
        <v>2408.4385026737968</v>
      </c>
      <c r="G55" s="175">
        <f>IFERROR(VLOOKUP(B55,Salg_Total[],2,FALSE),0)</f>
        <v>187</v>
      </c>
      <c r="H55" s="176">
        <f>IFERROR(VLOOKUP(B55,Salg_Total[],3,FALSE),0)*0.9825</f>
        <v>1876.575</v>
      </c>
      <c r="I55" s="177">
        <f>VLOOKUP(B55,'Master kiosk'!$AC$2:$AF$73,4,FALSE)</f>
        <v>1</v>
      </c>
      <c r="J55" s="116">
        <f t="shared" si="10"/>
        <v>10.035160427807487</v>
      </c>
      <c r="K55" s="178">
        <f t="shared" si="11"/>
        <v>52</v>
      </c>
      <c r="L55" s="179">
        <f t="shared" si="8"/>
        <v>1250.0550000000003</v>
      </c>
      <c r="M55" s="179">
        <f t="shared" si="12"/>
        <v>521.82834224598935</v>
      </c>
      <c r="P55" s="56">
        <f t="shared" si="13"/>
        <v>7.4239286973596261</v>
      </c>
      <c r="Q55" s="57">
        <f t="shared" si="14"/>
        <v>0.71736464702982827</v>
      </c>
      <c r="R55" s="54">
        <f t="shared" si="15"/>
        <v>0.17561530748663104</v>
      </c>
      <c r="S55" s="54">
        <f t="shared" si="16"/>
        <v>42.147673796791452</v>
      </c>
      <c r="AC55" s="189" t="s">
        <v>184</v>
      </c>
      <c r="AD55" s="131">
        <f>VLOOKUP(AC55,Inkjøp[],2,FALSE)-VLOOKUP(AC55,Salg_Total[],2,FALSE)</f>
        <v>126</v>
      </c>
      <c r="AE55" s="131">
        <v>22</v>
      </c>
      <c r="AF55" s="132">
        <v>0</v>
      </c>
    </row>
    <row r="56" spans="2:32" ht="16" customHeight="1" x14ac:dyDescent="0.4">
      <c r="B56" s="13" t="str">
        <v>Drumstick</v>
      </c>
      <c r="C56" s="151">
        <f t="shared" si="6"/>
        <v>9.8249999999999993</v>
      </c>
      <c r="D56" s="173">
        <f>VLOOKUP(B56,Inkjøp[],2,FALSE)</f>
        <v>576</v>
      </c>
      <c r="E56" s="174">
        <f>VLOOKUP(B56,Inkjøp[],3,FALSE)</f>
        <v>2556.0360000000001</v>
      </c>
      <c r="F56" s="174">
        <f t="shared" si="7"/>
        <v>5659.2</v>
      </c>
      <c r="G56" s="175">
        <f>IFERROR(VLOOKUP(B56,Salg_Total[],2,FALSE),0)</f>
        <v>450</v>
      </c>
      <c r="H56" s="176">
        <f>IFERROR(VLOOKUP(B56,Salg_Total[],3,FALSE),0)*0.9825</f>
        <v>4421.25</v>
      </c>
      <c r="I56" s="177">
        <f>VLOOKUP(B56,'Master kiosk'!$AC$2:$AF$73,4,FALSE)</f>
        <v>0</v>
      </c>
      <c r="J56" s="116">
        <f t="shared" si="10"/>
        <v>0</v>
      </c>
      <c r="K56" s="178">
        <f t="shared" si="11"/>
        <v>126</v>
      </c>
      <c r="L56" s="179">
        <f t="shared" si="8"/>
        <v>1865.2139999999999</v>
      </c>
      <c r="M56" s="179">
        <f t="shared" si="12"/>
        <v>1237.9499999999998</v>
      </c>
      <c r="P56" s="56">
        <f t="shared" si="13"/>
        <v>5.3871389973958337</v>
      </c>
      <c r="Q56" s="57">
        <f t="shared" si="14"/>
        <v>0.5258396946564885</v>
      </c>
      <c r="R56" s="54">
        <f t="shared" si="15"/>
        <v>0.17193749999999999</v>
      </c>
      <c r="S56" s="54">
        <f t="shared" si="16"/>
        <v>99.036000000000001</v>
      </c>
      <c r="AC56" s="189" t="s">
        <v>185</v>
      </c>
      <c r="AD56" s="131">
        <f>VLOOKUP(AC56,Inkjøp[],2,FALSE)-VLOOKUP(AC56,Salg_Total[],2,FALSE)</f>
        <v>19</v>
      </c>
      <c r="AE56" s="133">
        <v>0</v>
      </c>
      <c r="AF56" s="132">
        <v>4</v>
      </c>
    </row>
    <row r="57" spans="2:32" ht="16" customHeight="1" x14ac:dyDescent="0.4">
      <c r="B57" s="13" t="str">
        <v>Squashies</v>
      </c>
      <c r="C57" s="151">
        <f t="shared" si="6"/>
        <v>19.613385093167704</v>
      </c>
      <c r="D57" s="173">
        <f>VLOOKUP(B57,Inkjøp[],2,FALSE)</f>
        <v>180</v>
      </c>
      <c r="E57" s="174">
        <f>VLOOKUP(B57,Inkjøp[],3,FALSE)</f>
        <v>1021.5449999999998</v>
      </c>
      <c r="F57" s="174">
        <f t="shared" si="7"/>
        <v>3530.4093167701867</v>
      </c>
      <c r="G57" s="175">
        <f>IFERROR(VLOOKUP(B57,Salg_Total[],2,FALSE),0)</f>
        <v>161</v>
      </c>
      <c r="H57" s="176">
        <f>IFERROR(VLOOKUP(B57,Salg_Total[],3,FALSE),0)*0.9825</f>
        <v>3157.7550000000001</v>
      </c>
      <c r="I57" s="177">
        <f>VLOOKUP(B57,'Master kiosk'!$AC$2:$AF$73,4,FALSE)</f>
        <v>4</v>
      </c>
      <c r="J57" s="116">
        <f t="shared" si="10"/>
        <v>78.453540372670815</v>
      </c>
      <c r="K57" s="178">
        <f t="shared" si="11"/>
        <v>15</v>
      </c>
      <c r="L57" s="179">
        <f t="shared" si="8"/>
        <v>2136.21</v>
      </c>
      <c r="M57" s="179">
        <f t="shared" si="12"/>
        <v>294.20077639751554</v>
      </c>
      <c r="P57" s="56">
        <f t="shared" si="13"/>
        <v>13.936228236283645</v>
      </c>
      <c r="Q57" s="57">
        <f t="shared" si="14"/>
        <v>0.68814403349848241</v>
      </c>
      <c r="R57" s="54">
        <f t="shared" si="15"/>
        <v>0.34323423913043483</v>
      </c>
      <c r="S57" s="54">
        <f t="shared" si="16"/>
        <v>61.78216304347827</v>
      </c>
      <c r="AC57" s="189" t="s">
        <v>186</v>
      </c>
      <c r="AD57" s="131">
        <f>VLOOKUP(AC57,Inkjøp[],2,FALSE)-VLOOKUP(AC57,Salg_Total[],2,FALSE)</f>
        <v>42</v>
      </c>
      <c r="AE57" s="131">
        <v>0</v>
      </c>
      <c r="AF57" s="132">
        <v>4</v>
      </c>
    </row>
    <row r="58" spans="2:32" ht="16" customHeight="1" x14ac:dyDescent="0.4">
      <c r="B58" s="13" t="str">
        <v>Vepsebol</v>
      </c>
      <c r="C58" s="151">
        <f t="shared" si="6"/>
        <v>14.737500000000001</v>
      </c>
      <c r="D58" s="173">
        <f>VLOOKUP(B58,Inkjøp[],2,FALSE)</f>
        <v>150</v>
      </c>
      <c r="E58" s="174">
        <f>VLOOKUP(B58,Inkjøp[],3,FALSE)</f>
        <v>1421.3999999999999</v>
      </c>
      <c r="F58" s="174">
        <f t="shared" si="7"/>
        <v>2210.625</v>
      </c>
      <c r="G58" s="175">
        <f>IFERROR(VLOOKUP(B58,Salg_Total[],2,FALSE),0)</f>
        <v>108</v>
      </c>
      <c r="H58" s="176">
        <f>IFERROR(VLOOKUP(B58,Salg_Total[],3,FALSE),0)*0.9825</f>
        <v>1591.65</v>
      </c>
      <c r="I58" s="177">
        <f>VLOOKUP(B58,'Master kiosk'!$AC$2:$AF$73,4,FALSE)</f>
        <v>4</v>
      </c>
      <c r="J58" s="116">
        <f t="shared" si="10"/>
        <v>58.95</v>
      </c>
      <c r="K58" s="178">
        <f t="shared" si="11"/>
        <v>38</v>
      </c>
      <c r="L58" s="179">
        <f t="shared" si="8"/>
        <v>170.25000000000023</v>
      </c>
      <c r="M58" s="179">
        <f t="shared" si="12"/>
        <v>560.02499999999998</v>
      </c>
      <c r="P58" s="56">
        <f t="shared" si="13"/>
        <v>5.2597806250000012</v>
      </c>
      <c r="Q58" s="57">
        <f t="shared" si="14"/>
        <v>0.33451441899915185</v>
      </c>
      <c r="R58" s="54">
        <f t="shared" si="15"/>
        <v>0.25790625000000006</v>
      </c>
      <c r="S58" s="54">
        <f t="shared" si="16"/>
        <v>38.685937500000001</v>
      </c>
      <c r="AC58" s="189" t="s">
        <v>187</v>
      </c>
      <c r="AD58" s="131">
        <f>VLOOKUP(AC58,Inkjøp[],2,FALSE)-VLOOKUP(AC58,Salg_Total[],2,FALSE)</f>
        <v>25</v>
      </c>
      <c r="AE58" s="133">
        <v>0</v>
      </c>
      <c r="AF58" s="132">
        <v>4</v>
      </c>
    </row>
    <row r="59" spans="2:32" ht="16" customHeight="1" x14ac:dyDescent="0.4">
      <c r="B59" s="13" t="str">
        <v>Pringles Original</v>
      </c>
      <c r="C59" s="151">
        <f t="shared" si="6"/>
        <v>17.684999999999999</v>
      </c>
      <c r="D59" s="173">
        <f>VLOOKUP(B59,Inkjøp[],2,FALSE)</f>
        <v>96</v>
      </c>
      <c r="E59" s="174">
        <f>VLOOKUP(B59,Inkjøp[],3,FALSE)</f>
        <v>1502.8199999999997</v>
      </c>
      <c r="F59" s="174">
        <f t="shared" si="7"/>
        <v>1697.7599999999998</v>
      </c>
      <c r="G59" s="175">
        <f>IFERROR(VLOOKUP(B59,Salg_Total[],2,FALSE),0)</f>
        <v>71</v>
      </c>
      <c r="H59" s="176">
        <f>IFERROR(VLOOKUP(B59,Salg_Total[],3,FALSE),0)*0.9825</f>
        <v>1255.635</v>
      </c>
      <c r="I59" s="177">
        <f>VLOOKUP(B59,'Master kiosk'!$AC$2:$AF$73,4,FALSE)</f>
        <v>4</v>
      </c>
      <c r="J59" s="116">
        <f t="shared" si="10"/>
        <v>70.739999999999995</v>
      </c>
      <c r="K59" s="178">
        <f t="shared" si="11"/>
        <v>21</v>
      </c>
      <c r="L59" s="179">
        <f t="shared" si="8"/>
        <v>-247.18499999999972</v>
      </c>
      <c r="M59" s="179">
        <f t="shared" si="12"/>
        <v>371.38499999999999</v>
      </c>
      <c r="P59" s="56">
        <f t="shared" si="13"/>
        <v>2.0274011718750007</v>
      </c>
      <c r="Q59" s="57">
        <f t="shared" si="14"/>
        <v>9.2321882951653986E-2</v>
      </c>
      <c r="R59" s="54">
        <f t="shared" si="15"/>
        <v>0.30948750000000003</v>
      </c>
      <c r="S59" s="54">
        <f t="shared" si="16"/>
        <v>29.710799999999999</v>
      </c>
      <c r="AC59" s="189" t="s">
        <v>188</v>
      </c>
      <c r="AD59" s="131">
        <f>VLOOKUP(AC59,Inkjøp[],2,FALSE)-VLOOKUP(AC59,Salg_Total[],2,FALSE)</f>
        <v>14</v>
      </c>
      <c r="AE59" s="131">
        <v>0</v>
      </c>
      <c r="AF59" s="132">
        <v>-2</v>
      </c>
    </row>
    <row r="60" spans="2:32" ht="16" customHeight="1" x14ac:dyDescent="0.4">
      <c r="B60" s="13" t="str">
        <v>Pringles Sour Cream</v>
      </c>
      <c r="C60" s="151">
        <f t="shared" si="6"/>
        <v>17.685000000000002</v>
      </c>
      <c r="D60" s="173">
        <f>VLOOKUP(B60,Inkjøp[],2,FALSE)</f>
        <v>96</v>
      </c>
      <c r="E60" s="174">
        <f>VLOOKUP(B60,Inkjøp[],3,FALSE)</f>
        <v>1502.8199999999997</v>
      </c>
      <c r="F60" s="174">
        <f t="shared" si="7"/>
        <v>1697.7600000000002</v>
      </c>
      <c r="G60" s="175">
        <f>IFERROR(VLOOKUP(B60,Salg_Total[],2,FALSE),0)</f>
        <v>82</v>
      </c>
      <c r="H60" s="176">
        <f>IFERROR(VLOOKUP(B60,Salg_Total[],3,FALSE),0)*0.9825</f>
        <v>1450.17</v>
      </c>
      <c r="I60" s="177">
        <f>VLOOKUP(B60,'Master kiosk'!$AC$2:$AF$73,4,FALSE)</f>
        <v>-2</v>
      </c>
      <c r="J60" s="116">
        <f t="shared" si="10"/>
        <v>-35.370000000000005</v>
      </c>
      <c r="K60" s="178">
        <f t="shared" si="11"/>
        <v>16</v>
      </c>
      <c r="L60" s="179">
        <f t="shared" si="8"/>
        <v>-52.649999999999636</v>
      </c>
      <c r="M60" s="179">
        <f t="shared" si="12"/>
        <v>282.96000000000004</v>
      </c>
      <c r="P60" s="56">
        <f t="shared" si="13"/>
        <v>2.0274011718750056</v>
      </c>
      <c r="Q60" s="57">
        <f t="shared" si="14"/>
        <v>9.2321882951654236E-2</v>
      </c>
      <c r="R60" s="54">
        <f t="shared" si="15"/>
        <v>0.30948750000000008</v>
      </c>
      <c r="S60" s="54">
        <f t="shared" si="16"/>
        <v>29.710800000000006</v>
      </c>
      <c r="AC60" s="189" t="s">
        <v>189</v>
      </c>
      <c r="AD60" s="131">
        <f>VLOOKUP(AC60,Inkjøp[],2,FALSE)-VLOOKUP(AC60,Salg_Total[],2,FALSE)</f>
        <v>9</v>
      </c>
      <c r="AE60" s="133">
        <v>0</v>
      </c>
      <c r="AF60" s="132">
        <v>0</v>
      </c>
    </row>
    <row r="61" spans="2:32" ht="16" customHeight="1" x14ac:dyDescent="0.4">
      <c r="B61" s="13" t="str">
        <v>Pringles Paprika</v>
      </c>
      <c r="C61" s="151">
        <f t="shared" si="6"/>
        <v>17.684999999999999</v>
      </c>
      <c r="D61" s="173">
        <f>VLOOKUP(B61,Inkjøp[],2,FALSE)</f>
        <v>96</v>
      </c>
      <c r="E61" s="174">
        <f>VLOOKUP(B61,Inkjøp[],3,FALSE)</f>
        <v>1502.8199999999997</v>
      </c>
      <c r="F61" s="174">
        <f>D61*C61</f>
        <v>1697.7599999999998</v>
      </c>
      <c r="G61" s="175">
        <f>IFERROR(VLOOKUP(B61,Salg_Total[],2,FALSE),0)</f>
        <v>87</v>
      </c>
      <c r="H61" s="176">
        <f>IFERROR(VLOOKUP(B61,Salg_Total[],3,FALSE),0)*0.9825</f>
        <v>1538.595</v>
      </c>
      <c r="I61" s="177">
        <f>VLOOKUP(B61,'Master kiosk'!$AC$2:$AF$73,4,FALSE)</f>
        <v>0</v>
      </c>
      <c r="J61" s="116">
        <f t="shared" si="10"/>
        <v>0</v>
      </c>
      <c r="K61" s="178">
        <f t="shared" si="11"/>
        <v>9</v>
      </c>
      <c r="L61" s="179">
        <f t="shared" si="8"/>
        <v>35.775000000000318</v>
      </c>
      <c r="M61" s="179">
        <f t="shared" si="12"/>
        <v>159.16499999999999</v>
      </c>
      <c r="P61" s="56">
        <f t="shared" si="13"/>
        <v>2.0274011718750007</v>
      </c>
      <c r="Q61" s="57">
        <f t="shared" si="14"/>
        <v>9.2321882951653986E-2</v>
      </c>
      <c r="R61" s="54">
        <f t="shared" si="15"/>
        <v>0.30948750000000003</v>
      </c>
      <c r="S61" s="54">
        <f t="shared" si="16"/>
        <v>29.710799999999999</v>
      </c>
      <c r="AC61" s="189" t="s">
        <v>190</v>
      </c>
      <c r="AD61" s="131">
        <f>VLOOKUP(AC61,Inkjøp[],2,FALSE)-VLOOKUP(AC61,Salg_Total[],2,FALSE)</f>
        <v>0</v>
      </c>
      <c r="AE61" s="131">
        <v>0</v>
      </c>
      <c r="AF61" s="132">
        <v>12</v>
      </c>
    </row>
    <row r="62" spans="2:32" ht="18.5" customHeight="1" x14ac:dyDescent="0.45">
      <c r="B62" s="21" t="str">
        <v>Skittles</v>
      </c>
      <c r="C62" s="151">
        <f t="shared" si="6"/>
        <v>24.5625</v>
      </c>
      <c r="D62" s="173">
        <f>VLOOKUP(B62,Inkjøp[],2,FALSE)</f>
        <v>15</v>
      </c>
      <c r="E62" s="174">
        <f>VLOOKUP(B62,Inkjøp[],3,FALSE)</f>
        <v>311.36250000000001</v>
      </c>
      <c r="F62" s="174">
        <f t="shared" si="7"/>
        <v>368.4375</v>
      </c>
      <c r="G62" s="175">
        <f>IFERROR(VLOOKUP(B62,Salg_Total[],2,FALSE),0)</f>
        <v>15</v>
      </c>
      <c r="H62" s="176">
        <f>IFERROR(VLOOKUP(B62,Salg_Total[],3,FALSE),0)*0.9825</f>
        <v>368.4375</v>
      </c>
      <c r="I62" s="177">
        <f>VLOOKUP(B62,'Master kiosk'!$AC$2:$AF$73,4,FALSE)</f>
        <v>12</v>
      </c>
      <c r="J62" s="116">
        <f t="shared" si="10"/>
        <v>294.75</v>
      </c>
      <c r="K62" s="178">
        <f t="shared" si="11"/>
        <v>-12</v>
      </c>
      <c r="L62" s="179">
        <f t="shared" si="8"/>
        <v>57.074999999999989</v>
      </c>
      <c r="M62" s="179">
        <f t="shared" si="12"/>
        <v>-294.75</v>
      </c>
      <c r="P62" s="56">
        <f t="shared" si="13"/>
        <v>3.7763437499999992</v>
      </c>
      <c r="Q62" s="57">
        <f t="shared" si="14"/>
        <v>0.13241094147582694</v>
      </c>
      <c r="R62" s="54">
        <f t="shared" si="15"/>
        <v>0.42984375000000002</v>
      </c>
      <c r="S62" s="54">
        <f t="shared" si="16"/>
        <v>6.4476562500000005</v>
      </c>
      <c r="AC62" s="189" t="s">
        <v>191</v>
      </c>
      <c r="AD62" s="131">
        <f>VLOOKUP(AC62,Inkjøp[],2,FALSE)-VLOOKUP(AC62,Salg_Total[],2,FALSE)</f>
        <v>59</v>
      </c>
      <c r="AE62" s="133">
        <v>60</v>
      </c>
      <c r="AF62" s="132">
        <v>0</v>
      </c>
    </row>
    <row r="63" spans="2:32" ht="18.5" customHeight="1" x14ac:dyDescent="0.45">
      <c r="B63" s="21" t="str">
        <v>Mentos</v>
      </c>
      <c r="C63" s="151">
        <f t="shared" si="6"/>
        <v>18.412375690607735</v>
      </c>
      <c r="D63" s="173">
        <f>VLOOKUP(B63,Inkjøp[],2,FALSE)</f>
        <v>240</v>
      </c>
      <c r="E63" s="174">
        <f>VLOOKUP(B63,Inkjøp[],3,FALSE)</f>
        <v>4231.08</v>
      </c>
      <c r="F63" s="174">
        <f t="shared" si="7"/>
        <v>4418.9701657458563</v>
      </c>
      <c r="G63" s="175">
        <f>IFERROR(VLOOKUP(B63,Salg_Total[],2,FALSE),0)</f>
        <v>181</v>
      </c>
      <c r="H63" s="176">
        <f>IFERROR(VLOOKUP(B63,Salg_Total[],3,FALSE),0)*0.9825</f>
        <v>3332.6400000000003</v>
      </c>
      <c r="I63" s="177">
        <f>VLOOKUP(B63,'Master kiosk'!$AC$2:$AF$73,4,FALSE)</f>
        <v>0</v>
      </c>
      <c r="J63" s="116">
        <f t="shared" si="10"/>
        <v>0</v>
      </c>
      <c r="K63" s="178">
        <f t="shared" si="11"/>
        <v>59</v>
      </c>
      <c r="L63" s="179">
        <f t="shared" si="8"/>
        <v>-898.4399999999996</v>
      </c>
      <c r="M63" s="179">
        <f t="shared" si="12"/>
        <v>1086.3301657458564</v>
      </c>
      <c r="P63" s="56">
        <f t="shared" si="13"/>
        <v>0.78153312154696153</v>
      </c>
      <c r="Q63" s="57">
        <f t="shared" si="14"/>
        <v>2.0018993950741765E-2</v>
      </c>
      <c r="R63" s="54">
        <f t="shared" si="15"/>
        <v>0.32221657458563541</v>
      </c>
      <c r="S63" s="54">
        <f t="shared" si="16"/>
        <v>77.331977900552488</v>
      </c>
      <c r="AC63" s="189" t="s">
        <v>192</v>
      </c>
      <c r="AD63" s="131">
        <f>VLOOKUP(AC63,Inkjøp[],2,FALSE)-VLOOKUP(AC63,Salg_Total[],2,FALSE)</f>
        <v>0</v>
      </c>
      <c r="AE63" s="131">
        <v>0</v>
      </c>
      <c r="AF63" s="132">
        <v>4</v>
      </c>
    </row>
    <row r="64" spans="2:32" ht="18.5" customHeight="1" x14ac:dyDescent="0.45">
      <c r="B64" s="21" t="str">
        <v>Bilar</v>
      </c>
      <c r="C64" s="151">
        <f t="shared" si="6"/>
        <v>34.387500000000003</v>
      </c>
      <c r="D64" s="173">
        <f>VLOOKUP(B64,Inkjøp[],2,FALSE)</f>
        <v>26</v>
      </c>
      <c r="E64" s="174">
        <f>VLOOKUP(B64,Inkjøp[],3,FALSE)</f>
        <v>747.20099999999991</v>
      </c>
      <c r="F64" s="174">
        <f t="shared" si="7"/>
        <v>894.07500000000005</v>
      </c>
      <c r="G64" s="175">
        <f>IFERROR(VLOOKUP(B64,Salg_Total[],2,FALSE),0)</f>
        <v>26</v>
      </c>
      <c r="H64" s="176">
        <f>IFERROR(VLOOKUP(B64,Salg_Total[],3,FALSE),0)*0.9825</f>
        <v>894.07500000000005</v>
      </c>
      <c r="I64" s="177">
        <v>9</v>
      </c>
      <c r="J64" s="116">
        <f t="shared" si="10"/>
        <v>309.48750000000001</v>
      </c>
      <c r="K64" s="178">
        <f>D64-G64-I64</f>
        <v>-9</v>
      </c>
      <c r="L64" s="179">
        <f t="shared" si="8"/>
        <v>146.87400000000014</v>
      </c>
      <c r="M64" s="179">
        <f t="shared" si="12"/>
        <v>-309.48750000000001</v>
      </c>
      <c r="P64" s="56">
        <f t="shared" si="13"/>
        <v>5.6258545673076981</v>
      </c>
      <c r="Q64" s="57">
        <f t="shared" si="14"/>
        <v>0.14177480916030549</v>
      </c>
      <c r="R64" s="54">
        <f t="shared" si="15"/>
        <v>0.60178125000000016</v>
      </c>
      <c r="S64" s="54">
        <f t="shared" si="16"/>
        <v>15.646312500000002</v>
      </c>
      <c r="AC64" s="189" t="s">
        <v>193</v>
      </c>
      <c r="AD64" s="131">
        <f>VLOOKUP(AC64,Inkjøp[],2,FALSE)-VLOOKUP(AC64,Salg_Total[],2,FALSE)</f>
        <v>139</v>
      </c>
      <c r="AE64" s="133">
        <v>9</v>
      </c>
      <c r="AF64" s="132">
        <v>2</v>
      </c>
    </row>
    <row r="65" spans="2:32" ht="16" customHeight="1" x14ac:dyDescent="0.4">
      <c r="B65" s="13" t="str">
        <v>Hockey Pulver</v>
      </c>
      <c r="C65" s="151">
        <f t="shared" si="6"/>
        <v>7.8599999999999994</v>
      </c>
      <c r="D65" s="173">
        <f>VLOOKUP(B65,Inkjøp[],2,FALSE)</f>
        <v>510</v>
      </c>
      <c r="E65" s="174">
        <f>VLOOKUP(B65,Inkjøp[],3,FALSE)</f>
        <v>1536.63</v>
      </c>
      <c r="F65" s="174">
        <f t="shared" si="7"/>
        <v>4008.6</v>
      </c>
      <c r="G65" s="175">
        <f>IFERROR(VLOOKUP(B65,Salg_Total[],2,FALSE),0)</f>
        <v>371</v>
      </c>
      <c r="H65" s="176">
        <f>IFERROR(VLOOKUP(B65,Salg_Total[],3,FALSE),0)*0.9825</f>
        <v>2916.06</v>
      </c>
      <c r="I65" s="177">
        <f>VLOOKUP(B65,'Master kiosk'!$AC$2:$AF$73,4,FALSE)</f>
        <v>2</v>
      </c>
      <c r="J65" s="116">
        <f t="shared" si="10"/>
        <v>15.719999999999999</v>
      </c>
      <c r="K65" s="178">
        <f t="shared" si="11"/>
        <v>137</v>
      </c>
      <c r="L65" s="179">
        <f t="shared" si="8"/>
        <v>1379.4299999999998</v>
      </c>
      <c r="M65" s="179">
        <f t="shared" si="12"/>
        <v>1076.82</v>
      </c>
      <c r="P65" s="56">
        <f t="shared" si="13"/>
        <v>4.8467302941176467</v>
      </c>
      <c r="Q65" s="57">
        <f t="shared" si="14"/>
        <v>0.59416666666666662</v>
      </c>
      <c r="R65" s="54">
        <f t="shared" si="15"/>
        <v>0.13755000000000001</v>
      </c>
      <c r="S65" s="54">
        <f t="shared" si="16"/>
        <v>70.150500000000008</v>
      </c>
      <c r="AC65" s="189" t="s">
        <v>194</v>
      </c>
      <c r="AD65" s="131">
        <f>VLOOKUP(AC65,Inkjøp[],2,FALSE)-VLOOKUP(AC65,Salg_Total[],2,FALSE)</f>
        <v>30</v>
      </c>
      <c r="AE65" s="131">
        <v>7</v>
      </c>
      <c r="AF65" s="132">
        <v>-2</v>
      </c>
    </row>
    <row r="66" spans="2:32" ht="16" customHeight="1" x14ac:dyDescent="0.4">
      <c r="B66" s="180" t="str">
        <v>Extra Tyggis</v>
      </c>
      <c r="C66" s="151">
        <f t="shared" si="6"/>
        <v>14.737500000000001</v>
      </c>
      <c r="D66" s="173">
        <f>VLOOKUP(B66,Inkjøp[],2,FALSE)</f>
        <v>120</v>
      </c>
      <c r="E66" s="174">
        <f>VLOOKUP(B66,Inkjøp[],3,FALSE)</f>
        <v>1316.5199999999998</v>
      </c>
      <c r="F66" s="174">
        <f>D66*C66</f>
        <v>1768.5</v>
      </c>
      <c r="G66" s="175">
        <f>IFERROR(VLOOKUP(B66,Salg_Total[],2,FALSE),0)</f>
        <v>90</v>
      </c>
      <c r="H66" s="176">
        <f>IFERROR(VLOOKUP(B66,Salg_Total[],3,FALSE),0)*0.9825</f>
        <v>1326.375</v>
      </c>
      <c r="I66" s="177">
        <v>2</v>
      </c>
      <c r="J66" s="116">
        <f t="shared" ref="J66:J69" si="17">I66*C66</f>
        <v>29.475000000000001</v>
      </c>
      <c r="K66" s="178">
        <f t="shared" si="11"/>
        <v>28</v>
      </c>
      <c r="L66" s="179">
        <f>H66-E66</f>
        <v>9.8550000000002456</v>
      </c>
      <c r="M66" s="179">
        <f t="shared" si="12"/>
        <v>412.65000000000003</v>
      </c>
      <c r="P66" s="56">
        <f t="shared" si="13"/>
        <v>3.7643507812500019</v>
      </c>
      <c r="Q66" s="57">
        <f t="shared" si="14"/>
        <v>0.23307251908396961</v>
      </c>
      <c r="R66" s="54">
        <f t="shared" si="15"/>
        <v>0.25790625000000006</v>
      </c>
      <c r="S66" s="54">
        <f t="shared" si="16"/>
        <v>30.948750000000004</v>
      </c>
      <c r="AC66" s="189" t="s">
        <v>195</v>
      </c>
      <c r="AD66" s="131">
        <f>VLOOKUP(AC66,Inkjøp[],2,FALSE)-VLOOKUP(AC66,Salg_Total[],2,FALSE)</f>
        <v>96</v>
      </c>
      <c r="AE66" s="133">
        <v>92</v>
      </c>
      <c r="AF66" s="132">
        <v>-22</v>
      </c>
    </row>
    <row r="67" spans="2:32" ht="16" customHeight="1" x14ac:dyDescent="0.4">
      <c r="B67" s="183" t="str">
        <v>Double Dip</v>
      </c>
      <c r="C67" s="151">
        <f t="shared" ref="C67:C69" si="18">IFERROR(H67/G67,0)</f>
        <v>7.86</v>
      </c>
      <c r="D67" s="173">
        <f>VLOOKUP(B67,Inkjøp[],2,FALSE)</f>
        <v>144</v>
      </c>
      <c r="E67" s="174">
        <f>VLOOKUP(B67,Inkjøp[],3,FALSE)</f>
        <v>611.06399999999996</v>
      </c>
      <c r="F67" s="174">
        <f t="shared" ref="F67:F68" si="19">D67*C67</f>
        <v>1131.8400000000001</v>
      </c>
      <c r="G67" s="175">
        <f>IFERROR(VLOOKUP(B67,Salg_Total[],2,FALSE),0)</f>
        <v>48</v>
      </c>
      <c r="H67" s="176">
        <f>IFERROR(VLOOKUP(B67,Salg_Total[],3,FALSE),0)*0.9825</f>
        <v>377.28000000000003</v>
      </c>
      <c r="I67" s="177">
        <f>VLOOKUP(B67,'Master kiosk'!$AC$2:$AF$73,4,FALSE)</f>
        <v>-22</v>
      </c>
      <c r="J67" s="116">
        <f t="shared" si="17"/>
        <v>-172.92000000000002</v>
      </c>
      <c r="K67" s="178">
        <f t="shared" si="11"/>
        <v>118</v>
      </c>
      <c r="L67" s="179">
        <f t="shared" ref="L67:L68" si="20">H67-E67</f>
        <v>-233.78399999999993</v>
      </c>
      <c r="M67" s="179">
        <f t="shared" ref="M67:M68" si="21">K67*C67</f>
        <v>927.48</v>
      </c>
      <c r="P67" s="56">
        <f t="shared" ref="P67:P68" si="22">(F67-E67-R67)/D67</f>
        <v>3.6155447916666676</v>
      </c>
      <c r="Q67" s="57">
        <f t="shared" ref="Q67:Q68" si="23">(F67-E67-F67*0.0225)/F67</f>
        <v>0.43761450381679395</v>
      </c>
      <c r="R67" s="54">
        <f t="shared" ref="R67:R68" si="24">C67*0.0175</f>
        <v>0.13755000000000001</v>
      </c>
      <c r="S67" s="54">
        <f t="shared" ref="S67:S68" si="25">F67*0.0175</f>
        <v>19.807200000000005</v>
      </c>
      <c r="AC67" s="189" t="s">
        <v>198</v>
      </c>
      <c r="AD67" s="131">
        <f>VLOOKUP(AC67,Inkjøp[],2,FALSE)-VLOOKUP(AC67,Salg_Total[],2,FALSE)</f>
        <v>2</v>
      </c>
      <c r="AE67" s="131">
        <v>0</v>
      </c>
      <c r="AF67" s="132">
        <v>12</v>
      </c>
    </row>
    <row r="68" spans="2:32" ht="16" customHeight="1" x14ac:dyDescent="0.4">
      <c r="B68" s="181" t="str">
        <v>Chili nøtter</v>
      </c>
      <c r="C68" s="151">
        <f t="shared" si="18"/>
        <v>24.5625</v>
      </c>
      <c r="D68" s="173">
        <f>VLOOKUP(B68,Inkjøp[],2,FALSE)</f>
        <v>56</v>
      </c>
      <c r="E68" s="174">
        <f>VLOOKUP(B68,Inkjøp[],3,FALSE)</f>
        <v>1256.7659999999998</v>
      </c>
      <c r="F68" s="174">
        <f t="shared" si="19"/>
        <v>1375.5</v>
      </c>
      <c r="G68" s="175">
        <f>IFERROR(VLOOKUP(B68,Salg_Total[],2,FALSE),0)</f>
        <v>54</v>
      </c>
      <c r="H68" s="176">
        <f>IFERROR(VLOOKUP(B68,Salg_Total[],3,FALSE),0)*0.9825</f>
        <v>1326.375</v>
      </c>
      <c r="I68" s="177">
        <f>VLOOKUP(B68,'Master kiosk'!$AC$2:$AF$73,4,FALSE)</f>
        <v>12</v>
      </c>
      <c r="J68" s="116">
        <f t="shared" si="17"/>
        <v>294.75</v>
      </c>
      <c r="K68" s="178">
        <f t="shared" si="11"/>
        <v>-10</v>
      </c>
      <c r="L68" s="179">
        <f t="shared" si="20"/>
        <v>69.609000000000151</v>
      </c>
      <c r="M68" s="179">
        <f t="shared" si="21"/>
        <v>-245.625</v>
      </c>
      <c r="P68" s="56">
        <f t="shared" si="22"/>
        <v>2.1125742187500025</v>
      </c>
      <c r="Q68" s="57">
        <f t="shared" si="23"/>
        <v>6.3820610687023008E-2</v>
      </c>
      <c r="R68" s="54">
        <f t="shared" si="24"/>
        <v>0.42984375000000002</v>
      </c>
      <c r="S68" s="54">
        <f t="shared" si="25"/>
        <v>24.071250000000003</v>
      </c>
      <c r="AC68" s="189" t="s">
        <v>196</v>
      </c>
      <c r="AD68" s="131">
        <f>VLOOKUP(AC68,Inkjøp[],2,FALSE)-VLOOKUP(AC68,Salg_Total[],2,FALSE)</f>
        <v>33</v>
      </c>
      <c r="AE68" s="133">
        <v>24</v>
      </c>
      <c r="AF68" s="132">
        <v>37</v>
      </c>
    </row>
    <row r="69" spans="2:32" ht="16" customHeight="1" x14ac:dyDescent="0.4">
      <c r="B69" s="181" t="str">
        <v>Mellombar Orange</v>
      </c>
      <c r="C69" s="151">
        <f t="shared" si="18"/>
        <v>9.8250000000000011</v>
      </c>
      <c r="D69" s="173">
        <f>VLOOKUP(B69,Inkjøp[],2,FALSE)</f>
        <v>60</v>
      </c>
      <c r="E69" s="174">
        <f>VLOOKUP(B69,Inkjøp[],3,FALSE)</f>
        <v>192.51</v>
      </c>
      <c r="F69" s="174">
        <f t="shared" ref="F69" si="26">D69*C69</f>
        <v>589.50000000000011</v>
      </c>
      <c r="G69" s="175">
        <f>IFERROR(VLOOKUP(B69,Salg_Total[],2,FALSE),0)</f>
        <v>27</v>
      </c>
      <c r="H69" s="176">
        <f>IFERROR(VLOOKUP(B69,Salg_Total[],3,FALSE),0)*0.9825</f>
        <v>265.27500000000003</v>
      </c>
      <c r="I69" s="177">
        <f>VLOOKUP(B69,'Master kiosk'!$AC$2:$AF$73,4,FALSE)</f>
        <v>37</v>
      </c>
      <c r="J69" s="116">
        <f t="shared" si="17"/>
        <v>363.52500000000003</v>
      </c>
      <c r="K69" s="178">
        <f t="shared" si="11"/>
        <v>-4</v>
      </c>
      <c r="L69" s="179">
        <f t="shared" ref="L69" si="27">H69-E69</f>
        <v>72.765000000000043</v>
      </c>
      <c r="M69" s="179">
        <f t="shared" ref="M69" si="28">K69*C69</f>
        <v>-39.300000000000004</v>
      </c>
      <c r="P69" s="56">
        <f t="shared" ref="P69" si="29">(F69-E69-R69)/D69</f>
        <v>6.613634375000002</v>
      </c>
      <c r="Q69" s="57">
        <f t="shared" ref="Q69" si="30">(F69-E69-F69*0.0225)/F69</f>
        <v>0.6509351145038168</v>
      </c>
      <c r="R69" s="54">
        <f t="shared" ref="R69" si="31">C69*0.0175</f>
        <v>0.17193750000000005</v>
      </c>
      <c r="S69" s="54">
        <f t="shared" ref="S69" si="32">F69*0.0175</f>
        <v>10.316250000000004</v>
      </c>
      <c r="AC69" s="189" t="s">
        <v>197</v>
      </c>
      <c r="AD69" s="131">
        <f>VLOOKUP(AC69,Inkjøp[],2,FALSE)-VLOOKUP(AC69,Salg_Total[],2,FALSE)</f>
        <v>37</v>
      </c>
      <c r="AE69" s="131">
        <v>24</v>
      </c>
      <c r="AF69" s="132">
        <f>'[1]Master kiosk'!$AD69-'[1]Master kiosk'!$AE69</f>
        <v>13</v>
      </c>
    </row>
    <row r="70" spans="2:32" ht="16" customHeight="1" x14ac:dyDescent="0.4">
      <c r="B70" s="181" t="str">
        <v>Mellombar Blå</v>
      </c>
      <c r="C70" s="182"/>
      <c r="D70" s="173"/>
      <c r="E70" s="174"/>
      <c r="F70" s="174"/>
      <c r="G70" s="176"/>
      <c r="H70" s="176"/>
      <c r="I70" s="177"/>
      <c r="J70" s="116"/>
      <c r="K70" s="178"/>
      <c r="L70" s="179"/>
      <c r="M70" s="179"/>
      <c r="P70" s="56"/>
      <c r="Q70" s="57"/>
      <c r="R70" s="54"/>
      <c r="S70" s="54"/>
      <c r="AC70" s="189" t="s">
        <v>515</v>
      </c>
      <c r="AD70" s="131">
        <f>VLOOKUP(AC70,Inkjøp[],2,FALSE)-VLOOKUP(AC70,Salg_Total[],2,FALSE)</f>
        <v>0</v>
      </c>
      <c r="AE70" s="131">
        <f>SUM(AF62
)</f>
        <v>0</v>
      </c>
      <c r="AF70" s="132"/>
    </row>
    <row r="71" spans="2:32" ht="16" customHeight="1" x14ac:dyDescent="0.4">
      <c r="B71" s="181"/>
      <c r="C71" s="182"/>
      <c r="D71" s="173"/>
      <c r="E71" s="174"/>
      <c r="F71" s="174"/>
      <c r="G71" s="176"/>
      <c r="H71" s="176"/>
      <c r="I71" s="177"/>
      <c r="J71" s="116"/>
      <c r="K71" s="178"/>
      <c r="L71" s="179"/>
      <c r="M71" s="179"/>
      <c r="P71" s="56"/>
      <c r="Q71" s="57"/>
      <c r="R71" s="54"/>
      <c r="S71" s="54"/>
      <c r="AC71" s="189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AC72" s="189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AC73" s="189"/>
      <c r="AD73" s="131" t="e">
        <f>VLOOKUP(AC73,Inkjøp[],2,FALSE)-VLOOKUP(AC73,Salg_Total[],2,FALSE)</f>
        <v>#N/A</v>
      </c>
      <c r="AE73" s="188"/>
      <c r="AF73" s="132" t="e">
        <f>'Master kiosk'!$AD73-'Master kiosk'!$AE73</f>
        <v>#N/A</v>
      </c>
    </row>
    <row r="79" spans="2:32" x14ac:dyDescent="0.35">
      <c r="D79" t="s">
        <v>749</v>
      </c>
    </row>
    <row r="80" spans="2:32" ht="16" x14ac:dyDescent="0.4">
      <c r="B80" s="75" t="s">
        <v>522</v>
      </c>
      <c r="C80" s="198"/>
      <c r="G80" s="6"/>
      <c r="H80" s="6"/>
      <c r="O80" s="108"/>
      <c r="P80" s="202"/>
      <c r="Q80" s="202"/>
    </row>
    <row r="81" spans="2:26" ht="16" x14ac:dyDescent="0.4">
      <c r="B81" s="193" t="s">
        <v>520</v>
      </c>
      <c r="C81" s="193">
        <f>Vippsutskrifter!B76</f>
        <v>193333.0100000001</v>
      </c>
      <c r="D81" s="6"/>
      <c r="E81" s="6"/>
      <c r="F81" s="6"/>
      <c r="L81" s="201"/>
    </row>
    <row r="82" spans="2:26" x14ac:dyDescent="0.35">
      <c r="B82" s="193" t="s">
        <v>518</v>
      </c>
      <c r="C82" s="193">
        <f>Terminalutskrifter!J77</f>
        <v>5580.33</v>
      </c>
    </row>
    <row r="83" spans="2:26" ht="16" x14ac:dyDescent="0.4">
      <c r="B83" s="193" t="s">
        <v>521</v>
      </c>
      <c r="C83" s="193">
        <f>SUM(C81:C82)</f>
        <v>198913.34000000008</v>
      </c>
      <c r="E83" t="s">
        <v>752</v>
      </c>
      <c r="F83" s="113" t="s">
        <v>750</v>
      </c>
      <c r="G83" s="199" cm="1">
        <f t="array" ref="G83">SUM(IFERROR(D2:D68,0))</f>
        <v>11264</v>
      </c>
    </row>
    <row r="84" spans="2:26" ht="16" x14ac:dyDescent="0.4">
      <c r="B84" s="19"/>
      <c r="C84" s="19"/>
      <c r="F84" s="113" t="s">
        <v>751</v>
      </c>
      <c r="G84" s="199" cm="1">
        <f t="array" ref="G84">SUM(IFERROR(E2:E72,0))</f>
        <v>204639.98344499999</v>
      </c>
    </row>
    <row r="85" spans="2:26" ht="16" x14ac:dyDescent="0.4">
      <c r="B85" s="73" t="s">
        <v>320</v>
      </c>
      <c r="C85" s="73">
        <f>'Inn Kiosk'!B79</f>
        <v>-168473.82</v>
      </c>
      <c r="F85" s="113" t="s">
        <v>753</v>
      </c>
      <c r="G85" s="199" cm="1">
        <f t="array" ref="G85">SUM(IFERROR(F2:F68,0))</f>
        <v>243036.29461760889</v>
      </c>
    </row>
    <row r="86" spans="2:26" x14ac:dyDescent="0.35">
      <c r="B86" s="19"/>
      <c r="C86" s="19"/>
      <c r="E86" t="s">
        <v>754</v>
      </c>
      <c r="F86" s="113" t="s">
        <v>755</v>
      </c>
      <c r="G86" s="116">
        <f>SUM(G2:G71)</f>
        <v>8703</v>
      </c>
    </row>
    <row r="87" spans="2:26" x14ac:dyDescent="0.35">
      <c r="B87" s="19" t="s">
        <v>523</v>
      </c>
      <c r="C87" s="19">
        <f>SUM(C83:C86)</f>
        <v>30439.520000000077</v>
      </c>
      <c r="F87" s="113" t="s">
        <v>759</v>
      </c>
      <c r="G87" s="116">
        <f>SUM(H2:H71)+Terminalutskrifter!J78</f>
        <v>188992.73250000001</v>
      </c>
    </row>
    <row r="88" spans="2:26" ht="16" x14ac:dyDescent="0.4">
      <c r="E88" t="s">
        <v>96</v>
      </c>
      <c r="F88" s="113" t="s">
        <v>756</v>
      </c>
      <c r="G88" s="199" cm="1">
        <f t="array" ref="G88">SUM(IFERROR(I2:I68,0))</f>
        <v>195</v>
      </c>
    </row>
    <row r="89" spans="2:26" ht="16" x14ac:dyDescent="0.4">
      <c r="F89" s="113" t="s">
        <v>760</v>
      </c>
      <c r="G89" s="200" cm="1">
        <f t="array" ref="G89">SUM(IFERROR(J2:J68,0))+Terminalutskrifter!J78</f>
        <v>8919.9099146604894</v>
      </c>
    </row>
    <row r="90" spans="2:26" ht="16" x14ac:dyDescent="0.4">
      <c r="E90" t="s">
        <v>757</v>
      </c>
      <c r="F90" s="113" t="s">
        <v>758</v>
      </c>
      <c r="G90" s="199" cm="1">
        <f t="array" ref="G90">SUM(IFERROR(K2:K68,0))</f>
        <v>2393</v>
      </c>
      <c r="Z90" t="s">
        <v>327</v>
      </c>
    </row>
    <row r="91" spans="2:26" ht="16" x14ac:dyDescent="0.4">
      <c r="F91" s="113" t="s">
        <v>100</v>
      </c>
      <c r="G91" s="199" cm="1">
        <f t="array" ref="G91">SUM(IFERROR(M2:M68,0))</f>
        <v>49283.587202948314</v>
      </c>
    </row>
    <row r="92" spans="2:26" ht="16" x14ac:dyDescent="0.4">
      <c r="B92" s="92" t="s">
        <v>744</v>
      </c>
      <c r="C92" s="92"/>
      <c r="F92" s="113"/>
      <c r="G92" s="199"/>
    </row>
    <row r="93" spans="2:26" x14ac:dyDescent="0.35">
      <c r="B93" s="92" t="s">
        <v>745</v>
      </c>
      <c r="C93" s="92">
        <f>H81</f>
        <v>0</v>
      </c>
      <c r="F93" s="113"/>
      <c r="G93" s="113"/>
    </row>
    <row r="94" spans="2:26" x14ac:dyDescent="0.35">
      <c r="B94" s="92" t="s">
        <v>746</v>
      </c>
      <c r="C94" s="92">
        <f>C83</f>
        <v>198913.34000000008</v>
      </c>
      <c r="F94" s="113"/>
      <c r="G94" s="113"/>
    </row>
    <row r="95" spans="2:26" ht="16" x14ac:dyDescent="0.4">
      <c r="B95" s="92" t="s">
        <v>9</v>
      </c>
      <c r="C95" s="92">
        <f>C93-C94</f>
        <v>-198913.34000000008</v>
      </c>
      <c r="F95" s="113" t="s">
        <v>1</v>
      </c>
      <c r="G95" s="199" cm="1">
        <f t="array" ref="G95">SUM(IFERROR(L2:L70,0))</f>
        <v>-17594.580944999969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747</v>
      </c>
      <c r="C97" s="92">
        <f>G84</f>
        <v>204639.98344499999</v>
      </c>
      <c r="F97" s="113" t="s">
        <v>333</v>
      </c>
      <c r="G97" s="203">
        <f>(G85-G84)/G85</f>
        <v>0.15798591413278953</v>
      </c>
    </row>
    <row r="98" spans="2:7" x14ac:dyDescent="0.35">
      <c r="B98" s="92" t="s">
        <v>748</v>
      </c>
      <c r="C98" s="92">
        <f>C85</f>
        <v>-168473.82</v>
      </c>
    </row>
    <row r="99" spans="2:7" x14ac:dyDescent="0.35">
      <c r="B99" s="92" t="s">
        <v>9</v>
      </c>
      <c r="C99" s="92">
        <f>C98+C97</f>
        <v>36166.163444999984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K1008"/>
  <sheetViews>
    <sheetView zoomScale="60" zoomScaleNormal="85" workbookViewId="0">
      <selection activeCell="B23" sqref="B23"/>
    </sheetView>
  </sheetViews>
  <sheetFormatPr defaultColWidth="8.81640625" defaultRowHeight="14.5" x14ac:dyDescent="0.35"/>
  <cols>
    <col min="1" max="1" width="23.81640625" customWidth="1"/>
    <col min="2" max="2" width="29.6328125" customWidth="1"/>
    <col min="3" max="3" width="29.453125" customWidth="1"/>
    <col min="4" max="4" width="14.6328125" customWidth="1"/>
    <col min="5" max="5" width="5" customWidth="1"/>
    <col min="6" max="6" width="18" customWidth="1"/>
    <col min="7" max="7" width="10.6328125" customWidth="1"/>
    <col min="8" max="8" width="12.54296875" customWidth="1"/>
    <col min="9" max="9" width="23.6328125" customWidth="1"/>
    <col min="10" max="10" width="20.6328125" customWidth="1"/>
    <col min="11" max="11" width="18.453125" customWidth="1"/>
    <col min="12" max="12" width="8.90625" customWidth="1"/>
    <col min="13" max="13" width="4.453125" customWidth="1"/>
    <col min="14" max="14" width="13.08984375" customWidth="1"/>
    <col min="15" max="15" width="10.6328125" customWidth="1"/>
    <col min="16" max="16" width="17.6328125" customWidth="1"/>
    <col min="17" max="17" width="23.6328125" customWidth="1"/>
    <col min="18" max="18" width="20.6328125" customWidth="1"/>
    <col min="19" max="19" width="21.1796875" customWidth="1"/>
    <col min="20" max="20" width="8.90625" customWidth="1"/>
    <col min="21" max="21" width="5.36328125" customWidth="1"/>
    <col min="22" max="22" width="20.1796875" customWidth="1"/>
    <col min="23" max="23" width="14.81640625" customWidth="1"/>
    <col min="24" max="24" width="17.453125" customWidth="1"/>
    <col min="25" max="25" width="23.6328125" customWidth="1"/>
    <col min="26" max="26" width="20.6328125" customWidth="1"/>
    <col min="27" max="27" width="21.1796875" customWidth="1"/>
    <col min="28" max="28" width="8.90625" customWidth="1"/>
    <col min="30" max="30" width="13.08984375" customWidth="1"/>
    <col min="31" max="31" width="21.54296875" customWidth="1"/>
    <col min="33" max="33" width="9.1796875" customWidth="1"/>
    <col min="34" max="34" width="17.26953125" customWidth="1"/>
    <col min="35" max="35" width="14.81640625" customWidth="1"/>
    <col min="36" max="36" width="15.54296875" customWidth="1"/>
  </cols>
  <sheetData>
    <row r="1" spans="1:37" ht="16" customHeight="1" x14ac:dyDescent="0.4">
      <c r="A1" s="156" t="s">
        <v>123</v>
      </c>
      <c r="B1" s="53" t="s">
        <v>332</v>
      </c>
      <c r="C1" s="52" t="s">
        <v>323</v>
      </c>
      <c r="D1" s="33"/>
      <c r="E1" s="14"/>
      <c r="F1" s="1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4" t="s">
        <v>128</v>
      </c>
      <c r="L1" s="5" t="s">
        <v>129</v>
      </c>
      <c r="M1" s="144" t="s">
        <v>229</v>
      </c>
      <c r="N1" s="1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4" t="s">
        <v>128</v>
      </c>
      <c r="T1" s="145" t="s">
        <v>129</v>
      </c>
      <c r="U1" s="144" t="s">
        <v>229</v>
      </c>
      <c r="V1" s="1" t="s">
        <v>123</v>
      </c>
      <c r="W1" s="3" t="s">
        <v>124</v>
      </c>
      <c r="X1" s="3" t="s">
        <v>125</v>
      </c>
      <c r="Y1" s="3" t="s">
        <v>126</v>
      </c>
      <c r="Z1" s="3" t="s">
        <v>127</v>
      </c>
      <c r="AA1" s="4" t="s">
        <v>128</v>
      </c>
      <c r="AB1" s="5" t="s">
        <v>129</v>
      </c>
      <c r="AD1" s="144" t="s">
        <v>229</v>
      </c>
      <c r="AE1" s="114" t="s">
        <v>123</v>
      </c>
      <c r="AF1" s="204" t="s">
        <v>124</v>
      </c>
      <c r="AG1" s="204" t="s">
        <v>125</v>
      </c>
      <c r="AH1" s="204" t="s">
        <v>126</v>
      </c>
      <c r="AI1" s="204" t="s">
        <v>127</v>
      </c>
      <c r="AJ1" s="205" t="s">
        <v>128</v>
      </c>
      <c r="AK1" s="145" t="s">
        <v>129</v>
      </c>
    </row>
    <row r="2" spans="1:37" x14ac:dyDescent="0.35">
      <c r="A2" s="152" t="s">
        <v>130</v>
      </c>
      <c r="B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408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10702.799999999997</v>
      </c>
      <c r="E2" s="15" t="b">
        <f t="shared" ref="E2:E33" si="0">COUNTIF($A:$A,F2)&gt;0</f>
        <v>1</v>
      </c>
      <c r="F2" s="22" t="s">
        <v>130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130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130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  <c r="AD2" s="143" t="b">
        <f t="shared" ref="AD2:AD33" si="15">COUNTIF($A:$A,AE2)&gt;0</f>
        <v>1</v>
      </c>
      <c r="AE2" s="22" t="s">
        <v>130</v>
      </c>
      <c r="AF2" s="23">
        <v>96</v>
      </c>
      <c r="AG2" s="24">
        <v>17.649999999999999</v>
      </c>
      <c r="AH2" s="25">
        <f t="shared" ref="AH2:AH40" si="16">AG2*1.15</f>
        <v>20.297499999999996</v>
      </c>
      <c r="AI2" s="25">
        <f t="shared" ref="AI2:AI33" si="17">AG2*AF2</f>
        <v>1694.3999999999999</v>
      </c>
      <c r="AJ2" s="209" t="e">
        <f>[2]!KviteringV3[[#This Row],[pris SC (m. mva)]]*[2]!KviteringV3[[#This Row],[Antall]]</f>
        <v>#REF!</v>
      </c>
      <c r="AK2" s="27">
        <f t="shared" ref="AK2:AK23" si="18">2*AF2</f>
        <v>192</v>
      </c>
    </row>
    <row r="3" spans="1:37" x14ac:dyDescent="0.35">
      <c r="A3" s="152" t="s">
        <v>131</v>
      </c>
      <c r="B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9097.3799999999974</v>
      </c>
      <c r="D3" s="119"/>
      <c r="E3" s="15" t="b">
        <f t="shared" si="0"/>
        <v>1</v>
      </c>
      <c r="F3" s="22" t="s">
        <v>131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131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131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  <c r="AD3" s="143" t="b">
        <f t="shared" si="15"/>
        <v>1</v>
      </c>
      <c r="AE3" s="22" t="s">
        <v>131</v>
      </c>
      <c r="AF3" s="23">
        <v>96</v>
      </c>
      <c r="AG3" s="24">
        <v>17.649999999999999</v>
      </c>
      <c r="AH3" s="25">
        <f t="shared" si="16"/>
        <v>20.297499999999996</v>
      </c>
      <c r="AI3" s="25">
        <f t="shared" si="17"/>
        <v>1694.3999999999999</v>
      </c>
      <c r="AJ3" s="209" t="e">
        <f>[2]!KviteringV3[[#This Row],[pris SC (m. mva)]]*[2]!KviteringV3[[#This Row],[Antall]]</f>
        <v>#REF!</v>
      </c>
      <c r="AK3" s="27">
        <f t="shared" si="18"/>
        <v>192</v>
      </c>
    </row>
    <row r="4" spans="1:37" x14ac:dyDescent="0.35">
      <c r="A4" s="152" t="s">
        <v>132</v>
      </c>
      <c r="B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432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10167.659999999998</v>
      </c>
      <c r="D4" s="120"/>
      <c r="E4" s="15" t="b">
        <f t="shared" si="0"/>
        <v>1</v>
      </c>
      <c r="F4" s="25" t="s">
        <v>132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132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132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  <c r="AD4" s="143" t="b">
        <f t="shared" si="15"/>
        <v>1</v>
      </c>
      <c r="AE4" s="22" t="s">
        <v>132</v>
      </c>
      <c r="AF4" s="23">
        <v>144</v>
      </c>
      <c r="AG4" s="24">
        <v>17.649999999999999</v>
      </c>
      <c r="AH4" s="25">
        <f t="shared" si="16"/>
        <v>20.297499999999996</v>
      </c>
      <c r="AI4" s="25">
        <f t="shared" si="17"/>
        <v>2541.6</v>
      </c>
      <c r="AJ4" s="209" t="e">
        <f>[2]!KviteringV3[[#This Row],[pris SC (m. mva)]]*[2]!KviteringV3[[#This Row],[Antall]]</f>
        <v>#REF!</v>
      </c>
      <c r="AK4" s="27">
        <f t="shared" si="18"/>
        <v>288</v>
      </c>
    </row>
    <row r="5" spans="1:37" x14ac:dyDescent="0.35">
      <c r="A5" s="152" t="s">
        <v>133</v>
      </c>
      <c r="B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192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5" s="120"/>
      <c r="E5" s="15" t="b">
        <f t="shared" si="0"/>
        <v>1</v>
      </c>
      <c r="F5" s="25" t="s">
        <v>133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133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133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  <c r="AD5" s="143" t="b">
        <f t="shared" si="15"/>
        <v>1</v>
      </c>
      <c r="AE5" s="22" t="s">
        <v>133</v>
      </c>
      <c r="AF5" s="23">
        <v>0</v>
      </c>
      <c r="AG5" s="24">
        <v>17.649999999999999</v>
      </c>
      <c r="AH5" s="25">
        <f t="shared" si="16"/>
        <v>20.297499999999996</v>
      </c>
      <c r="AI5" s="25">
        <f t="shared" si="17"/>
        <v>0</v>
      </c>
      <c r="AJ5" s="209" t="e">
        <f>[2]!KviteringV3[[#This Row],[pris SC (m. mva)]]*[2]!KviteringV3[[#This Row],[Antall]]</f>
        <v>#REF!</v>
      </c>
      <c r="AK5" s="27">
        <f t="shared" si="18"/>
        <v>0</v>
      </c>
    </row>
    <row r="6" spans="1:37" x14ac:dyDescent="0.35">
      <c r="A6" s="152" t="s">
        <v>134</v>
      </c>
      <c r="B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288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6" s="120"/>
      <c r="E6" s="15" t="b">
        <f t="shared" si="0"/>
        <v>1</v>
      </c>
      <c r="F6" s="25" t="s">
        <v>134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134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134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  <c r="AD6" s="143" t="b">
        <f t="shared" si="15"/>
        <v>1</v>
      </c>
      <c r="AE6" s="22" t="s">
        <v>134</v>
      </c>
      <c r="AF6" s="23">
        <v>96</v>
      </c>
      <c r="AG6" s="24">
        <v>17.649999999999999</v>
      </c>
      <c r="AH6" s="25">
        <f t="shared" si="16"/>
        <v>20.297499999999996</v>
      </c>
      <c r="AI6" s="25">
        <f t="shared" si="17"/>
        <v>1694.3999999999999</v>
      </c>
      <c r="AJ6" s="209" t="e">
        <f>[2]!KviteringV3[[#This Row],[pris SC (m. mva)]]*[2]!KviteringV3[[#This Row],[Antall]]</f>
        <v>#REF!</v>
      </c>
      <c r="AK6" s="27">
        <f t="shared" si="18"/>
        <v>192</v>
      </c>
    </row>
    <row r="7" spans="1:37" x14ac:dyDescent="0.35">
      <c r="A7" s="192" t="s">
        <v>321</v>
      </c>
      <c r="B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7" s="120"/>
      <c r="E7" s="15" t="b">
        <f t="shared" si="0"/>
        <v>1</v>
      </c>
      <c r="F7" s="25" t="s">
        <v>135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135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135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  <c r="AD7" s="143" t="b">
        <f t="shared" si="15"/>
        <v>1</v>
      </c>
      <c r="AE7" s="22" t="s">
        <v>135</v>
      </c>
      <c r="AF7" s="23">
        <v>0</v>
      </c>
      <c r="AG7" s="24">
        <v>15.52</v>
      </c>
      <c r="AH7" s="25">
        <f t="shared" si="16"/>
        <v>17.847999999999999</v>
      </c>
      <c r="AI7" s="25">
        <f t="shared" si="17"/>
        <v>0</v>
      </c>
      <c r="AJ7" s="209" t="e">
        <f>[2]!KviteringV3[[#This Row],[pris SC (m. mva)]]*[2]!KviteringV3[[#This Row],[Antall]]</f>
        <v>#REF!</v>
      </c>
      <c r="AK7" s="27">
        <f t="shared" si="18"/>
        <v>0</v>
      </c>
    </row>
    <row r="8" spans="1:37" x14ac:dyDescent="0.35">
      <c r="A8" s="152" t="s">
        <v>135</v>
      </c>
      <c r="B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3810.8159999999998</v>
      </c>
      <c r="D8" s="120"/>
      <c r="E8" s="15" t="b">
        <f t="shared" si="0"/>
        <v>1</v>
      </c>
      <c r="F8" s="25" t="s">
        <v>136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136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136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  <c r="AD8" s="143" t="b">
        <f t="shared" si="15"/>
        <v>1</v>
      </c>
      <c r="AE8" s="22" t="s">
        <v>136</v>
      </c>
      <c r="AF8" s="23">
        <v>0</v>
      </c>
      <c r="AG8" s="24">
        <v>26.63</v>
      </c>
      <c r="AH8" s="25">
        <f t="shared" si="16"/>
        <v>30.624499999999998</v>
      </c>
      <c r="AI8" s="25">
        <f t="shared" si="17"/>
        <v>0</v>
      </c>
      <c r="AJ8" s="209" t="e">
        <f>[2]!KviteringV3[[#This Row],[pris SC (m. mva)]]*[2]!KviteringV3[[#This Row],[Antall]]</f>
        <v>#REF!</v>
      </c>
      <c r="AK8" s="27">
        <f t="shared" si="18"/>
        <v>0</v>
      </c>
    </row>
    <row r="9" spans="1:37" x14ac:dyDescent="0.35">
      <c r="A9" s="152" t="s">
        <v>136</v>
      </c>
      <c r="B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782.98799999999994</v>
      </c>
      <c r="D9" s="120"/>
      <c r="E9" s="15" t="b">
        <f t="shared" si="0"/>
        <v>1</v>
      </c>
      <c r="F9" s="25" t="s">
        <v>137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137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137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  <c r="AD9" s="143" t="b">
        <f t="shared" si="15"/>
        <v>1</v>
      </c>
      <c r="AE9" s="22" t="s">
        <v>137</v>
      </c>
      <c r="AF9" s="23">
        <v>0</v>
      </c>
      <c r="AG9" s="24">
        <v>15.47</v>
      </c>
      <c r="AH9" s="25">
        <f t="shared" si="16"/>
        <v>17.790499999999998</v>
      </c>
      <c r="AI9" s="25">
        <f t="shared" si="17"/>
        <v>0</v>
      </c>
      <c r="AJ9" s="209" t="e">
        <f>[2]!KviteringV3[[#This Row],[pris SC (m. mva)]]*[2]!KviteringV3[[#This Row],[Antall]]</f>
        <v>#REF!</v>
      </c>
      <c r="AK9" s="27">
        <f t="shared" si="18"/>
        <v>0</v>
      </c>
    </row>
    <row r="10" spans="1:37" x14ac:dyDescent="0.35">
      <c r="A10" s="152" t="s">
        <v>137</v>
      </c>
      <c r="B1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1899.8879999999999</v>
      </c>
      <c r="D10" s="120"/>
      <c r="E10" s="15" t="b">
        <f t="shared" si="0"/>
        <v>1</v>
      </c>
      <c r="F10" s="25" t="s">
        <v>138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138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138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  <c r="AD10" s="143" t="b">
        <f t="shared" si="15"/>
        <v>1</v>
      </c>
      <c r="AE10" s="22" t="s">
        <v>138</v>
      </c>
      <c r="AF10" s="28">
        <v>0</v>
      </c>
      <c r="AG10" s="29">
        <v>18.02</v>
      </c>
      <c r="AH10" s="25">
        <f t="shared" si="16"/>
        <v>20.722999999999999</v>
      </c>
      <c r="AI10" s="25">
        <f t="shared" si="17"/>
        <v>0</v>
      </c>
      <c r="AJ10" s="209" t="e">
        <f>[2]!KviteringV3[[#This Row],[pris SC (m. mva)]]*[2]!KviteringV3[[#This Row],[Antall]]</f>
        <v>#REF!</v>
      </c>
      <c r="AK10" s="27">
        <f t="shared" si="18"/>
        <v>0</v>
      </c>
    </row>
    <row r="11" spans="1:37" x14ac:dyDescent="0.35">
      <c r="A11" s="152" t="s">
        <v>138</v>
      </c>
      <c r="B1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1636.056</v>
      </c>
      <c r="D11" s="120"/>
      <c r="E11" s="15" t="b">
        <f t="shared" si="0"/>
        <v>1</v>
      </c>
      <c r="F11" s="25" t="s">
        <v>139</v>
      </c>
      <c r="G11" s="23">
        <v>48</v>
      </c>
      <c r="H11" s="32">
        <v>17.54</v>
      </c>
      <c r="I11" s="25">
        <f t="shared" ref="I11:I19" si="19">H11*1.15</f>
        <v>20.170999999999996</v>
      </c>
      <c r="J11" s="25">
        <f t="shared" ref="J11:J19" si="20">H11*G11</f>
        <v>841.92</v>
      </c>
      <c r="K11" s="25">
        <f t="shared" ref="K11:K19" si="21">I11*G11</f>
        <v>968.20799999999986</v>
      </c>
      <c r="L11" s="27">
        <f t="shared" ref="L11:L19" si="22">2*G11</f>
        <v>96</v>
      </c>
      <c r="M11" s="143" t="b">
        <f t="shared" si="5"/>
        <v>1</v>
      </c>
      <c r="N11" s="22" t="s">
        <v>139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139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  <c r="AD11" s="143" t="b">
        <f t="shared" si="15"/>
        <v>1</v>
      </c>
      <c r="AE11" s="22" t="s">
        <v>139</v>
      </c>
      <c r="AF11" s="23">
        <v>0</v>
      </c>
      <c r="AG11" s="24">
        <v>17.54</v>
      </c>
      <c r="AH11" s="25">
        <f t="shared" si="16"/>
        <v>20.170999999999996</v>
      </c>
      <c r="AI11" s="25">
        <f t="shared" si="17"/>
        <v>0</v>
      </c>
      <c r="AJ11" s="209" t="e">
        <f>[2]!KviteringV3[[#This Row],[pris SC (m. mva)]]*[2]!KviteringV3[[#This Row],[Antall]]</f>
        <v>#REF!</v>
      </c>
      <c r="AK11" s="27">
        <f t="shared" si="18"/>
        <v>0</v>
      </c>
    </row>
    <row r="12" spans="1:37" x14ac:dyDescent="0.35">
      <c r="A12" s="152" t="s">
        <v>139</v>
      </c>
      <c r="B1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3724.7279999999992</v>
      </c>
      <c r="D12" s="120"/>
      <c r="E12" s="15" t="b">
        <f t="shared" si="0"/>
        <v>1</v>
      </c>
      <c r="F12" s="25" t="s">
        <v>140</v>
      </c>
      <c r="G12" s="23">
        <v>48</v>
      </c>
      <c r="H12" s="32">
        <v>17.54</v>
      </c>
      <c r="I12" s="25">
        <f t="shared" si="19"/>
        <v>20.170999999999996</v>
      </c>
      <c r="J12" s="25">
        <f t="shared" si="20"/>
        <v>841.92</v>
      </c>
      <c r="K12" s="25">
        <f t="shared" si="21"/>
        <v>968.20799999999986</v>
      </c>
      <c r="L12" s="27">
        <f t="shared" si="22"/>
        <v>96</v>
      </c>
      <c r="M12" s="143" t="b">
        <f t="shared" si="5"/>
        <v>1</v>
      </c>
      <c r="N12" s="22" t="s">
        <v>140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140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  <c r="AD12" s="143" t="b">
        <f t="shared" si="15"/>
        <v>1</v>
      </c>
      <c r="AE12" s="22" t="s">
        <v>140</v>
      </c>
      <c r="AF12" s="23">
        <v>48</v>
      </c>
      <c r="AG12" s="24">
        <v>17.54</v>
      </c>
      <c r="AH12" s="25">
        <f t="shared" si="16"/>
        <v>20.170999999999996</v>
      </c>
      <c r="AI12" s="25">
        <f t="shared" si="17"/>
        <v>841.92</v>
      </c>
      <c r="AJ12" s="209" t="e">
        <f>[2]!KviteringV3[[#This Row],[pris SC (m. mva)]]*[2]!KviteringV3[[#This Row],[Antall]]</f>
        <v>#REF!</v>
      </c>
      <c r="AK12" s="27">
        <f t="shared" si="18"/>
        <v>96</v>
      </c>
    </row>
    <row r="13" spans="1:37" x14ac:dyDescent="0.35">
      <c r="A13" s="152" t="s">
        <v>140</v>
      </c>
      <c r="B1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7449.4559999999992</v>
      </c>
      <c r="D13" s="120"/>
      <c r="E13" s="15" t="b">
        <f t="shared" si="0"/>
        <v>1</v>
      </c>
      <c r="F13" s="25" t="s">
        <v>141</v>
      </c>
      <c r="G13" s="23">
        <v>48</v>
      </c>
      <c r="H13" s="32">
        <v>17.53</v>
      </c>
      <c r="I13" s="25">
        <f t="shared" si="19"/>
        <v>20.159500000000001</v>
      </c>
      <c r="J13" s="25">
        <f t="shared" si="20"/>
        <v>841.44</v>
      </c>
      <c r="K13" s="25">
        <f t="shared" si="21"/>
        <v>967.65600000000006</v>
      </c>
      <c r="L13" s="27">
        <f t="shared" si="22"/>
        <v>96</v>
      </c>
      <c r="M13" s="143" t="b">
        <f t="shared" si="5"/>
        <v>1</v>
      </c>
      <c r="N13" s="22" t="s">
        <v>141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141</v>
      </c>
      <c r="W13" s="22"/>
      <c r="X13" s="22"/>
      <c r="Y13" s="22"/>
      <c r="Z13" s="22"/>
      <c r="AA13" s="22"/>
      <c r="AB13" s="22"/>
      <c r="AD13" s="143" t="b">
        <f t="shared" si="15"/>
        <v>1</v>
      </c>
      <c r="AE13" s="22" t="s">
        <v>141</v>
      </c>
      <c r="AF13" s="22">
        <v>48</v>
      </c>
      <c r="AG13" s="22">
        <v>17.53</v>
      </c>
      <c r="AH13" s="25">
        <f t="shared" si="16"/>
        <v>20.159500000000001</v>
      </c>
      <c r="AI13" s="25">
        <f t="shared" si="17"/>
        <v>841.44</v>
      </c>
      <c r="AJ13" s="209" t="e">
        <f>[2]!KviteringV3[[#This Row],[pris SC (m. mva)]]*[2]!KviteringV3[[#This Row],[Antall]]</f>
        <v>#REF!</v>
      </c>
      <c r="AK13" s="27">
        <f t="shared" si="18"/>
        <v>96</v>
      </c>
    </row>
    <row r="14" spans="1:37" x14ac:dyDescent="0.35">
      <c r="A14" s="152" t="s">
        <v>141</v>
      </c>
      <c r="B1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1063.6559999999999</v>
      </c>
      <c r="D14" s="120"/>
      <c r="E14" s="15" t="b">
        <f t="shared" si="0"/>
        <v>1</v>
      </c>
      <c r="F14" s="25" t="s">
        <v>142</v>
      </c>
      <c r="G14" s="23">
        <v>24</v>
      </c>
      <c r="H14" s="32">
        <v>17.53</v>
      </c>
      <c r="I14" s="25">
        <f t="shared" si="19"/>
        <v>20.159500000000001</v>
      </c>
      <c r="J14" s="25">
        <f t="shared" si="20"/>
        <v>420.72</v>
      </c>
      <c r="K14" s="25">
        <f t="shared" si="21"/>
        <v>483.82800000000003</v>
      </c>
      <c r="L14" s="27">
        <f t="shared" si="22"/>
        <v>48</v>
      </c>
      <c r="M14" s="143" t="b">
        <f t="shared" si="5"/>
        <v>1</v>
      </c>
      <c r="N14" s="22" t="s">
        <v>142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142</v>
      </c>
      <c r="W14" s="23">
        <v>24</v>
      </c>
      <c r="X14" s="24">
        <v>17.53</v>
      </c>
      <c r="Y14" s="25">
        <f t="shared" ref="Y14:Y35" si="23">X14*1.15</f>
        <v>20.159500000000001</v>
      </c>
      <c r="Z14" s="25">
        <f t="shared" ref="Z14:Z35" si="24">X14*W14</f>
        <v>420.72</v>
      </c>
      <c r="AA14" s="26">
        <f t="shared" ref="AA14:AA35" si="25">Y14*W14</f>
        <v>483.82800000000003</v>
      </c>
      <c r="AB14" s="27">
        <f t="shared" ref="AB14:AB23" si="26">2*W14</f>
        <v>48</v>
      </c>
      <c r="AD14" s="143" t="b">
        <f t="shared" si="15"/>
        <v>1</v>
      </c>
      <c r="AE14" s="22" t="s">
        <v>142</v>
      </c>
      <c r="AF14" s="23">
        <v>0</v>
      </c>
      <c r="AG14" s="24">
        <v>17.53</v>
      </c>
      <c r="AH14" s="25">
        <f t="shared" si="16"/>
        <v>20.159500000000001</v>
      </c>
      <c r="AI14" s="25">
        <f t="shared" si="17"/>
        <v>0</v>
      </c>
      <c r="AJ14" s="209" t="e">
        <f>[2]!KviteringV3[[#This Row],[pris SC (m. mva)]]*[2]!KviteringV3[[#This Row],[Antall]]</f>
        <v>#REF!</v>
      </c>
      <c r="AK14" s="27">
        <f t="shared" si="18"/>
        <v>0</v>
      </c>
    </row>
    <row r="15" spans="1:37" x14ac:dyDescent="0.35">
      <c r="A15" s="152" t="s">
        <v>142</v>
      </c>
      <c r="B1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1595.4839999999999</v>
      </c>
      <c r="D15" s="120"/>
      <c r="E15" s="15" t="b">
        <f t="shared" si="0"/>
        <v>1</v>
      </c>
      <c r="F15" s="25" t="s">
        <v>143</v>
      </c>
      <c r="G15" s="23">
        <v>48</v>
      </c>
      <c r="H15" s="32">
        <v>6.69</v>
      </c>
      <c r="I15" s="25">
        <f t="shared" si="19"/>
        <v>7.6935000000000002</v>
      </c>
      <c r="J15" s="25">
        <f t="shared" si="20"/>
        <v>321.12</v>
      </c>
      <c r="K15" s="25">
        <f t="shared" si="21"/>
        <v>369.28800000000001</v>
      </c>
      <c r="L15" s="27">
        <f t="shared" si="22"/>
        <v>96</v>
      </c>
      <c r="M15" s="143" t="b">
        <f t="shared" si="5"/>
        <v>1</v>
      </c>
      <c r="N15" s="22" t="s">
        <v>143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143</v>
      </c>
      <c r="W15" s="23">
        <v>72</v>
      </c>
      <c r="X15" s="24">
        <v>6.69</v>
      </c>
      <c r="Y15" s="25">
        <f t="shared" si="23"/>
        <v>7.6935000000000002</v>
      </c>
      <c r="Z15" s="25">
        <f t="shared" si="24"/>
        <v>481.68</v>
      </c>
      <c r="AA15" s="26">
        <f t="shared" si="25"/>
        <v>553.93200000000002</v>
      </c>
      <c r="AB15" s="27">
        <f t="shared" si="26"/>
        <v>144</v>
      </c>
      <c r="AD15" s="143" t="b">
        <f t="shared" si="15"/>
        <v>1</v>
      </c>
      <c r="AE15" s="22" t="s">
        <v>143</v>
      </c>
      <c r="AF15" s="23">
        <v>48</v>
      </c>
      <c r="AG15" s="24">
        <v>6.69</v>
      </c>
      <c r="AH15" s="25">
        <f t="shared" si="16"/>
        <v>7.6935000000000002</v>
      </c>
      <c r="AI15" s="25">
        <f t="shared" si="17"/>
        <v>321.12</v>
      </c>
      <c r="AJ15" s="209" t="e">
        <f>[2]!KviteringV3[[#This Row],[pris SC (m. mva)]]*[2]!KviteringV3[[#This Row],[Antall]]</f>
        <v>#REF!</v>
      </c>
      <c r="AK15" s="27">
        <f t="shared" si="18"/>
        <v>96</v>
      </c>
    </row>
    <row r="16" spans="1:37" x14ac:dyDescent="0.35">
      <c r="A16" s="152" t="s">
        <v>143</v>
      </c>
      <c r="B1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2326.44</v>
      </c>
      <c r="D16" s="120"/>
      <c r="E16" s="15" t="b">
        <f t="shared" si="0"/>
        <v>1</v>
      </c>
      <c r="F16" s="25" t="s">
        <v>144</v>
      </c>
      <c r="G16" s="23">
        <v>48</v>
      </c>
      <c r="H16" s="32">
        <v>6.1400000000000006</v>
      </c>
      <c r="I16" s="25">
        <f t="shared" si="19"/>
        <v>7.0609999999999999</v>
      </c>
      <c r="J16" s="25">
        <f t="shared" si="20"/>
        <v>294.72000000000003</v>
      </c>
      <c r="K16" s="25">
        <f t="shared" si="21"/>
        <v>338.928</v>
      </c>
      <c r="L16" s="27">
        <f t="shared" si="22"/>
        <v>96</v>
      </c>
      <c r="M16" s="143" t="b">
        <f t="shared" si="5"/>
        <v>1</v>
      </c>
      <c r="N16" s="22" t="s">
        <v>144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144</v>
      </c>
      <c r="W16" s="23">
        <v>72</v>
      </c>
      <c r="X16" s="24">
        <v>6.1400000000000006</v>
      </c>
      <c r="Y16" s="25">
        <f t="shared" si="23"/>
        <v>7.0609999999999999</v>
      </c>
      <c r="Z16" s="25">
        <f t="shared" si="24"/>
        <v>442.08000000000004</v>
      </c>
      <c r="AA16" s="26">
        <f t="shared" si="25"/>
        <v>508.392</v>
      </c>
      <c r="AB16" s="27">
        <f t="shared" si="26"/>
        <v>144</v>
      </c>
      <c r="AD16" s="143" t="b">
        <f t="shared" si="15"/>
        <v>1</v>
      </c>
      <c r="AE16" s="22" t="s">
        <v>144</v>
      </c>
      <c r="AF16" s="23">
        <v>48</v>
      </c>
      <c r="AG16" s="24">
        <v>6.1400000000000006</v>
      </c>
      <c r="AH16" s="25">
        <f t="shared" si="16"/>
        <v>7.0609999999999999</v>
      </c>
      <c r="AI16" s="25">
        <f t="shared" si="17"/>
        <v>294.72000000000003</v>
      </c>
      <c r="AJ16" s="209" t="e">
        <f>[2]!KviteringV3[[#This Row],[pris SC (m. mva)]]*[2]!KviteringV3[[#This Row],[Antall]]</f>
        <v>#REF!</v>
      </c>
      <c r="AK16" s="27">
        <f t="shared" si="18"/>
        <v>96</v>
      </c>
    </row>
    <row r="17" spans="1:37" x14ac:dyDescent="0.35">
      <c r="A17" s="152" t="s">
        <v>144</v>
      </c>
      <c r="B1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2174.6400000000003</v>
      </c>
      <c r="D17" s="120"/>
      <c r="E17" s="15" t="b">
        <f t="shared" si="0"/>
        <v>1</v>
      </c>
      <c r="F17" s="25" t="s">
        <v>145</v>
      </c>
      <c r="G17" s="23">
        <v>24</v>
      </c>
      <c r="H17" s="32">
        <v>15.79</v>
      </c>
      <c r="I17" s="25">
        <f t="shared" si="19"/>
        <v>18.158499999999997</v>
      </c>
      <c r="J17" s="25">
        <f t="shared" si="20"/>
        <v>378.96</v>
      </c>
      <c r="K17" s="25">
        <f t="shared" si="21"/>
        <v>435.80399999999992</v>
      </c>
      <c r="L17" s="27">
        <f t="shared" si="22"/>
        <v>48</v>
      </c>
      <c r="M17" s="143" t="b">
        <f t="shared" si="5"/>
        <v>1</v>
      </c>
      <c r="N17" s="22" t="s">
        <v>145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145</v>
      </c>
      <c r="W17" s="23">
        <v>144</v>
      </c>
      <c r="X17" s="24">
        <v>10.98</v>
      </c>
      <c r="Y17" s="25">
        <f t="shared" si="23"/>
        <v>12.626999999999999</v>
      </c>
      <c r="Z17" s="25">
        <f t="shared" si="24"/>
        <v>1581.1200000000001</v>
      </c>
      <c r="AA17" s="26">
        <f t="shared" si="25"/>
        <v>1818.2879999999998</v>
      </c>
      <c r="AB17" s="27">
        <f t="shared" si="26"/>
        <v>288</v>
      </c>
      <c r="AC17" t="s">
        <v>146</v>
      </c>
      <c r="AD17" s="143" t="b">
        <f t="shared" si="15"/>
        <v>1</v>
      </c>
      <c r="AE17" s="22" t="s">
        <v>145</v>
      </c>
      <c r="AF17" s="23"/>
      <c r="AG17" s="24">
        <v>10.98</v>
      </c>
      <c r="AH17" s="25">
        <f t="shared" si="16"/>
        <v>12.626999999999999</v>
      </c>
      <c r="AI17" s="25">
        <f t="shared" si="17"/>
        <v>0</v>
      </c>
      <c r="AJ17" s="209" t="e">
        <f>[2]!KviteringV3[[#This Row],[pris SC (m. mva)]]*[2]!KviteringV3[[#This Row],[Antall]]</f>
        <v>#REF!</v>
      </c>
      <c r="AK17" s="27">
        <f t="shared" si="18"/>
        <v>0</v>
      </c>
    </row>
    <row r="18" spans="1:37" x14ac:dyDescent="0.35">
      <c r="A18" s="152" t="s">
        <v>145</v>
      </c>
      <c r="B1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5663.9879999999994</v>
      </c>
      <c r="D18" s="120"/>
      <c r="E18" s="15" t="b">
        <f t="shared" si="0"/>
        <v>1</v>
      </c>
      <c r="F18" s="25" t="s">
        <v>147</v>
      </c>
      <c r="G18" s="23">
        <v>48</v>
      </c>
      <c r="H18" s="32">
        <v>15.79</v>
      </c>
      <c r="I18" s="25">
        <f t="shared" si="19"/>
        <v>18.158499999999997</v>
      </c>
      <c r="J18" s="25">
        <f t="shared" si="20"/>
        <v>757.92</v>
      </c>
      <c r="K18" s="25">
        <f t="shared" si="21"/>
        <v>871.60799999999983</v>
      </c>
      <c r="L18" s="27">
        <f t="shared" si="22"/>
        <v>96</v>
      </c>
      <c r="M18" s="143" t="b">
        <f t="shared" si="5"/>
        <v>1</v>
      </c>
      <c r="N18" s="22" t="s">
        <v>147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147</v>
      </c>
      <c r="W18" s="23">
        <v>48</v>
      </c>
      <c r="X18" s="24">
        <v>10.94</v>
      </c>
      <c r="Y18" s="25">
        <f t="shared" si="23"/>
        <v>12.580999999999998</v>
      </c>
      <c r="Z18" s="25">
        <f t="shared" si="24"/>
        <v>525.12</v>
      </c>
      <c r="AA18" s="26">
        <f t="shared" si="25"/>
        <v>603.88799999999992</v>
      </c>
      <c r="AB18" s="27">
        <f t="shared" si="26"/>
        <v>96</v>
      </c>
      <c r="AC18" t="s">
        <v>148</v>
      </c>
      <c r="AD18" s="143" t="b">
        <f t="shared" si="15"/>
        <v>1</v>
      </c>
      <c r="AE18" s="22" t="s">
        <v>147</v>
      </c>
      <c r="AF18" s="23">
        <v>24</v>
      </c>
      <c r="AG18" s="24">
        <v>15.79</v>
      </c>
      <c r="AH18" s="25">
        <f t="shared" si="16"/>
        <v>18.158499999999997</v>
      </c>
      <c r="AI18" s="25">
        <f t="shared" si="17"/>
        <v>378.96</v>
      </c>
      <c r="AJ18" s="209" t="e">
        <f>[2]!KviteringV3[[#This Row],[pris SC (m. mva)]]*[2]!KviteringV3[[#This Row],[Antall]]</f>
        <v>#REF!</v>
      </c>
      <c r="AK18" s="27">
        <f t="shared" si="18"/>
        <v>48</v>
      </c>
    </row>
    <row r="19" spans="1:37" x14ac:dyDescent="0.35">
      <c r="A19" s="152" t="s">
        <v>147</v>
      </c>
      <c r="B1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168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3334.9919999999993</v>
      </c>
      <c r="D19" s="120"/>
      <c r="E19" s="15" t="b">
        <f t="shared" si="0"/>
        <v>1</v>
      </c>
      <c r="F19" s="25" t="s">
        <v>149</v>
      </c>
      <c r="G19" s="23">
        <v>72</v>
      </c>
      <c r="H19" s="32">
        <v>15.79</v>
      </c>
      <c r="I19" s="25">
        <f t="shared" si="19"/>
        <v>18.158499999999997</v>
      </c>
      <c r="J19" s="25">
        <f t="shared" si="20"/>
        <v>1136.8799999999999</v>
      </c>
      <c r="K19" s="25">
        <f t="shared" si="21"/>
        <v>1307.4119999999998</v>
      </c>
      <c r="L19" s="27">
        <f t="shared" si="22"/>
        <v>144</v>
      </c>
      <c r="M19" s="143" t="b">
        <f t="shared" si="5"/>
        <v>1</v>
      </c>
      <c r="N19" s="22" t="s">
        <v>149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149</v>
      </c>
      <c r="W19" s="23">
        <v>144</v>
      </c>
      <c r="X19" s="24">
        <v>15.79</v>
      </c>
      <c r="Y19" s="25">
        <f t="shared" si="23"/>
        <v>18.158499999999997</v>
      </c>
      <c r="Z19" s="25">
        <f t="shared" si="24"/>
        <v>2273.7599999999998</v>
      </c>
      <c r="AA19" s="26">
        <f t="shared" si="25"/>
        <v>2614.8239999999996</v>
      </c>
      <c r="AB19" s="27">
        <f t="shared" si="26"/>
        <v>288</v>
      </c>
      <c r="AD19" s="143" t="b">
        <f t="shared" si="15"/>
        <v>1</v>
      </c>
      <c r="AE19" s="22" t="s">
        <v>149</v>
      </c>
      <c r="AF19" s="23">
        <v>120</v>
      </c>
      <c r="AG19" s="24">
        <v>16.66</v>
      </c>
      <c r="AH19" s="25">
        <f t="shared" si="16"/>
        <v>19.158999999999999</v>
      </c>
      <c r="AI19" s="25">
        <f t="shared" si="17"/>
        <v>1999.2</v>
      </c>
      <c r="AJ19" s="209" t="e">
        <f>[2]!KviteringV3[[#This Row],[pris SC (m. mva)]]*[2]!KviteringV3[[#This Row],[Antall]]</f>
        <v>#REF!</v>
      </c>
      <c r="AK19" s="27">
        <f t="shared" si="18"/>
        <v>240</v>
      </c>
    </row>
    <row r="20" spans="1:37" x14ac:dyDescent="0.35">
      <c r="A20" s="152" t="s">
        <v>149</v>
      </c>
      <c r="B2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7740.8639999999987</v>
      </c>
      <c r="D20" s="120"/>
      <c r="E20" s="15" t="b">
        <f t="shared" si="0"/>
        <v>1</v>
      </c>
      <c r="F20" s="25" t="s">
        <v>150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150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150</v>
      </c>
      <c r="W20" s="23">
        <v>24</v>
      </c>
      <c r="X20" s="23">
        <v>10.52</v>
      </c>
      <c r="Y20" s="25">
        <f t="shared" si="23"/>
        <v>12.097999999999999</v>
      </c>
      <c r="Z20" s="25">
        <f t="shared" si="24"/>
        <v>252.48</v>
      </c>
      <c r="AA20" s="26">
        <f t="shared" si="25"/>
        <v>290.35199999999998</v>
      </c>
      <c r="AB20" s="27">
        <f t="shared" si="26"/>
        <v>48</v>
      </c>
      <c r="AC20" t="s">
        <v>148</v>
      </c>
      <c r="AD20" s="143" t="b">
        <f t="shared" si="15"/>
        <v>1</v>
      </c>
      <c r="AE20" s="22" t="s">
        <v>150</v>
      </c>
      <c r="AF20" s="23">
        <v>0</v>
      </c>
      <c r="AG20" s="23">
        <v>10.52</v>
      </c>
      <c r="AH20" s="25">
        <f t="shared" si="16"/>
        <v>12.097999999999999</v>
      </c>
      <c r="AI20" s="25">
        <f t="shared" si="17"/>
        <v>0</v>
      </c>
      <c r="AJ20" s="209" t="e">
        <f>[2]!KviteringV3[[#This Row],[pris SC (m. mva)]]*[2]!KviteringV3[[#This Row],[Antall]]</f>
        <v>#REF!</v>
      </c>
      <c r="AK20" s="27">
        <f t="shared" si="18"/>
        <v>0</v>
      </c>
    </row>
    <row r="21" spans="1:37" x14ac:dyDescent="0.35">
      <c r="A21" s="152" t="s">
        <v>150</v>
      </c>
      <c r="B2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676.70399999999995</v>
      </c>
      <c r="D21" s="120"/>
      <c r="E21" s="15" t="b">
        <f t="shared" si="0"/>
        <v>1</v>
      </c>
      <c r="F21" s="25" t="s">
        <v>151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151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151</v>
      </c>
      <c r="W21" s="23">
        <v>24</v>
      </c>
      <c r="X21" s="23">
        <v>10.94</v>
      </c>
      <c r="Y21" s="25">
        <f t="shared" si="23"/>
        <v>12.580999999999998</v>
      </c>
      <c r="Z21" s="25">
        <f t="shared" si="24"/>
        <v>262.56</v>
      </c>
      <c r="AA21" s="26">
        <f t="shared" si="25"/>
        <v>301.94399999999996</v>
      </c>
      <c r="AB21" s="27">
        <f t="shared" si="26"/>
        <v>48</v>
      </c>
      <c r="AC21" t="s">
        <v>148</v>
      </c>
      <c r="AD21" s="143" t="b">
        <f t="shared" si="15"/>
        <v>1</v>
      </c>
      <c r="AE21" s="22" t="s">
        <v>151</v>
      </c>
      <c r="AF21" s="23">
        <v>0</v>
      </c>
      <c r="AG21" s="23">
        <v>10.94</v>
      </c>
      <c r="AH21" s="25">
        <f t="shared" si="16"/>
        <v>12.580999999999998</v>
      </c>
      <c r="AI21" s="25">
        <f t="shared" si="17"/>
        <v>0</v>
      </c>
      <c r="AJ21" s="209" t="e">
        <f>[2]!KviteringV3[[#This Row],[pris SC (m. mva)]]*[2]!KviteringV3[[#This Row],[Antall]]</f>
        <v>#REF!</v>
      </c>
      <c r="AK21" s="27">
        <f t="shared" si="18"/>
        <v>0</v>
      </c>
    </row>
    <row r="22" spans="1:37" x14ac:dyDescent="0.35">
      <c r="A22" s="152" t="s">
        <v>151</v>
      </c>
      <c r="B2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699.88799999999992</v>
      </c>
      <c r="D22" s="120"/>
      <c r="E22" s="15" t="b">
        <f t="shared" si="0"/>
        <v>1</v>
      </c>
      <c r="F22" s="25" t="s">
        <v>152</v>
      </c>
      <c r="M22" s="143" t="b">
        <f t="shared" si="5"/>
        <v>1</v>
      </c>
      <c r="N22" t="s">
        <v>152</v>
      </c>
      <c r="U22" s="143" t="b">
        <f t="shared" si="10"/>
        <v>1</v>
      </c>
      <c r="V22" s="22" t="s">
        <v>152</v>
      </c>
      <c r="W22" s="23">
        <v>48</v>
      </c>
      <c r="X22" s="24">
        <v>17.239999999999998</v>
      </c>
      <c r="Y22" s="25">
        <f t="shared" si="23"/>
        <v>19.825999999999997</v>
      </c>
      <c r="Z22" s="25">
        <f t="shared" si="24"/>
        <v>827.52</v>
      </c>
      <c r="AA22" s="26">
        <f t="shared" si="25"/>
        <v>951.64799999999991</v>
      </c>
      <c r="AB22" s="27">
        <f t="shared" si="26"/>
        <v>96</v>
      </c>
      <c r="AD22" s="143" t="b">
        <f t="shared" si="15"/>
        <v>1</v>
      </c>
      <c r="AE22" s="22" t="s">
        <v>152</v>
      </c>
      <c r="AF22" s="23">
        <v>48</v>
      </c>
      <c r="AG22" s="24">
        <v>17.239999999999998</v>
      </c>
      <c r="AH22" s="25">
        <f t="shared" si="16"/>
        <v>19.825999999999997</v>
      </c>
      <c r="AI22" s="25">
        <f t="shared" si="17"/>
        <v>827.52</v>
      </c>
      <c r="AJ22" s="209" t="e">
        <f>[2]!KviteringV3[[#This Row],[pris SC (m. mva)]]*[2]!KviteringV3[[#This Row],[Antall]]</f>
        <v>#REF!</v>
      </c>
      <c r="AK22" s="27">
        <f t="shared" si="18"/>
        <v>96</v>
      </c>
    </row>
    <row r="23" spans="1:37" x14ac:dyDescent="0.35">
      <c r="A23" s="152" t="s">
        <v>152</v>
      </c>
      <c r="B2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2095.2959999999998</v>
      </c>
      <c r="D23" s="120"/>
      <c r="E23" s="15" t="b">
        <f t="shared" si="0"/>
        <v>1</v>
      </c>
      <c r="F23" s="25" t="s">
        <v>153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153</v>
      </c>
      <c r="O23" s="28">
        <v>24</v>
      </c>
      <c r="P23" s="29">
        <v>18.98</v>
      </c>
      <c r="Q23" s="30">
        <f t="shared" ref="Q23:Q36" si="27">P23*1.15</f>
        <v>21.826999999999998</v>
      </c>
      <c r="R23" s="30">
        <f t="shared" ref="R23:R36" si="28">P23*O23</f>
        <v>455.52</v>
      </c>
      <c r="S23" s="26">
        <f t="shared" ref="S23:S36" si="29">Q23*O23</f>
        <v>523.84799999999996</v>
      </c>
      <c r="T23" s="27">
        <f>2*O23</f>
        <v>48</v>
      </c>
      <c r="U23" s="143" t="b">
        <f t="shared" si="10"/>
        <v>1</v>
      </c>
      <c r="V23" s="22" t="s">
        <v>153</v>
      </c>
      <c r="W23" s="28">
        <v>24</v>
      </c>
      <c r="X23" s="29">
        <v>18.98</v>
      </c>
      <c r="Y23" s="30">
        <f t="shared" si="23"/>
        <v>21.826999999999998</v>
      </c>
      <c r="Z23" s="30">
        <f t="shared" si="24"/>
        <v>455.52</v>
      </c>
      <c r="AA23" s="26">
        <f t="shared" si="25"/>
        <v>523.84799999999996</v>
      </c>
      <c r="AB23" s="27">
        <f t="shared" si="26"/>
        <v>48</v>
      </c>
      <c r="AD23" s="143" t="b">
        <f t="shared" si="15"/>
        <v>1</v>
      </c>
      <c r="AE23" s="22" t="s">
        <v>153</v>
      </c>
      <c r="AF23" s="28"/>
      <c r="AG23" s="29">
        <v>18.98</v>
      </c>
      <c r="AH23" s="25">
        <f t="shared" si="16"/>
        <v>21.826999999999998</v>
      </c>
      <c r="AI23" s="25">
        <f t="shared" si="17"/>
        <v>0</v>
      </c>
      <c r="AJ23" s="209" t="e">
        <f>[2]!KviteringV3[[#This Row],[pris SC (m. mva)]]*[2]!KviteringV3[[#This Row],[Antall]]</f>
        <v>#REF!</v>
      </c>
      <c r="AK23" s="27">
        <f t="shared" si="18"/>
        <v>0</v>
      </c>
    </row>
    <row r="24" spans="1:37" x14ac:dyDescent="0.35">
      <c r="A24" s="152" t="s">
        <v>153</v>
      </c>
      <c r="B2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1715.5439999999999</v>
      </c>
      <c r="D24" s="120"/>
      <c r="E24" s="15" t="b">
        <f t="shared" si="0"/>
        <v>1</v>
      </c>
      <c r="F24" s="25" t="s">
        <v>154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154</v>
      </c>
      <c r="O24" s="23">
        <v>24</v>
      </c>
      <c r="P24" s="24">
        <v>15.81</v>
      </c>
      <c r="Q24" s="25">
        <f t="shared" si="27"/>
        <v>18.1815</v>
      </c>
      <c r="R24" s="25">
        <f t="shared" si="28"/>
        <v>379.44</v>
      </c>
      <c r="S24" s="26">
        <f t="shared" si="29"/>
        <v>436.35599999999999</v>
      </c>
      <c r="T24" s="27"/>
      <c r="U24" s="143" t="b">
        <f t="shared" si="10"/>
        <v>1</v>
      </c>
      <c r="V24" s="22" t="s">
        <v>154</v>
      </c>
      <c r="W24" s="23">
        <v>36</v>
      </c>
      <c r="X24" s="24">
        <v>15.81</v>
      </c>
      <c r="Y24" s="25">
        <f t="shared" si="23"/>
        <v>18.1815</v>
      </c>
      <c r="Z24" s="25">
        <f t="shared" si="24"/>
        <v>569.16</v>
      </c>
      <c r="AA24" s="26">
        <f t="shared" si="25"/>
        <v>654.53399999999999</v>
      </c>
      <c r="AB24" s="27"/>
      <c r="AD24" s="143" t="b">
        <f t="shared" si="15"/>
        <v>1</v>
      </c>
      <c r="AE24" s="22" t="s">
        <v>154</v>
      </c>
      <c r="AF24" s="23">
        <v>24</v>
      </c>
      <c r="AG24" s="24">
        <v>15.81</v>
      </c>
      <c r="AH24" s="25">
        <f t="shared" si="16"/>
        <v>18.1815</v>
      </c>
      <c r="AI24" s="25">
        <f t="shared" si="17"/>
        <v>379.44</v>
      </c>
      <c r="AJ24" s="209" t="e">
        <f>[2]!KviteringV3[[#This Row],[pris SC (m. mva)]]*[2]!KviteringV3[[#This Row],[Antall]]</f>
        <v>#REF!</v>
      </c>
      <c r="AK24" s="27"/>
    </row>
    <row r="25" spans="1:37" x14ac:dyDescent="0.35">
      <c r="A25" s="152" t="s">
        <v>154</v>
      </c>
      <c r="B2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1963.6019999999999</v>
      </c>
      <c r="D25" s="120"/>
      <c r="E25" s="15" t="b">
        <f t="shared" si="0"/>
        <v>1</v>
      </c>
      <c r="F25" s="25" t="s">
        <v>155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155</v>
      </c>
      <c r="O25" s="23">
        <v>24</v>
      </c>
      <c r="P25" s="24">
        <v>15.81</v>
      </c>
      <c r="Q25" s="25">
        <f t="shared" si="27"/>
        <v>18.1815</v>
      </c>
      <c r="R25" s="25">
        <f t="shared" si="28"/>
        <v>379.44</v>
      </c>
      <c r="S25" s="26">
        <f t="shared" si="29"/>
        <v>436.35599999999999</v>
      </c>
      <c r="T25" s="27"/>
      <c r="U25" s="143" t="b">
        <f t="shared" si="10"/>
        <v>1</v>
      </c>
      <c r="V25" s="22" t="s">
        <v>155</v>
      </c>
      <c r="W25" s="23">
        <v>12</v>
      </c>
      <c r="X25" s="24">
        <v>15.81</v>
      </c>
      <c r="Y25" s="25">
        <f t="shared" si="23"/>
        <v>18.1815</v>
      </c>
      <c r="Z25" s="25">
        <f t="shared" si="24"/>
        <v>189.72</v>
      </c>
      <c r="AA25" s="26">
        <f t="shared" si="25"/>
        <v>218.178</v>
      </c>
      <c r="AB25" s="27"/>
      <c r="AD25" s="143" t="b">
        <f t="shared" si="15"/>
        <v>1</v>
      </c>
      <c r="AE25" s="22" t="s">
        <v>155</v>
      </c>
      <c r="AF25" s="23">
        <v>0</v>
      </c>
      <c r="AG25" s="24">
        <v>15.81</v>
      </c>
      <c r="AH25" s="25">
        <f t="shared" si="16"/>
        <v>18.1815</v>
      </c>
      <c r="AI25" s="25">
        <f t="shared" si="17"/>
        <v>0</v>
      </c>
      <c r="AJ25" s="209" t="e">
        <f>[2]!KviteringV3[[#This Row],[pris SC (m. mva)]]*[2]!KviteringV3[[#This Row],[Antall]]</f>
        <v>#REF!</v>
      </c>
      <c r="AK25" s="27"/>
    </row>
    <row r="26" spans="1:37" x14ac:dyDescent="0.35">
      <c r="A26" s="152" t="s">
        <v>155</v>
      </c>
      <c r="B2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6" s="120"/>
      <c r="E26" s="15" t="b">
        <f t="shared" si="0"/>
        <v>1</v>
      </c>
      <c r="F26" s="25" t="s">
        <v>156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156</v>
      </c>
      <c r="O26" s="23">
        <v>24</v>
      </c>
      <c r="P26" s="24">
        <v>15.83</v>
      </c>
      <c r="Q26" s="25">
        <f t="shared" si="27"/>
        <v>18.204499999999999</v>
      </c>
      <c r="R26" s="25">
        <f t="shared" si="28"/>
        <v>379.92</v>
      </c>
      <c r="S26" s="26">
        <f t="shared" si="29"/>
        <v>436.90800000000002</v>
      </c>
      <c r="T26" s="27"/>
      <c r="U26" s="143" t="b">
        <f t="shared" si="10"/>
        <v>1</v>
      </c>
      <c r="V26" s="22" t="s">
        <v>156</v>
      </c>
      <c r="W26" s="23">
        <v>24</v>
      </c>
      <c r="X26" s="24">
        <v>15.83</v>
      </c>
      <c r="Y26" s="25">
        <f t="shared" si="23"/>
        <v>18.204499999999999</v>
      </c>
      <c r="Z26" s="25">
        <f t="shared" si="24"/>
        <v>379.92</v>
      </c>
      <c r="AA26" s="26">
        <f t="shared" si="25"/>
        <v>436.90800000000002</v>
      </c>
      <c r="AB26" s="27"/>
      <c r="AD26" s="143" t="b">
        <f t="shared" si="15"/>
        <v>1</v>
      </c>
      <c r="AE26" s="22" t="s">
        <v>156</v>
      </c>
      <c r="AF26" s="23">
        <v>24</v>
      </c>
      <c r="AG26" s="24">
        <v>15.83</v>
      </c>
      <c r="AH26" s="25">
        <f t="shared" si="16"/>
        <v>18.204499999999999</v>
      </c>
      <c r="AI26" s="25">
        <f t="shared" si="17"/>
        <v>379.92</v>
      </c>
      <c r="AJ26" s="209" t="e">
        <f>[2]!KviteringV3[[#This Row],[pris SC (m. mva)]]*[2]!KviteringV3[[#This Row],[Antall]]</f>
        <v>#REF!</v>
      </c>
      <c r="AK26" s="27"/>
    </row>
    <row r="27" spans="1:37" x14ac:dyDescent="0.35">
      <c r="A27" s="152" t="s">
        <v>156</v>
      </c>
      <c r="B2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84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1529.1779999999999</v>
      </c>
      <c r="D27" s="119"/>
      <c r="E27" s="15" t="b">
        <f t="shared" si="0"/>
        <v>1</v>
      </c>
      <c r="F27" s="25" t="s">
        <v>157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157</v>
      </c>
      <c r="O27" s="28">
        <v>24</v>
      </c>
      <c r="P27" s="24">
        <v>16</v>
      </c>
      <c r="Q27" s="25">
        <f t="shared" si="27"/>
        <v>18.399999999999999</v>
      </c>
      <c r="R27" s="25">
        <f t="shared" si="28"/>
        <v>384</v>
      </c>
      <c r="S27" s="26">
        <f t="shared" si="29"/>
        <v>441.59999999999997</v>
      </c>
      <c r="T27" s="27"/>
      <c r="U27" s="143" t="b">
        <f t="shared" si="10"/>
        <v>1</v>
      </c>
      <c r="V27" s="22" t="s">
        <v>157</v>
      </c>
      <c r="W27" s="28">
        <v>34</v>
      </c>
      <c r="X27" s="24">
        <v>16</v>
      </c>
      <c r="Y27" s="25">
        <f t="shared" si="23"/>
        <v>18.399999999999999</v>
      </c>
      <c r="Z27" s="25">
        <f t="shared" si="24"/>
        <v>544</v>
      </c>
      <c r="AA27" s="26">
        <f t="shared" si="25"/>
        <v>625.59999999999991</v>
      </c>
      <c r="AB27" s="27"/>
      <c r="AD27" s="143" t="b">
        <f t="shared" si="15"/>
        <v>1</v>
      </c>
      <c r="AE27" s="22" t="s">
        <v>157</v>
      </c>
      <c r="AF27" s="28">
        <v>24</v>
      </c>
      <c r="AG27" s="24">
        <v>16</v>
      </c>
      <c r="AH27" s="25">
        <f t="shared" si="16"/>
        <v>18.399999999999999</v>
      </c>
      <c r="AI27" s="25">
        <f t="shared" si="17"/>
        <v>384</v>
      </c>
      <c r="AJ27" s="209" t="e">
        <f>[2]!KviteringV3[[#This Row],[pris SC (m. mva)]]*[2]!KviteringV3[[#This Row],[Antall]]</f>
        <v>#REF!</v>
      </c>
      <c r="AK27" s="27"/>
    </row>
    <row r="28" spans="1:37" x14ac:dyDescent="0.35">
      <c r="A28" s="152" t="s">
        <v>157</v>
      </c>
      <c r="B2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82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1692.7999999999997</v>
      </c>
      <c r="D28" s="120"/>
      <c r="E28" s="15" t="b">
        <f t="shared" si="0"/>
        <v>1</v>
      </c>
      <c r="F28" s="25" t="s">
        <v>158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158</v>
      </c>
      <c r="O28" s="23">
        <v>0</v>
      </c>
      <c r="P28" s="24">
        <v>15.81</v>
      </c>
      <c r="Q28" s="25">
        <f t="shared" si="27"/>
        <v>18.1815</v>
      </c>
      <c r="R28" s="25">
        <f t="shared" si="28"/>
        <v>0</v>
      </c>
      <c r="S28" s="26">
        <f t="shared" si="29"/>
        <v>0</v>
      </c>
      <c r="T28" s="27"/>
      <c r="U28" s="143" t="b">
        <f t="shared" si="10"/>
        <v>1</v>
      </c>
      <c r="V28" s="22" t="s">
        <v>158</v>
      </c>
      <c r="W28" s="23">
        <v>24</v>
      </c>
      <c r="X28" s="24">
        <v>15.81</v>
      </c>
      <c r="Y28" s="25">
        <f t="shared" si="23"/>
        <v>18.1815</v>
      </c>
      <c r="Z28" s="25">
        <f t="shared" si="24"/>
        <v>379.44</v>
      </c>
      <c r="AA28" s="26">
        <f t="shared" si="25"/>
        <v>436.35599999999999</v>
      </c>
      <c r="AB28" s="27"/>
      <c r="AD28" s="143" t="b">
        <f t="shared" si="15"/>
        <v>1</v>
      </c>
      <c r="AE28" s="22" t="s">
        <v>158</v>
      </c>
      <c r="AF28" s="23">
        <v>24</v>
      </c>
      <c r="AG28" s="24">
        <v>15.81</v>
      </c>
      <c r="AH28" s="25">
        <f t="shared" si="16"/>
        <v>18.1815</v>
      </c>
      <c r="AI28" s="25">
        <f t="shared" si="17"/>
        <v>379.44</v>
      </c>
      <c r="AJ28" s="209" t="e">
        <f>[2]!KviteringV3[[#This Row],[pris SC (m. mva)]]*[2]!KviteringV3[[#This Row],[Antall]]</f>
        <v>#REF!</v>
      </c>
      <c r="AK28" s="27"/>
    </row>
    <row r="29" spans="1:37" x14ac:dyDescent="0.35">
      <c r="A29" s="152" t="s">
        <v>158</v>
      </c>
      <c r="B2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9" s="120"/>
      <c r="E29" s="15" t="b">
        <f t="shared" si="0"/>
        <v>1</v>
      </c>
      <c r="F29" s="25" t="s">
        <v>159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159</v>
      </c>
      <c r="O29" s="28">
        <v>12</v>
      </c>
      <c r="P29" s="29">
        <v>16.78</v>
      </c>
      <c r="Q29" s="30">
        <f t="shared" si="27"/>
        <v>19.297000000000001</v>
      </c>
      <c r="R29" s="30">
        <f t="shared" si="28"/>
        <v>201.36</v>
      </c>
      <c r="S29" s="26">
        <f t="shared" si="29"/>
        <v>231.56400000000002</v>
      </c>
      <c r="T29" s="27"/>
      <c r="U29" s="143" t="b">
        <f t="shared" si="10"/>
        <v>1</v>
      </c>
      <c r="V29" s="22" t="s">
        <v>159</v>
      </c>
      <c r="W29" s="28">
        <v>24</v>
      </c>
      <c r="X29" s="29">
        <v>16.78</v>
      </c>
      <c r="Y29" s="30">
        <f t="shared" si="23"/>
        <v>19.297000000000001</v>
      </c>
      <c r="Z29" s="30">
        <f t="shared" si="24"/>
        <v>402.72</v>
      </c>
      <c r="AA29" s="26">
        <f t="shared" si="25"/>
        <v>463.12800000000004</v>
      </c>
      <c r="AB29" s="27"/>
      <c r="AD29" s="143" t="b">
        <f t="shared" si="15"/>
        <v>1</v>
      </c>
      <c r="AE29" s="22" t="s">
        <v>159</v>
      </c>
      <c r="AF29" s="28">
        <v>0</v>
      </c>
      <c r="AG29" s="29">
        <v>16.78</v>
      </c>
      <c r="AH29" s="25">
        <f t="shared" si="16"/>
        <v>19.297000000000001</v>
      </c>
      <c r="AI29" s="25">
        <f t="shared" si="17"/>
        <v>0</v>
      </c>
      <c r="AJ29" s="209" t="e">
        <f>[2]!KviteringV3[[#This Row],[pris SC (m. mva)]]*[2]!KviteringV3[[#This Row],[Antall]]</f>
        <v>#REF!</v>
      </c>
      <c r="AK29" s="27"/>
    </row>
    <row r="30" spans="1:37" x14ac:dyDescent="0.35">
      <c r="A30" s="152" t="s">
        <v>159</v>
      </c>
      <c r="B3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1157.8200000000002</v>
      </c>
      <c r="D30" s="120"/>
      <c r="E30" s="15" t="b">
        <f t="shared" si="0"/>
        <v>1</v>
      </c>
      <c r="F30" s="25" t="s">
        <v>160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160</v>
      </c>
      <c r="O30" s="23">
        <v>54</v>
      </c>
      <c r="P30" s="24">
        <v>8.16</v>
      </c>
      <c r="Q30" s="25">
        <f t="shared" si="27"/>
        <v>9.3839999999999986</v>
      </c>
      <c r="R30" s="25">
        <f t="shared" si="28"/>
        <v>440.64</v>
      </c>
      <c r="S30" s="26">
        <f t="shared" si="29"/>
        <v>506.73599999999993</v>
      </c>
      <c r="T30" s="27"/>
      <c r="U30" s="143" t="b">
        <f t="shared" si="10"/>
        <v>1</v>
      </c>
      <c r="V30" s="22" t="s">
        <v>160</v>
      </c>
      <c r="W30" s="23">
        <v>126</v>
      </c>
      <c r="X30" s="24">
        <v>8.16</v>
      </c>
      <c r="Y30" s="25">
        <f t="shared" si="23"/>
        <v>9.3839999999999986</v>
      </c>
      <c r="Z30" s="25">
        <f t="shared" si="24"/>
        <v>1028.1600000000001</v>
      </c>
      <c r="AA30" s="26">
        <f t="shared" si="25"/>
        <v>1182.3839999999998</v>
      </c>
      <c r="AB30" s="27"/>
      <c r="AD30" s="143" t="b">
        <f t="shared" si="15"/>
        <v>1</v>
      </c>
      <c r="AE30" s="22" t="s">
        <v>160</v>
      </c>
      <c r="AF30" s="23">
        <v>72</v>
      </c>
      <c r="AG30" s="24">
        <v>8.16</v>
      </c>
      <c r="AH30" s="25">
        <f t="shared" si="16"/>
        <v>9.3839999999999986</v>
      </c>
      <c r="AI30" s="25">
        <f t="shared" si="17"/>
        <v>587.52</v>
      </c>
      <c r="AJ30" s="209" t="e">
        <f>[2]!KviteringV3[[#This Row],[pris SC (m. mva)]]*[2]!KviteringV3[[#This Row],[Antall]]</f>
        <v>#REF!</v>
      </c>
      <c r="AK30" s="27"/>
    </row>
    <row r="31" spans="1:37" x14ac:dyDescent="0.35">
      <c r="A31" s="152" t="s">
        <v>160</v>
      </c>
      <c r="B3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306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3378.24</v>
      </c>
      <c r="D31" s="120"/>
      <c r="E31" s="15" t="b">
        <f t="shared" si="0"/>
        <v>1</v>
      </c>
      <c r="F31" s="25" t="s">
        <v>161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30">2*G31</f>
        <v>96</v>
      </c>
      <c r="M31" s="143" t="b">
        <f t="shared" si="5"/>
        <v>1</v>
      </c>
      <c r="N31" s="22" t="s">
        <v>161</v>
      </c>
      <c r="O31" s="25">
        <v>24</v>
      </c>
      <c r="P31" s="24">
        <v>16.37</v>
      </c>
      <c r="Q31" s="25">
        <f t="shared" si="27"/>
        <v>18.825499999999998</v>
      </c>
      <c r="R31" s="25">
        <f t="shared" si="28"/>
        <v>392.88</v>
      </c>
      <c r="S31" s="26">
        <f t="shared" si="29"/>
        <v>451.81199999999995</v>
      </c>
      <c r="T31" s="27">
        <f t="shared" ref="T31:T36" si="31">2*O31</f>
        <v>48</v>
      </c>
      <c r="U31" s="143" t="b">
        <f t="shared" si="10"/>
        <v>1</v>
      </c>
      <c r="V31" s="22" t="s">
        <v>161</v>
      </c>
      <c r="W31" s="25">
        <v>96</v>
      </c>
      <c r="X31" s="24">
        <v>16.37</v>
      </c>
      <c r="Y31" s="25">
        <f t="shared" si="23"/>
        <v>18.825499999999998</v>
      </c>
      <c r="Z31" s="25">
        <f t="shared" si="24"/>
        <v>1571.52</v>
      </c>
      <c r="AA31" s="26">
        <f t="shared" si="25"/>
        <v>1807.2479999999998</v>
      </c>
      <c r="AB31" s="27">
        <f>2*W31</f>
        <v>192</v>
      </c>
      <c r="AD31" s="143" t="b">
        <f t="shared" si="15"/>
        <v>1</v>
      </c>
      <c r="AE31" s="22" t="s">
        <v>161</v>
      </c>
      <c r="AF31" s="25">
        <v>96</v>
      </c>
      <c r="AG31" s="24">
        <v>16.38</v>
      </c>
      <c r="AH31" s="25">
        <f t="shared" si="16"/>
        <v>18.836999999999996</v>
      </c>
      <c r="AI31" s="25">
        <f t="shared" si="17"/>
        <v>1572.48</v>
      </c>
      <c r="AJ31" s="209" t="e">
        <f>[2]!KviteringV3[[#This Row],[pris SC (m. mva)]]*[2]!KviteringV3[[#This Row],[Antall]]</f>
        <v>#REF!</v>
      </c>
      <c r="AK31" s="27">
        <f>2*AF31</f>
        <v>192</v>
      </c>
    </row>
    <row r="32" spans="1:37" x14ac:dyDescent="0.35">
      <c r="A32" s="152" t="s">
        <v>161</v>
      </c>
      <c r="B3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5497.9319999999998</v>
      </c>
      <c r="D32" s="120"/>
      <c r="E32" s="15" t="b">
        <f t="shared" si="0"/>
        <v>1</v>
      </c>
      <c r="F32" s="25" t="s">
        <v>162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30"/>
        <v>48</v>
      </c>
      <c r="M32" s="143" t="b">
        <f t="shared" si="5"/>
        <v>1</v>
      </c>
      <c r="N32" s="22" t="s">
        <v>162</v>
      </c>
      <c r="O32" s="25">
        <v>24</v>
      </c>
      <c r="P32" s="24">
        <v>16.37</v>
      </c>
      <c r="Q32" s="25">
        <f t="shared" si="27"/>
        <v>18.825499999999998</v>
      </c>
      <c r="R32" s="25">
        <f t="shared" si="28"/>
        <v>392.88</v>
      </c>
      <c r="S32" s="26">
        <f t="shared" si="29"/>
        <v>451.81199999999995</v>
      </c>
      <c r="T32" s="27">
        <f t="shared" si="31"/>
        <v>48</v>
      </c>
      <c r="U32" s="143" t="b">
        <f t="shared" si="10"/>
        <v>1</v>
      </c>
      <c r="V32" s="22" t="s">
        <v>162</v>
      </c>
      <c r="W32" s="25">
        <v>48</v>
      </c>
      <c r="X32" s="24">
        <v>16.37</v>
      </c>
      <c r="Y32" s="25">
        <f t="shared" si="23"/>
        <v>18.825499999999998</v>
      </c>
      <c r="Z32" s="25">
        <f t="shared" si="24"/>
        <v>785.76</v>
      </c>
      <c r="AA32" s="26">
        <f t="shared" si="25"/>
        <v>903.62399999999991</v>
      </c>
      <c r="AB32" s="27">
        <f>2*W32</f>
        <v>96</v>
      </c>
      <c r="AD32" s="143" t="b">
        <f t="shared" si="15"/>
        <v>1</v>
      </c>
      <c r="AE32" s="22" t="s">
        <v>162</v>
      </c>
      <c r="AF32" s="25">
        <v>0</v>
      </c>
      <c r="AG32" s="24">
        <v>16.37</v>
      </c>
      <c r="AH32" s="25">
        <f t="shared" si="16"/>
        <v>18.825499999999998</v>
      </c>
      <c r="AI32" s="25">
        <f t="shared" si="17"/>
        <v>0</v>
      </c>
      <c r="AJ32" s="209" t="e">
        <f>[2]!KviteringV3[[#This Row],[pris SC (m. mva)]]*[2]!KviteringV3[[#This Row],[Antall]]</f>
        <v>#REF!</v>
      </c>
      <c r="AK32" s="27">
        <f>2*AF32</f>
        <v>0</v>
      </c>
    </row>
    <row r="33" spans="1:37" x14ac:dyDescent="0.35">
      <c r="A33" s="152" t="s">
        <v>162</v>
      </c>
      <c r="B3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2998.8719999999998</v>
      </c>
      <c r="D33" s="120"/>
      <c r="E33" s="15" t="b">
        <f t="shared" si="0"/>
        <v>1</v>
      </c>
      <c r="F33" s="25" t="s">
        <v>163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30"/>
        <v>96</v>
      </c>
      <c r="M33" s="143" t="b">
        <f t="shared" si="5"/>
        <v>1</v>
      </c>
      <c r="N33" s="22" t="s">
        <v>163</v>
      </c>
      <c r="O33" s="25">
        <v>72</v>
      </c>
      <c r="P33" s="24">
        <v>16.38</v>
      </c>
      <c r="Q33" s="25">
        <f t="shared" si="27"/>
        <v>18.836999999999996</v>
      </c>
      <c r="R33" s="25">
        <f t="shared" si="28"/>
        <v>1179.3599999999999</v>
      </c>
      <c r="S33" s="26">
        <f t="shared" si="29"/>
        <v>1356.2639999999997</v>
      </c>
      <c r="T33" s="27">
        <f t="shared" si="31"/>
        <v>144</v>
      </c>
      <c r="U33" s="143" t="b">
        <f t="shared" si="10"/>
        <v>1</v>
      </c>
      <c r="V33" s="22" t="s">
        <v>163</v>
      </c>
      <c r="W33" s="25">
        <v>168</v>
      </c>
      <c r="X33" s="24">
        <v>16.38</v>
      </c>
      <c r="Y33" s="25">
        <f t="shared" si="23"/>
        <v>18.836999999999996</v>
      </c>
      <c r="Z33" s="25">
        <f t="shared" si="24"/>
        <v>2751.8399999999997</v>
      </c>
      <c r="AA33" s="26">
        <f t="shared" si="25"/>
        <v>3164.6159999999995</v>
      </c>
      <c r="AB33" s="27">
        <f>2*W33</f>
        <v>336</v>
      </c>
      <c r="AD33" s="143" t="b">
        <f t="shared" si="15"/>
        <v>1</v>
      </c>
      <c r="AE33" s="22" t="s">
        <v>163</v>
      </c>
      <c r="AF33" s="25">
        <v>96</v>
      </c>
      <c r="AG33" s="24">
        <v>16.38</v>
      </c>
      <c r="AH33" s="25">
        <f t="shared" si="16"/>
        <v>18.836999999999996</v>
      </c>
      <c r="AI33" s="25">
        <f t="shared" si="17"/>
        <v>1572.48</v>
      </c>
      <c r="AJ33" s="209" t="e">
        <f>[2]!KviteringV3[[#This Row],[pris SC (m. mva)]]*[2]!KviteringV3[[#This Row],[Antall]]</f>
        <v>#REF!</v>
      </c>
      <c r="AK33" s="27">
        <f>2*AF33</f>
        <v>192</v>
      </c>
    </row>
    <row r="34" spans="1:37" x14ac:dyDescent="0.35">
      <c r="A34" s="152" t="s">
        <v>163</v>
      </c>
      <c r="B3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384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9501.119999999999</v>
      </c>
      <c r="D34" s="120"/>
      <c r="E34" s="15" t="b">
        <f t="shared" ref="E34:E65" si="32">COUNTIF($A:$A,F34)&gt;0</f>
        <v>1</v>
      </c>
      <c r="F34" s="25" t="s">
        <v>164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30"/>
        <v>160</v>
      </c>
      <c r="M34" s="143" t="b">
        <f t="shared" ref="M34:M65" si="33">COUNTIF($A:$A,N34)&gt;0</f>
        <v>1</v>
      </c>
      <c r="N34" s="22" t="s">
        <v>164</v>
      </c>
      <c r="O34" s="25">
        <v>120</v>
      </c>
      <c r="P34" s="24">
        <v>4.3044000000000002</v>
      </c>
      <c r="Q34" s="25">
        <f t="shared" si="27"/>
        <v>4.9500599999999997</v>
      </c>
      <c r="R34" s="25">
        <f t="shared" si="28"/>
        <v>516.52800000000002</v>
      </c>
      <c r="S34" s="26">
        <f t="shared" si="29"/>
        <v>594.00720000000001</v>
      </c>
      <c r="T34" s="27">
        <f t="shared" si="31"/>
        <v>240</v>
      </c>
      <c r="U34" s="143" t="b">
        <f t="shared" ref="U34:U65" si="34">COUNTIF($A:$A,V34)&gt;0</f>
        <v>1</v>
      </c>
      <c r="V34" s="22" t="s">
        <v>164</v>
      </c>
      <c r="W34" s="25">
        <v>200</v>
      </c>
      <c r="X34" s="24">
        <v>10.33</v>
      </c>
      <c r="Y34" s="25">
        <f t="shared" si="23"/>
        <v>11.879499999999998</v>
      </c>
      <c r="Z34" s="25">
        <f t="shared" si="24"/>
        <v>2066</v>
      </c>
      <c r="AA34" s="26">
        <f t="shared" si="25"/>
        <v>2375.8999999999996</v>
      </c>
      <c r="AB34" s="27">
        <f>2*W34</f>
        <v>400</v>
      </c>
      <c r="AD34" s="143" t="b">
        <f t="shared" ref="AD34:AD65" si="35">COUNTIF($A:$A,AE34)&gt;0</f>
        <v>1</v>
      </c>
      <c r="AE34" s="22" t="s">
        <v>164</v>
      </c>
      <c r="AF34" s="25">
        <v>180</v>
      </c>
      <c r="AG34" s="24">
        <v>10.33</v>
      </c>
      <c r="AH34" s="25">
        <f t="shared" si="16"/>
        <v>11.879499999999998</v>
      </c>
      <c r="AI34" s="25">
        <f t="shared" ref="AI34:AI70" si="36">AG34*AF34</f>
        <v>1859.4</v>
      </c>
      <c r="AJ34" s="209" t="e">
        <f>[2]!KviteringV3[[#This Row],[pris SC (m. mva)]]*[2]!KviteringV3[[#This Row],[Antall]]</f>
        <v>#REF!</v>
      </c>
      <c r="AK34" s="27">
        <f>2*AF34</f>
        <v>360</v>
      </c>
    </row>
    <row r="35" spans="1:37" x14ac:dyDescent="0.35">
      <c r="A35" s="152" t="s">
        <v>164</v>
      </c>
      <c r="B3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580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7496.167199999999</v>
      </c>
      <c r="D35" s="121"/>
      <c r="E35" s="15" t="b">
        <f t="shared" si="32"/>
        <v>1</v>
      </c>
      <c r="F35" s="25" t="s">
        <v>165</v>
      </c>
      <c r="G35" s="25">
        <v>0</v>
      </c>
      <c r="H35" s="25"/>
      <c r="I35" s="25"/>
      <c r="J35" s="25"/>
      <c r="K35" s="25"/>
      <c r="L35" s="27">
        <f t="shared" si="30"/>
        <v>0</v>
      </c>
      <c r="M35" s="143" t="b">
        <f t="shared" si="33"/>
        <v>1</v>
      </c>
      <c r="N35" s="22" t="s">
        <v>165</v>
      </c>
      <c r="O35" s="27">
        <v>60</v>
      </c>
      <c r="P35" s="29">
        <v>11.01</v>
      </c>
      <c r="Q35" s="30">
        <f t="shared" si="27"/>
        <v>12.661499999999998</v>
      </c>
      <c r="R35" s="25">
        <f t="shared" si="28"/>
        <v>660.6</v>
      </c>
      <c r="S35" s="26">
        <f t="shared" si="29"/>
        <v>759.68999999999994</v>
      </c>
      <c r="T35" s="27">
        <f t="shared" si="31"/>
        <v>120</v>
      </c>
      <c r="U35" s="143" t="b">
        <f t="shared" si="34"/>
        <v>1</v>
      </c>
      <c r="V35" s="22" t="s">
        <v>165</v>
      </c>
      <c r="W35" s="25">
        <v>60</v>
      </c>
      <c r="X35" s="24">
        <v>11.01</v>
      </c>
      <c r="Y35" s="25">
        <f t="shared" si="23"/>
        <v>12.661499999999998</v>
      </c>
      <c r="Z35" s="25">
        <f t="shared" si="24"/>
        <v>660.6</v>
      </c>
      <c r="AA35" s="26">
        <f t="shared" si="25"/>
        <v>759.68999999999994</v>
      </c>
      <c r="AB35" s="27">
        <f>2*W35</f>
        <v>120</v>
      </c>
      <c r="AD35" s="143" t="b">
        <f t="shared" si="35"/>
        <v>1</v>
      </c>
      <c r="AE35" s="22" t="s">
        <v>165</v>
      </c>
      <c r="AF35" s="25">
        <v>120</v>
      </c>
      <c r="AG35" s="24">
        <v>11.01</v>
      </c>
      <c r="AH35" s="25">
        <f t="shared" si="16"/>
        <v>12.661499999999998</v>
      </c>
      <c r="AI35" s="25">
        <f t="shared" si="36"/>
        <v>1321.2</v>
      </c>
      <c r="AJ35" s="209" t="e">
        <f>[2]!KviteringV3[[#This Row],[pris SC (m. mva)]]*[2]!KviteringV3[[#This Row],[Antall]]</f>
        <v>#REF!</v>
      </c>
      <c r="AK35" s="27">
        <f>2*AF35</f>
        <v>240</v>
      </c>
    </row>
    <row r="36" spans="1:37" x14ac:dyDescent="0.35">
      <c r="A36" s="152" t="s">
        <v>165</v>
      </c>
      <c r="B3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2639.0699999999997</v>
      </c>
      <c r="D36" s="120"/>
      <c r="E36" s="15" t="b">
        <f t="shared" si="32"/>
        <v>1</v>
      </c>
      <c r="F36" s="25" t="s">
        <v>166</v>
      </c>
      <c r="G36" s="25">
        <v>0</v>
      </c>
      <c r="H36" s="25"/>
      <c r="I36" s="25"/>
      <c r="J36" s="25"/>
      <c r="K36" s="25"/>
      <c r="L36" s="27">
        <f t="shared" si="30"/>
        <v>0</v>
      </c>
      <c r="M36" s="143" t="b">
        <f t="shared" si="33"/>
        <v>1</v>
      </c>
      <c r="N36" s="22" t="s">
        <v>166</v>
      </c>
      <c r="O36" s="30">
        <v>60</v>
      </c>
      <c r="P36" s="29">
        <v>10.45</v>
      </c>
      <c r="Q36" s="30">
        <f t="shared" si="27"/>
        <v>12.017499999999998</v>
      </c>
      <c r="R36" s="25">
        <f t="shared" si="28"/>
        <v>627</v>
      </c>
      <c r="S36" s="26">
        <f t="shared" si="29"/>
        <v>721.05</v>
      </c>
      <c r="T36" s="27">
        <f t="shared" si="31"/>
        <v>120</v>
      </c>
      <c r="U36" s="143" t="b">
        <f t="shared" si="34"/>
        <v>1</v>
      </c>
      <c r="V36" s="22" t="s">
        <v>166</v>
      </c>
      <c r="W36" s="27"/>
      <c r="X36" s="27"/>
      <c r="Y36" s="27"/>
      <c r="Z36" s="27"/>
      <c r="AA36" s="27"/>
      <c r="AD36" s="143" t="b">
        <f t="shared" si="35"/>
        <v>1</v>
      </c>
      <c r="AE36" s="22" t="s">
        <v>166</v>
      </c>
      <c r="AF36" s="27">
        <v>0</v>
      </c>
      <c r="AG36" s="27"/>
      <c r="AH36" s="25">
        <f t="shared" si="16"/>
        <v>0</v>
      </c>
      <c r="AI36" s="25">
        <f t="shared" si="36"/>
        <v>0</v>
      </c>
      <c r="AJ36" s="209" t="e">
        <f>[2]!KviteringV3[[#This Row],[pris SC (m. mva)]]*[2]!KviteringV3[[#This Row],[Antall]]</f>
        <v>#REF!</v>
      </c>
    </row>
    <row r="37" spans="1:37" x14ac:dyDescent="0.35">
      <c r="A37" s="152" t="s">
        <v>166</v>
      </c>
      <c r="B3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841.05</v>
      </c>
      <c r="D37" s="120"/>
      <c r="E37" s="15" t="b">
        <f t="shared" si="32"/>
        <v>1</v>
      </c>
      <c r="F37" s="25" t="s">
        <v>167</v>
      </c>
      <c r="M37" s="143" t="b">
        <f t="shared" si="33"/>
        <v>1</v>
      </c>
      <c r="N37" t="s">
        <v>167</v>
      </c>
      <c r="U37" s="143" t="b">
        <f t="shared" si="34"/>
        <v>1</v>
      </c>
      <c r="V37" s="22" t="s">
        <v>167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37">X37*W37</f>
        <v>715.2</v>
      </c>
      <c r="AA37" s="26">
        <f t="shared" ref="AA37:AA65" si="38">Y37*W37</f>
        <v>822.4799999999999</v>
      </c>
      <c r="AB37" s="27">
        <f>2*W37</f>
        <v>96</v>
      </c>
      <c r="AD37" s="143" t="b">
        <f t="shared" si="35"/>
        <v>1</v>
      </c>
      <c r="AE37" s="22" t="s">
        <v>167</v>
      </c>
      <c r="AF37" s="25">
        <v>48</v>
      </c>
      <c r="AG37" s="24">
        <v>14.9</v>
      </c>
      <c r="AH37" s="25">
        <f t="shared" si="16"/>
        <v>17.134999999999998</v>
      </c>
      <c r="AI37" s="25">
        <f t="shared" si="36"/>
        <v>715.2</v>
      </c>
      <c r="AJ37" s="209" t="e">
        <f>[2]!KviteringV3[[#This Row],[pris SC (m. mva)]]*[2]!KviteringV3[[#This Row],[Antall]]</f>
        <v>#REF!</v>
      </c>
      <c r="AK37" s="27">
        <f>2*AF37</f>
        <v>96</v>
      </c>
    </row>
    <row r="38" spans="1:37" x14ac:dyDescent="0.35">
      <c r="A38" s="152" t="s">
        <v>167</v>
      </c>
      <c r="B3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1836.9599999999998</v>
      </c>
      <c r="D38" s="120"/>
      <c r="E38" s="15" t="b">
        <f t="shared" si="32"/>
        <v>1</v>
      </c>
      <c r="F38" s="25" t="s">
        <v>168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33"/>
        <v>1</v>
      </c>
      <c r="N38" s="22" t="s">
        <v>168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34"/>
        <v>1</v>
      </c>
      <c r="V38" s="22" t="s">
        <v>168</v>
      </c>
      <c r="W38" s="25">
        <v>24</v>
      </c>
      <c r="X38" s="25">
        <v>16.84</v>
      </c>
      <c r="Y38" s="25">
        <f>X38*1.15</f>
        <v>19.366</v>
      </c>
      <c r="Z38" s="25">
        <f t="shared" si="37"/>
        <v>404.15999999999997</v>
      </c>
      <c r="AA38" s="26">
        <f t="shared" si="38"/>
        <v>464.78399999999999</v>
      </c>
      <c r="AB38" s="27">
        <f>2*W38</f>
        <v>48</v>
      </c>
      <c r="AD38" s="143" t="b">
        <f t="shared" si="35"/>
        <v>1</v>
      </c>
      <c r="AE38" s="22" t="s">
        <v>168</v>
      </c>
      <c r="AF38" s="25">
        <v>24</v>
      </c>
      <c r="AG38" s="25">
        <v>16.84</v>
      </c>
      <c r="AH38" s="25">
        <f t="shared" si="16"/>
        <v>19.366</v>
      </c>
      <c r="AI38" s="25">
        <f t="shared" si="36"/>
        <v>404.15999999999997</v>
      </c>
      <c r="AJ38" s="209" t="e">
        <f>[2]!KviteringV3[[#This Row],[pris SC (m. mva)]]*[2]!KviteringV3[[#This Row],[Antall]]</f>
        <v>#REF!</v>
      </c>
      <c r="AK38" s="27">
        <f>2*AF38</f>
        <v>48</v>
      </c>
    </row>
    <row r="39" spans="1:37" x14ac:dyDescent="0.35">
      <c r="A39" s="192" t="s">
        <v>515</v>
      </c>
      <c r="B3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39" s="120"/>
      <c r="E39" s="15" t="b">
        <f t="shared" si="32"/>
        <v>1</v>
      </c>
      <c r="F39" s="25" t="s">
        <v>169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33"/>
        <v>1</v>
      </c>
      <c r="N39" s="22" t="s">
        <v>169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34"/>
        <v>1</v>
      </c>
      <c r="V39" s="22" t="s">
        <v>169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37"/>
        <v>200.04000000000002</v>
      </c>
      <c r="AA39" s="26">
        <f t="shared" si="38"/>
        <v>230.04599999999999</v>
      </c>
      <c r="AB39" s="27">
        <f>2*W39</f>
        <v>24</v>
      </c>
      <c r="AD39" s="143" t="b">
        <f t="shared" si="35"/>
        <v>1</v>
      </c>
      <c r="AE39" s="22" t="s">
        <v>169</v>
      </c>
      <c r="AF39" s="25">
        <v>24</v>
      </c>
      <c r="AG39" s="25">
        <v>16.670000000000002</v>
      </c>
      <c r="AH39" s="25">
        <f t="shared" si="16"/>
        <v>19.170500000000001</v>
      </c>
      <c r="AI39" s="25">
        <f t="shared" si="36"/>
        <v>400.08000000000004</v>
      </c>
      <c r="AJ39" s="209" t="e">
        <f>[2]!KviteringV3[[#This Row],[pris SC (m. mva)]]*[2]!KviteringV3[[#This Row],[Antall]]</f>
        <v>#REF!</v>
      </c>
      <c r="AK39" s="27">
        <f>2*AF39</f>
        <v>48</v>
      </c>
    </row>
    <row r="40" spans="1:37" x14ac:dyDescent="0.35">
      <c r="A40" s="152" t="s">
        <v>168</v>
      </c>
      <c r="B4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1538.3519999999999</v>
      </c>
      <c r="D40" s="120"/>
      <c r="E40" s="15" t="b">
        <f t="shared" si="32"/>
        <v>1</v>
      </c>
      <c r="F40" s="25" t="s">
        <v>170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33"/>
        <v>1</v>
      </c>
      <c r="N40" s="22" t="s">
        <v>170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34"/>
        <v>1</v>
      </c>
      <c r="V40" s="22" t="s">
        <v>170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37"/>
        <v>0</v>
      </c>
      <c r="AA40" s="26">
        <f t="shared" si="38"/>
        <v>0</v>
      </c>
      <c r="AB40" s="27">
        <f>2*W40</f>
        <v>0</v>
      </c>
      <c r="AD40" s="143" t="b">
        <f t="shared" si="35"/>
        <v>1</v>
      </c>
      <c r="AE40" s="22" t="s">
        <v>170</v>
      </c>
      <c r="AF40" s="25">
        <v>0</v>
      </c>
      <c r="AG40" s="24">
        <v>14.492699999999999</v>
      </c>
      <c r="AH40" s="25">
        <f t="shared" si="16"/>
        <v>16.666604999999997</v>
      </c>
      <c r="AI40" s="25">
        <f t="shared" si="36"/>
        <v>0</v>
      </c>
      <c r="AJ40" s="209" t="e">
        <f>[2]!KviteringV3[[#This Row],[pris SC (m. mva)]]*[2]!KviteringV3[[#This Row],[Antall]]</f>
        <v>#REF!</v>
      </c>
      <c r="AK40" s="27">
        <f>2*AF40</f>
        <v>0</v>
      </c>
    </row>
    <row r="41" spans="1:37" ht="17.5" customHeight="1" x14ac:dyDescent="0.35">
      <c r="A41" s="152" t="s">
        <v>169</v>
      </c>
      <c r="B4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762.13799999999992</v>
      </c>
      <c r="D41" s="120"/>
      <c r="E41" s="15" t="b">
        <f t="shared" si="32"/>
        <v>1</v>
      </c>
      <c r="F41" s="25" t="s">
        <v>171</v>
      </c>
      <c r="G41" s="25"/>
      <c r="H41" s="32"/>
      <c r="I41" s="25"/>
      <c r="J41" s="25"/>
      <c r="K41" s="25"/>
      <c r="L41" s="27"/>
      <c r="M41" s="143" t="b">
        <f t="shared" si="33"/>
        <v>1</v>
      </c>
      <c r="N41" s="22" t="s">
        <v>171</v>
      </c>
      <c r="O41" s="25"/>
      <c r="P41" s="24"/>
      <c r="Q41" s="25"/>
      <c r="R41" s="25"/>
      <c r="S41" s="26"/>
      <c r="T41" s="27"/>
      <c r="U41" s="143" t="b">
        <f t="shared" si="34"/>
        <v>1</v>
      </c>
      <c r="V41" s="22" t="s">
        <v>171</v>
      </c>
      <c r="W41" s="25">
        <v>60</v>
      </c>
      <c r="X41" s="24">
        <f>Y41/1.15</f>
        <v>8.608695652173914</v>
      </c>
      <c r="Y41" s="25">
        <v>9.9</v>
      </c>
      <c r="Z41" s="25">
        <f t="shared" si="37"/>
        <v>516.52173913043487</v>
      </c>
      <c r="AA41" s="26">
        <f t="shared" si="38"/>
        <v>594</v>
      </c>
      <c r="AB41" s="27"/>
      <c r="AD41" s="143" t="b">
        <f t="shared" si="35"/>
        <v>1</v>
      </c>
      <c r="AE41" s="22" t="s">
        <v>171</v>
      </c>
      <c r="AF41" s="25">
        <v>0</v>
      </c>
      <c r="AG41" s="24"/>
      <c r="AH41" s="25"/>
      <c r="AI41" s="25">
        <f t="shared" si="36"/>
        <v>0</v>
      </c>
      <c r="AJ41" s="209" t="e">
        <f>[2]!KviteringV3[[#This Row],[pris SC (m. mva)]]*[2]!KviteringV3[[#This Row],[Antall]]</f>
        <v>#REF!</v>
      </c>
      <c r="AK41" s="27"/>
    </row>
    <row r="42" spans="1:37" x14ac:dyDescent="0.35">
      <c r="A42" s="152" t="s">
        <v>170</v>
      </c>
      <c r="B4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1331.9563349999999</v>
      </c>
      <c r="D42" s="120"/>
      <c r="E42" s="15" t="b">
        <f t="shared" si="32"/>
        <v>1</v>
      </c>
      <c r="F42" s="25" t="s">
        <v>172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33"/>
        <v>1</v>
      </c>
      <c r="N42" s="22" t="s">
        <v>172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34"/>
        <v>1</v>
      </c>
      <c r="V42" s="22" t="s">
        <v>172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37"/>
        <v>0</v>
      </c>
      <c r="AA42" s="26">
        <f t="shared" si="38"/>
        <v>0</v>
      </c>
      <c r="AB42" s="27"/>
      <c r="AD42" s="143" t="b">
        <f t="shared" si="35"/>
        <v>1</v>
      </c>
      <c r="AE42" s="22" t="s">
        <v>172</v>
      </c>
      <c r="AF42" s="25">
        <v>0</v>
      </c>
      <c r="AG42" s="24">
        <v>14.492699999999999</v>
      </c>
      <c r="AH42" s="25">
        <f t="shared" ref="AH42:AH70" si="39">AG42*1.15</f>
        <v>16.666604999999997</v>
      </c>
      <c r="AI42" s="25">
        <f t="shared" si="36"/>
        <v>0</v>
      </c>
      <c r="AJ42" s="209" t="e">
        <f>[2]!KviteringV3[[#This Row],[pris SC (m. mva)]]*[2]!KviteringV3[[#This Row],[Antall]]</f>
        <v>#REF!</v>
      </c>
      <c r="AK42" s="27"/>
    </row>
    <row r="43" spans="1:37" x14ac:dyDescent="0.35">
      <c r="A43" s="152" t="s">
        <v>171</v>
      </c>
      <c r="B4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1188</v>
      </c>
      <c r="D43" s="120"/>
      <c r="E43" s="15" t="b">
        <f t="shared" si="32"/>
        <v>1</v>
      </c>
      <c r="F43" s="25" t="s">
        <v>173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33"/>
        <v>1</v>
      </c>
      <c r="N43" s="22" t="s">
        <v>173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34"/>
        <v>1</v>
      </c>
      <c r="V43" s="22" t="s">
        <v>173</v>
      </c>
      <c r="W43" s="25">
        <v>180</v>
      </c>
      <c r="X43" s="24">
        <v>12.54</v>
      </c>
      <c r="Y43" s="25">
        <f>X43*1.15</f>
        <v>14.420999999999998</v>
      </c>
      <c r="Z43" s="25">
        <f t="shared" si="37"/>
        <v>2257.1999999999998</v>
      </c>
      <c r="AA43" s="26">
        <f t="shared" si="38"/>
        <v>2595.7799999999997</v>
      </c>
      <c r="AB43" s="27"/>
      <c r="AD43" s="143" t="b">
        <f t="shared" si="35"/>
        <v>1</v>
      </c>
      <c r="AE43" s="22" t="s">
        <v>173</v>
      </c>
      <c r="AF43" s="25">
        <v>150</v>
      </c>
      <c r="AG43" s="24">
        <v>12.54</v>
      </c>
      <c r="AH43" s="25">
        <f t="shared" si="39"/>
        <v>14.420999999999998</v>
      </c>
      <c r="AI43" s="25">
        <f t="shared" si="36"/>
        <v>1880.9999999999998</v>
      </c>
      <c r="AJ43" s="209" t="e">
        <f>[2]!KviteringV3[[#This Row],[pris SC (m. mva)]]*[2]!KviteringV3[[#This Row],[Antall]]</f>
        <v>#REF!</v>
      </c>
      <c r="AK43" s="27"/>
    </row>
    <row r="44" spans="1:37" x14ac:dyDescent="0.35">
      <c r="A44" s="152" t="s">
        <v>172</v>
      </c>
      <c r="B4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1406.9823349999999</v>
      </c>
      <c r="D44" s="120"/>
      <c r="E44" s="15" t="b">
        <f t="shared" si="32"/>
        <v>1</v>
      </c>
      <c r="F44" s="25" t="s">
        <v>174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33"/>
        <v>1</v>
      </c>
      <c r="N44" s="22" t="s">
        <v>174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34"/>
        <v>1</v>
      </c>
      <c r="V44" s="22" t="s">
        <v>174</v>
      </c>
      <c r="W44" s="25">
        <v>252</v>
      </c>
      <c r="X44" s="24">
        <v>5.51</v>
      </c>
      <c r="Y44" s="25">
        <f>X44*1.15</f>
        <v>6.3364999999999991</v>
      </c>
      <c r="Z44" s="25">
        <f t="shared" si="37"/>
        <v>1388.52</v>
      </c>
      <c r="AA44" s="26">
        <f t="shared" si="38"/>
        <v>1596.7979999999998</v>
      </c>
      <c r="AB44" s="27"/>
      <c r="AD44" s="143" t="b">
        <f t="shared" si="35"/>
        <v>1</v>
      </c>
      <c r="AE44" s="22" t="s">
        <v>174</v>
      </c>
      <c r="AF44" s="25">
        <v>252</v>
      </c>
      <c r="AG44" s="24">
        <v>5.51</v>
      </c>
      <c r="AH44" s="25">
        <f t="shared" si="39"/>
        <v>6.3364999999999991</v>
      </c>
      <c r="AI44" s="25">
        <f t="shared" si="36"/>
        <v>1388.52</v>
      </c>
      <c r="AJ44" s="209" t="e">
        <f>[2]!KviteringV3[[#This Row],[pris SC (m. mva)]]*[2]!KviteringV3[[#This Row],[Antall]]</f>
        <v>#REF!</v>
      </c>
      <c r="AK44" s="27"/>
    </row>
    <row r="45" spans="1:37" x14ac:dyDescent="0.35">
      <c r="A45" s="152" t="s">
        <v>173</v>
      </c>
      <c r="B4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450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6922.079999999999</v>
      </c>
      <c r="D45" s="120"/>
      <c r="E45" s="15" t="b">
        <f t="shared" si="32"/>
        <v>1</v>
      </c>
      <c r="F45" s="25" t="s">
        <v>175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33"/>
        <v>1</v>
      </c>
      <c r="N45" s="22" t="s">
        <v>175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34"/>
        <v>1</v>
      </c>
      <c r="V45" s="22" t="s">
        <v>175</v>
      </c>
      <c r="W45" s="25"/>
      <c r="X45" s="24"/>
      <c r="Y45" s="25"/>
      <c r="Z45" s="25">
        <f t="shared" si="37"/>
        <v>0</v>
      </c>
      <c r="AA45" s="26">
        <f t="shared" si="38"/>
        <v>0</v>
      </c>
      <c r="AB45" s="27"/>
      <c r="AD45" s="143" t="b">
        <f t="shared" si="35"/>
        <v>1</v>
      </c>
      <c r="AE45" s="22" t="s">
        <v>175</v>
      </c>
      <c r="AF45" s="25">
        <v>0</v>
      </c>
      <c r="AG45" s="24"/>
      <c r="AH45" s="25">
        <f t="shared" si="39"/>
        <v>0</v>
      </c>
      <c r="AI45" s="25">
        <f t="shared" si="36"/>
        <v>0</v>
      </c>
      <c r="AJ45" s="209" t="e">
        <f>[2]!KviteringV3[[#This Row],[pris SC (m. mva)]]*[2]!KviteringV3[[#This Row],[Antall]]</f>
        <v>#REF!</v>
      </c>
      <c r="AK45" s="27"/>
    </row>
    <row r="46" spans="1:37" ht="18.5" customHeight="1" x14ac:dyDescent="0.35">
      <c r="A46" s="152" t="s">
        <v>174</v>
      </c>
      <c r="B4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720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4562.2799999999988</v>
      </c>
      <c r="D46" s="120"/>
      <c r="E46" s="15" t="b">
        <f t="shared" si="32"/>
        <v>1</v>
      </c>
      <c r="F46" s="25" t="s">
        <v>176</v>
      </c>
      <c r="G46" s="25"/>
      <c r="H46" s="32"/>
      <c r="I46" s="25"/>
      <c r="J46" s="25"/>
      <c r="K46" s="25"/>
      <c r="L46" s="27"/>
      <c r="M46" s="143" t="b">
        <f t="shared" si="33"/>
        <v>1</v>
      </c>
      <c r="N46" s="22" t="s">
        <v>176</v>
      </c>
      <c r="O46" s="25"/>
      <c r="P46" s="24"/>
      <c r="Q46" s="25"/>
      <c r="R46" s="25"/>
      <c r="S46" s="26"/>
      <c r="T46" s="27"/>
      <c r="U46" s="143" t="b">
        <f t="shared" si="34"/>
        <v>1</v>
      </c>
      <c r="V46" s="22" t="s">
        <v>176</v>
      </c>
      <c r="W46" s="25">
        <v>242</v>
      </c>
      <c r="X46" s="24"/>
      <c r="Y46" s="25">
        <v>29.9</v>
      </c>
      <c r="Z46" s="25">
        <f t="shared" si="37"/>
        <v>0</v>
      </c>
      <c r="AA46" s="26">
        <f t="shared" si="38"/>
        <v>7235.7999999999993</v>
      </c>
      <c r="AB46" s="27"/>
      <c r="AD46" s="143" t="b">
        <f t="shared" si="35"/>
        <v>1</v>
      </c>
      <c r="AE46" s="22" t="s">
        <v>176</v>
      </c>
      <c r="AF46" s="25">
        <v>0</v>
      </c>
      <c r="AG46" s="24"/>
      <c r="AH46" s="25">
        <f t="shared" si="39"/>
        <v>0</v>
      </c>
      <c r="AI46" s="25">
        <f t="shared" si="36"/>
        <v>0</v>
      </c>
      <c r="AJ46" s="209" t="e">
        <f>[2]!KviteringV3[[#This Row],[pris SC (m. mva)]]*[2]!KviteringV3[[#This Row],[Antall]]</f>
        <v>#REF!</v>
      </c>
      <c r="AK46" s="27"/>
    </row>
    <row r="47" spans="1:37" x14ac:dyDescent="0.35">
      <c r="A47" s="152" t="s">
        <v>175</v>
      </c>
      <c r="B4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2215.7279999999996</v>
      </c>
      <c r="D47" s="120"/>
      <c r="E47" s="15" t="b">
        <f t="shared" si="32"/>
        <v>1</v>
      </c>
      <c r="F47" s="25" t="s">
        <v>177</v>
      </c>
      <c r="M47" s="143" t="b">
        <f t="shared" si="33"/>
        <v>1</v>
      </c>
      <c r="N47" t="s">
        <v>177</v>
      </c>
      <c r="U47" s="143" t="b">
        <f t="shared" si="34"/>
        <v>1</v>
      </c>
      <c r="V47" s="22" t="s">
        <v>177</v>
      </c>
      <c r="W47" s="25">
        <v>128</v>
      </c>
      <c r="X47" s="24">
        <v>14.93</v>
      </c>
      <c r="Y47" s="25">
        <f t="shared" ref="Y47:Y65" si="40">X47*1.15</f>
        <v>17.169499999999999</v>
      </c>
      <c r="Z47" s="25">
        <f t="shared" si="37"/>
        <v>1911.04</v>
      </c>
      <c r="AA47" s="26">
        <f t="shared" si="38"/>
        <v>2197.6959999999999</v>
      </c>
      <c r="AB47" s="27"/>
      <c r="AD47" s="143" t="b">
        <f t="shared" si="35"/>
        <v>1</v>
      </c>
      <c r="AE47" s="22" t="s">
        <v>177</v>
      </c>
      <c r="AF47" s="25">
        <v>0</v>
      </c>
      <c r="AG47" s="24">
        <v>14.93</v>
      </c>
      <c r="AH47" s="25">
        <f t="shared" si="39"/>
        <v>17.169499999999999</v>
      </c>
      <c r="AI47" s="25">
        <f t="shared" si="36"/>
        <v>0</v>
      </c>
      <c r="AJ47" s="209" t="e">
        <f>[2]!KviteringV3[[#This Row],[pris SC (m. mva)]]*[2]!KviteringV3[[#This Row],[Antall]]</f>
        <v>#REF!</v>
      </c>
      <c r="AK47" s="27"/>
    </row>
    <row r="48" spans="1:37" x14ac:dyDescent="0.35">
      <c r="A48" s="152" t="s">
        <v>176</v>
      </c>
      <c r="B4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242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14471.599999999999</v>
      </c>
      <c r="D48" s="120"/>
      <c r="E48" s="15" t="b">
        <f t="shared" si="32"/>
        <v>1</v>
      </c>
      <c r="F48" s="25" t="s">
        <v>178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33"/>
        <v>1</v>
      </c>
      <c r="N48" s="22" t="s">
        <v>178</v>
      </c>
      <c r="O48" s="25">
        <v>48</v>
      </c>
      <c r="P48" s="24">
        <v>19.2</v>
      </c>
      <c r="Q48" s="25">
        <f t="shared" ref="Q48:Q65" si="41">P48*1.15</f>
        <v>22.08</v>
      </c>
      <c r="R48" s="25">
        <f t="shared" ref="R48:R65" si="42">P48*O48</f>
        <v>921.59999999999991</v>
      </c>
      <c r="S48" s="26">
        <f t="shared" ref="S48:S65" si="43">Q48*O48</f>
        <v>1059.8399999999999</v>
      </c>
      <c r="T48" s="27"/>
      <c r="U48" s="143" t="b">
        <f t="shared" si="34"/>
        <v>1</v>
      </c>
      <c r="V48" s="22" t="s">
        <v>178</v>
      </c>
      <c r="W48" s="25">
        <v>48</v>
      </c>
      <c r="X48" s="24">
        <v>19.2</v>
      </c>
      <c r="Y48" s="25">
        <f t="shared" si="40"/>
        <v>22.08</v>
      </c>
      <c r="Z48" s="25">
        <f t="shared" si="37"/>
        <v>921.59999999999991</v>
      </c>
      <c r="AA48" s="26">
        <f t="shared" si="38"/>
        <v>1059.8399999999999</v>
      </c>
      <c r="AB48" s="27"/>
      <c r="AD48" s="143" t="b">
        <f t="shared" si="35"/>
        <v>1</v>
      </c>
      <c r="AE48" s="22" t="s">
        <v>178</v>
      </c>
      <c r="AF48" s="25">
        <v>0</v>
      </c>
      <c r="AG48" s="24">
        <v>19.2</v>
      </c>
      <c r="AH48" s="25">
        <f t="shared" si="39"/>
        <v>22.08</v>
      </c>
      <c r="AI48" s="25">
        <f t="shared" si="36"/>
        <v>0</v>
      </c>
      <c r="AJ48" s="209" t="e">
        <f>[2]!KviteringV3[[#This Row],[pris SC (m. mva)]]*[2]!KviteringV3[[#This Row],[Antall]]</f>
        <v>#REF!</v>
      </c>
      <c r="AK48" s="27"/>
    </row>
    <row r="49" spans="1:37" x14ac:dyDescent="0.35">
      <c r="A49" s="152" t="s">
        <v>177</v>
      </c>
      <c r="B4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128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4395.3919999999998</v>
      </c>
      <c r="D49" s="120"/>
      <c r="E49" s="15" t="b">
        <f t="shared" si="32"/>
        <v>1</v>
      </c>
      <c r="F49" s="25" t="s">
        <v>179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33"/>
        <v>1</v>
      </c>
      <c r="N49" s="22" t="s">
        <v>179</v>
      </c>
      <c r="O49" s="25">
        <v>30</v>
      </c>
      <c r="P49" s="24">
        <v>21.01</v>
      </c>
      <c r="Q49" s="25">
        <f t="shared" si="41"/>
        <v>24.1615</v>
      </c>
      <c r="R49" s="25">
        <f t="shared" si="42"/>
        <v>630.30000000000007</v>
      </c>
      <c r="S49" s="26">
        <f t="shared" si="43"/>
        <v>724.84500000000003</v>
      </c>
      <c r="T49" s="27"/>
      <c r="U49" s="143" t="b">
        <f t="shared" si="34"/>
        <v>1</v>
      </c>
      <c r="V49" s="22" t="s">
        <v>179</v>
      </c>
      <c r="W49" s="25">
        <v>90</v>
      </c>
      <c r="X49" s="24">
        <v>21.01</v>
      </c>
      <c r="Y49" s="25">
        <f t="shared" si="40"/>
        <v>24.1615</v>
      </c>
      <c r="Z49" s="25">
        <f t="shared" si="37"/>
        <v>1890.9</v>
      </c>
      <c r="AA49" s="26">
        <f t="shared" si="38"/>
        <v>2174.5349999999999</v>
      </c>
      <c r="AB49" s="27"/>
      <c r="AD49" s="143" t="b">
        <f t="shared" si="35"/>
        <v>1</v>
      </c>
      <c r="AE49" s="22" t="s">
        <v>179</v>
      </c>
      <c r="AF49" s="25">
        <v>0</v>
      </c>
      <c r="AG49" s="24">
        <v>21.01</v>
      </c>
      <c r="AH49" s="25">
        <f t="shared" si="39"/>
        <v>24.1615</v>
      </c>
      <c r="AI49" s="25">
        <f t="shared" si="36"/>
        <v>0</v>
      </c>
      <c r="AJ49" s="209" t="e">
        <f>[2]!KviteringV3[[#This Row],[pris SC (m. mva)]]*[2]!KviteringV3[[#This Row],[Antall]]</f>
        <v>#REF!</v>
      </c>
      <c r="AK49" s="27"/>
    </row>
    <row r="50" spans="1:37" x14ac:dyDescent="0.35">
      <c r="A50" s="152" t="s">
        <v>178</v>
      </c>
      <c r="B5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3709.4399999999996</v>
      </c>
      <c r="D50" s="120"/>
      <c r="E50" s="15" t="b">
        <f t="shared" si="32"/>
        <v>1</v>
      </c>
      <c r="F50" s="25" t="s">
        <v>180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33"/>
        <v>1</v>
      </c>
      <c r="N50" s="22" t="s">
        <v>180</v>
      </c>
      <c r="O50" s="25">
        <v>15</v>
      </c>
      <c r="P50" s="24">
        <v>14.492699999999999</v>
      </c>
      <c r="Q50" s="25">
        <f t="shared" si="41"/>
        <v>16.666604999999997</v>
      </c>
      <c r="R50" s="25">
        <f t="shared" si="42"/>
        <v>217.39049999999997</v>
      </c>
      <c r="S50" s="26">
        <f t="shared" si="43"/>
        <v>249.99907499999995</v>
      </c>
      <c r="T50" s="27"/>
      <c r="U50" s="143" t="b">
        <f t="shared" si="34"/>
        <v>1</v>
      </c>
      <c r="V50" s="22" t="s">
        <v>180</v>
      </c>
      <c r="W50" s="25">
        <v>0</v>
      </c>
      <c r="X50" s="24">
        <v>14.492699999999999</v>
      </c>
      <c r="Y50" s="25">
        <f t="shared" si="40"/>
        <v>16.666604999999997</v>
      </c>
      <c r="Z50" s="25">
        <f t="shared" si="37"/>
        <v>0</v>
      </c>
      <c r="AA50" s="26">
        <f t="shared" si="38"/>
        <v>0</v>
      </c>
      <c r="AB50" s="27"/>
      <c r="AD50" s="143" t="b">
        <f t="shared" si="35"/>
        <v>1</v>
      </c>
      <c r="AE50" s="22" t="s">
        <v>180</v>
      </c>
      <c r="AF50" s="25">
        <v>0</v>
      </c>
      <c r="AG50" s="24">
        <v>14.492699999999999</v>
      </c>
      <c r="AH50" s="25">
        <f t="shared" si="39"/>
        <v>16.666604999999997</v>
      </c>
      <c r="AI50" s="25">
        <f t="shared" si="36"/>
        <v>0</v>
      </c>
      <c r="AJ50" s="209" t="e">
        <f>[2]!KviteringV3[[#This Row],[pris SC (m. mva)]]*[2]!KviteringV3[[#This Row],[Antall]]</f>
        <v>#REF!</v>
      </c>
      <c r="AK50" s="27"/>
    </row>
    <row r="51" spans="1:37" x14ac:dyDescent="0.35">
      <c r="A51" s="152" t="s">
        <v>179</v>
      </c>
      <c r="B5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5798.76</v>
      </c>
      <c r="D51" s="120"/>
      <c r="E51" s="15" t="b">
        <f t="shared" si="32"/>
        <v>1</v>
      </c>
      <c r="F51" s="25" t="s">
        <v>181</v>
      </c>
      <c r="G51" s="25"/>
      <c r="H51" s="25"/>
      <c r="I51" s="25"/>
      <c r="J51" s="25"/>
      <c r="K51" s="25"/>
      <c r="L51" s="27"/>
      <c r="M51" s="143" t="b">
        <f t="shared" si="33"/>
        <v>1</v>
      </c>
      <c r="N51" s="22" t="s">
        <v>181</v>
      </c>
      <c r="O51" s="30">
        <v>48</v>
      </c>
      <c r="P51" s="29">
        <v>13.06</v>
      </c>
      <c r="Q51" s="30">
        <f t="shared" si="41"/>
        <v>15.019</v>
      </c>
      <c r="R51" s="30">
        <f t="shared" si="42"/>
        <v>626.88</v>
      </c>
      <c r="S51" s="31">
        <f t="shared" si="43"/>
        <v>720.91200000000003</v>
      </c>
      <c r="T51" s="27"/>
      <c r="U51" s="143" t="b">
        <f t="shared" si="34"/>
        <v>1</v>
      </c>
      <c r="V51" s="22" t="s">
        <v>181</v>
      </c>
      <c r="W51" s="25">
        <v>0</v>
      </c>
      <c r="X51" s="24">
        <v>13.06</v>
      </c>
      <c r="Y51" s="25">
        <f t="shared" si="40"/>
        <v>15.019</v>
      </c>
      <c r="Z51" s="25">
        <f t="shared" si="37"/>
        <v>0</v>
      </c>
      <c r="AA51" s="25">
        <f t="shared" si="38"/>
        <v>0</v>
      </c>
      <c r="AB51" s="27"/>
      <c r="AD51" s="143" t="b">
        <f t="shared" si="35"/>
        <v>1</v>
      </c>
      <c r="AE51" s="22" t="s">
        <v>181</v>
      </c>
      <c r="AF51" s="25">
        <v>0</v>
      </c>
      <c r="AG51" s="24">
        <v>13.06</v>
      </c>
      <c r="AH51" s="25">
        <f t="shared" si="39"/>
        <v>15.019</v>
      </c>
      <c r="AI51" s="25">
        <f t="shared" si="36"/>
        <v>0</v>
      </c>
      <c r="AJ51" s="209" t="e">
        <f>[2]!KviteringV3[[#This Row],[pris SC (m. mva)]]*[2]!KviteringV3[[#This Row],[Antall]]</f>
        <v>#REF!</v>
      </c>
      <c r="AK51" s="27"/>
    </row>
    <row r="52" spans="1:37" x14ac:dyDescent="0.35">
      <c r="A52" s="152" t="s">
        <v>180</v>
      </c>
      <c r="B5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35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735.52907499999992</v>
      </c>
      <c r="D52" s="120"/>
      <c r="E52" s="15" t="b">
        <f t="shared" si="32"/>
        <v>1</v>
      </c>
      <c r="F52" s="25" t="s">
        <v>182</v>
      </c>
      <c r="G52" s="25"/>
      <c r="H52" s="25"/>
      <c r="I52" s="25"/>
      <c r="J52" s="25"/>
      <c r="K52" s="25"/>
      <c r="L52" s="27"/>
      <c r="M52" s="143" t="b">
        <f t="shared" si="33"/>
        <v>1</v>
      </c>
      <c r="N52" s="22" t="s">
        <v>182</v>
      </c>
      <c r="O52" s="30">
        <v>48</v>
      </c>
      <c r="P52" s="29">
        <v>11.35</v>
      </c>
      <c r="Q52" s="30">
        <f t="shared" si="41"/>
        <v>13.052499999999998</v>
      </c>
      <c r="R52" s="30">
        <f t="shared" si="42"/>
        <v>544.79999999999995</v>
      </c>
      <c r="S52" s="31">
        <f t="shared" si="43"/>
        <v>626.52</v>
      </c>
      <c r="T52" s="27"/>
      <c r="U52" s="143" t="b">
        <f t="shared" si="34"/>
        <v>1</v>
      </c>
      <c r="V52" s="22" t="s">
        <v>182</v>
      </c>
      <c r="W52" s="25">
        <v>0</v>
      </c>
      <c r="X52" s="24">
        <v>11.35</v>
      </c>
      <c r="Y52" s="25">
        <f t="shared" si="40"/>
        <v>13.052499999999998</v>
      </c>
      <c r="Z52" s="25">
        <f t="shared" si="37"/>
        <v>0</v>
      </c>
      <c r="AA52" s="25">
        <f t="shared" si="38"/>
        <v>0</v>
      </c>
      <c r="AB52" s="27"/>
      <c r="AD52" s="143" t="b">
        <f t="shared" si="35"/>
        <v>1</v>
      </c>
      <c r="AE52" s="22" t="s">
        <v>182</v>
      </c>
      <c r="AF52" s="25">
        <v>0</v>
      </c>
      <c r="AG52" s="24">
        <v>11.35</v>
      </c>
      <c r="AH52" s="25">
        <f t="shared" si="39"/>
        <v>13.052499999999998</v>
      </c>
      <c r="AI52" s="25">
        <f t="shared" si="36"/>
        <v>0</v>
      </c>
      <c r="AJ52" s="209" t="e">
        <f>[2]!KviteringV3[[#This Row],[pris SC (m. mva)]]*[2]!KviteringV3[[#This Row],[Antall]]</f>
        <v>#REF!</v>
      </c>
      <c r="AK52" s="27"/>
    </row>
    <row r="53" spans="1:37" x14ac:dyDescent="0.35">
      <c r="A53" s="152" t="s">
        <v>181</v>
      </c>
      <c r="B5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720.91200000000003</v>
      </c>
      <c r="D53" s="120"/>
      <c r="E53" s="15" t="b">
        <f t="shared" si="32"/>
        <v>1</v>
      </c>
      <c r="F53" s="25" t="s">
        <v>183</v>
      </c>
      <c r="G53" s="25">
        <v>240</v>
      </c>
      <c r="H53" s="32">
        <v>2.27</v>
      </c>
      <c r="I53" s="25">
        <f t="shared" ref="I53:I64" si="44">H53*1.15</f>
        <v>2.6104999999999996</v>
      </c>
      <c r="J53" s="25">
        <f t="shared" ref="J53:J64" si="45">H53*G53</f>
        <v>544.79999999999995</v>
      </c>
      <c r="K53" s="25">
        <f t="shared" ref="K53:K64" si="46">I53*G53</f>
        <v>626.51999999999987</v>
      </c>
      <c r="L53" s="27"/>
      <c r="M53" s="143" t="b">
        <f t="shared" si="33"/>
        <v>1</v>
      </c>
      <c r="N53" s="22" t="s">
        <v>183</v>
      </c>
      <c r="O53" s="25">
        <v>0</v>
      </c>
      <c r="P53" s="24">
        <v>2.27</v>
      </c>
      <c r="Q53" s="25">
        <f t="shared" si="41"/>
        <v>2.6104999999999996</v>
      </c>
      <c r="R53" s="25">
        <f t="shared" si="42"/>
        <v>0</v>
      </c>
      <c r="S53" s="26">
        <f t="shared" si="43"/>
        <v>0</v>
      </c>
      <c r="T53" s="27"/>
      <c r="U53" s="143" t="b">
        <f t="shared" si="34"/>
        <v>1</v>
      </c>
      <c r="V53" s="22" t="s">
        <v>183</v>
      </c>
      <c r="W53" s="25">
        <v>0</v>
      </c>
      <c r="X53" s="24">
        <v>2.27</v>
      </c>
      <c r="Y53" s="25">
        <f t="shared" si="40"/>
        <v>2.6104999999999996</v>
      </c>
      <c r="Z53" s="25">
        <f t="shared" si="37"/>
        <v>0</v>
      </c>
      <c r="AA53" s="26">
        <f t="shared" si="38"/>
        <v>0</v>
      </c>
      <c r="AB53" s="27"/>
      <c r="AD53" s="143" t="b">
        <f t="shared" si="35"/>
        <v>1</v>
      </c>
      <c r="AE53" s="22" t="s">
        <v>183</v>
      </c>
      <c r="AF53" s="25">
        <v>0</v>
      </c>
      <c r="AG53" s="24">
        <v>2.27</v>
      </c>
      <c r="AH53" s="25">
        <f t="shared" si="39"/>
        <v>2.6104999999999996</v>
      </c>
      <c r="AI53" s="25">
        <f t="shared" si="36"/>
        <v>0</v>
      </c>
      <c r="AJ53" s="209" t="e">
        <f>[2]!KviteringV3[[#This Row],[pris SC (m. mva)]]*[2]!KviteringV3[[#This Row],[Antall]]</f>
        <v>#REF!</v>
      </c>
      <c r="AK53" s="27"/>
    </row>
    <row r="54" spans="1:37" x14ac:dyDescent="0.35">
      <c r="A54" s="152" t="s">
        <v>182</v>
      </c>
      <c r="B5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626.52</v>
      </c>
      <c r="D54" s="120"/>
      <c r="E54" s="15" t="b">
        <f t="shared" si="32"/>
        <v>1</v>
      </c>
      <c r="F54" s="25" t="s">
        <v>184</v>
      </c>
      <c r="G54" s="25">
        <v>144</v>
      </c>
      <c r="H54" s="32">
        <v>3.43</v>
      </c>
      <c r="I54" s="25">
        <f t="shared" si="44"/>
        <v>3.9444999999999997</v>
      </c>
      <c r="J54" s="25">
        <f t="shared" si="45"/>
        <v>493.92</v>
      </c>
      <c r="K54" s="25">
        <f t="shared" si="46"/>
        <v>568.00799999999992</v>
      </c>
      <c r="L54" s="27"/>
      <c r="M54" s="143" t="b">
        <f t="shared" si="33"/>
        <v>1</v>
      </c>
      <c r="N54" s="22" t="s">
        <v>184</v>
      </c>
      <c r="O54" s="25">
        <v>72</v>
      </c>
      <c r="P54" s="24">
        <v>3.43</v>
      </c>
      <c r="Q54" s="25">
        <f t="shared" si="41"/>
        <v>3.9444999999999997</v>
      </c>
      <c r="R54" s="25">
        <f t="shared" si="42"/>
        <v>246.96</v>
      </c>
      <c r="S54" s="26">
        <f t="shared" si="43"/>
        <v>284.00399999999996</v>
      </c>
      <c r="T54" s="27"/>
      <c r="U54" s="143" t="b">
        <f t="shared" si="34"/>
        <v>1</v>
      </c>
      <c r="V54" s="22" t="s">
        <v>184</v>
      </c>
      <c r="W54" s="25">
        <v>216</v>
      </c>
      <c r="X54" s="24">
        <v>3.43</v>
      </c>
      <c r="Y54" s="25">
        <f t="shared" si="40"/>
        <v>3.9444999999999997</v>
      </c>
      <c r="Z54" s="25">
        <f t="shared" si="37"/>
        <v>740.88</v>
      </c>
      <c r="AA54" s="26">
        <f t="shared" si="38"/>
        <v>852.01199999999994</v>
      </c>
      <c r="AB54" s="27"/>
      <c r="AD54" s="143" t="b">
        <f t="shared" si="35"/>
        <v>1</v>
      </c>
      <c r="AE54" s="22" t="s">
        <v>184</v>
      </c>
      <c r="AF54" s="25">
        <v>144</v>
      </c>
      <c r="AG54" s="24">
        <v>3.43</v>
      </c>
      <c r="AH54" s="25">
        <f t="shared" si="39"/>
        <v>3.9444999999999997</v>
      </c>
      <c r="AI54" s="25">
        <f t="shared" si="36"/>
        <v>493.92</v>
      </c>
      <c r="AJ54" s="209" t="e">
        <f>[2]!KviteringV3[[#This Row],[pris SC (m. mva)]]*[2]!KviteringV3[[#This Row],[Antall]]</f>
        <v>#REF!</v>
      </c>
      <c r="AK54" s="27"/>
    </row>
    <row r="55" spans="1:37" x14ac:dyDescent="0.35">
      <c r="A55" s="152" t="s">
        <v>183</v>
      </c>
      <c r="B5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626.51999999999987</v>
      </c>
      <c r="D55" s="120"/>
      <c r="E55" s="15" t="b">
        <f t="shared" si="32"/>
        <v>1</v>
      </c>
      <c r="F55" s="25" t="s">
        <v>185</v>
      </c>
      <c r="G55" s="25">
        <v>30</v>
      </c>
      <c r="H55" s="32">
        <v>9.8699999999999992</v>
      </c>
      <c r="I55" s="25">
        <f t="shared" si="44"/>
        <v>11.350499999999998</v>
      </c>
      <c r="J55" s="25">
        <f t="shared" si="45"/>
        <v>296.09999999999997</v>
      </c>
      <c r="K55" s="25">
        <f t="shared" si="46"/>
        <v>340.51499999999993</v>
      </c>
      <c r="L55" s="27"/>
      <c r="M55" s="143" t="b">
        <f t="shared" si="33"/>
        <v>1</v>
      </c>
      <c r="N55" s="22" t="s">
        <v>185</v>
      </c>
      <c r="O55" s="25">
        <v>60</v>
      </c>
      <c r="P55" s="24">
        <v>9.8699999999999992</v>
      </c>
      <c r="Q55" s="25">
        <f t="shared" si="41"/>
        <v>11.350499999999998</v>
      </c>
      <c r="R55" s="25">
        <f t="shared" si="42"/>
        <v>592.19999999999993</v>
      </c>
      <c r="S55" s="26">
        <f t="shared" si="43"/>
        <v>681.02999999999986</v>
      </c>
      <c r="T55" s="27"/>
      <c r="U55" s="143" t="b">
        <f t="shared" si="34"/>
        <v>1</v>
      </c>
      <c r="V55" s="22" t="s">
        <v>185</v>
      </c>
      <c r="W55" s="25">
        <v>0</v>
      </c>
      <c r="X55" s="24">
        <v>9.8699999999999992</v>
      </c>
      <c r="Y55" s="25">
        <f t="shared" si="40"/>
        <v>11.350499999999998</v>
      </c>
      <c r="Z55" s="25">
        <f t="shared" si="37"/>
        <v>0</v>
      </c>
      <c r="AA55" s="26">
        <f t="shared" si="38"/>
        <v>0</v>
      </c>
      <c r="AB55" s="27"/>
      <c r="AD55" s="143" t="b">
        <f t="shared" si="35"/>
        <v>1</v>
      </c>
      <c r="AE55" s="22" t="s">
        <v>185</v>
      </c>
      <c r="AF55" s="25">
        <v>90</v>
      </c>
      <c r="AG55" s="24">
        <v>9.8699999999999992</v>
      </c>
      <c r="AH55" s="25">
        <f t="shared" si="39"/>
        <v>11.350499999999998</v>
      </c>
      <c r="AI55" s="25">
        <f t="shared" si="36"/>
        <v>888.3</v>
      </c>
      <c r="AJ55" s="209" t="e">
        <f>[2]!KviteringV3[[#This Row],[pris SC (m. mva)]]*[2]!KviteringV3[[#This Row],[Antall]]</f>
        <v>#REF!</v>
      </c>
      <c r="AK55" s="27"/>
    </row>
    <row r="56" spans="1:37" x14ac:dyDescent="0.35">
      <c r="A56" s="152" t="s">
        <v>184</v>
      </c>
      <c r="B5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576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2556.0360000000001</v>
      </c>
      <c r="D56" s="120"/>
      <c r="E56" s="15" t="b">
        <f t="shared" si="32"/>
        <v>1</v>
      </c>
      <c r="F56" s="25" t="s">
        <v>186</v>
      </c>
      <c r="G56" s="25">
        <v>50</v>
      </c>
      <c r="H56" s="32">
        <v>8.24</v>
      </c>
      <c r="I56" s="25">
        <f t="shared" si="44"/>
        <v>9.4759999999999991</v>
      </c>
      <c r="J56" s="25">
        <f t="shared" si="45"/>
        <v>412</v>
      </c>
      <c r="K56" s="25">
        <f t="shared" si="46"/>
        <v>473.79999999999995</v>
      </c>
      <c r="L56" s="27"/>
      <c r="M56" s="143" t="b">
        <f t="shared" si="33"/>
        <v>1</v>
      </c>
      <c r="N56" s="22" t="s">
        <v>186</v>
      </c>
      <c r="O56" s="25">
        <v>0</v>
      </c>
      <c r="P56" s="24">
        <v>8.24</v>
      </c>
      <c r="Q56" s="25">
        <f t="shared" si="41"/>
        <v>9.4759999999999991</v>
      </c>
      <c r="R56" s="25">
        <f t="shared" si="42"/>
        <v>0</v>
      </c>
      <c r="S56" s="26">
        <f t="shared" si="43"/>
        <v>0</v>
      </c>
      <c r="T56" s="27"/>
      <c r="U56" s="143" t="b">
        <f t="shared" si="34"/>
        <v>1</v>
      </c>
      <c r="V56" s="22" t="s">
        <v>186</v>
      </c>
      <c r="W56" s="25">
        <v>50</v>
      </c>
      <c r="X56" s="24">
        <v>8.24</v>
      </c>
      <c r="Y56" s="25">
        <f t="shared" si="40"/>
        <v>9.4759999999999991</v>
      </c>
      <c r="Z56" s="25">
        <f t="shared" si="37"/>
        <v>412</v>
      </c>
      <c r="AA56" s="26">
        <f t="shared" si="38"/>
        <v>473.79999999999995</v>
      </c>
      <c r="AB56" s="27"/>
      <c r="AD56" s="143" t="b">
        <f t="shared" si="35"/>
        <v>1</v>
      </c>
      <c r="AE56" s="22" t="s">
        <v>186</v>
      </c>
      <c r="AF56" s="25">
        <v>50</v>
      </c>
      <c r="AG56" s="24">
        <v>8.24</v>
      </c>
      <c r="AH56" s="25">
        <f t="shared" si="39"/>
        <v>9.4759999999999991</v>
      </c>
      <c r="AI56" s="25">
        <f t="shared" si="36"/>
        <v>412</v>
      </c>
      <c r="AJ56" s="209" t="e">
        <f>[2]!KviteringV3[[#This Row],[pris SC (m. mva)]]*[2]!KviteringV3[[#This Row],[Antall]]</f>
        <v>#REF!</v>
      </c>
      <c r="AK56" s="27"/>
    </row>
    <row r="57" spans="1:37" x14ac:dyDescent="0.35">
      <c r="A57" s="152" t="s">
        <v>185</v>
      </c>
      <c r="B5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180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1021.5449999999998</v>
      </c>
      <c r="D57" s="120"/>
      <c r="E57" s="15" t="b">
        <f t="shared" si="32"/>
        <v>1</v>
      </c>
      <c r="F57" s="25" t="s">
        <v>187</v>
      </c>
      <c r="G57" s="25">
        <v>12</v>
      </c>
      <c r="H57" s="32">
        <v>12.1</v>
      </c>
      <c r="I57" s="25">
        <f t="shared" si="44"/>
        <v>13.914999999999999</v>
      </c>
      <c r="J57" s="25">
        <f t="shared" si="45"/>
        <v>145.19999999999999</v>
      </c>
      <c r="K57" s="25">
        <f t="shared" si="46"/>
        <v>166.98</v>
      </c>
      <c r="L57" s="27"/>
      <c r="M57" s="143" t="b">
        <f t="shared" si="33"/>
        <v>1</v>
      </c>
      <c r="N57" s="22" t="s">
        <v>187</v>
      </c>
      <c r="O57" s="25">
        <v>24</v>
      </c>
      <c r="P57" s="24">
        <v>12.1</v>
      </c>
      <c r="Q57" s="25">
        <f t="shared" si="41"/>
        <v>13.914999999999999</v>
      </c>
      <c r="R57" s="25">
        <f t="shared" si="42"/>
        <v>290.39999999999998</v>
      </c>
      <c r="S57" s="26">
        <f t="shared" si="43"/>
        <v>333.96</v>
      </c>
      <c r="T57" s="27"/>
      <c r="U57" s="143" t="b">
        <f t="shared" si="34"/>
        <v>1</v>
      </c>
      <c r="V57" s="22" t="s">
        <v>187</v>
      </c>
      <c r="W57" s="25">
        <v>36</v>
      </c>
      <c r="X57" s="24">
        <v>12.1</v>
      </c>
      <c r="Y57" s="25">
        <f t="shared" si="40"/>
        <v>13.914999999999999</v>
      </c>
      <c r="Z57" s="25">
        <f t="shared" si="37"/>
        <v>435.59999999999997</v>
      </c>
      <c r="AA57" s="26">
        <f t="shared" si="38"/>
        <v>500.93999999999994</v>
      </c>
      <c r="AB57" s="27"/>
      <c r="AD57" s="143" t="b">
        <f t="shared" si="35"/>
        <v>1</v>
      </c>
      <c r="AE57" s="22" t="s">
        <v>187</v>
      </c>
      <c r="AF57" s="25">
        <v>24</v>
      </c>
      <c r="AG57" s="24">
        <v>12.1</v>
      </c>
      <c r="AH57" s="25">
        <f t="shared" si="39"/>
        <v>13.914999999999999</v>
      </c>
      <c r="AI57" s="25">
        <f t="shared" si="36"/>
        <v>290.39999999999998</v>
      </c>
      <c r="AJ57" s="209" t="e">
        <f>[2]!KviteringV3[[#This Row],[pris SC (m. mva)]]*[2]!KviteringV3[[#This Row],[Antall]]</f>
        <v>#REF!</v>
      </c>
      <c r="AK57" s="27"/>
    </row>
    <row r="58" spans="1:37" x14ac:dyDescent="0.35">
      <c r="A58" s="152" t="s">
        <v>186</v>
      </c>
      <c r="B5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1421.3999999999999</v>
      </c>
      <c r="D58" s="120"/>
      <c r="E58" s="15" t="b">
        <f t="shared" si="32"/>
        <v>1</v>
      </c>
      <c r="F58" s="25" t="s">
        <v>188</v>
      </c>
      <c r="G58" s="25">
        <v>12</v>
      </c>
      <c r="H58" s="32">
        <v>12.1</v>
      </c>
      <c r="I58" s="25">
        <f t="shared" si="44"/>
        <v>13.914999999999999</v>
      </c>
      <c r="J58" s="25">
        <f t="shared" si="45"/>
        <v>145.19999999999999</v>
      </c>
      <c r="K58" s="25">
        <f t="shared" si="46"/>
        <v>166.98</v>
      </c>
      <c r="L58" s="27"/>
      <c r="M58" s="143" t="b">
        <f t="shared" si="33"/>
        <v>1</v>
      </c>
      <c r="N58" s="22" t="s">
        <v>188</v>
      </c>
      <c r="O58" s="25">
        <v>24</v>
      </c>
      <c r="P58" s="24">
        <v>12.1</v>
      </c>
      <c r="Q58" s="25">
        <f t="shared" si="41"/>
        <v>13.914999999999999</v>
      </c>
      <c r="R58" s="25">
        <f t="shared" si="42"/>
        <v>290.39999999999998</v>
      </c>
      <c r="S58" s="26">
        <f t="shared" si="43"/>
        <v>333.96</v>
      </c>
      <c r="T58" s="27"/>
      <c r="U58" s="143" t="b">
        <f t="shared" si="34"/>
        <v>1</v>
      </c>
      <c r="V58" s="22" t="s">
        <v>188</v>
      </c>
      <c r="W58" s="25">
        <v>36</v>
      </c>
      <c r="X58" s="24">
        <v>12.1</v>
      </c>
      <c r="Y58" s="25">
        <f t="shared" si="40"/>
        <v>13.914999999999999</v>
      </c>
      <c r="Z58" s="25">
        <f t="shared" si="37"/>
        <v>435.59999999999997</v>
      </c>
      <c r="AA58" s="26">
        <f t="shared" si="38"/>
        <v>500.93999999999994</v>
      </c>
      <c r="AB58" s="27"/>
      <c r="AD58" s="143" t="b">
        <f t="shared" si="35"/>
        <v>1</v>
      </c>
      <c r="AE58" s="22" t="s">
        <v>188</v>
      </c>
      <c r="AF58" s="25">
        <v>24</v>
      </c>
      <c r="AG58" s="24">
        <v>12.1</v>
      </c>
      <c r="AH58" s="25">
        <f t="shared" si="39"/>
        <v>13.914999999999999</v>
      </c>
      <c r="AI58" s="25">
        <f t="shared" si="36"/>
        <v>290.39999999999998</v>
      </c>
      <c r="AJ58" s="209" t="e">
        <f>[2]!KviteringV3[[#This Row],[pris SC (m. mva)]]*[2]!KviteringV3[[#This Row],[Antall]]</f>
        <v>#REF!</v>
      </c>
      <c r="AK58" s="27"/>
    </row>
    <row r="59" spans="1:37" x14ac:dyDescent="0.35">
      <c r="A59" s="152" t="s">
        <v>187</v>
      </c>
      <c r="B5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59" s="120"/>
      <c r="E59" s="15" t="b">
        <f t="shared" si="32"/>
        <v>1</v>
      </c>
      <c r="F59" s="25" t="s">
        <v>189</v>
      </c>
      <c r="G59" s="25">
        <v>12</v>
      </c>
      <c r="H59" s="32">
        <v>12.1</v>
      </c>
      <c r="I59" s="25">
        <f t="shared" si="44"/>
        <v>13.914999999999999</v>
      </c>
      <c r="J59" s="25">
        <f t="shared" si="45"/>
        <v>145.19999999999999</v>
      </c>
      <c r="K59" s="25">
        <f t="shared" si="46"/>
        <v>166.98</v>
      </c>
      <c r="L59" s="27"/>
      <c r="M59" s="143" t="b">
        <f t="shared" si="33"/>
        <v>1</v>
      </c>
      <c r="N59" s="22" t="s">
        <v>189</v>
      </c>
      <c r="O59" s="25">
        <v>24</v>
      </c>
      <c r="P59" s="24">
        <v>12.1</v>
      </c>
      <c r="Q59" s="25">
        <f t="shared" si="41"/>
        <v>13.914999999999999</v>
      </c>
      <c r="R59" s="25">
        <f t="shared" si="42"/>
        <v>290.39999999999998</v>
      </c>
      <c r="S59" s="26">
        <f t="shared" si="43"/>
        <v>333.96</v>
      </c>
      <c r="T59" s="27"/>
      <c r="U59" s="143" t="b">
        <f t="shared" si="34"/>
        <v>1</v>
      </c>
      <c r="V59" s="22" t="s">
        <v>189</v>
      </c>
      <c r="W59" s="25">
        <v>36</v>
      </c>
      <c r="X59" s="24">
        <v>12.1</v>
      </c>
      <c r="Y59" s="25">
        <f t="shared" si="40"/>
        <v>13.914999999999999</v>
      </c>
      <c r="Z59" s="25">
        <f t="shared" si="37"/>
        <v>435.59999999999997</v>
      </c>
      <c r="AA59" s="26">
        <f t="shared" si="38"/>
        <v>500.93999999999994</v>
      </c>
      <c r="AB59" s="27"/>
      <c r="AD59" s="143" t="b">
        <f t="shared" si="35"/>
        <v>1</v>
      </c>
      <c r="AE59" s="22" t="s">
        <v>189</v>
      </c>
      <c r="AF59" s="25">
        <v>24</v>
      </c>
      <c r="AG59" s="24">
        <v>12.1</v>
      </c>
      <c r="AH59" s="25">
        <f t="shared" si="39"/>
        <v>13.914999999999999</v>
      </c>
      <c r="AI59" s="25">
        <f t="shared" si="36"/>
        <v>290.39999999999998</v>
      </c>
      <c r="AJ59" s="209" t="e">
        <f>[2]!KviteringV3[[#This Row],[pris SC (m. mva)]]*[2]!KviteringV3[[#This Row],[Antall]]</f>
        <v>#REF!</v>
      </c>
      <c r="AK59" s="27"/>
    </row>
    <row r="60" spans="1:37" x14ac:dyDescent="0.35">
      <c r="A60" s="152" t="s">
        <v>188</v>
      </c>
      <c r="B6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0" s="120"/>
      <c r="E60" s="15" t="b">
        <f t="shared" si="32"/>
        <v>1</v>
      </c>
      <c r="F60" s="25" t="s">
        <v>190</v>
      </c>
      <c r="G60" s="25">
        <v>15</v>
      </c>
      <c r="H60" s="32">
        <v>18.05</v>
      </c>
      <c r="I60" s="25">
        <f t="shared" si="44"/>
        <v>20.7575</v>
      </c>
      <c r="J60" s="25">
        <f t="shared" si="45"/>
        <v>270.75</v>
      </c>
      <c r="K60" s="25">
        <f t="shared" si="46"/>
        <v>311.36250000000001</v>
      </c>
      <c r="L60" s="27"/>
      <c r="M60" s="143" t="b">
        <f t="shared" si="33"/>
        <v>1</v>
      </c>
      <c r="N60" s="22" t="s">
        <v>190</v>
      </c>
      <c r="O60" s="25">
        <v>0</v>
      </c>
      <c r="P60" s="24">
        <v>18.05</v>
      </c>
      <c r="Q60" s="25">
        <f t="shared" si="41"/>
        <v>20.7575</v>
      </c>
      <c r="R60" s="25">
        <f t="shared" si="42"/>
        <v>0</v>
      </c>
      <c r="S60" s="26">
        <f t="shared" si="43"/>
        <v>0</v>
      </c>
      <c r="T60" s="27"/>
      <c r="U60" s="143" t="b">
        <f t="shared" si="34"/>
        <v>1</v>
      </c>
      <c r="V60" s="22" t="s">
        <v>190</v>
      </c>
      <c r="W60" s="25">
        <v>0</v>
      </c>
      <c r="X60" s="24">
        <v>18.05</v>
      </c>
      <c r="Y60" s="25">
        <f t="shared" si="40"/>
        <v>20.7575</v>
      </c>
      <c r="Z60" s="25">
        <f t="shared" si="37"/>
        <v>0</v>
      </c>
      <c r="AA60" s="26">
        <f t="shared" si="38"/>
        <v>0</v>
      </c>
      <c r="AB60" s="27"/>
      <c r="AD60" s="143" t="b">
        <f t="shared" si="35"/>
        <v>1</v>
      </c>
      <c r="AE60" s="22" t="s">
        <v>190</v>
      </c>
      <c r="AF60" s="25">
        <v>0</v>
      </c>
      <c r="AG60" s="24">
        <v>18.05</v>
      </c>
      <c r="AH60" s="25">
        <f t="shared" si="39"/>
        <v>20.7575</v>
      </c>
      <c r="AI60" s="25">
        <f t="shared" si="36"/>
        <v>0</v>
      </c>
      <c r="AJ60" s="209" t="e">
        <f>[2]!KviteringV3[[#This Row],[pris SC (m. mva)]]*[2]!KviteringV3[[#This Row],[Antall]]</f>
        <v>#REF!</v>
      </c>
      <c r="AK60" s="27"/>
    </row>
    <row r="61" spans="1:37" x14ac:dyDescent="0.35">
      <c r="A61" s="152" t="s">
        <v>189</v>
      </c>
      <c r="B6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1" s="120"/>
      <c r="E61" s="15" t="b">
        <f t="shared" si="32"/>
        <v>1</v>
      </c>
      <c r="F61" s="25" t="s">
        <v>191</v>
      </c>
      <c r="G61" s="25">
        <v>40</v>
      </c>
      <c r="H61" s="32">
        <v>10.220000000000001</v>
      </c>
      <c r="I61" s="25">
        <f t="shared" si="44"/>
        <v>11.753</v>
      </c>
      <c r="J61" s="25">
        <f t="shared" si="45"/>
        <v>408.8</v>
      </c>
      <c r="K61" s="25">
        <f t="shared" si="46"/>
        <v>470.12</v>
      </c>
      <c r="L61" s="27"/>
      <c r="M61" s="143" t="b">
        <f t="shared" si="33"/>
        <v>1</v>
      </c>
      <c r="N61" s="22" t="s">
        <v>191</v>
      </c>
      <c r="O61" s="25">
        <v>80</v>
      </c>
      <c r="P61" s="24">
        <v>10.220000000000001</v>
      </c>
      <c r="Q61" s="25">
        <f t="shared" si="41"/>
        <v>11.753</v>
      </c>
      <c r="R61" s="25">
        <f t="shared" si="42"/>
        <v>817.6</v>
      </c>
      <c r="S61" s="26">
        <f t="shared" si="43"/>
        <v>940.24</v>
      </c>
      <c r="T61" s="27"/>
      <c r="U61" s="143" t="b">
        <f t="shared" si="34"/>
        <v>1</v>
      </c>
      <c r="V61" s="22" t="s">
        <v>191</v>
      </c>
      <c r="W61" s="25">
        <v>120</v>
      </c>
      <c r="X61" s="24">
        <v>10.220000000000001</v>
      </c>
      <c r="Y61" s="25">
        <f t="shared" si="40"/>
        <v>11.753</v>
      </c>
      <c r="Z61" s="25">
        <f t="shared" si="37"/>
        <v>1226.4000000000001</v>
      </c>
      <c r="AA61" s="26">
        <f t="shared" si="38"/>
        <v>1410.3600000000001</v>
      </c>
      <c r="AB61" s="27"/>
      <c r="AD61" s="143" t="b">
        <f t="shared" si="35"/>
        <v>1</v>
      </c>
      <c r="AE61" s="22" t="s">
        <v>191</v>
      </c>
      <c r="AF61" s="25"/>
      <c r="AG61" s="24">
        <v>10.220000000000001</v>
      </c>
      <c r="AH61" s="25">
        <f t="shared" si="39"/>
        <v>11.753</v>
      </c>
      <c r="AI61" s="25">
        <f t="shared" si="36"/>
        <v>0</v>
      </c>
      <c r="AJ61" s="209" t="e">
        <f>[2]!KviteringV3[[#This Row],[pris SC (m. mva)]]*[2]!KviteringV3[[#This Row],[Antall]]</f>
        <v>#REF!</v>
      </c>
      <c r="AK61" s="27"/>
    </row>
    <row r="62" spans="1:37" x14ac:dyDescent="0.35">
      <c r="A62" s="152" t="s">
        <v>190</v>
      </c>
      <c r="B6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311.36250000000001</v>
      </c>
      <c r="D62" s="120"/>
      <c r="E62" s="15" t="b">
        <f t="shared" si="32"/>
        <v>1</v>
      </c>
      <c r="F62" s="25" t="s">
        <v>192</v>
      </c>
      <c r="G62" s="25">
        <v>26</v>
      </c>
      <c r="H62" s="32">
        <v>24.99</v>
      </c>
      <c r="I62" s="25">
        <f t="shared" si="44"/>
        <v>28.738499999999995</v>
      </c>
      <c r="J62" s="25">
        <f t="shared" si="45"/>
        <v>649.74</v>
      </c>
      <c r="K62" s="25">
        <f t="shared" si="46"/>
        <v>747.20099999999991</v>
      </c>
      <c r="L62" s="27"/>
      <c r="M62" s="143" t="b">
        <f t="shared" si="33"/>
        <v>1</v>
      </c>
      <c r="N62" s="22" t="s">
        <v>192</v>
      </c>
      <c r="O62" s="25">
        <v>0</v>
      </c>
      <c r="P62" s="24">
        <v>24.99</v>
      </c>
      <c r="Q62" s="25">
        <f t="shared" si="41"/>
        <v>28.738499999999995</v>
      </c>
      <c r="R62" s="25">
        <f t="shared" si="42"/>
        <v>0</v>
      </c>
      <c r="S62" s="26">
        <f t="shared" si="43"/>
        <v>0</v>
      </c>
      <c r="T62" s="27"/>
      <c r="U62" s="143" t="b">
        <f t="shared" si="34"/>
        <v>1</v>
      </c>
      <c r="V62" s="22" t="s">
        <v>192</v>
      </c>
      <c r="W62" s="25">
        <v>0</v>
      </c>
      <c r="X62" s="24">
        <v>24.99</v>
      </c>
      <c r="Y62" s="25">
        <f t="shared" si="40"/>
        <v>28.738499999999995</v>
      </c>
      <c r="Z62" s="25">
        <f t="shared" si="37"/>
        <v>0</v>
      </c>
      <c r="AA62" s="26">
        <f t="shared" si="38"/>
        <v>0</v>
      </c>
      <c r="AB62" s="27"/>
      <c r="AD62" s="143" t="b">
        <f t="shared" si="35"/>
        <v>1</v>
      </c>
      <c r="AE62" s="22" t="s">
        <v>192</v>
      </c>
      <c r="AF62" s="25"/>
      <c r="AG62" s="24">
        <v>24.99</v>
      </c>
      <c r="AH62" s="25">
        <f t="shared" si="39"/>
        <v>28.738499999999995</v>
      </c>
      <c r="AI62" s="25">
        <f t="shared" si="36"/>
        <v>0</v>
      </c>
      <c r="AJ62" s="209" t="e">
        <f>[2]!KviteringV3[[#This Row],[pris SC (m. mva)]]*[2]!KviteringV3[[#This Row],[Antall]]</f>
        <v>#REF!</v>
      </c>
      <c r="AK62" s="27"/>
    </row>
    <row r="63" spans="1:37" x14ac:dyDescent="0.35">
      <c r="A63" s="152" t="s">
        <v>191</v>
      </c>
      <c r="B6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4231.08</v>
      </c>
      <c r="D63" s="120"/>
      <c r="E63" s="15" t="b">
        <f t="shared" si="32"/>
        <v>1</v>
      </c>
      <c r="F63" s="25" t="s">
        <v>193</v>
      </c>
      <c r="G63" s="25">
        <v>30</v>
      </c>
      <c r="H63" s="32">
        <v>2.62</v>
      </c>
      <c r="I63" s="25">
        <f t="shared" si="44"/>
        <v>3.0129999999999999</v>
      </c>
      <c r="J63" s="25">
        <f t="shared" si="45"/>
        <v>78.600000000000009</v>
      </c>
      <c r="K63" s="25">
        <f t="shared" si="46"/>
        <v>90.39</v>
      </c>
      <c r="L63" s="27"/>
      <c r="M63" s="143" t="b">
        <f t="shared" si="33"/>
        <v>1</v>
      </c>
      <c r="N63" s="22" t="s">
        <v>193</v>
      </c>
      <c r="O63" s="25">
        <v>180</v>
      </c>
      <c r="P63" s="24">
        <v>2.62</v>
      </c>
      <c r="Q63" s="25">
        <f t="shared" si="41"/>
        <v>3.0129999999999999</v>
      </c>
      <c r="R63" s="25">
        <f t="shared" si="42"/>
        <v>471.6</v>
      </c>
      <c r="S63" s="26">
        <f t="shared" si="43"/>
        <v>542.34</v>
      </c>
      <c r="T63" s="27"/>
      <c r="U63" s="143" t="b">
        <f t="shared" si="34"/>
        <v>1</v>
      </c>
      <c r="V63" s="22" t="s">
        <v>193</v>
      </c>
      <c r="W63" s="25">
        <v>150</v>
      </c>
      <c r="X63" s="24">
        <v>2.62</v>
      </c>
      <c r="Y63" s="25">
        <f t="shared" si="40"/>
        <v>3.0129999999999999</v>
      </c>
      <c r="Z63" s="25">
        <f t="shared" si="37"/>
        <v>393</v>
      </c>
      <c r="AA63" s="26">
        <f t="shared" si="38"/>
        <v>451.95</v>
      </c>
      <c r="AB63" s="27"/>
      <c r="AD63" s="143" t="b">
        <f t="shared" si="35"/>
        <v>1</v>
      </c>
      <c r="AE63" s="22" t="s">
        <v>193</v>
      </c>
      <c r="AF63" s="25">
        <v>150</v>
      </c>
      <c r="AG63" s="24">
        <v>2.62</v>
      </c>
      <c r="AH63" s="25">
        <f t="shared" si="39"/>
        <v>3.0129999999999999</v>
      </c>
      <c r="AI63" s="25">
        <f t="shared" si="36"/>
        <v>393</v>
      </c>
      <c r="AJ63" s="209" t="e">
        <f>[2]!KviteringV3[[#This Row],[pris SC (m. mva)]]*[2]!KviteringV3[[#This Row],[Antall]]</f>
        <v>#REF!</v>
      </c>
      <c r="AK63" s="27"/>
    </row>
    <row r="64" spans="1:37" x14ac:dyDescent="0.35">
      <c r="A64" s="152" t="s">
        <v>192</v>
      </c>
      <c r="B6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747.20099999999991</v>
      </c>
      <c r="D64" s="142"/>
      <c r="E64" s="15" t="b">
        <f t="shared" si="32"/>
        <v>1</v>
      </c>
      <c r="F64" s="25" t="s">
        <v>194</v>
      </c>
      <c r="G64" s="25">
        <v>30</v>
      </c>
      <c r="H64" s="32">
        <v>9.5399999999999991</v>
      </c>
      <c r="I64" s="25">
        <f t="shared" si="44"/>
        <v>10.970999999999998</v>
      </c>
      <c r="J64" s="25">
        <f t="shared" si="45"/>
        <v>286.2</v>
      </c>
      <c r="K64" s="25">
        <f t="shared" si="46"/>
        <v>329.12999999999994</v>
      </c>
      <c r="L64" s="27"/>
      <c r="M64" s="143" t="b">
        <f t="shared" si="33"/>
        <v>1</v>
      </c>
      <c r="N64" s="22" t="s">
        <v>194</v>
      </c>
      <c r="O64" s="25">
        <v>30</v>
      </c>
      <c r="P64" s="24">
        <v>9.5399999999999991</v>
      </c>
      <c r="Q64" s="25">
        <f t="shared" si="41"/>
        <v>10.970999999999998</v>
      </c>
      <c r="R64" s="25">
        <f t="shared" si="42"/>
        <v>286.2</v>
      </c>
      <c r="S64" s="26">
        <f t="shared" si="43"/>
        <v>329.12999999999994</v>
      </c>
      <c r="T64" s="27"/>
      <c r="U64" s="143" t="b">
        <f t="shared" si="34"/>
        <v>1</v>
      </c>
      <c r="V64" s="22" t="s">
        <v>194</v>
      </c>
      <c r="W64" s="25">
        <v>30</v>
      </c>
      <c r="X64" s="24">
        <v>9.5399999999999991</v>
      </c>
      <c r="Y64" s="25">
        <f t="shared" si="40"/>
        <v>10.970999999999998</v>
      </c>
      <c r="Z64" s="25">
        <f t="shared" si="37"/>
        <v>286.2</v>
      </c>
      <c r="AA64" s="26">
        <f t="shared" si="38"/>
        <v>329.12999999999994</v>
      </c>
      <c r="AB64" s="27"/>
      <c r="AD64" s="143" t="b">
        <f t="shared" si="35"/>
        <v>1</v>
      </c>
      <c r="AE64" s="22" t="s">
        <v>194</v>
      </c>
      <c r="AF64" s="25">
        <v>30</v>
      </c>
      <c r="AG64" s="24">
        <v>9.5399999999999991</v>
      </c>
      <c r="AH64" s="25">
        <f t="shared" si="39"/>
        <v>10.970999999999998</v>
      </c>
      <c r="AI64" s="25">
        <f t="shared" si="36"/>
        <v>286.2</v>
      </c>
      <c r="AJ64" s="209" t="e">
        <f>[2]!KviteringV3[[#This Row],[pris SC (m. mva)]]*[2]!KviteringV3[[#This Row],[Antall]]</f>
        <v>#REF!</v>
      </c>
      <c r="AK64" s="27"/>
    </row>
    <row r="65" spans="1:37" x14ac:dyDescent="0.35">
      <c r="A65" s="152" t="s">
        <v>193</v>
      </c>
      <c r="B6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510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1536.63</v>
      </c>
      <c r="D65" s="120"/>
      <c r="E65" s="15" t="b">
        <f t="shared" si="32"/>
        <v>1</v>
      </c>
      <c r="F65" s="25" t="s">
        <v>195</v>
      </c>
      <c r="G65" s="25"/>
      <c r="H65" s="25"/>
      <c r="I65" s="25"/>
      <c r="J65" s="25"/>
      <c r="K65" s="25"/>
      <c r="L65" s="27"/>
      <c r="M65" s="143" t="b">
        <f t="shared" si="33"/>
        <v>1</v>
      </c>
      <c r="N65" s="22" t="s">
        <v>195</v>
      </c>
      <c r="O65" s="30">
        <v>144</v>
      </c>
      <c r="P65" s="29">
        <v>3.69</v>
      </c>
      <c r="Q65" s="30">
        <f t="shared" si="41"/>
        <v>4.2435</v>
      </c>
      <c r="R65" s="30">
        <f t="shared" si="42"/>
        <v>531.36</v>
      </c>
      <c r="S65" s="26">
        <f t="shared" si="43"/>
        <v>611.06399999999996</v>
      </c>
      <c r="T65" s="27"/>
      <c r="U65" s="143" t="b">
        <f t="shared" si="34"/>
        <v>1</v>
      </c>
      <c r="V65" s="22" t="s">
        <v>195</v>
      </c>
      <c r="W65" s="25">
        <v>0</v>
      </c>
      <c r="X65" s="24">
        <v>3.69</v>
      </c>
      <c r="Y65" s="25">
        <f t="shared" si="40"/>
        <v>4.2435</v>
      </c>
      <c r="Z65" s="25">
        <f t="shared" si="37"/>
        <v>0</v>
      </c>
      <c r="AA65" s="26">
        <f t="shared" si="38"/>
        <v>0</v>
      </c>
      <c r="AB65" s="27"/>
      <c r="AD65" s="143" t="b">
        <f t="shared" si="35"/>
        <v>1</v>
      </c>
      <c r="AE65" s="22" t="s">
        <v>195</v>
      </c>
      <c r="AF65" s="25"/>
      <c r="AG65" s="24">
        <v>3.69</v>
      </c>
      <c r="AH65" s="25">
        <f t="shared" si="39"/>
        <v>4.2435</v>
      </c>
      <c r="AI65" s="25">
        <f t="shared" si="36"/>
        <v>0</v>
      </c>
      <c r="AJ65" s="209" t="e">
        <f>[2]!KviteringV3[[#This Row],[pris SC (m. mva)]]*[2]!KviteringV3[[#This Row],[Antall]]</f>
        <v>#REF!</v>
      </c>
      <c r="AK65" s="27"/>
    </row>
    <row r="66" spans="1:37" x14ac:dyDescent="0.35">
      <c r="A66" s="152" t="s">
        <v>194</v>
      </c>
      <c r="B6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1316.5199999999998</v>
      </c>
      <c r="D66" s="120"/>
      <c r="E66" s="15" t="b">
        <f t="shared" ref="E66:E68" si="47">COUNTIF($A:$A,F66)&gt;0</f>
        <v>1</v>
      </c>
      <c r="F66" s="118" t="s">
        <v>198</v>
      </c>
      <c r="G66" s="25"/>
      <c r="H66" s="25"/>
      <c r="I66" s="25"/>
      <c r="J66" s="25"/>
      <c r="K66" s="25"/>
      <c r="L66" s="27"/>
      <c r="M66" s="143" t="b">
        <f t="shared" ref="M66:M68" si="48">COUNTIF($A:$A,N66)&gt;0</f>
        <v>1</v>
      </c>
      <c r="N66" s="22" t="s">
        <v>198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49">COUNTIF($A:$A,V66)&gt;0</f>
        <v>1</v>
      </c>
      <c r="V66" s="22" t="s">
        <v>198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D66" s="143" t="b">
        <f t="shared" ref="AD66:AD68" si="50">COUNTIF($A:$A,AE66)&gt;0</f>
        <v>1</v>
      </c>
      <c r="AE66" s="22" t="s">
        <v>198</v>
      </c>
      <c r="AF66" s="25"/>
      <c r="AG66" s="24">
        <v>13.01</v>
      </c>
      <c r="AH66" s="25">
        <f t="shared" si="39"/>
        <v>14.961499999999999</v>
      </c>
      <c r="AI66" s="25">
        <f t="shared" si="36"/>
        <v>0</v>
      </c>
      <c r="AJ66" s="209" t="e">
        <f>[2]!KviteringV3[[#This Row],[pris SC (m. mva)]]*[2]!KviteringV3[[#This Row],[Antall]]</f>
        <v>#REF!</v>
      </c>
      <c r="AK66" s="27"/>
    </row>
    <row r="67" spans="1:37" ht="18.5" customHeight="1" x14ac:dyDescent="0.35">
      <c r="A67" s="152" t="s">
        <v>195</v>
      </c>
      <c r="B6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611.06399999999996</v>
      </c>
      <c r="D67" s="120"/>
      <c r="E67" s="15" t="b">
        <f t="shared" si="47"/>
        <v>1</v>
      </c>
      <c r="F67" s="25" t="s">
        <v>196</v>
      </c>
      <c r="G67" s="25"/>
      <c r="H67" s="25"/>
      <c r="I67" s="25"/>
      <c r="J67" s="25"/>
      <c r="K67" s="25"/>
      <c r="L67" s="27"/>
      <c r="M67" s="143" t="b">
        <f t="shared" si="48"/>
        <v>1</v>
      </c>
      <c r="N67" s="22" t="s">
        <v>196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49"/>
        <v>1</v>
      </c>
      <c r="V67" s="22" t="s">
        <v>196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D67" s="143" t="b">
        <f t="shared" si="50"/>
        <v>1</v>
      </c>
      <c r="AE67" s="22" t="s">
        <v>196</v>
      </c>
      <c r="AF67" s="25"/>
      <c r="AG67" s="24">
        <v>2.79</v>
      </c>
      <c r="AH67" s="25">
        <f t="shared" si="39"/>
        <v>3.2084999999999999</v>
      </c>
      <c r="AI67" s="25">
        <f t="shared" si="36"/>
        <v>0</v>
      </c>
      <c r="AJ67" s="209" t="e">
        <f>[2]!KviteringV3[[#This Row],[pris SC (m. mva)]]*[2]!KviteringV3[[#This Row],[Antall]]</f>
        <v>#REF!</v>
      </c>
      <c r="AK67" s="27"/>
    </row>
    <row r="68" spans="1:37" ht="18.5" customHeight="1" x14ac:dyDescent="0.35">
      <c r="A68" s="153" t="s">
        <v>198</v>
      </c>
      <c r="B6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56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1256.7659999999998</v>
      </c>
      <c r="D68" s="121"/>
      <c r="E68" s="15" t="b">
        <f t="shared" si="47"/>
        <v>1</v>
      </c>
      <c r="F68" s="25" t="s">
        <v>197</v>
      </c>
      <c r="G68" s="140"/>
      <c r="H68" s="140"/>
      <c r="I68" s="140"/>
      <c r="J68" s="140"/>
      <c r="K68" s="140"/>
      <c r="L68" s="27"/>
      <c r="M68" s="143" t="b">
        <f t="shared" si="48"/>
        <v>1</v>
      </c>
      <c r="N68" s="22" t="s">
        <v>197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49"/>
        <v>1</v>
      </c>
      <c r="V68" s="22" t="s">
        <v>197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D68" s="143" t="b">
        <f t="shared" si="50"/>
        <v>1</v>
      </c>
      <c r="AE68" s="22" t="s">
        <v>197</v>
      </c>
      <c r="AF68" s="25"/>
      <c r="AG68" s="24">
        <v>3.0259999999999998</v>
      </c>
      <c r="AH68" s="25">
        <f t="shared" si="39"/>
        <v>3.4798999999999993</v>
      </c>
      <c r="AI68" s="25">
        <f t="shared" si="36"/>
        <v>0</v>
      </c>
      <c r="AJ68" s="209" t="e">
        <f>[2]!KviteringV3[[#This Row],[pris SC (m. mva)]]*[2]!KviteringV3[[#This Row],[Antall]]</f>
        <v>#REF!</v>
      </c>
      <c r="AK68" s="27"/>
    </row>
    <row r="69" spans="1:37" ht="18.5" customHeight="1" x14ac:dyDescent="0.35">
      <c r="A69" s="152" t="s">
        <v>196</v>
      </c>
      <c r="B6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192.51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 t="shared" ref="V69:V71" si="51">$F69</f>
        <v>#REF!</v>
      </c>
      <c r="W69" s="35"/>
      <c r="X69" s="35"/>
      <c r="Y69" s="35"/>
      <c r="Z69" s="35"/>
      <c r="AA69" s="35"/>
      <c r="AB69" s="36"/>
      <c r="AD69" s="143" t="b">
        <f t="shared" ref="AD69:AD72" si="52">COUNTIF($A:$A,AE69)&gt;0</f>
        <v>1</v>
      </c>
      <c r="AE69" t="s">
        <v>321</v>
      </c>
      <c r="AF69" s="25">
        <v>24</v>
      </c>
      <c r="AG69" s="24">
        <v>18.899999999999999</v>
      </c>
      <c r="AH69" s="25">
        <f t="shared" si="39"/>
        <v>21.734999999999996</v>
      </c>
      <c r="AI69" s="25">
        <f t="shared" si="36"/>
        <v>453.59999999999997</v>
      </c>
      <c r="AJ69" s="209" t="e">
        <f>[2]!KviteringV3[[#This Row],[pris SC (m. mva)]]*[2]!KviteringV3[[#This Row],[Antall]]</f>
        <v>#REF!</v>
      </c>
      <c r="AK69" s="27" t="e">
        <f>[2]!KviteringV3[[#This Row],[Antall]]*2</f>
        <v>#REF!</v>
      </c>
    </row>
    <row r="70" spans="1:37" ht="18.5" customHeight="1" x14ac:dyDescent="0.4">
      <c r="A70" s="154" t="s">
        <v>197</v>
      </c>
      <c r="B7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70" s="141" cm="1">
        <f t="array" ref="C7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208.79399999999995</v>
      </c>
      <c r="E70" s="34"/>
      <c r="F70" s="16">
        <f>A71</f>
        <v>0</v>
      </c>
      <c r="G70" s="43" t="s">
        <v>199</v>
      </c>
      <c r="H70" s="44" t="s">
        <v>125</v>
      </c>
      <c r="I70" s="44" t="s">
        <v>126</v>
      </c>
      <c r="J70" s="44" t="s">
        <v>127</v>
      </c>
      <c r="K70" s="45" t="s">
        <v>128</v>
      </c>
      <c r="L70" s="46" t="s">
        <v>43</v>
      </c>
      <c r="M70" s="37"/>
      <c r="N70" s="16">
        <f>A71</f>
        <v>0</v>
      </c>
      <c r="O70" s="43" t="s">
        <v>124</v>
      </c>
      <c r="P70" s="43" t="s">
        <v>125</v>
      </c>
      <c r="Q70" s="43" t="s">
        <v>126</v>
      </c>
      <c r="R70" s="43" t="s">
        <v>127</v>
      </c>
      <c r="S70" s="47" t="s">
        <v>128</v>
      </c>
      <c r="T70" s="48" t="s">
        <v>200</v>
      </c>
      <c r="U70" s="36"/>
      <c r="V70" s="16">
        <f t="shared" si="51"/>
        <v>0</v>
      </c>
      <c r="W70" s="43" t="s">
        <v>124</v>
      </c>
      <c r="X70" s="43" t="s">
        <v>125</v>
      </c>
      <c r="Y70" s="43" t="s">
        <v>126</v>
      </c>
      <c r="Z70" s="43" t="s">
        <v>127</v>
      </c>
      <c r="AA70" s="47" t="s">
        <v>128</v>
      </c>
      <c r="AB70" s="48" t="s">
        <v>200</v>
      </c>
      <c r="AD70" s="143" t="b">
        <f t="shared" si="52"/>
        <v>1</v>
      </c>
      <c r="AE70" s="22" t="s">
        <v>515</v>
      </c>
      <c r="AF70" s="25">
        <v>48</v>
      </c>
      <c r="AG70" s="24">
        <v>17.13</v>
      </c>
      <c r="AH70" s="25">
        <f t="shared" si="39"/>
        <v>19.699499999999997</v>
      </c>
      <c r="AI70" s="25">
        <f t="shared" si="36"/>
        <v>822.24</v>
      </c>
      <c r="AJ70" s="209" t="e">
        <f>[2]!KviteringV3[[#This Row],[pris SC (m. mva)]]*[2]!KviteringV3[[#This Row],[Antall]]</f>
        <v>#REF!</v>
      </c>
      <c r="AK70" s="27" t="e">
        <f>[2]!KviteringV3[[#This Row],[Antall]]*2</f>
        <v>#REF!</v>
      </c>
    </row>
    <row r="71" spans="1:37" ht="18.5" customHeight="1" x14ac:dyDescent="0.4">
      <c r="A71" s="92"/>
      <c r="B71" s="50" t="s">
        <v>199</v>
      </c>
      <c r="C71" s="42" t="s">
        <v>128</v>
      </c>
      <c r="E71" s="34"/>
      <c r="F71" s="16">
        <f>A72</f>
        <v>0</v>
      </c>
      <c r="G71" s="39">
        <f>SUM(G2:G68)</f>
        <v>2129</v>
      </c>
      <c r="H71" s="39">
        <f>SUM(H2:H68)</f>
        <v>689.15</v>
      </c>
      <c r="I71" s="39">
        <f>SUM(I2:I68)</f>
        <v>792.52250000000004</v>
      </c>
      <c r="J71" s="39">
        <f>SUM(J2:J68)</f>
        <v>26657.089999999997</v>
      </c>
      <c r="K71" s="39">
        <f>SUM(K2:K68)</f>
        <v>30655.6535</v>
      </c>
      <c r="L71" s="39">
        <f t="shared" ref="L71" si="53">SUM(L2:L68)</f>
        <v>2080</v>
      </c>
      <c r="M71" s="39"/>
      <c r="N71" s="16">
        <f>A72</f>
        <v>0</v>
      </c>
      <c r="O71" s="39">
        <f>SUM(O2:O68)</f>
        <v>2499</v>
      </c>
      <c r="P71" s="39">
        <f>SUM(P2:P68)</f>
        <v>820.06850000000009</v>
      </c>
      <c r="Q71" s="39">
        <f>SUM(Q2:Q68)</f>
        <v>943.07877500000018</v>
      </c>
      <c r="R71" s="39">
        <f>SUM(R2:R68)</f>
        <v>28013.904300000002</v>
      </c>
      <c r="S71" s="39">
        <f>SUM(S2:S68)</f>
        <v>32215.989944999994</v>
      </c>
      <c r="T71" s="39">
        <f t="shared" ref="T71" si="54">SUM(T2:T68)</f>
        <v>2184</v>
      </c>
      <c r="U71" s="36"/>
      <c r="V71" s="16">
        <f t="shared" si="51"/>
        <v>0</v>
      </c>
      <c r="W71" s="39">
        <f>SUM(W2:W68)</f>
        <v>4174</v>
      </c>
      <c r="X71" s="39">
        <f>SUM(X2:X68)</f>
        <v>845.52279565217373</v>
      </c>
      <c r="Y71" s="39">
        <f>SUM(Y2:Y68)</f>
        <v>1002.2512150000002</v>
      </c>
      <c r="Z71" s="39">
        <f>SUM(Z2:Z68)</f>
        <v>49771.101739130412</v>
      </c>
      <c r="AA71" s="39">
        <f>SUM(AA2:AA68)</f>
        <v>64472.56700000001</v>
      </c>
      <c r="AB71" s="39">
        <f t="shared" ref="AB71" si="55">SUM(AB2:AB68)</f>
        <v>4384</v>
      </c>
      <c r="AD71" s="143" t="b">
        <f>COUNTIF($A:$A,AE71)&gt;0</f>
        <v>0</v>
      </c>
      <c r="AE71" s="22" t="s">
        <v>946</v>
      </c>
      <c r="AF71" s="25">
        <v>1</v>
      </c>
      <c r="AG71" s="24">
        <v>500</v>
      </c>
      <c r="AH71" s="25">
        <f>AG71*1.25</f>
        <v>625</v>
      </c>
      <c r="AI71" s="25"/>
      <c r="AJ71" s="209" t="e">
        <f>[2]!KviteringV3[[#This Row],[pris SC (m. mva)]]*[2]!KviteringV3[[#This Row],[Antall]]</f>
        <v>#REF!</v>
      </c>
      <c r="AK71" s="27"/>
    </row>
    <row r="72" spans="1:37" ht="18.5" customHeight="1" x14ac:dyDescent="0.35">
      <c r="A72" s="92"/>
      <c r="B72" s="51">
        <f>SUM(B2:B70)</f>
        <v>11384</v>
      </c>
      <c r="C72" s="38">
        <f>SUM(C2:C70)</f>
        <v>204848.77744499999</v>
      </c>
      <c r="J72" s="8" t="s">
        <v>202</v>
      </c>
      <c r="K72" s="49">
        <f>K71+L71</f>
        <v>32735.6535</v>
      </c>
      <c r="R72" s="8" t="s">
        <v>203</v>
      </c>
      <c r="S72" s="49">
        <f>S71+T71</f>
        <v>34399.989944999994</v>
      </c>
      <c r="Z72" s="8" t="s">
        <v>203</v>
      </c>
      <c r="AA72" s="49">
        <f>AA71+AB71</f>
        <v>68856.56700000001</v>
      </c>
      <c r="AD72" s="143" t="b">
        <f t="shared" si="52"/>
        <v>0</v>
      </c>
      <c r="AE72" s="206" t="s">
        <v>939</v>
      </c>
      <c r="AF72" s="25"/>
      <c r="AG72" s="24"/>
      <c r="AH72" s="25">
        <f>AG72*1.15</f>
        <v>0</v>
      </c>
      <c r="AI72" s="25">
        <f>AG72*AF72</f>
        <v>0</v>
      </c>
      <c r="AJ72" s="209" t="e">
        <f>[2]!KviteringV3[[#This Row],[pris SC (m. mva)]]*[2]!KviteringV3[[#This Row],[Antall]]</f>
        <v>#REF!</v>
      </c>
      <c r="AK72" s="27"/>
    </row>
    <row r="73" spans="1:37" ht="18.5" x14ac:dyDescent="0.45">
      <c r="A73" s="155"/>
      <c r="B73" s="139" t="s">
        <v>201</v>
      </c>
      <c r="C73" s="71">
        <f>K73+S73+AA73</f>
        <v>136017.34</v>
      </c>
      <c r="J73" s="8" t="s">
        <v>201</v>
      </c>
      <c r="K73" s="17">
        <v>32735</v>
      </c>
      <c r="R73" s="8" t="s">
        <v>201</v>
      </c>
      <c r="S73" s="17">
        <f>O79</f>
        <v>34398.339999999997</v>
      </c>
      <c r="Z73" s="8" t="s">
        <v>201</v>
      </c>
      <c r="AA73" s="49">
        <f>W83</f>
        <v>68884</v>
      </c>
    </row>
    <row r="74" spans="1:37" ht="26" customHeight="1" x14ac:dyDescent="0.35">
      <c r="B74" s="41" t="s">
        <v>204</v>
      </c>
      <c r="C74" s="40">
        <f>C72-C73</f>
        <v>68831.437444999989</v>
      </c>
      <c r="J74" s="8" t="s">
        <v>205</v>
      </c>
      <c r="K74" s="49">
        <f>K72-K73</f>
        <v>0.65350000000034925</v>
      </c>
      <c r="N74" s="2" t="s">
        <v>206</v>
      </c>
      <c r="O74" s="2" t="s">
        <v>207</v>
      </c>
      <c r="P74" s="2" t="s">
        <v>208</v>
      </c>
      <c r="R74" s="8" t="s">
        <v>209</v>
      </c>
      <c r="S74" s="49">
        <f>S72-S73</f>
        <v>1.6499449999973876</v>
      </c>
      <c r="V74" s="2" t="s">
        <v>206</v>
      </c>
      <c r="W74" s="2" t="s">
        <v>207</v>
      </c>
      <c r="X74" s="2" t="s">
        <v>208</v>
      </c>
      <c r="Y74" s="2" t="s">
        <v>210</v>
      </c>
      <c r="Z74" s="8" t="s">
        <v>209</v>
      </c>
      <c r="AA74" s="49">
        <f>AA72-AA73</f>
        <v>-27.432999999989988</v>
      </c>
      <c r="AF74" s="207"/>
      <c r="AG74" s="35"/>
      <c r="AH74" s="35"/>
      <c r="AI74" s="35"/>
      <c r="AJ74" s="35"/>
      <c r="AK74" s="36"/>
    </row>
    <row r="75" spans="1:37" ht="16" x14ac:dyDescent="0.4">
      <c r="C75" s="15"/>
      <c r="G75" s="7"/>
      <c r="N75" t="s">
        <v>211</v>
      </c>
      <c r="O75">
        <v>486.5</v>
      </c>
      <c r="P75">
        <v>70</v>
      </c>
      <c r="V75" t="s">
        <v>212</v>
      </c>
      <c r="W75">
        <v>59572</v>
      </c>
      <c r="Y75" t="s">
        <v>213</v>
      </c>
      <c r="Z75" s="8"/>
      <c r="AA75" s="49"/>
      <c r="AF75" s="44" t="s">
        <v>124</v>
      </c>
      <c r="AG75" s="44"/>
      <c r="AH75" s="44"/>
      <c r="AI75" s="44" t="s">
        <v>127</v>
      </c>
      <c r="AJ75" s="45" t="s">
        <v>128</v>
      </c>
      <c r="AK75" s="208" t="s">
        <v>200</v>
      </c>
    </row>
    <row r="76" spans="1:37" ht="26" customHeight="1" x14ac:dyDescent="0.35">
      <c r="N76" t="s">
        <v>211</v>
      </c>
      <c r="O76">
        <v>347.5</v>
      </c>
      <c r="P76">
        <v>50</v>
      </c>
      <c r="V76" t="s">
        <v>215</v>
      </c>
      <c r="W76">
        <v>-605.1</v>
      </c>
      <c r="AE76" s="7"/>
      <c r="AF76" s="39">
        <f>SUM(AF2:AF72)</f>
        <v>2583</v>
      </c>
      <c r="AG76" s="39"/>
      <c r="AH76" s="39"/>
      <c r="AI76" s="39">
        <f>SUM(AI2:AI72)</f>
        <v>30974.98000000001</v>
      </c>
      <c r="AJ76" s="39" t="e">
        <f>SUM(AJ2:AJ72)</f>
        <v>#REF!</v>
      </c>
      <c r="AK76" s="39" t="e">
        <f>SUM(AK2:AK72)</f>
        <v>#REF!</v>
      </c>
    </row>
    <row r="77" spans="1:37" ht="26" x14ac:dyDescent="0.6">
      <c r="A77" s="84" t="s">
        <v>214</v>
      </c>
      <c r="N77" t="s">
        <v>217</v>
      </c>
      <c r="O77">
        <v>32414.34</v>
      </c>
      <c r="P77">
        <v>2210</v>
      </c>
      <c r="V77" t="s">
        <v>218</v>
      </c>
      <c r="W77">
        <v>2088</v>
      </c>
      <c r="Y77" t="s">
        <v>219</v>
      </c>
      <c r="AI77" s="8" t="s">
        <v>203</v>
      </c>
      <c r="AJ77" s="49" t="e">
        <f>AJ76+AK76</f>
        <v>#REF!</v>
      </c>
    </row>
    <row r="78" spans="1:37" x14ac:dyDescent="0.35">
      <c r="A78" t="s">
        <v>216</v>
      </c>
      <c r="B78" s="7">
        <f>C73*-1</f>
        <v>-136017.34</v>
      </c>
      <c r="G78" s="7"/>
      <c r="N78" t="s">
        <v>221</v>
      </c>
      <c r="O78">
        <v>1150</v>
      </c>
      <c r="P78">
        <f>27+27+15</f>
        <v>69</v>
      </c>
      <c r="V78" t="s">
        <v>222</v>
      </c>
      <c r="W78">
        <v>1794</v>
      </c>
      <c r="Y78" t="s">
        <v>219</v>
      </c>
      <c r="AI78" s="8" t="s">
        <v>201</v>
      </c>
      <c r="AJ78" s="49">
        <f>AF86</f>
        <v>39198.36</v>
      </c>
    </row>
    <row r="79" spans="1:37" x14ac:dyDescent="0.35">
      <c r="A79" t="s">
        <v>220</v>
      </c>
      <c r="B79">
        <f>SUM(B83:B116)</f>
        <v>-168473.82</v>
      </c>
      <c r="N79" t="s">
        <v>122</v>
      </c>
      <c r="O79">
        <f>SUM(O75:O78)</f>
        <v>34398.339999999997</v>
      </c>
      <c r="P79">
        <f>SUM(P75:P78)</f>
        <v>2399</v>
      </c>
      <c r="V79" t="s">
        <v>223</v>
      </c>
      <c r="W79">
        <v>594</v>
      </c>
      <c r="AE79" s="2" t="s">
        <v>206</v>
      </c>
      <c r="AF79" s="2" t="s">
        <v>207</v>
      </c>
      <c r="AG79" s="2" t="s">
        <v>208</v>
      </c>
      <c r="AH79" s="2" t="s">
        <v>210</v>
      </c>
      <c r="AI79" s="8" t="s">
        <v>940</v>
      </c>
      <c r="AJ79" s="49" t="e">
        <f>AJ77-AJ78</f>
        <v>#REF!</v>
      </c>
      <c r="AK79" t="s">
        <v>941</v>
      </c>
    </row>
    <row r="80" spans="1:37" x14ac:dyDescent="0.35">
      <c r="A80" t="s">
        <v>83</v>
      </c>
      <c r="B80" s="7">
        <f>B78-B79</f>
        <v>32456.48000000001</v>
      </c>
      <c r="V80" t="s">
        <v>317</v>
      </c>
      <c r="W80">
        <v>2182</v>
      </c>
      <c r="AE80" s="195" t="s">
        <v>942</v>
      </c>
      <c r="AF80" s="195">
        <v>32401.63</v>
      </c>
      <c r="AG80" s="195">
        <v>2003</v>
      </c>
      <c r="AH80" s="195" t="s">
        <v>943</v>
      </c>
      <c r="AI80" s="8" t="s">
        <v>944</v>
      </c>
      <c r="AJ80" s="49">
        <f>AG80+AG81-AF76</f>
        <v>-40</v>
      </c>
    </row>
    <row r="81" spans="1:34" x14ac:dyDescent="0.35">
      <c r="V81" t="s">
        <v>761</v>
      </c>
      <c r="W81">
        <v>3259.1</v>
      </c>
      <c r="AE81" s="195" t="s">
        <v>945</v>
      </c>
      <c r="AF81" s="195">
        <v>6796.73</v>
      </c>
      <c r="AG81" s="195">
        <v>540</v>
      </c>
      <c r="AH81" s="195" t="s">
        <v>943</v>
      </c>
    </row>
    <row r="82" spans="1:34" x14ac:dyDescent="0.35">
      <c r="AE82" s="195"/>
      <c r="AF82" s="195"/>
      <c r="AG82" s="195"/>
      <c r="AH82" s="195"/>
    </row>
    <row r="83" spans="1:34" x14ac:dyDescent="0.35">
      <c r="V83" t="s">
        <v>122</v>
      </c>
      <c r="W83">
        <f>SUM(W75:W81)</f>
        <v>68884</v>
      </c>
      <c r="AE83" s="195"/>
      <c r="AF83" s="195"/>
      <c r="AG83" s="195"/>
      <c r="AH83" s="195"/>
    </row>
    <row r="84" spans="1:34" x14ac:dyDescent="0.35">
      <c r="AE84" s="195"/>
      <c r="AF84" s="195"/>
      <c r="AG84" s="195"/>
      <c r="AH84" s="195"/>
    </row>
    <row r="85" spans="1:34" x14ac:dyDescent="0.35">
      <c r="AE85" s="195"/>
      <c r="AF85" s="195"/>
      <c r="AG85" s="195"/>
      <c r="AH85" s="195"/>
    </row>
    <row r="86" spans="1:34" x14ac:dyDescent="0.35">
      <c r="AE86" t="s">
        <v>122</v>
      </c>
      <c r="AF86">
        <f>SUM(AF80:AF85)</f>
        <v>39198.36</v>
      </c>
    </row>
    <row r="93" spans="1:34" x14ac:dyDescent="0.35">
      <c r="A93" t="str" cm="1">
        <f t="array" ref="A93:E1008">'Inn Kiosk Python'!A85:E1000</f>
        <v>Utført dato</v>
      </c>
      <c r="B93" t="str">
        <v>Beløp ut</v>
      </c>
      <c r="C93" t="str">
        <v>Mottakernavn</v>
      </c>
      <c r="D93" t="str">
        <v>Numref</v>
      </c>
      <c r="E93" t="str">
        <v>Melding/KID/Fakt.nr</v>
      </c>
    </row>
    <row r="94" spans="1:34" x14ac:dyDescent="0.35">
      <c r="A94" t="str">
        <v>24.11.2025</v>
      </c>
      <c r="B94" s="70">
        <v>-448.5</v>
      </c>
      <c r="C94" t="str">
        <v>Viktor Aandstad</v>
      </c>
      <c r="D94">
        <v>10042690000</v>
      </c>
      <c r="E94" t="str">
        <v>Til: Viktor Aandstad
Kioskruss sjokolande</v>
      </c>
    </row>
    <row r="95" spans="1:34" x14ac:dyDescent="0.35">
      <c r="A95" t="str">
        <v>24.11.2025</v>
      </c>
      <c r="B95">
        <v>-1345.5</v>
      </c>
      <c r="C95" t="str">
        <v>Viktor Aandstad</v>
      </c>
      <c r="D95">
        <v>10042680000</v>
      </c>
      <c r="E95" t="str">
        <v>Til: Viktor Aandstad
Kioskruss sjokolade</v>
      </c>
    </row>
    <row r="96" spans="1:34" x14ac:dyDescent="0.35">
      <c r="A96" t="str">
        <v>20.10.2025</v>
      </c>
      <c r="B96">
        <v>-8966.9</v>
      </c>
      <c r="C96" t="str">
        <v>Johannes Sødal</v>
      </c>
      <c r="D96">
        <v>45035860000</v>
      </c>
      <c r="E96" t="str">
        <v>Til: Johannes Sødal
Kioskens andel</v>
      </c>
    </row>
    <row r="97" spans="1:5" x14ac:dyDescent="0.35">
      <c r="A97" t="str">
        <v>17.11.2025</v>
      </c>
      <c r="B97">
        <v>-648.15</v>
      </c>
      <c r="C97" t="str">
        <v>Viktor Aandstad</v>
      </c>
      <c r="D97">
        <v>19136400000</v>
      </c>
      <c r="E97" t="str">
        <v>Til: Viktor Aandstad
Kiosken, sjokolade fra sverige</v>
      </c>
    </row>
    <row r="98" spans="1:5" x14ac:dyDescent="0.35">
      <c r="A98" t="str">
        <v>15.01.2026</v>
      </c>
      <c r="B98">
        <v>-3259.1</v>
      </c>
      <c r="C98" t="str">
        <v>Viktor Aandstad</v>
      </c>
      <c r="D98">
        <v>12131700000</v>
      </c>
      <c r="E98" t="str">
        <v>Til: Viktor Aandstad
Kioskruss, sjokolade</v>
      </c>
    </row>
    <row r="99" spans="1:5" x14ac:dyDescent="0.35">
      <c r="A99" t="str">
        <v>14.10.2025</v>
      </c>
      <c r="B99">
        <v>-2088</v>
      </c>
      <c r="C99" t="str">
        <v>Viktor Aandstad</v>
      </c>
      <c r="D99">
        <v>85429420000</v>
      </c>
      <c r="E99" t="str">
        <v>Til: Viktor Aandstad
Battery kiosk. Innkjøp 2 kvit 3</v>
      </c>
    </row>
    <row r="100" spans="1:5" x14ac:dyDescent="0.35">
      <c r="A100" t="str">
        <v>13.10.2025</v>
      </c>
      <c r="B100">
        <v>-50000</v>
      </c>
      <c r="C100">
        <v>0</v>
      </c>
      <c r="D100">
        <v>175694291</v>
      </c>
      <c r="E100" t="str">
        <v>10.10 STORCASH BARSTØLVEIEN KRISTIANSAND</v>
      </c>
    </row>
    <row r="101" spans="1:5" x14ac:dyDescent="0.35">
      <c r="A101" t="str">
        <v>12.08.2025</v>
      </c>
      <c r="B101">
        <v>-32735</v>
      </c>
      <c r="C101" t="str">
        <v>Viktor Aandstad</v>
      </c>
      <c r="D101">
        <v>62748000000</v>
      </c>
      <c r="E101" t="str">
        <v>Til: Viktor Aandstad
Utlegg storcach russen</v>
      </c>
    </row>
    <row r="102" spans="1:5" x14ac:dyDescent="0.35">
      <c r="A102" t="str">
        <v>11.09.2025</v>
      </c>
      <c r="B102">
        <v>-347.5</v>
      </c>
      <c r="C102" t="str">
        <v>Viktor Aandstad</v>
      </c>
      <c r="D102">
        <v>90089470000</v>
      </c>
      <c r="E102" t="str">
        <v>Til: Viktor Aandstad
Rema 1000 kioskinkjøp nr 2</v>
      </c>
    </row>
    <row r="103" spans="1:5" x14ac:dyDescent="0.35">
      <c r="A103" t="str">
        <v>11.09.2025</v>
      </c>
      <c r="B103">
        <v>-1150</v>
      </c>
      <c r="C103" t="str">
        <v>Ruth Linnea Erøy</v>
      </c>
      <c r="D103">
        <v>90089480000</v>
      </c>
      <c r="E103" t="str">
        <v>Til: Ruth Linnea Erøy
Joker kiosk innkjøp nr 2</v>
      </c>
    </row>
    <row r="104" spans="1:5" x14ac:dyDescent="0.35">
      <c r="A104" t="str">
        <v>11.09.2025</v>
      </c>
      <c r="B104">
        <v>-486.5</v>
      </c>
      <c r="C104" t="str">
        <v>Viktor Aandstad</v>
      </c>
      <c r="D104">
        <v>90089460000</v>
      </c>
      <c r="E104" t="str">
        <v>Til: Viktor Aandstad
Rema 100 kioskinkjøp nr 2</v>
      </c>
    </row>
    <row r="105" spans="1:5" x14ac:dyDescent="0.35">
      <c r="A105" t="str">
        <v>11.09.2025</v>
      </c>
      <c r="B105">
        <v>-32414.34</v>
      </c>
      <c r="C105" t="str">
        <v>Viktor Aandstad</v>
      </c>
      <c r="D105">
        <v>90089450000</v>
      </c>
      <c r="E105" t="str">
        <v>Til: Viktor Aandstad
SC Kioskinnkjøp nr 2</v>
      </c>
    </row>
    <row r="106" spans="1:5" x14ac:dyDescent="0.35">
      <c r="A106" t="str">
        <v>09.12.2025</v>
      </c>
      <c r="B106">
        <v>-32401.63</v>
      </c>
      <c r="C106">
        <v>0</v>
      </c>
      <c r="D106">
        <v>172399792</v>
      </c>
      <c r="E106" t="str">
        <v>08.12 STORCASH BARSTØLVEIEN KRISTIANSAND</v>
      </c>
    </row>
    <row r="107" spans="1:5" x14ac:dyDescent="0.35">
      <c r="A107" t="str">
        <v>09.12.2025</v>
      </c>
      <c r="B107">
        <v>-2182.6999999999998</v>
      </c>
      <c r="C107" t="str">
        <v>Viktor Aandstad</v>
      </c>
      <c r="D107">
        <v>99450530000</v>
      </c>
      <c r="E107" t="str">
        <v>Til: Viktor Aandstad
kioskrussen sjokolade. kvit 5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</sheetData>
  <conditionalFormatting sqref="E2:E68">
    <cfRule type="cellIs" dxfId="8" priority="4" operator="equal">
      <formula>TRUE</formula>
    </cfRule>
  </conditionalFormatting>
  <conditionalFormatting sqref="M2:M68">
    <cfRule type="cellIs" dxfId="7" priority="3" operator="equal">
      <formula>TRUE</formula>
    </cfRule>
  </conditionalFormatting>
  <conditionalFormatting sqref="U2:U68">
    <cfRule type="cellIs" dxfId="6" priority="2" operator="equal">
      <formula>TRUE</formula>
    </cfRule>
  </conditionalFormatting>
  <conditionalFormatting sqref="AD2:AD72">
    <cfRule type="cellIs" dxfId="5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AD10000"/>
  <sheetViews>
    <sheetView zoomScale="36" zoomScaleNormal="62" workbookViewId="0">
      <selection activeCell="E70" sqref="E70"/>
    </sheetView>
  </sheetViews>
  <sheetFormatPr defaultColWidth="8.81640625" defaultRowHeight="14.5" x14ac:dyDescent="0.35"/>
  <cols>
    <col min="1" max="1" width="25.36328125" bestFit="1" customWidth="1"/>
    <col min="2" max="2" width="22.453125" customWidth="1"/>
    <col min="3" max="3" width="10.26953125" customWidth="1"/>
    <col min="4" max="4" width="17.6328125" customWidth="1"/>
    <col min="6" max="6" width="25.36328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6328125" customWidth="1"/>
    <col min="13" max="13" width="13.26953125" customWidth="1"/>
    <col min="14" max="14" width="24" customWidth="1"/>
    <col min="15" max="15" width="17.08984375" customWidth="1"/>
    <col min="16" max="16" width="19.7265625" customWidth="1"/>
    <col min="17" max="17" width="22.81640625" customWidth="1"/>
    <col min="18" max="18" width="16.36328125" customWidth="1"/>
    <col min="19" max="19" width="21.54296875" customWidth="1"/>
    <col min="20" max="20" width="22.26953125" customWidth="1"/>
    <col min="21" max="21" width="8.90625" customWidth="1"/>
    <col min="22" max="22" width="17.08984375" customWidth="1"/>
    <col min="23" max="23" width="10.1796875" customWidth="1"/>
    <col min="24" max="24" width="21.54296875" customWidth="1"/>
    <col min="26" max="26" width="20.453125" customWidth="1"/>
    <col min="27" max="27" width="18.08984375" customWidth="1"/>
    <col min="29" max="29" width="19.36328125" customWidth="1"/>
  </cols>
  <sheetData>
    <row r="1" spans="1:30" ht="15.5" customHeight="1" x14ac:dyDescent="0.35">
      <c r="B1" s="128" t="s">
        <v>227</v>
      </c>
      <c r="C1" s="129" t="s">
        <v>124</v>
      </c>
      <c r="D1" s="130" t="s">
        <v>249</v>
      </c>
      <c r="E1" s="127"/>
      <c r="G1" s="135" t="s">
        <v>227</v>
      </c>
      <c r="H1" s="135" t="s">
        <v>124</v>
      </c>
      <c r="I1" s="135" t="s">
        <v>231</v>
      </c>
      <c r="J1" s="149" t="s">
        <v>229</v>
      </c>
      <c r="K1" s="130" t="s">
        <v>322</v>
      </c>
      <c r="L1" s="166" t="s">
        <v>227</v>
      </c>
      <c r="M1" s="166" t="s">
        <v>230</v>
      </c>
      <c r="N1" s="149" t="s">
        <v>124</v>
      </c>
      <c r="O1" s="149" t="s">
        <v>231</v>
      </c>
      <c r="P1" s="168" t="s">
        <v>229</v>
      </c>
      <c r="Q1" s="166" t="s">
        <v>227</v>
      </c>
      <c r="R1" s="166" t="s">
        <v>230</v>
      </c>
      <c r="S1" s="149" t="s">
        <v>124</v>
      </c>
      <c r="T1" s="149" t="s">
        <v>231</v>
      </c>
      <c r="U1" s="130" t="s">
        <v>229</v>
      </c>
      <c r="V1" s="10" t="s">
        <v>310</v>
      </c>
      <c r="W1" s="10" t="s">
        <v>311</v>
      </c>
      <c r="X1" s="11" t="s">
        <v>312</v>
      </c>
      <c r="Y1" s="11" t="s">
        <v>313</v>
      </c>
      <c r="Z1" s="123" t="s">
        <v>229</v>
      </c>
      <c r="AA1" s="10" t="s">
        <v>310</v>
      </c>
      <c r="AB1" s="10" t="s">
        <v>311</v>
      </c>
      <c r="AC1" s="11" t="s">
        <v>312</v>
      </c>
      <c r="AD1" s="11" t="s">
        <v>313</v>
      </c>
    </row>
    <row r="2" spans="1:30" x14ac:dyDescent="0.35">
      <c r="A2" t="b">
        <f>COUNTIF(Salg_Total[Vare],B2)&gt;0</f>
        <v>1</v>
      </c>
      <c r="B2" s="146" t="str" cm="1">
        <f t="array" ref="B2:B72">Vipps_Totalraport[Vare]</f>
        <v>Monster White</v>
      </c>
      <c r="C2" s="131">
        <f>SUMIFS(Vipps_Totalraport[Beløp inkl. MVA],Vipps_Totalraport[Vare],B2)</f>
        <v>9510</v>
      </c>
      <c r="D2" s="132">
        <f>SUMIFS(Vipps_Totalraport[Beløp inkl. MVA],Vipps_Totalraport[Vare],B2)</f>
        <v>9510</v>
      </c>
      <c r="F2" t="b">
        <f t="shared" ref="F2:F33" si="0">COUNTIF(B:B,G2)&gt;0</f>
        <v>1</v>
      </c>
      <c r="G2" s="117" t="s">
        <v>130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174</v>
      </c>
      <c r="M2" s="157" t="s">
        <v>232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174</v>
      </c>
      <c r="R2" s="157" t="s">
        <v>232</v>
      </c>
      <c r="S2" s="157">
        <v>249</v>
      </c>
      <c r="T2" s="158">
        <v>2490</v>
      </c>
      <c r="U2" s="159" t="b">
        <f>COUNTIF($B:$B,V2)&gt;0</f>
        <v>1</v>
      </c>
      <c r="V2" s="69" t="s">
        <v>164</v>
      </c>
      <c r="W2" s="69" t="s">
        <v>110</v>
      </c>
      <c r="X2" s="69">
        <v>106</v>
      </c>
      <c r="Y2" s="9">
        <v>2120</v>
      </c>
      <c r="Z2" s="69" t="b">
        <f>COUNTIF($B:$B,AA2)&gt;0</f>
        <v>1</v>
      </c>
      <c r="AA2" t="s">
        <v>164</v>
      </c>
      <c r="AB2" t="s">
        <v>110</v>
      </c>
      <c r="AC2">
        <v>76</v>
      </c>
      <c r="AD2" s="82">
        <v>1520</v>
      </c>
    </row>
    <row r="3" spans="1:30" x14ac:dyDescent="0.35">
      <c r="A3" t="b">
        <f>COUNTIF(Salg_Total[Vare],B3)&gt;0</f>
        <v>1</v>
      </c>
      <c r="B3" s="147" t="str">
        <v>Monster Mango Loco</v>
      </c>
      <c r="C3" s="131">
        <f>SUMIFS(Vipps_Totalraport[Beløp inkl. MVA],Vipps_Totalraport[Vare],B3)</f>
        <v>8670</v>
      </c>
      <c r="D3" s="132">
        <f>SUMIFS(Vipps_Totalraport[Beløp inkl. MVA],Vipps_Totalraport[Vare],B3)</f>
        <v>8670</v>
      </c>
      <c r="F3" t="b">
        <f t="shared" si="0"/>
        <v>1</v>
      </c>
      <c r="G3" s="118" t="s">
        <v>131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193</v>
      </c>
      <c r="M3" s="160" t="s">
        <v>111</v>
      </c>
      <c r="N3" s="160">
        <v>82</v>
      </c>
      <c r="O3" s="161">
        <v>656</v>
      </c>
      <c r="P3" s="134" t="b">
        <f t="shared" si="2"/>
        <v>1</v>
      </c>
      <c r="Q3" s="160" t="s">
        <v>193</v>
      </c>
      <c r="R3" s="160" t="s">
        <v>111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131</v>
      </c>
      <c r="W3" s="69" t="s">
        <v>233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184</v>
      </c>
      <c r="AB3" t="s">
        <v>111</v>
      </c>
      <c r="AC3">
        <v>74</v>
      </c>
      <c r="AD3" s="82">
        <v>740</v>
      </c>
    </row>
    <row r="4" spans="1:30" x14ac:dyDescent="0.35">
      <c r="A4" t="b">
        <f>COUNTIF(Salg_Total[Vare],B4)&gt;0</f>
        <v>1</v>
      </c>
      <c r="B4" s="146" t="str">
        <v>Monster Monarch</v>
      </c>
      <c r="C4" s="131">
        <f>SUMIFS(Vipps_Totalraport[Beløp inkl. MVA],Vipps_Totalraport[Vare],B4)</f>
        <v>9330</v>
      </c>
      <c r="D4" s="132">
        <f>SUMIFS(Vipps_Totalraport[Beløp inkl. MVA],Vipps_Totalraport[Vare],B4)</f>
        <v>9330</v>
      </c>
      <c r="F4" t="b">
        <f t="shared" si="0"/>
        <v>1</v>
      </c>
      <c r="G4" s="117" t="s">
        <v>132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164</v>
      </c>
      <c r="M4" s="163" t="s">
        <v>110</v>
      </c>
      <c r="N4" s="163">
        <v>72</v>
      </c>
      <c r="O4" s="164">
        <v>1440</v>
      </c>
      <c r="P4" s="132" t="b">
        <f t="shared" si="2"/>
        <v>1</v>
      </c>
      <c r="Q4" s="163" t="s">
        <v>164</v>
      </c>
      <c r="R4" s="163" t="s">
        <v>110</v>
      </c>
      <c r="S4" s="163">
        <v>130</v>
      </c>
      <c r="T4" s="164">
        <v>2600</v>
      </c>
      <c r="U4" s="165" t="b">
        <f t="shared" si="3"/>
        <v>1</v>
      </c>
      <c r="V4" s="69" t="s">
        <v>184</v>
      </c>
      <c r="W4" s="69" t="s">
        <v>111</v>
      </c>
      <c r="X4" s="69">
        <v>95</v>
      </c>
      <c r="Y4" s="9">
        <v>950</v>
      </c>
      <c r="Z4" s="69" t="b">
        <f t="shared" si="4"/>
        <v>1</v>
      </c>
      <c r="AA4" t="s">
        <v>174</v>
      </c>
      <c r="AB4" t="s">
        <v>232</v>
      </c>
      <c r="AC4">
        <v>73</v>
      </c>
      <c r="AD4" s="82">
        <v>730</v>
      </c>
    </row>
    <row r="5" spans="1:30" x14ac:dyDescent="0.35">
      <c r="A5" t="b">
        <f>COUNTIF(Salg_Total[Vare],B5)&gt;0</f>
        <v>1</v>
      </c>
      <c r="B5" s="146" t="str">
        <v>Monster Lewis Hamilton</v>
      </c>
      <c r="C5" s="131">
        <f>SUMIFS(Vipps_Totalraport[Beløp inkl. MVA],Vipps_Totalraport[Vare],B5)</f>
        <v>4440</v>
      </c>
      <c r="D5" s="132">
        <f>SUMIFS(Vipps_Totalraport[Beløp inkl. MVA],Vipps_Totalraport[Vare],B5)</f>
        <v>4440</v>
      </c>
      <c r="F5" t="b">
        <f t="shared" si="0"/>
        <v>1</v>
      </c>
      <c r="G5" s="117" t="s">
        <v>133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184</v>
      </c>
      <c r="M5" s="160" t="s">
        <v>111</v>
      </c>
      <c r="N5" s="160">
        <v>61</v>
      </c>
      <c r="O5" s="161">
        <v>610</v>
      </c>
      <c r="P5" s="134" t="b">
        <f t="shared" si="2"/>
        <v>1</v>
      </c>
      <c r="Q5" s="160" t="s">
        <v>149</v>
      </c>
      <c r="R5" s="160" t="s">
        <v>233</v>
      </c>
      <c r="S5" s="160">
        <v>122</v>
      </c>
      <c r="T5" s="161">
        <v>3416</v>
      </c>
      <c r="U5" s="162" t="b">
        <f t="shared" si="3"/>
        <v>1</v>
      </c>
      <c r="V5" s="69" t="s">
        <v>163</v>
      </c>
      <c r="W5" s="69" t="s">
        <v>110</v>
      </c>
      <c r="X5" s="69">
        <v>76</v>
      </c>
      <c r="Y5" s="9">
        <v>2128</v>
      </c>
      <c r="Z5" s="69" t="b">
        <f t="shared" si="4"/>
        <v>1</v>
      </c>
      <c r="AA5" t="s">
        <v>163</v>
      </c>
      <c r="AB5" t="s">
        <v>110</v>
      </c>
      <c r="AC5">
        <v>73</v>
      </c>
      <c r="AD5" s="82">
        <v>2044</v>
      </c>
    </row>
    <row r="6" spans="1:30" x14ac:dyDescent="0.35">
      <c r="A6" t="b">
        <f>COUNTIF(Salg_Total[Vare],B6)&gt;0</f>
        <v>1</v>
      </c>
      <c r="B6" s="146" t="str">
        <v>Monster Punch</v>
      </c>
      <c r="C6" s="131">
        <f>SUMIFS(Vipps_Totalraport[Beløp inkl. MVA],Vipps_Totalraport[Vare],B6)</f>
        <v>6570</v>
      </c>
      <c r="D6" s="132">
        <f>SUMIFS(Vipps_Totalraport[Beløp inkl. MVA],Vipps_Totalraport[Vare],B6)</f>
        <v>6570</v>
      </c>
      <c r="F6" t="b">
        <f t="shared" si="0"/>
        <v>1</v>
      </c>
      <c r="G6" s="117" t="s">
        <v>134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173</v>
      </c>
      <c r="M6" s="163" t="s">
        <v>232</v>
      </c>
      <c r="N6" s="163">
        <v>60</v>
      </c>
      <c r="O6" s="164">
        <v>1080</v>
      </c>
      <c r="P6" s="132" t="b">
        <f t="shared" si="2"/>
        <v>1</v>
      </c>
      <c r="Q6" s="163" t="s">
        <v>173</v>
      </c>
      <c r="R6" s="163" t="s">
        <v>232</v>
      </c>
      <c r="S6" s="163">
        <v>118</v>
      </c>
      <c r="T6" s="164">
        <v>2124</v>
      </c>
      <c r="U6" s="165" t="b">
        <f t="shared" si="3"/>
        <v>1</v>
      </c>
      <c r="V6" s="69" t="s">
        <v>193</v>
      </c>
      <c r="W6" s="69" t="s">
        <v>111</v>
      </c>
      <c r="X6" s="69">
        <v>72</v>
      </c>
      <c r="Y6" s="9">
        <v>576</v>
      </c>
      <c r="Z6" s="69" t="b">
        <f t="shared" si="4"/>
        <v>1</v>
      </c>
      <c r="AA6" t="s">
        <v>185</v>
      </c>
      <c r="AB6" t="s">
        <v>111</v>
      </c>
      <c r="AC6">
        <v>72</v>
      </c>
      <c r="AD6" s="82">
        <v>1440</v>
      </c>
    </row>
    <row r="7" spans="1:30" x14ac:dyDescent="0.35">
      <c r="A7" t="b">
        <f>COUNTIF(Salg_Total[Vare],B7)&gt;0</f>
        <v>1</v>
      </c>
      <c r="B7" s="146" t="str">
        <v>Redbull Original</v>
      </c>
      <c r="C7" s="131">
        <f>SUMIFS(Vipps_Totalraport[Beløp inkl. MVA],Vipps_Totalraport[Vare],B7)</f>
        <v>1836</v>
      </c>
      <c r="D7" s="132">
        <f>SUMIFS(Vipps_Totalraport[Beløp inkl. MVA],Vipps_Totalraport[Vare],B7)</f>
        <v>1836</v>
      </c>
      <c r="F7" t="b">
        <f t="shared" si="0"/>
        <v>1</v>
      </c>
      <c r="G7" s="117" t="s">
        <v>135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185</v>
      </c>
      <c r="M7" s="160" t="s">
        <v>111</v>
      </c>
      <c r="N7" s="160">
        <v>56</v>
      </c>
      <c r="O7" s="161">
        <v>1120</v>
      </c>
      <c r="P7" s="134" t="b">
        <f t="shared" si="2"/>
        <v>1</v>
      </c>
      <c r="Q7" s="160" t="s">
        <v>134</v>
      </c>
      <c r="R7" s="160" t="s">
        <v>233</v>
      </c>
      <c r="S7" s="160">
        <v>93</v>
      </c>
      <c r="T7" s="161">
        <v>2790</v>
      </c>
      <c r="U7" s="162" t="b">
        <f t="shared" si="3"/>
        <v>1</v>
      </c>
      <c r="V7" s="69" t="s">
        <v>132</v>
      </c>
      <c r="W7" s="69" t="s">
        <v>233</v>
      </c>
      <c r="X7" s="69">
        <v>69</v>
      </c>
      <c r="Y7" s="9">
        <v>2070</v>
      </c>
      <c r="Z7" s="69" t="b">
        <f t="shared" si="4"/>
        <v>1</v>
      </c>
      <c r="AA7" t="s">
        <v>314</v>
      </c>
      <c r="AB7" t="s">
        <v>232</v>
      </c>
      <c r="AC7">
        <v>69</v>
      </c>
      <c r="AD7" s="82">
        <v>3105</v>
      </c>
    </row>
    <row r="8" spans="1:30" x14ac:dyDescent="0.35">
      <c r="A8" t="b">
        <f>COUNTIF(Salg_Total[Vare],B8)&gt;0</f>
        <v>1</v>
      </c>
      <c r="B8" s="146" t="str">
        <v>Redbull 473ml</v>
      </c>
      <c r="C8" s="131">
        <f>SUMIFS(Vipps_Totalraport[Beløp inkl. MVA],Vipps_Totalraport[Vare],B8)</f>
        <v>840</v>
      </c>
      <c r="D8" s="132">
        <f>SUMIFS(Vipps_Totalraport[Beløp inkl. MVA],Vipps_Totalraport[Vare],B8)</f>
        <v>840</v>
      </c>
      <c r="F8" t="b">
        <f t="shared" si="0"/>
        <v>1</v>
      </c>
      <c r="G8" s="117" t="s">
        <v>136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160</v>
      </c>
      <c r="M8" s="163" t="s">
        <v>234</v>
      </c>
      <c r="N8" s="163">
        <v>51</v>
      </c>
      <c r="O8" s="164">
        <v>765</v>
      </c>
      <c r="P8" s="132" t="b">
        <f t="shared" si="2"/>
        <v>1</v>
      </c>
      <c r="Q8" s="163" t="s">
        <v>132</v>
      </c>
      <c r="R8" s="163" t="s">
        <v>233</v>
      </c>
      <c r="S8" s="163">
        <v>91</v>
      </c>
      <c r="T8" s="164">
        <v>2730</v>
      </c>
      <c r="U8" s="165" t="b">
        <f t="shared" si="3"/>
        <v>1</v>
      </c>
      <c r="V8" s="69" t="s">
        <v>130</v>
      </c>
      <c r="W8" s="69" t="s">
        <v>233</v>
      </c>
      <c r="X8" s="69">
        <v>68</v>
      </c>
      <c r="Y8" s="9">
        <v>2040</v>
      </c>
      <c r="Z8" s="69" t="b">
        <f t="shared" si="4"/>
        <v>1</v>
      </c>
      <c r="AA8" t="s">
        <v>173</v>
      </c>
      <c r="AB8" t="s">
        <v>232</v>
      </c>
      <c r="AC8">
        <v>56</v>
      </c>
      <c r="AD8" s="82">
        <v>1008</v>
      </c>
    </row>
    <row r="9" spans="1:30" x14ac:dyDescent="0.35">
      <c r="A9" t="b">
        <f>COUNTIF(Salg_Total[Vare],B9)&gt;0</f>
        <v>1</v>
      </c>
      <c r="B9" s="146" t="str">
        <v>Redbull Sukkerfri</v>
      </c>
      <c r="C9" s="131">
        <f>SUMIFS(Vipps_Totalraport[Beløp inkl. MVA],Vipps_Totalraport[Vare],B9)</f>
        <v>1206</v>
      </c>
      <c r="D9" s="132">
        <f>SUMIFS(Vipps_Totalraport[Beløp inkl. MVA],Vipps_Totalraport[Vare],B9)</f>
        <v>1206</v>
      </c>
      <c r="F9" t="b">
        <f t="shared" si="0"/>
        <v>1</v>
      </c>
      <c r="G9" s="117" t="s">
        <v>137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134</v>
      </c>
      <c r="M9" s="160" t="s">
        <v>233</v>
      </c>
      <c r="N9" s="160">
        <v>50</v>
      </c>
      <c r="O9" s="161">
        <v>1500</v>
      </c>
      <c r="P9" s="134" t="b">
        <f t="shared" si="2"/>
        <v>1</v>
      </c>
      <c r="Q9" s="160" t="s">
        <v>131</v>
      </c>
      <c r="R9" s="160" t="s">
        <v>233</v>
      </c>
      <c r="S9" s="160">
        <v>78</v>
      </c>
      <c r="T9" s="161">
        <v>2340</v>
      </c>
      <c r="U9" s="162" t="b">
        <f t="shared" si="3"/>
        <v>1</v>
      </c>
      <c r="V9" s="69" t="s">
        <v>143</v>
      </c>
      <c r="W9" s="69" t="s">
        <v>233</v>
      </c>
      <c r="X9" s="69">
        <v>60</v>
      </c>
      <c r="Y9" s="9">
        <v>900</v>
      </c>
      <c r="Z9" s="69" t="b">
        <f t="shared" si="4"/>
        <v>1</v>
      </c>
      <c r="AA9" t="s">
        <v>130</v>
      </c>
      <c r="AB9" t="s">
        <v>233</v>
      </c>
      <c r="AC9">
        <v>53</v>
      </c>
      <c r="AD9" s="82">
        <v>1590</v>
      </c>
    </row>
    <row r="10" spans="1:30" x14ac:dyDescent="0.35">
      <c r="A10" t="b">
        <f>COUNTIF(Salg_Total[Vare],B10)&gt;0</f>
        <v>1</v>
      </c>
      <c r="B10" s="146" t="str">
        <v>Redbull ZERO Cal</v>
      </c>
      <c r="C10" s="131">
        <f>SUMIFS(Vipps_Totalraport[Beløp inkl. MVA],Vipps_Totalraport[Vare],B10)</f>
        <v>432</v>
      </c>
      <c r="D10" s="132">
        <f>SUMIFS(Vipps_Totalraport[Beløp inkl. MVA],Vipps_Totalraport[Vare],B10)</f>
        <v>432</v>
      </c>
      <c r="F10" t="b">
        <f t="shared" si="0"/>
        <v>1</v>
      </c>
      <c r="G10" s="117" t="s">
        <v>138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175</v>
      </c>
      <c r="M10" s="163" t="s">
        <v>232</v>
      </c>
      <c r="N10" s="163">
        <v>50</v>
      </c>
      <c r="O10" s="164">
        <v>1250</v>
      </c>
      <c r="P10" s="132" t="b">
        <f t="shared" si="2"/>
        <v>1</v>
      </c>
      <c r="Q10" s="163" t="s">
        <v>184</v>
      </c>
      <c r="R10" s="163" t="s">
        <v>111</v>
      </c>
      <c r="S10" s="163">
        <v>77</v>
      </c>
      <c r="T10" s="164">
        <v>770</v>
      </c>
      <c r="U10" s="165" t="b">
        <f t="shared" si="3"/>
        <v>1</v>
      </c>
      <c r="V10" s="69" t="s">
        <v>314</v>
      </c>
      <c r="W10" s="69" t="s">
        <v>232</v>
      </c>
      <c r="X10" s="69">
        <v>58</v>
      </c>
      <c r="Y10" s="9">
        <v>2610</v>
      </c>
      <c r="Z10" s="69" t="b">
        <f t="shared" si="4"/>
        <v>1</v>
      </c>
      <c r="AA10" t="s">
        <v>149</v>
      </c>
      <c r="AB10" t="s">
        <v>233</v>
      </c>
      <c r="AC10">
        <v>48</v>
      </c>
      <c r="AD10" s="82">
        <v>1344</v>
      </c>
    </row>
    <row r="11" spans="1:30" x14ac:dyDescent="0.35">
      <c r="A11" t="b">
        <f>COUNTIF(Salg_Total[Vare],B11)&gt;0</f>
        <v>1</v>
      </c>
      <c r="B11" s="146" t="str">
        <v>Redbull Yellow</v>
      </c>
      <c r="C11" s="131">
        <f>SUMIFS(Vipps_Totalraport[Beløp inkl. MVA],Vipps_Totalraport[Vare],B11)</f>
        <v>1890</v>
      </c>
      <c r="D11" s="132">
        <f>SUMIFS(Vipps_Totalraport[Beløp inkl. MVA],Vipps_Totalraport[Vare],B11)</f>
        <v>1890</v>
      </c>
      <c r="F11" t="b">
        <f t="shared" si="0"/>
        <v>1</v>
      </c>
      <c r="G11" s="117" t="s">
        <v>139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130</v>
      </c>
      <c r="M11" s="160" t="s">
        <v>233</v>
      </c>
      <c r="N11" s="160">
        <v>48</v>
      </c>
      <c r="O11" s="161">
        <v>1440</v>
      </c>
      <c r="P11" s="134" t="b">
        <f t="shared" si="2"/>
        <v>1</v>
      </c>
      <c r="Q11" s="160" t="s">
        <v>130</v>
      </c>
      <c r="R11" s="160" t="s">
        <v>233</v>
      </c>
      <c r="S11" s="160">
        <v>76</v>
      </c>
      <c r="T11" s="161">
        <v>2280</v>
      </c>
      <c r="U11" s="162" t="b">
        <f t="shared" si="3"/>
        <v>1</v>
      </c>
      <c r="V11" s="69" t="s">
        <v>177</v>
      </c>
      <c r="W11" s="69" t="s">
        <v>232</v>
      </c>
      <c r="X11" s="69">
        <v>58</v>
      </c>
      <c r="Y11" s="9">
        <v>1160</v>
      </c>
      <c r="Z11" s="69" t="b">
        <f t="shared" si="4"/>
        <v>1</v>
      </c>
      <c r="AA11" t="s">
        <v>515</v>
      </c>
      <c r="AB11" t="s">
        <v>110</v>
      </c>
      <c r="AC11">
        <v>48</v>
      </c>
      <c r="AD11" s="82">
        <v>1440</v>
      </c>
    </row>
    <row r="12" spans="1:30" x14ac:dyDescent="0.35">
      <c r="A12" t="b">
        <f>COUNTIF(Salg_Total[Vare],B12)&gt;0</f>
        <v>1</v>
      </c>
      <c r="B12" s="146" t="str">
        <v>Redbull Peach</v>
      </c>
      <c r="C12" s="131">
        <f>SUMIFS(Vipps_Totalraport[Beløp inkl. MVA],Vipps_Totalraport[Vare],B12)</f>
        <v>5643</v>
      </c>
      <c r="D12" s="132">
        <f>SUMIFS(Vipps_Totalraport[Beløp inkl. MVA],Vipps_Totalraport[Vare],B12)</f>
        <v>5643</v>
      </c>
      <c r="F12" t="b">
        <f t="shared" si="0"/>
        <v>1</v>
      </c>
      <c r="G12" s="117" t="s">
        <v>140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182</v>
      </c>
      <c r="M12" s="163" t="s">
        <v>232</v>
      </c>
      <c r="N12" s="163">
        <v>47</v>
      </c>
      <c r="O12" s="164">
        <v>940</v>
      </c>
      <c r="P12" s="132" t="b">
        <f t="shared" si="2"/>
        <v>1</v>
      </c>
      <c r="Q12" s="163" t="s">
        <v>179</v>
      </c>
      <c r="R12" s="163" t="s">
        <v>232</v>
      </c>
      <c r="S12" s="163">
        <v>70</v>
      </c>
      <c r="T12" s="164">
        <v>1960</v>
      </c>
      <c r="U12" s="165" t="b">
        <f t="shared" si="3"/>
        <v>1</v>
      </c>
      <c r="V12" s="69" t="s">
        <v>173</v>
      </c>
      <c r="W12" s="69" t="s">
        <v>232</v>
      </c>
      <c r="X12" s="69">
        <v>57</v>
      </c>
      <c r="Y12" s="9">
        <v>1026</v>
      </c>
      <c r="Z12" s="69" t="b">
        <f t="shared" si="4"/>
        <v>1</v>
      </c>
      <c r="AA12" t="s">
        <v>145</v>
      </c>
      <c r="AB12" t="s">
        <v>233</v>
      </c>
      <c r="AC12">
        <v>47</v>
      </c>
      <c r="AD12" s="82">
        <v>1316</v>
      </c>
    </row>
    <row r="13" spans="1:30" x14ac:dyDescent="0.35">
      <c r="A13" t="b">
        <f>COUNTIF(Salg_Total[Vare],B13)&gt;0</f>
        <v>1</v>
      </c>
      <c r="B13" s="146" t="str">
        <v>Redbull Blue</v>
      </c>
      <c r="C13" s="131">
        <f>SUMIFS(Vipps_Totalraport[Beløp inkl. MVA],Vipps_Totalraport[Vare],B13)</f>
        <v>1917</v>
      </c>
      <c r="D13" s="132">
        <f>SUMIFS(Vipps_Totalraport[Beløp inkl. MVA],Vipps_Totalraport[Vare],B13)</f>
        <v>1917</v>
      </c>
      <c r="F13" t="b">
        <f t="shared" si="0"/>
        <v>1</v>
      </c>
      <c r="G13" s="117" t="s">
        <v>141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181</v>
      </c>
      <c r="M13" s="160" t="s">
        <v>232</v>
      </c>
      <c r="N13" s="160">
        <v>45</v>
      </c>
      <c r="O13" s="161">
        <v>900</v>
      </c>
      <c r="P13" s="134" t="b">
        <f t="shared" si="2"/>
        <v>1</v>
      </c>
      <c r="Q13" s="160" t="s">
        <v>163</v>
      </c>
      <c r="R13" s="160" t="s">
        <v>110</v>
      </c>
      <c r="S13" s="160">
        <v>70</v>
      </c>
      <c r="T13" s="161">
        <v>1960</v>
      </c>
      <c r="U13" s="162" t="b">
        <f t="shared" si="3"/>
        <v>1</v>
      </c>
      <c r="V13" s="69" t="s">
        <v>171</v>
      </c>
      <c r="W13" s="69" t="s">
        <v>232</v>
      </c>
      <c r="X13" s="69">
        <v>57</v>
      </c>
      <c r="Y13" s="9">
        <v>1710</v>
      </c>
      <c r="Z13" s="69" t="b">
        <f t="shared" si="4"/>
        <v>1</v>
      </c>
      <c r="AA13" t="s">
        <v>144</v>
      </c>
      <c r="AB13" t="s">
        <v>233</v>
      </c>
      <c r="AC13">
        <v>45</v>
      </c>
      <c r="AD13" s="82">
        <v>675</v>
      </c>
    </row>
    <row r="14" spans="1:30" x14ac:dyDescent="0.35">
      <c r="A14" t="b">
        <f>COUNTIF(Salg_Total[Vare],B14)&gt;0</f>
        <v>1</v>
      </c>
      <c r="B14" s="146" t="str">
        <v>Redbull Purple</v>
      </c>
      <c r="C14" s="131">
        <f>SUMIFS(Vipps_Totalraport[Beløp inkl. MVA],Vipps_Totalraport[Vare],B14)</f>
        <v>621</v>
      </c>
      <c r="D14" s="132">
        <f>SUMIFS(Vipps_Totalraport[Beløp inkl. MVA],Vipps_Totalraport[Vare],B14)</f>
        <v>621</v>
      </c>
      <c r="F14" t="b">
        <f t="shared" si="0"/>
        <v>1</v>
      </c>
      <c r="G14" s="117" t="s">
        <v>142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178</v>
      </c>
      <c r="M14" s="163" t="s">
        <v>232</v>
      </c>
      <c r="N14" s="163">
        <v>44</v>
      </c>
      <c r="O14" s="164">
        <v>1100</v>
      </c>
      <c r="P14" s="132" t="b">
        <f t="shared" si="2"/>
        <v>1</v>
      </c>
      <c r="Q14" s="163" t="s">
        <v>165</v>
      </c>
      <c r="R14" s="163" t="s">
        <v>110</v>
      </c>
      <c r="S14" s="163">
        <v>68</v>
      </c>
      <c r="T14" s="164">
        <v>1360</v>
      </c>
      <c r="U14" s="165" t="b">
        <f t="shared" si="3"/>
        <v>1</v>
      </c>
      <c r="V14" s="69" t="s">
        <v>160</v>
      </c>
      <c r="W14" s="69" t="s">
        <v>234</v>
      </c>
      <c r="X14" s="69">
        <v>53</v>
      </c>
      <c r="Y14" s="9">
        <v>795</v>
      </c>
      <c r="Z14" s="69" t="b">
        <f t="shared" si="4"/>
        <v>1</v>
      </c>
      <c r="AA14" t="s">
        <v>132</v>
      </c>
      <c r="AB14" t="s">
        <v>233</v>
      </c>
      <c r="AC14">
        <v>38</v>
      </c>
      <c r="AD14" s="82">
        <v>1140</v>
      </c>
    </row>
    <row r="15" spans="1:30" x14ac:dyDescent="0.35">
      <c r="A15" t="b">
        <f>COUNTIF(Salg_Total[Vare],B15)&gt;0</f>
        <v>1</v>
      </c>
      <c r="B15" s="146" t="str">
        <v>Powerking Svart</v>
      </c>
      <c r="C15" s="131">
        <f>SUMIFS(Vipps_Totalraport[Beløp inkl. MVA],Vipps_Totalraport[Vare],B15)</f>
        <v>2730</v>
      </c>
      <c r="D15" s="132">
        <f>SUMIFS(Vipps_Totalraport[Beløp inkl. MVA],Vipps_Totalraport[Vare],B15)</f>
        <v>2730</v>
      </c>
      <c r="F15" t="b">
        <f t="shared" si="0"/>
        <v>1</v>
      </c>
      <c r="G15" s="117" t="s">
        <v>143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140</v>
      </c>
      <c r="M15" s="160" t="s">
        <v>233</v>
      </c>
      <c r="N15" s="160">
        <v>43</v>
      </c>
      <c r="O15" s="161">
        <v>1161</v>
      </c>
      <c r="P15" s="134" t="b">
        <f t="shared" si="2"/>
        <v>1</v>
      </c>
      <c r="Q15" s="160" t="s">
        <v>160</v>
      </c>
      <c r="R15" s="160" t="s">
        <v>234</v>
      </c>
      <c r="S15" s="160">
        <v>60</v>
      </c>
      <c r="T15" s="161">
        <v>900</v>
      </c>
      <c r="U15" s="162" t="b">
        <f t="shared" si="3"/>
        <v>1</v>
      </c>
      <c r="V15" s="69" t="s">
        <v>161</v>
      </c>
      <c r="W15" s="69" t="s">
        <v>110</v>
      </c>
      <c r="X15" s="69">
        <v>49</v>
      </c>
      <c r="Y15" s="9">
        <v>1372</v>
      </c>
      <c r="Z15" s="69" t="b">
        <f t="shared" si="4"/>
        <v>1</v>
      </c>
      <c r="AA15" t="s">
        <v>165</v>
      </c>
      <c r="AB15" t="s">
        <v>110</v>
      </c>
      <c r="AC15">
        <v>37</v>
      </c>
      <c r="AD15" s="82">
        <v>740</v>
      </c>
    </row>
    <row r="16" spans="1:30" x14ac:dyDescent="0.35">
      <c r="A16" t="b">
        <f>COUNTIF(Salg_Total[Vare],B16)&gt;0</f>
        <v>1</v>
      </c>
      <c r="B16" s="146" t="str">
        <v>Powerking Hvit</v>
      </c>
      <c r="C16" s="131">
        <f>SUMIFS(Vipps_Totalraport[Beløp inkl. MVA],Vipps_Totalraport[Vare],B16)</f>
        <v>3090</v>
      </c>
      <c r="D16" s="132">
        <f>SUMIFS(Vipps_Totalraport[Beløp inkl. MVA],Vipps_Totalraport[Vare],B16)</f>
        <v>3090</v>
      </c>
      <c r="F16" t="b">
        <f t="shared" si="0"/>
        <v>1</v>
      </c>
      <c r="G16" s="117" t="s">
        <v>144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132</v>
      </c>
      <c r="M16" s="163" t="s">
        <v>233</v>
      </c>
      <c r="N16" s="163">
        <v>41</v>
      </c>
      <c r="O16" s="164">
        <v>1230</v>
      </c>
      <c r="P16" s="132" t="b">
        <f t="shared" si="2"/>
        <v>1</v>
      </c>
      <c r="Q16" s="163" t="s">
        <v>143</v>
      </c>
      <c r="R16" s="163" t="s">
        <v>233</v>
      </c>
      <c r="S16" s="163">
        <v>51</v>
      </c>
      <c r="T16" s="164">
        <v>765</v>
      </c>
      <c r="U16" s="165" t="b">
        <f t="shared" si="3"/>
        <v>1</v>
      </c>
      <c r="V16" s="69" t="s">
        <v>140</v>
      </c>
      <c r="W16" s="69" t="s">
        <v>233</v>
      </c>
      <c r="X16" s="69">
        <v>46</v>
      </c>
      <c r="Y16" s="9">
        <v>1242</v>
      </c>
      <c r="Z16" s="69" t="b">
        <f t="shared" si="4"/>
        <v>1</v>
      </c>
      <c r="AA16" t="s">
        <v>161</v>
      </c>
      <c r="AB16" t="s">
        <v>110</v>
      </c>
      <c r="AC16">
        <v>37</v>
      </c>
      <c r="AD16" s="82">
        <v>1036</v>
      </c>
    </row>
    <row r="17" spans="1:30" x14ac:dyDescent="0.35">
      <c r="A17" t="b">
        <f>COUNTIF(Salg_Total[Vare],B17)&gt;0</f>
        <v>1</v>
      </c>
      <c r="B17" s="146" t="str">
        <v>Battery Fresh</v>
      </c>
      <c r="C17" s="131">
        <f>SUMIFS(Vipps_Totalraport[Beløp inkl. MVA],Vipps_Totalraport[Vare],B17)</f>
        <v>4620</v>
      </c>
      <c r="D17" s="132">
        <f>SUMIFS(Vipps_Totalraport[Beløp inkl. MVA],Vipps_Totalraport[Vare],B17)</f>
        <v>4620</v>
      </c>
      <c r="F17" t="b">
        <f t="shared" si="0"/>
        <v>1</v>
      </c>
      <c r="G17" s="117" t="s">
        <v>145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163</v>
      </c>
      <c r="M17" s="160" t="s">
        <v>110</v>
      </c>
      <c r="N17" s="160">
        <v>41</v>
      </c>
      <c r="O17" s="161">
        <v>1148</v>
      </c>
      <c r="P17" s="134" t="b">
        <f t="shared" si="2"/>
        <v>1</v>
      </c>
      <c r="Q17" s="160" t="s">
        <v>144</v>
      </c>
      <c r="R17" s="160" t="s">
        <v>233</v>
      </c>
      <c r="S17" s="160">
        <v>47</v>
      </c>
      <c r="T17" s="161">
        <v>705</v>
      </c>
      <c r="U17" s="162" t="b">
        <f t="shared" si="3"/>
        <v>1</v>
      </c>
      <c r="V17" s="69" t="s">
        <v>144</v>
      </c>
      <c r="W17" s="69" t="s">
        <v>233</v>
      </c>
      <c r="X17" s="69">
        <v>44</v>
      </c>
      <c r="Y17" s="9">
        <v>660</v>
      </c>
      <c r="Z17" s="69" t="b">
        <f t="shared" si="4"/>
        <v>1</v>
      </c>
      <c r="AA17" t="s">
        <v>131</v>
      </c>
      <c r="AB17" t="s">
        <v>233</v>
      </c>
      <c r="AC17">
        <v>37</v>
      </c>
      <c r="AD17" s="82">
        <v>1110</v>
      </c>
    </row>
    <row r="18" spans="1:30" x14ac:dyDescent="0.35">
      <c r="A18" t="b">
        <f>COUNTIF(Salg_Total[Vare],B18)&gt;0</f>
        <v>1</v>
      </c>
      <c r="B18" s="146" t="str">
        <v>Battery Original</v>
      </c>
      <c r="C18" s="131">
        <f>SUMIFS(Vipps_Totalraport[Beløp inkl. MVA],Vipps_Totalraport[Vare],B18)</f>
        <v>3332</v>
      </c>
      <c r="D18" s="132">
        <f>SUMIFS(Vipps_Totalraport[Beløp inkl. MVA],Vipps_Totalraport[Vare],B18)</f>
        <v>3332</v>
      </c>
      <c r="F18" t="b">
        <f t="shared" si="0"/>
        <v>1</v>
      </c>
      <c r="G18" s="117" t="s">
        <v>147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183</v>
      </c>
      <c r="M18" s="163" t="s">
        <v>111</v>
      </c>
      <c r="N18" s="163">
        <v>40</v>
      </c>
      <c r="O18" s="164">
        <v>400</v>
      </c>
      <c r="P18" s="132" t="b">
        <f t="shared" si="2"/>
        <v>1</v>
      </c>
      <c r="Q18" s="163" t="s">
        <v>178</v>
      </c>
      <c r="R18" s="163" t="s">
        <v>232</v>
      </c>
      <c r="S18" s="163">
        <v>46</v>
      </c>
      <c r="T18" s="164">
        <v>1150</v>
      </c>
      <c r="U18" s="165" t="b">
        <f t="shared" si="3"/>
        <v>1</v>
      </c>
      <c r="V18" s="69" t="s">
        <v>191</v>
      </c>
      <c r="W18" s="69" t="s">
        <v>111</v>
      </c>
      <c r="X18" s="69">
        <v>43</v>
      </c>
      <c r="Y18" s="9">
        <v>816</v>
      </c>
      <c r="Z18" s="69" t="b">
        <f t="shared" si="4"/>
        <v>1</v>
      </c>
      <c r="AA18" t="s">
        <v>140</v>
      </c>
      <c r="AB18" t="s">
        <v>233</v>
      </c>
      <c r="AC18">
        <v>37</v>
      </c>
      <c r="AD18" s="82">
        <v>999</v>
      </c>
    </row>
    <row r="19" spans="1:30" x14ac:dyDescent="0.35">
      <c r="A19" t="b">
        <f>COUNTIF(Salg_Total[Vare],B19)&gt;0</f>
        <v>1</v>
      </c>
      <c r="B19" s="146" t="str">
        <v>Battery Peachberry</v>
      </c>
      <c r="C19" s="131">
        <f>SUMIFS(Vipps_Totalraport[Beløp inkl. MVA],Vipps_Totalraport[Vare],B19)</f>
        <v>8624</v>
      </c>
      <c r="D19" s="132">
        <f>SUMIFS(Vipps_Totalraport[Beløp inkl. MVA],Vipps_Totalraport[Vare],B19)</f>
        <v>8624</v>
      </c>
      <c r="F19" t="b">
        <f t="shared" si="0"/>
        <v>1</v>
      </c>
      <c r="G19" s="117" t="s">
        <v>149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191</v>
      </c>
      <c r="M19" s="160" t="s">
        <v>111</v>
      </c>
      <c r="N19" s="160">
        <v>35</v>
      </c>
      <c r="O19" s="161">
        <v>700</v>
      </c>
      <c r="P19" s="134" t="b">
        <f t="shared" si="2"/>
        <v>1</v>
      </c>
      <c r="Q19" s="160" t="s">
        <v>191</v>
      </c>
      <c r="R19" s="160" t="s">
        <v>111</v>
      </c>
      <c r="S19" s="160">
        <v>46</v>
      </c>
      <c r="T19" s="161">
        <v>920</v>
      </c>
      <c r="U19" s="162" t="b">
        <f t="shared" si="3"/>
        <v>1</v>
      </c>
      <c r="V19" s="69" t="s">
        <v>145</v>
      </c>
      <c r="W19" s="69" t="s">
        <v>233</v>
      </c>
      <c r="X19" s="69">
        <v>40</v>
      </c>
      <c r="Y19" s="9">
        <v>1120</v>
      </c>
      <c r="Z19" s="69" t="b">
        <f t="shared" si="4"/>
        <v>1</v>
      </c>
      <c r="AA19" t="s">
        <v>134</v>
      </c>
      <c r="AB19" t="s">
        <v>233</v>
      </c>
      <c r="AC19">
        <v>34</v>
      </c>
      <c r="AD19" s="82">
        <v>1020</v>
      </c>
    </row>
    <row r="20" spans="1:30" x14ac:dyDescent="0.35">
      <c r="A20" t="b">
        <f>COUNTIF(Salg_Total[Vare],B20)&gt;0</f>
        <v>1</v>
      </c>
      <c r="B20" s="146" t="str">
        <v>Burn</v>
      </c>
      <c r="C20" s="131">
        <f>SUMIFS(Vipps_Totalraport[Beløp inkl. MVA],Vipps_Totalraport[Vare],B20)</f>
        <v>1470</v>
      </c>
      <c r="D20" s="132">
        <f>SUMIFS(Vipps_Totalraport[Beløp inkl. MVA],Vipps_Totalraport[Vare],B20)</f>
        <v>1470</v>
      </c>
      <c r="F20" t="b">
        <f t="shared" si="0"/>
        <v>1</v>
      </c>
      <c r="G20" s="117" t="s">
        <v>153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145</v>
      </c>
      <c r="M20" s="163" t="s">
        <v>233</v>
      </c>
      <c r="N20" s="163">
        <v>31</v>
      </c>
      <c r="O20" s="164">
        <v>868</v>
      </c>
      <c r="P20" s="132" t="b">
        <f t="shared" si="2"/>
        <v>1</v>
      </c>
      <c r="Q20" s="163" t="s">
        <v>161</v>
      </c>
      <c r="R20" s="163" t="s">
        <v>110</v>
      </c>
      <c r="S20" s="163">
        <v>42</v>
      </c>
      <c r="T20" s="164">
        <v>1176</v>
      </c>
      <c r="U20" s="165" t="b">
        <f t="shared" si="3"/>
        <v>1</v>
      </c>
      <c r="V20" s="69" t="s">
        <v>149</v>
      </c>
      <c r="W20" s="69" t="s">
        <v>233</v>
      </c>
      <c r="X20" s="69">
        <v>39</v>
      </c>
      <c r="Y20" s="9">
        <v>1092</v>
      </c>
      <c r="Z20" s="69" t="b">
        <f t="shared" si="4"/>
        <v>1</v>
      </c>
      <c r="AA20" t="s">
        <v>133</v>
      </c>
      <c r="AB20" t="s">
        <v>233</v>
      </c>
      <c r="AC20">
        <v>32</v>
      </c>
      <c r="AD20" s="82">
        <v>960</v>
      </c>
    </row>
    <row r="21" spans="1:30" x14ac:dyDescent="0.35">
      <c r="A21" t="b">
        <f>COUNTIF(Salg_Total[Vare],B21)&gt;0</f>
        <v>1</v>
      </c>
      <c r="B21" s="146" t="str">
        <v>Iskaffe Cappuccino</v>
      </c>
      <c r="C21" s="131">
        <f>SUMIFS(Vipps_Totalraport[Beløp inkl. MVA],Vipps_Totalraport[Vare],B21)</f>
        <v>1392</v>
      </c>
      <c r="D21" s="132">
        <f>SUMIFS(Vipps_Totalraport[Beløp inkl. MVA],Vipps_Totalraport[Vare],B21)</f>
        <v>1392</v>
      </c>
      <c r="F21" t="b">
        <f t="shared" si="0"/>
        <v>1</v>
      </c>
      <c r="G21" s="117" t="s">
        <v>154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195</v>
      </c>
      <c r="M21" s="160" t="s">
        <v>111</v>
      </c>
      <c r="N21" s="160">
        <v>29</v>
      </c>
      <c r="O21" s="161">
        <v>232</v>
      </c>
      <c r="P21" s="134" t="b">
        <f t="shared" si="2"/>
        <v>1</v>
      </c>
      <c r="Q21" s="160" t="s">
        <v>183</v>
      </c>
      <c r="R21" s="160" t="s">
        <v>111</v>
      </c>
      <c r="S21" s="160">
        <v>40</v>
      </c>
      <c r="T21" s="161">
        <v>400</v>
      </c>
      <c r="U21" s="162" t="b">
        <f t="shared" si="3"/>
        <v>1</v>
      </c>
      <c r="V21" s="69" t="s">
        <v>166</v>
      </c>
      <c r="W21" s="69" t="s">
        <v>110</v>
      </c>
      <c r="X21" s="69">
        <v>31</v>
      </c>
      <c r="Y21" s="9">
        <v>620</v>
      </c>
      <c r="Z21" s="69" t="b">
        <f t="shared" si="4"/>
        <v>1</v>
      </c>
      <c r="AA21" t="s">
        <v>193</v>
      </c>
      <c r="AB21" t="s">
        <v>111</v>
      </c>
      <c r="AC21">
        <v>30</v>
      </c>
      <c r="AD21" s="82">
        <v>240</v>
      </c>
    </row>
    <row r="22" spans="1:30" x14ac:dyDescent="0.35">
      <c r="A22" t="b">
        <f>COUNTIF(Salg_Total[Vare],B22)&gt;0</f>
        <v>1</v>
      </c>
      <c r="B22" s="146" t="str">
        <v>Iskaffe Cappuccino U/sukker</v>
      </c>
      <c r="C22" s="131">
        <f>SUMIFS(Vipps_Totalraport[Beløp inkl. MVA],Vipps_Totalraport[Vare],B22)</f>
        <v>1152</v>
      </c>
      <c r="D22" s="132">
        <f>SUMIFS(Vipps_Totalraport[Beløp inkl. MVA],Vipps_Totalraport[Vare],B22)</f>
        <v>1152</v>
      </c>
      <c r="F22" t="b">
        <f t="shared" si="0"/>
        <v>1</v>
      </c>
      <c r="G22" s="117" t="s">
        <v>155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179</v>
      </c>
      <c r="M22" s="163" t="s">
        <v>232</v>
      </c>
      <c r="N22" s="163">
        <v>29</v>
      </c>
      <c r="O22" s="164">
        <v>812</v>
      </c>
      <c r="P22" s="132" t="b">
        <f t="shared" si="2"/>
        <v>1</v>
      </c>
      <c r="Q22" s="163" t="s">
        <v>133</v>
      </c>
      <c r="R22" s="163" t="s">
        <v>233</v>
      </c>
      <c r="S22" s="163">
        <v>39</v>
      </c>
      <c r="T22" s="164">
        <v>1170</v>
      </c>
      <c r="U22" s="165" t="b">
        <f t="shared" si="3"/>
        <v>1</v>
      </c>
      <c r="V22" s="69" t="s">
        <v>183</v>
      </c>
      <c r="W22" s="69" t="s">
        <v>111</v>
      </c>
      <c r="X22" s="69">
        <v>27</v>
      </c>
      <c r="Y22" s="9">
        <v>270</v>
      </c>
      <c r="Z22" s="69" t="b">
        <f t="shared" si="4"/>
        <v>1</v>
      </c>
      <c r="AA22" t="s">
        <v>177</v>
      </c>
      <c r="AB22" t="s">
        <v>232</v>
      </c>
      <c r="AC22">
        <v>28</v>
      </c>
      <c r="AD22" s="82">
        <v>560</v>
      </c>
    </row>
    <row r="23" spans="1:30" x14ac:dyDescent="0.35">
      <c r="A23" t="b">
        <f>COUNTIF(Salg_Total[Vare],B23)&gt;0</f>
        <v>1</v>
      </c>
      <c r="B23" s="146" t="str">
        <v>Iskaffe Latte U/sugar</v>
      </c>
      <c r="C23" s="131">
        <f>SUMIFS(Vipps_Totalraport[Beløp inkl. MVA],Vipps_Totalraport[Vare],B23)</f>
        <v>1752</v>
      </c>
      <c r="D23" s="132">
        <f>SUMIFS(Vipps_Totalraport[Beløp inkl. MVA],Vipps_Totalraport[Vare],B23)</f>
        <v>1752</v>
      </c>
      <c r="F23" t="b">
        <f t="shared" si="0"/>
        <v>1</v>
      </c>
      <c r="G23" s="117" t="s">
        <v>156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149</v>
      </c>
      <c r="M23" s="160" t="s">
        <v>233</v>
      </c>
      <c r="N23" s="160">
        <v>27</v>
      </c>
      <c r="O23" s="161">
        <v>756</v>
      </c>
      <c r="P23" s="134" t="b">
        <f t="shared" si="2"/>
        <v>1</v>
      </c>
      <c r="Q23" s="160" t="s">
        <v>140</v>
      </c>
      <c r="R23" s="160" t="s">
        <v>233</v>
      </c>
      <c r="S23" s="160">
        <v>37</v>
      </c>
      <c r="T23" s="161">
        <v>999</v>
      </c>
      <c r="U23" s="162" t="b">
        <f t="shared" si="3"/>
        <v>1</v>
      </c>
      <c r="V23" s="69" t="s">
        <v>147</v>
      </c>
      <c r="W23" s="69" t="s">
        <v>233</v>
      </c>
      <c r="X23" s="69">
        <v>23</v>
      </c>
      <c r="Y23" s="9">
        <v>644</v>
      </c>
      <c r="Z23" s="69" t="b">
        <f t="shared" si="4"/>
        <v>1</v>
      </c>
      <c r="AA23" t="s">
        <v>191</v>
      </c>
      <c r="AB23" t="s">
        <v>111</v>
      </c>
      <c r="AC23">
        <v>26</v>
      </c>
      <c r="AD23" s="82">
        <v>468</v>
      </c>
    </row>
    <row r="24" spans="1:30" x14ac:dyDescent="0.35">
      <c r="A24" t="b">
        <f>COUNTIF(Salg_Total[Vare],B24)&gt;0</f>
        <v>1</v>
      </c>
      <c r="B24" s="146" t="str">
        <v>Iskaffe Salty Caramel</v>
      </c>
      <c r="C24" s="131">
        <f>SUMIFS(Vipps_Totalraport[Beløp inkl. MVA],Vipps_Totalraport[Vare],B24)</f>
        <v>1944</v>
      </c>
      <c r="D24" s="132">
        <f>SUMIFS(Vipps_Totalraport[Beløp inkl. MVA],Vipps_Totalraport[Vare],B24)</f>
        <v>1944</v>
      </c>
      <c r="F24" t="b">
        <f t="shared" si="0"/>
        <v>1</v>
      </c>
      <c r="G24" s="117" t="s">
        <v>157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165</v>
      </c>
      <c r="M24" s="163" t="s">
        <v>110</v>
      </c>
      <c r="N24" s="163">
        <v>27</v>
      </c>
      <c r="O24" s="164">
        <v>540</v>
      </c>
      <c r="P24" s="132" t="b">
        <f t="shared" si="2"/>
        <v>1</v>
      </c>
      <c r="Q24" s="163" t="s">
        <v>141</v>
      </c>
      <c r="R24" s="163" t="s">
        <v>233</v>
      </c>
      <c r="S24" s="163">
        <v>35</v>
      </c>
      <c r="T24" s="164">
        <v>945</v>
      </c>
      <c r="U24" s="165" t="b">
        <f t="shared" si="3"/>
        <v>1</v>
      </c>
      <c r="V24" s="69" t="s">
        <v>187</v>
      </c>
      <c r="W24" s="69" t="s">
        <v>236</v>
      </c>
      <c r="X24" s="69">
        <v>23</v>
      </c>
      <c r="Y24" s="9">
        <v>414</v>
      </c>
      <c r="Z24" s="69" t="b">
        <f t="shared" si="4"/>
        <v>1</v>
      </c>
      <c r="AA24" t="s">
        <v>160</v>
      </c>
      <c r="AB24" t="s">
        <v>234</v>
      </c>
      <c r="AC24">
        <v>25</v>
      </c>
      <c r="AD24" s="82">
        <v>375</v>
      </c>
    </row>
    <row r="25" spans="1:30" x14ac:dyDescent="0.35">
      <c r="A25" t="b">
        <f>COUNTIF(Salg_Total[Vare],B25)&gt;0</f>
        <v>1</v>
      </c>
      <c r="B25" s="146" t="str">
        <v>Iskaffe Mocha</v>
      </c>
      <c r="C25" s="131">
        <f>SUMIFS(Vipps_Totalraport[Beløp inkl. MVA],Vipps_Totalraport[Vare],B25)</f>
        <v>1032</v>
      </c>
      <c r="D25" s="132">
        <f>SUMIFS(Vipps_Totalraport[Beløp inkl. MVA],Vipps_Totalraport[Vare],B25)</f>
        <v>1032</v>
      </c>
      <c r="F25" t="b">
        <f t="shared" si="0"/>
        <v>1</v>
      </c>
      <c r="G25" s="117" t="s">
        <v>158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131</v>
      </c>
      <c r="M25" s="160" t="s">
        <v>233</v>
      </c>
      <c r="N25" s="160">
        <v>27</v>
      </c>
      <c r="O25" s="161">
        <v>810</v>
      </c>
      <c r="P25" s="134" t="b">
        <f t="shared" si="2"/>
        <v>1</v>
      </c>
      <c r="Q25" s="160" t="s">
        <v>157</v>
      </c>
      <c r="R25" s="160" t="s">
        <v>234</v>
      </c>
      <c r="S25" s="160">
        <v>34</v>
      </c>
      <c r="T25" s="161">
        <v>816</v>
      </c>
      <c r="U25" s="162" t="b">
        <f t="shared" si="3"/>
        <v>1</v>
      </c>
      <c r="V25" s="69" t="s">
        <v>165</v>
      </c>
      <c r="W25" s="69" t="s">
        <v>110</v>
      </c>
      <c r="X25" s="69">
        <v>21</v>
      </c>
      <c r="Y25" s="9">
        <v>420</v>
      </c>
      <c r="Z25" s="69" t="b">
        <f t="shared" si="4"/>
        <v>1</v>
      </c>
      <c r="AA25" t="s">
        <v>143</v>
      </c>
      <c r="AB25" t="s">
        <v>233</v>
      </c>
      <c r="AC25">
        <v>24</v>
      </c>
      <c r="AD25" s="82">
        <v>360</v>
      </c>
    </row>
    <row r="26" spans="1:30" x14ac:dyDescent="0.35">
      <c r="A26" t="b">
        <f>COUNTIF(Salg_Total[Vare],B26)&gt;0</f>
        <v>1</v>
      </c>
      <c r="B26" s="146" t="str">
        <v>Iskaffe Pumpkin Spice</v>
      </c>
      <c r="C26" s="131">
        <f>SUMIFS(Vipps_Totalraport[Beløp inkl. MVA],Vipps_Totalraport[Vare],B26)</f>
        <v>792</v>
      </c>
      <c r="D26" s="132">
        <f>SUMIFS(Vipps_Totalraport[Beløp inkl. MVA],Vipps_Totalraport[Vare],B26)</f>
        <v>792</v>
      </c>
      <c r="F26" t="b">
        <f t="shared" si="0"/>
        <v>1</v>
      </c>
      <c r="G26" s="117" t="s">
        <v>159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172</v>
      </c>
      <c r="M26" s="163" t="s">
        <v>232</v>
      </c>
      <c r="N26" s="163">
        <v>26</v>
      </c>
      <c r="O26" s="164">
        <v>910</v>
      </c>
      <c r="P26" s="132" t="b">
        <f t="shared" si="2"/>
        <v>1</v>
      </c>
      <c r="Q26" s="163" t="s">
        <v>186</v>
      </c>
      <c r="R26" s="163" t="s">
        <v>111</v>
      </c>
      <c r="S26" s="163">
        <v>34</v>
      </c>
      <c r="T26" s="164">
        <v>510</v>
      </c>
      <c r="U26" s="165" t="b">
        <f t="shared" si="3"/>
        <v>1</v>
      </c>
      <c r="V26" s="69" t="s">
        <v>189</v>
      </c>
      <c r="W26" s="69" t="s">
        <v>236</v>
      </c>
      <c r="X26" s="69">
        <v>21</v>
      </c>
      <c r="Y26" s="9">
        <v>378</v>
      </c>
      <c r="Z26" s="69" t="b">
        <f t="shared" si="4"/>
        <v>1</v>
      </c>
      <c r="AA26" t="s">
        <v>135</v>
      </c>
      <c r="AB26" t="s">
        <v>233</v>
      </c>
      <c r="AC26">
        <v>23</v>
      </c>
      <c r="AD26" s="82">
        <v>621</v>
      </c>
    </row>
    <row r="27" spans="1:30" x14ac:dyDescent="0.35">
      <c r="A27" t="b">
        <f>COUNTIF(Salg_Total[Vare],B27)&gt;0</f>
        <v>1</v>
      </c>
      <c r="B27" s="146" t="str">
        <v>Sjokomelk</v>
      </c>
      <c r="C27" s="131">
        <f>SUMIFS(Vipps_Totalraport[Beløp inkl. MVA],Vipps_Totalraport[Vare],B27)</f>
        <v>3555</v>
      </c>
      <c r="D27" s="132">
        <f>SUMIFS(Vipps_Totalraport[Beløp inkl. MVA],Vipps_Totalraport[Vare],B27)</f>
        <v>3555</v>
      </c>
      <c r="F27" t="b">
        <f t="shared" si="0"/>
        <v>1</v>
      </c>
      <c r="G27" s="117" t="s">
        <v>160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186</v>
      </c>
      <c r="M27" s="160" t="s">
        <v>111</v>
      </c>
      <c r="N27" s="160">
        <v>25</v>
      </c>
      <c r="O27" s="161">
        <v>375</v>
      </c>
      <c r="P27" s="134" t="b">
        <f t="shared" si="2"/>
        <v>1</v>
      </c>
      <c r="Q27" s="160" t="s">
        <v>156</v>
      </c>
      <c r="R27" s="160" t="s">
        <v>234</v>
      </c>
      <c r="S27" s="160">
        <v>26</v>
      </c>
      <c r="T27" s="161">
        <v>624</v>
      </c>
      <c r="U27" s="162" t="b">
        <f t="shared" si="3"/>
        <v>1</v>
      </c>
      <c r="V27" s="69" t="s">
        <v>152</v>
      </c>
      <c r="W27" s="69" t="s">
        <v>233</v>
      </c>
      <c r="X27" s="69">
        <v>20</v>
      </c>
      <c r="Y27" s="9">
        <v>560</v>
      </c>
      <c r="Z27" s="69" t="b">
        <f t="shared" si="4"/>
        <v>1</v>
      </c>
      <c r="AA27" t="s">
        <v>147</v>
      </c>
      <c r="AB27" t="s">
        <v>233</v>
      </c>
      <c r="AC27">
        <v>22</v>
      </c>
      <c r="AD27" s="82">
        <v>616</v>
      </c>
    </row>
    <row r="28" spans="1:30" x14ac:dyDescent="0.35">
      <c r="A28" t="b">
        <f>COUNTIF(Salg_Total[Vare],B28)&gt;0</f>
        <v>1</v>
      </c>
      <c r="B28" s="146" t="str">
        <v>Fanta Exotic</v>
      </c>
      <c r="C28" s="131">
        <f>SUMIFS(Vipps_Totalraport[Beløp inkl. MVA],Vipps_Totalraport[Vare],B28)</f>
        <v>4928</v>
      </c>
      <c r="D28" s="132">
        <f>SUMIFS(Vipps_Totalraport[Beløp inkl. MVA],Vipps_Totalraport[Vare],B28)</f>
        <v>4928</v>
      </c>
      <c r="F28" t="b">
        <f t="shared" si="0"/>
        <v>1</v>
      </c>
      <c r="G28" s="117" t="s">
        <v>161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157</v>
      </c>
      <c r="M28" s="163" t="s">
        <v>234</v>
      </c>
      <c r="N28" s="163">
        <v>24</v>
      </c>
      <c r="O28" s="164">
        <v>576</v>
      </c>
      <c r="P28" s="132" t="b">
        <f t="shared" si="2"/>
        <v>1</v>
      </c>
      <c r="Q28" s="163" t="s">
        <v>168</v>
      </c>
      <c r="R28" s="163" t="s">
        <v>110</v>
      </c>
      <c r="S28" s="163">
        <v>26</v>
      </c>
      <c r="T28" s="164">
        <v>728</v>
      </c>
      <c r="U28" s="165" t="b">
        <f t="shared" si="3"/>
        <v>1</v>
      </c>
      <c r="V28" s="69" t="s">
        <v>167</v>
      </c>
      <c r="W28" s="69" t="s">
        <v>110</v>
      </c>
      <c r="X28" s="69">
        <v>19</v>
      </c>
      <c r="Y28" s="9">
        <v>532</v>
      </c>
      <c r="Z28" s="69" t="b">
        <f t="shared" si="4"/>
        <v>1</v>
      </c>
      <c r="AA28" t="s">
        <v>186</v>
      </c>
      <c r="AB28" t="s">
        <v>111</v>
      </c>
      <c r="AC28">
        <v>19</v>
      </c>
      <c r="AD28" s="82">
        <v>285</v>
      </c>
    </row>
    <row r="29" spans="1:30" x14ac:dyDescent="0.35">
      <c r="A29" t="b">
        <f>COUNTIF(Salg_Total[Vare],B29)&gt;0</f>
        <v>1</v>
      </c>
      <c r="B29" s="146" t="str">
        <v>Fanta Orange</v>
      </c>
      <c r="C29" s="131">
        <f>SUMIFS(Vipps_Totalraport[Beløp inkl. MVA],Vipps_Totalraport[Vare],B29)</f>
        <v>1456</v>
      </c>
      <c r="D29" s="132">
        <f>SUMIFS(Vipps_Totalraport[Beløp inkl. MVA],Vipps_Totalraport[Vare],B29)</f>
        <v>1456</v>
      </c>
      <c r="F29" t="b">
        <f t="shared" si="0"/>
        <v>1</v>
      </c>
      <c r="G29" s="117" t="s">
        <v>162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170</v>
      </c>
      <c r="M29" s="160" t="s">
        <v>232</v>
      </c>
      <c r="N29" s="160">
        <v>24</v>
      </c>
      <c r="O29" s="161">
        <v>840</v>
      </c>
      <c r="P29" s="134" t="b">
        <f t="shared" si="2"/>
        <v>1</v>
      </c>
      <c r="Q29" s="160" t="s">
        <v>198</v>
      </c>
      <c r="R29" s="160" t="s">
        <v>236</v>
      </c>
      <c r="S29" s="160">
        <v>25</v>
      </c>
      <c r="T29" s="161">
        <v>625</v>
      </c>
      <c r="U29" s="162" t="b">
        <f t="shared" si="3"/>
        <v>1</v>
      </c>
      <c r="V29" s="69" t="s">
        <v>194</v>
      </c>
      <c r="W29" s="69" t="s">
        <v>236</v>
      </c>
      <c r="X29" s="69">
        <v>19</v>
      </c>
      <c r="Y29" s="9">
        <v>285</v>
      </c>
      <c r="Z29" s="69" t="b">
        <f t="shared" si="4"/>
        <v>1</v>
      </c>
      <c r="AA29" t="s">
        <v>167</v>
      </c>
      <c r="AB29" t="s">
        <v>110</v>
      </c>
      <c r="AC29">
        <v>18</v>
      </c>
      <c r="AD29" s="82">
        <v>504</v>
      </c>
    </row>
    <row r="30" spans="1:30" x14ac:dyDescent="0.35">
      <c r="A30" t="b">
        <f>COUNTIF(Salg_Total[Vare],B30)&gt;0</f>
        <v>1</v>
      </c>
      <c r="B30" s="146" t="str">
        <v>Urge</v>
      </c>
      <c r="C30" s="131">
        <f>SUMIFS(Vipps_Totalraport[Beløp inkl. MVA],Vipps_Totalraport[Vare],B30)</f>
        <v>8624</v>
      </c>
      <c r="D30" s="132">
        <f>SUMIFS(Vipps_Totalraport[Beløp inkl. MVA],Vipps_Totalraport[Vare],B30)</f>
        <v>8624</v>
      </c>
      <c r="F30" t="b">
        <f t="shared" si="0"/>
        <v>1</v>
      </c>
      <c r="G30" s="117" t="s">
        <v>163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189</v>
      </c>
      <c r="M30" s="163" t="s">
        <v>236</v>
      </c>
      <c r="N30" s="163">
        <v>23</v>
      </c>
      <c r="O30" s="164">
        <v>414</v>
      </c>
      <c r="P30" s="132" t="b">
        <f t="shared" si="2"/>
        <v>1</v>
      </c>
      <c r="Q30" s="163" t="s">
        <v>139</v>
      </c>
      <c r="R30" s="163" t="s">
        <v>233</v>
      </c>
      <c r="S30" s="163">
        <v>25</v>
      </c>
      <c r="T30" s="164">
        <v>675</v>
      </c>
      <c r="U30" s="165" t="b">
        <f t="shared" si="3"/>
        <v>1</v>
      </c>
      <c r="V30" s="69" t="s">
        <v>133</v>
      </c>
      <c r="W30" s="69" t="s">
        <v>233</v>
      </c>
      <c r="X30" s="69">
        <v>19</v>
      </c>
      <c r="Y30" s="9">
        <v>570</v>
      </c>
      <c r="Z30" s="69" t="b">
        <f t="shared" si="4"/>
        <v>1</v>
      </c>
      <c r="AA30" t="s">
        <v>194</v>
      </c>
      <c r="AB30" t="s">
        <v>236</v>
      </c>
      <c r="AC30">
        <v>18</v>
      </c>
      <c r="AD30" s="82">
        <v>270</v>
      </c>
    </row>
    <row r="31" spans="1:30" x14ac:dyDescent="0.35">
      <c r="A31" t="b">
        <f>COUNTIF(Salg_Total[Vare],B31)&gt;0</f>
        <v>1</v>
      </c>
      <c r="B31" s="146" t="str">
        <v>Pepsi Max</v>
      </c>
      <c r="C31" s="131">
        <f>SUMIFS(Vipps_Totalraport[Beløp inkl. MVA],Vipps_Totalraport[Vare],B31)</f>
        <v>9280</v>
      </c>
      <c r="D31" s="132">
        <f>SUMIFS(Vipps_Totalraport[Beløp inkl. MVA],Vipps_Totalraport[Vare],B31)</f>
        <v>9280</v>
      </c>
      <c r="F31" t="b">
        <f t="shared" si="0"/>
        <v>1</v>
      </c>
      <c r="G31" s="117" t="s">
        <v>164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155</v>
      </c>
      <c r="M31" s="160" t="s">
        <v>234</v>
      </c>
      <c r="N31" s="160">
        <v>22</v>
      </c>
      <c r="O31" s="161">
        <v>528</v>
      </c>
      <c r="P31" s="134" t="b">
        <f t="shared" si="2"/>
        <v>1</v>
      </c>
      <c r="Q31" s="160" t="s">
        <v>145</v>
      </c>
      <c r="R31" s="160" t="s">
        <v>233</v>
      </c>
      <c r="S31" s="160">
        <v>23</v>
      </c>
      <c r="T31" s="161">
        <v>644</v>
      </c>
      <c r="U31" s="162" t="b">
        <f t="shared" si="3"/>
        <v>1</v>
      </c>
      <c r="V31" s="69" t="s">
        <v>134</v>
      </c>
      <c r="W31" s="69" t="s">
        <v>233</v>
      </c>
      <c r="X31" s="69">
        <v>18</v>
      </c>
      <c r="Y31" s="9">
        <v>540</v>
      </c>
      <c r="Z31" s="69" t="b">
        <f t="shared" si="4"/>
        <v>1</v>
      </c>
      <c r="AA31" t="s">
        <v>157</v>
      </c>
      <c r="AB31" t="s">
        <v>234</v>
      </c>
      <c r="AC31">
        <v>15</v>
      </c>
      <c r="AD31" s="82">
        <v>360</v>
      </c>
    </row>
    <row r="32" spans="1:30" x14ac:dyDescent="0.35">
      <c r="A32" t="b">
        <f>COUNTIF(Salg_Total[Vare],B32)&gt;0</f>
        <v>1</v>
      </c>
      <c r="B32" s="146" t="str">
        <v>Coca Cola</v>
      </c>
      <c r="C32" s="131">
        <f>SUMIFS(Vipps_Totalraport[Beløp inkl. MVA],Vipps_Totalraport[Vare],B32)</f>
        <v>3060</v>
      </c>
      <c r="D32" s="132">
        <f>SUMIFS(Vipps_Totalraport[Beløp inkl. MVA],Vipps_Totalraport[Vare],B32)</f>
        <v>3060</v>
      </c>
      <c r="F32" t="b">
        <f t="shared" si="0"/>
        <v>1</v>
      </c>
      <c r="G32" s="117" t="s">
        <v>165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188</v>
      </c>
      <c r="M32" s="163" t="s">
        <v>236</v>
      </c>
      <c r="N32" s="163">
        <v>20</v>
      </c>
      <c r="O32" s="164">
        <v>360</v>
      </c>
      <c r="P32" s="132" t="b">
        <f t="shared" si="2"/>
        <v>1</v>
      </c>
      <c r="Q32" s="163" t="s">
        <v>194</v>
      </c>
      <c r="R32" s="163" t="s">
        <v>236</v>
      </c>
      <c r="S32" s="163">
        <v>23</v>
      </c>
      <c r="T32" s="164">
        <v>345</v>
      </c>
      <c r="U32" s="165" t="b">
        <f t="shared" si="3"/>
        <v>1</v>
      </c>
      <c r="V32" s="69" t="s">
        <v>188</v>
      </c>
      <c r="W32" s="69" t="s">
        <v>236</v>
      </c>
      <c r="X32" s="69">
        <v>17</v>
      </c>
      <c r="Y32" s="9">
        <v>306</v>
      </c>
      <c r="Z32" s="69" t="b">
        <f t="shared" si="4"/>
        <v>1</v>
      </c>
      <c r="AA32" t="s">
        <v>152</v>
      </c>
      <c r="AB32" t="s">
        <v>233</v>
      </c>
      <c r="AC32">
        <v>14</v>
      </c>
      <c r="AD32" s="82">
        <v>392</v>
      </c>
    </row>
    <row r="33" spans="1:30" x14ac:dyDescent="0.35">
      <c r="A33" t="b">
        <f>COUNTIF(Salg_Total[Vare],B33)&gt;0</f>
        <v>1</v>
      </c>
      <c r="B33" s="147" t="str">
        <v>Coca Cola Zero</v>
      </c>
      <c r="C33" s="131">
        <f>SUMIFS(Vipps_Totalraport[Beløp inkl. MVA],Vipps_Totalraport[Vare],B33)</f>
        <v>1300</v>
      </c>
      <c r="D33" s="132">
        <f>SUMIFS(Vipps_Totalraport[Beløp inkl. MVA],Vipps_Totalraport[Vare],B33)</f>
        <v>1300</v>
      </c>
      <c r="F33" t="b">
        <f t="shared" si="0"/>
        <v>1</v>
      </c>
      <c r="G33" s="118" t="s">
        <v>166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198</v>
      </c>
      <c r="M33" s="160" t="s">
        <v>236</v>
      </c>
      <c r="N33" s="160">
        <v>19</v>
      </c>
      <c r="O33" s="161">
        <v>475</v>
      </c>
      <c r="P33" s="134" t="b">
        <f t="shared" si="2"/>
        <v>1</v>
      </c>
      <c r="Q33" s="160" t="s">
        <v>153</v>
      </c>
      <c r="R33" s="160" t="s">
        <v>233</v>
      </c>
      <c r="S33" s="160">
        <v>22</v>
      </c>
      <c r="T33" s="161">
        <v>660</v>
      </c>
      <c r="U33" s="162" t="b">
        <f t="shared" si="3"/>
        <v>1</v>
      </c>
      <c r="V33" s="69" t="s">
        <v>154</v>
      </c>
      <c r="W33" s="69" t="s">
        <v>234</v>
      </c>
      <c r="X33" s="69">
        <v>16</v>
      </c>
      <c r="Y33" s="9">
        <v>384</v>
      </c>
      <c r="Z33" s="69" t="b">
        <f t="shared" si="4"/>
        <v>1</v>
      </c>
      <c r="AA33" t="s">
        <v>189</v>
      </c>
      <c r="AB33" t="s">
        <v>236</v>
      </c>
      <c r="AC33">
        <v>14</v>
      </c>
      <c r="AD33" s="82">
        <v>252</v>
      </c>
    </row>
    <row r="34" spans="1:30" x14ac:dyDescent="0.35">
      <c r="A34" t="b">
        <f>COUNTIF(Salg_Total[Vare],B34)&gt;0</f>
        <v>1</v>
      </c>
      <c r="B34" s="147" t="str">
        <v>Iste</v>
      </c>
      <c r="C34" s="131">
        <f>SUMIFS(Vipps_Totalraport[Beløp inkl. MVA],Vipps_Totalraport[Vare],B34)</f>
        <v>1428</v>
      </c>
      <c r="D34" s="132">
        <f>SUMIFS(Vipps_Totalraport[Beløp inkl. MVA],Vipps_Totalraport[Vare],B34)</f>
        <v>1428</v>
      </c>
      <c r="F34" t="b">
        <f t="shared" ref="F34:F61" si="5">COUNTIF(B:B,G34)&gt;0</f>
        <v>1</v>
      </c>
      <c r="G34" s="118" t="s">
        <v>168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6">COUNTIF($B:$B,L34)&gt;0</f>
        <v>1</v>
      </c>
      <c r="L34" s="163" t="s">
        <v>144</v>
      </c>
      <c r="M34" s="163" t="s">
        <v>233</v>
      </c>
      <c r="N34" s="163">
        <v>18</v>
      </c>
      <c r="O34" s="164">
        <v>270</v>
      </c>
      <c r="P34" s="132" t="b">
        <f t="shared" ref="P34:P59" si="7">COUNTIF($B:$B,Q34)&gt;0</f>
        <v>1</v>
      </c>
      <c r="Q34" s="163" t="s">
        <v>166</v>
      </c>
      <c r="R34" s="163" t="s">
        <v>110</v>
      </c>
      <c r="S34" s="163">
        <v>21</v>
      </c>
      <c r="T34" s="164">
        <v>420</v>
      </c>
      <c r="U34" s="165" t="b">
        <f t="shared" si="3"/>
        <v>1</v>
      </c>
      <c r="V34" s="69" t="s">
        <v>139</v>
      </c>
      <c r="W34" s="69" t="s">
        <v>233</v>
      </c>
      <c r="X34" s="69">
        <v>16</v>
      </c>
      <c r="Y34" s="9">
        <v>432</v>
      </c>
      <c r="Z34" s="69" t="b">
        <f t="shared" si="4"/>
        <v>1</v>
      </c>
      <c r="AA34" t="s">
        <v>188</v>
      </c>
      <c r="AB34" t="s">
        <v>236</v>
      </c>
      <c r="AC34">
        <v>14</v>
      </c>
      <c r="AD34" s="82">
        <v>252</v>
      </c>
    </row>
    <row r="35" spans="1:30" x14ac:dyDescent="0.35">
      <c r="A35" t="b">
        <f>COUNTIF(Salg_Total[Vare],B35)&gt;0</f>
        <v>1</v>
      </c>
      <c r="B35" s="147" t="str">
        <v>Iste U/sukker</v>
      </c>
      <c r="C35" s="131">
        <f>SUMIFS(Vipps_Totalraport[Beløp inkl. MVA],Vipps_Totalraport[Vare],B35)</f>
        <v>896</v>
      </c>
      <c r="D35" s="132">
        <f>SUMIFS(Vipps_Totalraport[Beløp inkl. MVA],Vipps_Totalraport[Vare],B35)</f>
        <v>896</v>
      </c>
      <c r="F35" t="b">
        <f t="shared" si="5"/>
        <v>1</v>
      </c>
      <c r="G35" s="118" t="s">
        <v>169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6"/>
        <v>1</v>
      </c>
      <c r="L35" s="160" t="s">
        <v>153</v>
      </c>
      <c r="M35" s="160" t="s">
        <v>233</v>
      </c>
      <c r="N35" s="160">
        <v>17</v>
      </c>
      <c r="O35" s="161">
        <v>510</v>
      </c>
      <c r="P35" s="134" t="b">
        <f t="shared" si="7"/>
        <v>1</v>
      </c>
      <c r="Q35" s="160" t="s">
        <v>147</v>
      </c>
      <c r="R35" s="160" t="s">
        <v>233</v>
      </c>
      <c r="S35" s="160">
        <v>20</v>
      </c>
      <c r="T35" s="161">
        <v>560</v>
      </c>
      <c r="U35" s="162" t="b">
        <f t="shared" si="3"/>
        <v>1</v>
      </c>
      <c r="V35" s="69" t="s">
        <v>135</v>
      </c>
      <c r="W35" s="69" t="s">
        <v>233</v>
      </c>
      <c r="X35" s="69">
        <v>15</v>
      </c>
      <c r="Y35" s="9">
        <v>405</v>
      </c>
      <c r="Z35" s="69" t="b">
        <f t="shared" si="4"/>
        <v>1</v>
      </c>
      <c r="AA35" t="s">
        <v>183</v>
      </c>
      <c r="AB35" t="s">
        <v>111</v>
      </c>
      <c r="AC35">
        <v>12</v>
      </c>
      <c r="AD35" s="82">
        <v>120</v>
      </c>
    </row>
    <row r="36" spans="1:30" x14ac:dyDescent="0.35">
      <c r="A36" t="b">
        <f>COUNTIF(Salg_Total[Vare],B36)&gt;0</f>
        <v>1</v>
      </c>
      <c r="B36" s="146" t="str">
        <v>Smil</v>
      </c>
      <c r="C36" s="131">
        <f>SUMIFS(Vipps_Totalraport[Beløp inkl. MVA],Vipps_Totalraport[Vare],B36)</f>
        <v>1820</v>
      </c>
      <c r="D36" s="132">
        <f>SUMIFS(Vipps_Totalraport[Beløp inkl. MVA],Vipps_Totalraport[Vare],B36)</f>
        <v>1820</v>
      </c>
      <c r="F36" t="b">
        <f t="shared" si="5"/>
        <v>1</v>
      </c>
      <c r="G36" s="117" t="s">
        <v>170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6"/>
        <v>1</v>
      </c>
      <c r="L36" s="163" t="s">
        <v>187</v>
      </c>
      <c r="M36" s="163" t="s">
        <v>236</v>
      </c>
      <c r="N36" s="163">
        <v>17</v>
      </c>
      <c r="O36" s="164">
        <v>306</v>
      </c>
      <c r="P36" s="132" t="b">
        <f t="shared" si="7"/>
        <v>1</v>
      </c>
      <c r="Q36" s="163" t="s">
        <v>135</v>
      </c>
      <c r="R36" s="163" t="s">
        <v>233</v>
      </c>
      <c r="S36" s="163">
        <v>20</v>
      </c>
      <c r="T36" s="164">
        <v>540</v>
      </c>
      <c r="U36" s="165" t="b">
        <f t="shared" si="3"/>
        <v>1</v>
      </c>
      <c r="V36" s="69" t="s">
        <v>186</v>
      </c>
      <c r="W36" s="69" t="s">
        <v>111</v>
      </c>
      <c r="X36" s="69">
        <v>15</v>
      </c>
      <c r="Y36" s="9">
        <v>225</v>
      </c>
      <c r="Z36" s="69" t="b">
        <f t="shared" si="4"/>
        <v>1</v>
      </c>
      <c r="AA36" t="s">
        <v>162</v>
      </c>
      <c r="AB36" t="s">
        <v>110</v>
      </c>
      <c r="AC36">
        <v>11</v>
      </c>
      <c r="AD36" s="82">
        <v>308</v>
      </c>
    </row>
    <row r="37" spans="1:30" x14ac:dyDescent="0.35">
      <c r="A37" t="b">
        <f>COUNTIF(Salg_Total[Vare],B37)&gt;0</f>
        <v>1</v>
      </c>
      <c r="B37" s="146" t="str">
        <v>Melkerull</v>
      </c>
      <c r="C37" s="131">
        <f>SUMIFS(Vipps_Totalraport[Beløp inkl. MVA],Vipps_Totalraport[Vare],B37)</f>
        <v>1925</v>
      </c>
      <c r="D37" s="132">
        <f>SUMIFS(Vipps_Totalraport[Beløp inkl. MVA],Vipps_Totalraport[Vare],B37)</f>
        <v>1925</v>
      </c>
      <c r="F37" t="b">
        <f t="shared" si="5"/>
        <v>1</v>
      </c>
      <c r="G37" s="117" t="s">
        <v>172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6"/>
        <v>1</v>
      </c>
      <c r="L37" s="160" t="s">
        <v>147</v>
      </c>
      <c r="M37" s="160" t="s">
        <v>233</v>
      </c>
      <c r="N37" s="160">
        <v>15</v>
      </c>
      <c r="O37" s="161">
        <v>420</v>
      </c>
      <c r="P37" s="134" t="b">
        <f t="shared" si="7"/>
        <v>1</v>
      </c>
      <c r="Q37" s="160" t="s">
        <v>188</v>
      </c>
      <c r="R37" s="160" t="s">
        <v>236</v>
      </c>
      <c r="S37" s="160">
        <v>19</v>
      </c>
      <c r="T37" s="161">
        <v>342</v>
      </c>
      <c r="U37" s="162" t="b">
        <f t="shared" si="3"/>
        <v>1</v>
      </c>
      <c r="V37" s="69" t="s">
        <v>179</v>
      </c>
      <c r="W37" s="69" t="s">
        <v>232</v>
      </c>
      <c r="X37" s="69">
        <v>12</v>
      </c>
      <c r="Y37" s="9">
        <v>336</v>
      </c>
      <c r="Z37" s="69" t="b">
        <f t="shared" si="4"/>
        <v>1</v>
      </c>
      <c r="AA37" t="s">
        <v>156</v>
      </c>
      <c r="AB37" t="s">
        <v>234</v>
      </c>
      <c r="AC37">
        <v>11</v>
      </c>
      <c r="AD37" s="82">
        <v>264</v>
      </c>
    </row>
    <row r="38" spans="1:30" x14ac:dyDescent="0.35">
      <c r="A38" t="b">
        <f>COUNTIF(Salg_Total[Vare],B38)&gt;0</f>
        <v>1</v>
      </c>
      <c r="B38" s="146" t="str">
        <v>Kinder Bueno</v>
      </c>
      <c r="C38" s="131">
        <f>SUMIFS(Vipps_Totalraport[Beløp inkl. MVA],Vipps_Totalraport[Vare],B38)</f>
        <v>6318</v>
      </c>
      <c r="D38" s="132">
        <f>SUMIFS(Vipps_Totalraport[Beløp inkl. MVA],Vipps_Totalraport[Vare],B38)</f>
        <v>6318</v>
      </c>
      <c r="F38" t="b">
        <f t="shared" si="5"/>
        <v>1</v>
      </c>
      <c r="G38" s="117" t="s">
        <v>173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6"/>
        <v>1</v>
      </c>
      <c r="L38" s="163" t="s">
        <v>161</v>
      </c>
      <c r="M38" s="163" t="s">
        <v>110</v>
      </c>
      <c r="N38" s="163">
        <v>15</v>
      </c>
      <c r="O38" s="164">
        <v>420</v>
      </c>
      <c r="P38" s="132" t="b">
        <f t="shared" si="7"/>
        <v>1</v>
      </c>
      <c r="Q38" s="163" t="s">
        <v>237</v>
      </c>
      <c r="R38" s="163" t="s">
        <v>233</v>
      </c>
      <c r="S38" s="163">
        <v>16</v>
      </c>
      <c r="T38" s="164">
        <v>432</v>
      </c>
      <c r="U38" s="165" t="b">
        <f t="shared" si="3"/>
        <v>1</v>
      </c>
      <c r="V38" s="69" t="s">
        <v>162</v>
      </c>
      <c r="W38" s="69" t="s">
        <v>110</v>
      </c>
      <c r="X38" s="69">
        <v>11</v>
      </c>
      <c r="Y38" s="9">
        <v>308</v>
      </c>
      <c r="Z38" s="69" t="b">
        <f t="shared" si="4"/>
        <v>1</v>
      </c>
      <c r="AA38" t="s">
        <v>321</v>
      </c>
      <c r="AB38" t="s">
        <v>233</v>
      </c>
      <c r="AC38">
        <v>9</v>
      </c>
      <c r="AD38" s="82">
        <v>270</v>
      </c>
    </row>
    <row r="39" spans="1:30" x14ac:dyDescent="0.35">
      <c r="A39" t="b">
        <f>COUNTIF(Salg_Total[Vare],B39)&gt;0</f>
        <v>1</v>
      </c>
      <c r="B39" s="146" t="str">
        <v>Kinder Maxi</v>
      </c>
      <c r="C39" s="131">
        <f>SUMIFS(Vipps_Totalraport[Beløp inkl. MVA],Vipps_Totalraport[Vare],B39)</f>
        <v>5340</v>
      </c>
      <c r="D39" s="132">
        <f>SUMIFS(Vipps_Totalraport[Beløp inkl. MVA],Vipps_Totalraport[Vare],B39)</f>
        <v>5340</v>
      </c>
      <c r="F39" t="b">
        <f t="shared" si="5"/>
        <v>1</v>
      </c>
      <c r="G39" s="117" t="s">
        <v>174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6"/>
        <v>1</v>
      </c>
      <c r="L39" s="160" t="s">
        <v>154</v>
      </c>
      <c r="M39" s="160" t="s">
        <v>234</v>
      </c>
      <c r="N39" s="160">
        <v>15</v>
      </c>
      <c r="O39" s="161">
        <v>360</v>
      </c>
      <c r="P39" s="134" t="b">
        <f t="shared" si="7"/>
        <v>1</v>
      </c>
      <c r="Q39" s="160" t="s">
        <v>175</v>
      </c>
      <c r="R39" s="160" t="s">
        <v>232</v>
      </c>
      <c r="S39" s="160">
        <v>16</v>
      </c>
      <c r="T39" s="161">
        <v>400</v>
      </c>
      <c r="U39" s="162" t="b">
        <f t="shared" si="3"/>
        <v>1</v>
      </c>
      <c r="V39" s="69" t="s">
        <v>158</v>
      </c>
      <c r="W39" s="69" t="s">
        <v>234</v>
      </c>
      <c r="X39" s="69">
        <v>11</v>
      </c>
      <c r="Y39" s="9">
        <v>264</v>
      </c>
      <c r="Z39" s="69" t="b">
        <f t="shared" si="4"/>
        <v>1</v>
      </c>
      <c r="AA39" t="s">
        <v>141</v>
      </c>
      <c r="AB39" t="s">
        <v>233</v>
      </c>
      <c r="AC39">
        <v>9</v>
      </c>
      <c r="AD39" s="82">
        <v>243</v>
      </c>
    </row>
    <row r="40" spans="1:30" x14ac:dyDescent="0.35">
      <c r="A40" t="b">
        <f>COUNTIF(Salg_Total[Vare],B40)&gt;0</f>
        <v>1</v>
      </c>
      <c r="B40" s="146" t="str">
        <v>Snickers</v>
      </c>
      <c r="C40" s="131">
        <f>SUMIFS(Vipps_Totalraport[Beløp inkl. MVA],Vipps_Totalraport[Vare],B40)</f>
        <v>2600</v>
      </c>
      <c r="D40" s="132">
        <f>SUMIFS(Vipps_Totalraport[Beløp inkl. MVA],Vipps_Totalraport[Vare],B40)</f>
        <v>2600</v>
      </c>
      <c r="F40" t="b">
        <f t="shared" si="5"/>
        <v>1</v>
      </c>
      <c r="G40" s="117" t="s">
        <v>175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6"/>
        <v>1</v>
      </c>
      <c r="L40" s="163" t="s">
        <v>156</v>
      </c>
      <c r="M40" s="163" t="s">
        <v>234</v>
      </c>
      <c r="N40" s="163">
        <v>15</v>
      </c>
      <c r="O40" s="164">
        <v>360</v>
      </c>
      <c r="P40" s="132" t="b">
        <f t="shared" si="7"/>
        <v>1</v>
      </c>
      <c r="Q40" s="163" t="s">
        <v>152</v>
      </c>
      <c r="R40" s="163" t="s">
        <v>233</v>
      </c>
      <c r="S40" s="163">
        <v>15</v>
      </c>
      <c r="T40" s="164">
        <v>420</v>
      </c>
      <c r="U40" s="165" t="b">
        <f t="shared" si="3"/>
        <v>1</v>
      </c>
      <c r="V40" s="69" t="s">
        <v>153</v>
      </c>
      <c r="W40" s="69" t="s">
        <v>233</v>
      </c>
      <c r="X40" s="69">
        <v>9</v>
      </c>
      <c r="Y40" s="9">
        <v>270</v>
      </c>
      <c r="Z40" s="69" t="b">
        <f t="shared" si="4"/>
        <v>1</v>
      </c>
      <c r="AA40" t="s">
        <v>139</v>
      </c>
      <c r="AB40" t="s">
        <v>233</v>
      </c>
      <c r="AC40">
        <v>9</v>
      </c>
      <c r="AD40" s="82">
        <v>243</v>
      </c>
    </row>
    <row r="41" spans="1:30" x14ac:dyDescent="0.35">
      <c r="A41" t="b">
        <f>COUNTIF(Salg_Total[Vare],B41)&gt;0</f>
        <v>1</v>
      </c>
      <c r="B41" s="146" t="str">
        <v>Mars</v>
      </c>
      <c r="C41" s="131">
        <f>SUMIFS(Vipps_Totalraport[Beløp inkl. MVA],Vipps_Totalraport[Vare],B41)</f>
        <v>2850</v>
      </c>
      <c r="D41" s="132">
        <f>SUMIFS(Vipps_Totalraport[Beløp inkl. MVA],Vipps_Totalraport[Vare],B41)</f>
        <v>2850</v>
      </c>
      <c r="F41" t="b">
        <f t="shared" si="5"/>
        <v>1</v>
      </c>
      <c r="G41" s="117" t="s">
        <v>178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6"/>
        <v>1</v>
      </c>
      <c r="L41" s="160" t="s">
        <v>168</v>
      </c>
      <c r="M41" s="160" t="s">
        <v>110</v>
      </c>
      <c r="N41" s="160">
        <v>15</v>
      </c>
      <c r="O41" s="161">
        <v>420</v>
      </c>
      <c r="P41" s="134" t="b">
        <f t="shared" si="7"/>
        <v>1</v>
      </c>
      <c r="Q41" s="160" t="s">
        <v>189</v>
      </c>
      <c r="R41" s="160" t="s">
        <v>236</v>
      </c>
      <c r="S41" s="160">
        <v>15</v>
      </c>
      <c r="T41" s="161">
        <v>270</v>
      </c>
      <c r="U41" s="162" t="b">
        <f t="shared" si="3"/>
        <v>1</v>
      </c>
      <c r="V41" s="69" t="s">
        <v>156</v>
      </c>
      <c r="W41" s="69" t="s">
        <v>234</v>
      </c>
      <c r="X41" s="69">
        <v>9</v>
      </c>
      <c r="Y41" s="9">
        <v>216</v>
      </c>
      <c r="Z41" s="69" t="b">
        <f t="shared" si="4"/>
        <v>1</v>
      </c>
      <c r="AA41" t="s">
        <v>154</v>
      </c>
      <c r="AB41" t="s">
        <v>234</v>
      </c>
      <c r="AC41">
        <v>8</v>
      </c>
      <c r="AD41" s="82">
        <v>192</v>
      </c>
    </row>
    <row r="42" spans="1:30" x14ac:dyDescent="0.35">
      <c r="A42" t="b">
        <f>COUNTIF(Salg_Total[Vare],B42)&gt;0</f>
        <v>1</v>
      </c>
      <c r="B42" s="146" t="str">
        <v>Twix</v>
      </c>
      <c r="C42" s="131">
        <f>SUMIFS(Vipps_Totalraport[Beløp inkl. MVA],Vipps_Totalraport[Vare],B42)</f>
        <v>3976</v>
      </c>
      <c r="D42" s="132">
        <f>SUMIFS(Vipps_Totalraport[Beløp inkl. MVA],Vipps_Totalraport[Vare],B42)</f>
        <v>3976</v>
      </c>
      <c r="F42" t="b">
        <f t="shared" si="5"/>
        <v>1</v>
      </c>
      <c r="G42" s="117" t="s">
        <v>179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6"/>
        <v>1</v>
      </c>
      <c r="L42" s="163" t="s">
        <v>169</v>
      </c>
      <c r="M42" s="163" t="s">
        <v>110</v>
      </c>
      <c r="N42" s="163">
        <v>15</v>
      </c>
      <c r="O42" s="164">
        <v>420</v>
      </c>
      <c r="P42" s="132" t="b">
        <f t="shared" si="7"/>
        <v>1</v>
      </c>
      <c r="Q42" s="163" t="s">
        <v>159</v>
      </c>
      <c r="R42" s="163" t="s">
        <v>234</v>
      </c>
      <c r="S42" s="163">
        <v>14</v>
      </c>
      <c r="T42" s="164">
        <v>336</v>
      </c>
      <c r="U42" s="165" t="b">
        <f t="shared" si="3"/>
        <v>1</v>
      </c>
      <c r="V42" s="69" t="s">
        <v>196</v>
      </c>
      <c r="W42" s="69" t="s">
        <v>236</v>
      </c>
      <c r="X42" s="69">
        <v>9</v>
      </c>
      <c r="Y42" s="9">
        <v>90</v>
      </c>
      <c r="Z42" s="69" t="b">
        <f t="shared" si="4"/>
        <v>1</v>
      </c>
      <c r="AA42" t="s">
        <v>187</v>
      </c>
      <c r="AB42" t="s">
        <v>236</v>
      </c>
      <c r="AC42">
        <v>8</v>
      </c>
      <c r="AD42" s="82">
        <v>144</v>
      </c>
    </row>
    <row r="43" spans="1:30" x14ac:dyDescent="0.35">
      <c r="A43" t="b">
        <f>COUNTIF(Salg_Total[Vare],B43)&gt;0</f>
        <v>1</v>
      </c>
      <c r="B43" s="146" t="str">
        <v>Japp</v>
      </c>
      <c r="C43" s="131">
        <f>SUMIFS(Vipps_Totalraport[Beløp inkl. MVA],Vipps_Totalraport[Vare],B43)</f>
        <v>980</v>
      </c>
      <c r="D43" s="132">
        <f>SUMIFS(Vipps_Totalraport[Beløp inkl. MVA],Vipps_Totalraport[Vare],B43)</f>
        <v>980</v>
      </c>
      <c r="F43" t="b">
        <f t="shared" si="5"/>
        <v>1</v>
      </c>
      <c r="G43" s="117" t="s">
        <v>180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6"/>
        <v>1</v>
      </c>
      <c r="L43" s="160" t="s">
        <v>180</v>
      </c>
      <c r="M43" s="160" t="s">
        <v>232</v>
      </c>
      <c r="N43" s="160">
        <v>15</v>
      </c>
      <c r="O43" s="161">
        <v>420</v>
      </c>
      <c r="P43" s="134" t="b">
        <f t="shared" si="7"/>
        <v>1</v>
      </c>
      <c r="Q43" s="160" t="s">
        <v>158</v>
      </c>
      <c r="R43" s="160" t="s">
        <v>234</v>
      </c>
      <c r="S43" s="160">
        <v>13</v>
      </c>
      <c r="T43" s="161">
        <v>312</v>
      </c>
      <c r="U43" s="162" t="b">
        <f t="shared" si="3"/>
        <v>1</v>
      </c>
      <c r="V43" s="69" t="s">
        <v>150</v>
      </c>
      <c r="W43" s="69" t="s">
        <v>233</v>
      </c>
      <c r="X43" s="69">
        <v>8</v>
      </c>
      <c r="Y43" s="9">
        <v>224</v>
      </c>
      <c r="Z43" s="69" t="b">
        <f t="shared" si="4"/>
        <v>1</v>
      </c>
      <c r="AA43" t="s">
        <v>158</v>
      </c>
      <c r="AB43" t="s">
        <v>234</v>
      </c>
      <c r="AC43">
        <v>6</v>
      </c>
      <c r="AD43" s="82">
        <v>144</v>
      </c>
    </row>
    <row r="44" spans="1:30" x14ac:dyDescent="0.35">
      <c r="A44" t="b">
        <f>COUNTIF(Salg_Total[Vare],B44)&gt;0</f>
        <v>1</v>
      </c>
      <c r="B44" s="146" t="str">
        <v>Lion</v>
      </c>
      <c r="C44" s="131">
        <f>SUMIFS(Vipps_Totalraport[Beløp inkl. MVA],Vipps_Totalraport[Vare],B44)</f>
        <v>900</v>
      </c>
      <c r="D44" s="132">
        <f>SUMIFS(Vipps_Totalraport[Beløp inkl. MVA],Vipps_Totalraport[Vare],B44)</f>
        <v>900</v>
      </c>
      <c r="F44" t="b">
        <f t="shared" si="5"/>
        <v>1</v>
      </c>
      <c r="G44" s="117" t="s">
        <v>181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6"/>
        <v>1</v>
      </c>
      <c r="L44" s="163" t="s">
        <v>143</v>
      </c>
      <c r="M44" s="163" t="s">
        <v>233</v>
      </c>
      <c r="N44" s="163">
        <v>15</v>
      </c>
      <c r="O44" s="164">
        <v>225</v>
      </c>
      <c r="P44" s="132" t="b">
        <f t="shared" si="7"/>
        <v>1</v>
      </c>
      <c r="Q44" s="163" t="s">
        <v>169</v>
      </c>
      <c r="R44" s="163" t="s">
        <v>110</v>
      </c>
      <c r="S44" s="163">
        <v>13</v>
      </c>
      <c r="T44" s="164">
        <v>364</v>
      </c>
      <c r="U44" s="165" t="b">
        <f t="shared" si="3"/>
        <v>1</v>
      </c>
      <c r="V44" s="69" t="s">
        <v>157</v>
      </c>
      <c r="W44" s="69" t="s">
        <v>234</v>
      </c>
      <c r="X44" s="69">
        <v>8</v>
      </c>
      <c r="Y44" s="9">
        <v>192</v>
      </c>
      <c r="Z44" s="69" t="b">
        <f t="shared" si="4"/>
        <v>1</v>
      </c>
      <c r="AA44" t="s">
        <v>168</v>
      </c>
      <c r="AB44" t="s">
        <v>110</v>
      </c>
      <c r="AC44">
        <v>6</v>
      </c>
      <c r="AD44" s="82">
        <v>168</v>
      </c>
    </row>
    <row r="45" spans="1:30" x14ac:dyDescent="0.35">
      <c r="A45" t="b">
        <f>COUNTIF(Salg_Total[Vare],B45)&gt;0</f>
        <v>1</v>
      </c>
      <c r="B45" s="147" t="str">
        <v>Smarties</v>
      </c>
      <c r="C45" s="131">
        <f>SUMIFS(Vipps_Totalraport[Beløp inkl. MVA],Vipps_Totalraport[Vare],B45)</f>
        <v>1000</v>
      </c>
      <c r="D45" s="132">
        <f>SUMIFS(Vipps_Totalraport[Beløp inkl. MVA],Vipps_Totalraport[Vare],B45)</f>
        <v>1000</v>
      </c>
      <c r="F45" t="b">
        <f t="shared" si="5"/>
        <v>1</v>
      </c>
      <c r="G45" s="118" t="s">
        <v>182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6"/>
        <v>1</v>
      </c>
      <c r="L45" s="160" t="s">
        <v>166</v>
      </c>
      <c r="M45" s="160" t="s">
        <v>110</v>
      </c>
      <c r="N45" s="160">
        <v>13</v>
      </c>
      <c r="O45" s="161">
        <v>260</v>
      </c>
      <c r="P45" s="134" t="b">
        <f t="shared" si="7"/>
        <v>1</v>
      </c>
      <c r="Q45" s="160" t="s">
        <v>197</v>
      </c>
      <c r="R45" s="160" t="s">
        <v>236</v>
      </c>
      <c r="S45" s="160">
        <v>13</v>
      </c>
      <c r="T45" s="161">
        <v>130</v>
      </c>
      <c r="U45" s="162" t="b">
        <f t="shared" si="3"/>
        <v>1</v>
      </c>
      <c r="V45" s="69" t="s">
        <v>198</v>
      </c>
      <c r="W45" s="69" t="s">
        <v>236</v>
      </c>
      <c r="X45" s="69">
        <v>7</v>
      </c>
      <c r="Y45" s="9">
        <v>175</v>
      </c>
      <c r="Z45" s="69" t="b">
        <f t="shared" si="4"/>
        <v>1</v>
      </c>
      <c r="AA45" t="s">
        <v>237</v>
      </c>
      <c r="AB45" t="s">
        <v>233</v>
      </c>
      <c r="AC45">
        <v>5</v>
      </c>
      <c r="AD45" s="82">
        <v>135</v>
      </c>
    </row>
    <row r="46" spans="1:30" x14ac:dyDescent="0.35">
      <c r="A46" t="b">
        <f>COUNTIF(Salg_Total[Vare],B46)&gt;0</f>
        <v>1</v>
      </c>
      <c r="B46" s="146" t="str">
        <v>Snap n´crackle</v>
      </c>
      <c r="C46" s="131">
        <f>SUMIFS(Vipps_Totalraport[Beløp inkl. MVA],Vipps_Totalraport[Vare],B46)</f>
        <v>1830</v>
      </c>
      <c r="D46" s="132">
        <f>SUMIFS(Vipps_Totalraport[Beløp inkl. MVA],Vipps_Totalraport[Vare],B46)</f>
        <v>1830</v>
      </c>
      <c r="F46" t="b">
        <f t="shared" si="5"/>
        <v>1</v>
      </c>
      <c r="G46" s="117" t="s">
        <v>183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6"/>
        <v>1</v>
      </c>
      <c r="L46" s="163" t="s">
        <v>194</v>
      </c>
      <c r="M46" s="163" t="s">
        <v>236</v>
      </c>
      <c r="N46" s="163">
        <v>12</v>
      </c>
      <c r="O46" s="164">
        <v>180</v>
      </c>
      <c r="P46" s="132" t="b">
        <f t="shared" si="7"/>
        <v>1</v>
      </c>
      <c r="Q46" s="163" t="s">
        <v>150</v>
      </c>
      <c r="R46" s="163" t="s">
        <v>233</v>
      </c>
      <c r="S46" s="163">
        <v>12</v>
      </c>
      <c r="T46" s="164">
        <v>336</v>
      </c>
      <c r="U46" s="165" t="b">
        <f t="shared" si="3"/>
        <v>1</v>
      </c>
      <c r="V46" s="69" t="s">
        <v>197</v>
      </c>
      <c r="W46" s="69" t="s">
        <v>236</v>
      </c>
      <c r="X46" s="69">
        <v>7</v>
      </c>
      <c r="Y46" s="9">
        <v>70</v>
      </c>
      <c r="Z46" s="69" t="b">
        <f t="shared" si="4"/>
        <v>1</v>
      </c>
      <c r="AA46" t="s">
        <v>169</v>
      </c>
      <c r="AB46" t="s">
        <v>110</v>
      </c>
      <c r="AC46">
        <v>4</v>
      </c>
      <c r="AD46" s="82">
        <v>112</v>
      </c>
    </row>
    <row r="47" spans="1:30" x14ac:dyDescent="0.35">
      <c r="A47" t="b">
        <f>COUNTIF(Salg_Total[Vare],B47)&gt;0</f>
        <v>1</v>
      </c>
      <c r="B47" s="146" t="str">
        <v>Drumstick</v>
      </c>
      <c r="C47" s="131">
        <f>SUMIFS(Vipps_Totalraport[Beløp inkl. MVA],Vipps_Totalraport[Vare],B47)</f>
        <v>4500</v>
      </c>
      <c r="D47" s="132">
        <f>SUMIFS(Vipps_Totalraport[Beløp inkl. MVA],Vipps_Totalraport[Vare],B47)</f>
        <v>4500</v>
      </c>
      <c r="F47" t="b">
        <f t="shared" si="5"/>
        <v>1</v>
      </c>
      <c r="G47" s="117" t="s">
        <v>184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6"/>
        <v>1</v>
      </c>
      <c r="L47" s="160" t="s">
        <v>159</v>
      </c>
      <c r="M47" s="160" t="s">
        <v>234</v>
      </c>
      <c r="N47" s="160">
        <v>12</v>
      </c>
      <c r="O47" s="161">
        <v>288</v>
      </c>
      <c r="P47" s="134" t="b">
        <f t="shared" si="7"/>
        <v>1</v>
      </c>
      <c r="Q47" s="160" t="s">
        <v>195</v>
      </c>
      <c r="R47" s="160" t="s">
        <v>111</v>
      </c>
      <c r="S47" s="160">
        <v>12</v>
      </c>
      <c r="T47" s="161">
        <v>96</v>
      </c>
      <c r="U47" s="162" t="b">
        <f t="shared" si="3"/>
        <v>1</v>
      </c>
      <c r="V47" s="69" t="s">
        <v>237</v>
      </c>
      <c r="W47" s="69" t="s">
        <v>233</v>
      </c>
      <c r="X47" s="69">
        <v>7</v>
      </c>
      <c r="Y47" s="9">
        <v>189</v>
      </c>
      <c r="Z47" s="69" t="b">
        <f t="shared" si="4"/>
        <v>1</v>
      </c>
      <c r="AA47" t="s">
        <v>142</v>
      </c>
      <c r="AB47" t="s">
        <v>233</v>
      </c>
      <c r="AC47">
        <v>4</v>
      </c>
      <c r="AD47" s="82">
        <v>108</v>
      </c>
    </row>
    <row r="48" spans="1:30" x14ac:dyDescent="0.35">
      <c r="A48" t="b">
        <f>COUNTIF(Salg_Total[Vare],B48)&gt;0</f>
        <v>1</v>
      </c>
      <c r="B48" s="146" t="str">
        <v>Squashies</v>
      </c>
      <c r="C48" s="131">
        <f>SUMIFS(Vipps_Totalraport[Beløp inkl. MVA],Vipps_Totalraport[Vare],B48)</f>
        <v>3160</v>
      </c>
      <c r="D48" s="132">
        <f>SUMIFS(Vipps_Totalraport[Beløp inkl. MVA],Vipps_Totalraport[Vare],B48)</f>
        <v>3160</v>
      </c>
      <c r="F48" t="b">
        <f t="shared" si="5"/>
        <v>1</v>
      </c>
      <c r="G48" s="117" t="s">
        <v>185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6"/>
        <v>1</v>
      </c>
      <c r="L48" s="163" t="s">
        <v>133</v>
      </c>
      <c r="M48" s="163" t="s">
        <v>233</v>
      </c>
      <c r="N48" s="163">
        <v>10</v>
      </c>
      <c r="O48" s="164">
        <v>300</v>
      </c>
      <c r="P48" s="132" t="b">
        <f t="shared" si="7"/>
        <v>1</v>
      </c>
      <c r="Q48" s="163" t="s">
        <v>142</v>
      </c>
      <c r="R48" s="163" t="s">
        <v>233</v>
      </c>
      <c r="S48" s="163">
        <v>11</v>
      </c>
      <c r="T48" s="164">
        <v>297</v>
      </c>
      <c r="U48" s="165" t="b">
        <f t="shared" si="3"/>
        <v>1</v>
      </c>
      <c r="V48" s="69" t="s">
        <v>159</v>
      </c>
      <c r="W48" s="69" t="s">
        <v>234</v>
      </c>
      <c r="X48" s="69">
        <v>6</v>
      </c>
      <c r="Y48" s="9">
        <v>144</v>
      </c>
      <c r="Z48" s="69" t="b">
        <f t="shared" si="4"/>
        <v>1</v>
      </c>
      <c r="AA48" t="s">
        <v>198</v>
      </c>
      <c r="AB48" t="s">
        <v>236</v>
      </c>
      <c r="AC48">
        <v>3</v>
      </c>
      <c r="AD48" s="82">
        <v>75</v>
      </c>
    </row>
    <row r="49" spans="1:30" x14ac:dyDescent="0.35">
      <c r="A49" t="b">
        <f>COUNTIF(Salg_Total[Vare],B49)&gt;0</f>
        <v>1</v>
      </c>
      <c r="B49" s="146" t="str">
        <v>Vepsebol</v>
      </c>
      <c r="C49" s="131">
        <f>SUMIFS(Vipps_Totalraport[Beløp inkl. MVA],Vipps_Totalraport[Vare],B49)</f>
        <v>1620</v>
      </c>
      <c r="D49" s="132">
        <f>SUMIFS(Vipps_Totalraport[Beløp inkl. MVA],Vipps_Totalraport[Vare],B49)</f>
        <v>1620</v>
      </c>
      <c r="F49" t="b">
        <f t="shared" si="5"/>
        <v>1</v>
      </c>
      <c r="G49" s="117" t="s">
        <v>186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6"/>
        <v>1</v>
      </c>
      <c r="L49" s="160" t="s">
        <v>141</v>
      </c>
      <c r="M49" s="160" t="s">
        <v>233</v>
      </c>
      <c r="N49" s="160">
        <v>7</v>
      </c>
      <c r="O49" s="161">
        <v>189</v>
      </c>
      <c r="P49" s="134" t="b">
        <f t="shared" si="7"/>
        <v>1</v>
      </c>
      <c r="Q49" s="160" t="s">
        <v>162</v>
      </c>
      <c r="R49" s="160" t="s">
        <v>110</v>
      </c>
      <c r="S49" s="160">
        <v>9</v>
      </c>
      <c r="T49" s="161">
        <v>252</v>
      </c>
      <c r="U49" s="162" t="b">
        <f t="shared" si="3"/>
        <v>1</v>
      </c>
      <c r="V49" s="69" t="s">
        <v>195</v>
      </c>
      <c r="W49" s="69" t="s">
        <v>111</v>
      </c>
      <c r="X49" s="69">
        <v>4</v>
      </c>
      <c r="Y49" s="9">
        <v>32</v>
      </c>
      <c r="Z49" s="69" t="b">
        <f t="shared" si="4"/>
        <v>1</v>
      </c>
      <c r="AA49" t="s">
        <v>195</v>
      </c>
      <c r="AB49" t="s">
        <v>111</v>
      </c>
      <c r="AC49">
        <v>3</v>
      </c>
      <c r="AD49" s="82">
        <v>24</v>
      </c>
    </row>
    <row r="50" spans="1:30" x14ac:dyDescent="0.35">
      <c r="A50" t="b">
        <f>COUNTIF(Salg_Total[Vare],B50)&gt;0</f>
        <v>1</v>
      </c>
      <c r="B50" s="146" t="str">
        <v>Pringles Original</v>
      </c>
      <c r="C50" s="131">
        <f>SUMIFS(Vipps_Totalraport[Beløp inkl. MVA],Vipps_Totalraport[Vare],B50)</f>
        <v>1242</v>
      </c>
      <c r="D50" s="132">
        <f>SUMIFS(Vipps_Totalraport[Beløp inkl. MVA],Vipps_Totalraport[Vare],B50)</f>
        <v>1242</v>
      </c>
      <c r="F50" t="b">
        <f t="shared" si="5"/>
        <v>1</v>
      </c>
      <c r="G50" s="117" t="s">
        <v>187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6"/>
        <v>1</v>
      </c>
      <c r="L50" s="163" t="s">
        <v>162</v>
      </c>
      <c r="M50" s="163" t="s">
        <v>110</v>
      </c>
      <c r="N50" s="163">
        <v>6</v>
      </c>
      <c r="O50" s="164">
        <v>168</v>
      </c>
      <c r="P50" s="132" t="b">
        <f t="shared" si="7"/>
        <v>1</v>
      </c>
      <c r="Q50" s="163" t="s">
        <v>155</v>
      </c>
      <c r="R50" s="163" t="s">
        <v>234</v>
      </c>
      <c r="S50" s="163">
        <v>9</v>
      </c>
      <c r="T50" s="164">
        <v>216</v>
      </c>
      <c r="U50" s="165" t="b">
        <f t="shared" si="3"/>
        <v>1</v>
      </c>
      <c r="V50" s="69" t="s">
        <v>168</v>
      </c>
      <c r="W50" s="69" t="s">
        <v>110</v>
      </c>
      <c r="X50" s="69">
        <v>4</v>
      </c>
      <c r="Y50" s="9">
        <v>112</v>
      </c>
      <c r="Z50" s="69" t="b">
        <f t="shared" si="4"/>
        <v>1</v>
      </c>
      <c r="AA50" t="s">
        <v>196</v>
      </c>
      <c r="AB50" t="s">
        <v>236</v>
      </c>
      <c r="AC50">
        <v>3</v>
      </c>
      <c r="AD50" s="82">
        <v>30</v>
      </c>
    </row>
    <row r="51" spans="1:30" x14ac:dyDescent="0.35">
      <c r="A51" t="b">
        <f>COUNTIF(Salg_Total[Vare],B51)&gt;0</f>
        <v>1</v>
      </c>
      <c r="B51" s="146" t="str">
        <v>Pringles Sour Cream</v>
      </c>
      <c r="C51" s="131">
        <f>SUMIFS(Vipps_Totalraport[Beløp inkl. MVA],Vipps_Totalraport[Vare],B51)</f>
        <v>1476</v>
      </c>
      <c r="D51" s="132">
        <f>SUMIFS(Vipps_Totalraport[Beløp inkl. MVA],Vipps_Totalraport[Vare],B51)</f>
        <v>1476</v>
      </c>
      <c r="F51" t="b">
        <f t="shared" si="5"/>
        <v>1</v>
      </c>
      <c r="G51" s="117" t="s">
        <v>188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6"/>
        <v>1</v>
      </c>
      <c r="L51" s="160" t="s">
        <v>196</v>
      </c>
      <c r="M51" s="160" t="s">
        <v>236</v>
      </c>
      <c r="N51" s="160">
        <v>6</v>
      </c>
      <c r="O51" s="161">
        <v>60</v>
      </c>
      <c r="P51" s="134" t="b">
        <f t="shared" si="7"/>
        <v>1</v>
      </c>
      <c r="Q51" s="160" t="s">
        <v>196</v>
      </c>
      <c r="R51" s="160" t="s">
        <v>236</v>
      </c>
      <c r="S51" s="160">
        <v>9</v>
      </c>
      <c r="T51" s="161">
        <v>90</v>
      </c>
      <c r="U51" s="162" t="b">
        <f t="shared" si="3"/>
        <v>1</v>
      </c>
      <c r="V51" s="69" t="s">
        <v>141</v>
      </c>
      <c r="W51" s="69" t="s">
        <v>233</v>
      </c>
      <c r="X51" s="69">
        <v>4</v>
      </c>
      <c r="Y51" s="9">
        <v>108</v>
      </c>
      <c r="Z51" s="69" t="b">
        <f t="shared" si="4"/>
        <v>1</v>
      </c>
      <c r="AA51" t="s">
        <v>138</v>
      </c>
      <c r="AB51" t="s">
        <v>233</v>
      </c>
      <c r="AC51">
        <v>3</v>
      </c>
      <c r="AD51" s="82">
        <v>81</v>
      </c>
    </row>
    <row r="52" spans="1:30" x14ac:dyDescent="0.35">
      <c r="A52" t="b">
        <f>COUNTIF(Salg_Total[Vare],B52)&gt;0</f>
        <v>1</v>
      </c>
      <c r="B52" s="146" t="str">
        <v>Pringles Paprika</v>
      </c>
      <c r="C52" s="131">
        <f>SUMIFS(Vipps_Totalraport[Beløp inkl. MVA],Vipps_Totalraport[Vare],B52)</f>
        <v>1530</v>
      </c>
      <c r="D52" s="132">
        <f>SUMIFS(Vipps_Totalraport[Beløp inkl. MVA],Vipps_Totalraport[Vare],B52)</f>
        <v>1530</v>
      </c>
      <c r="F52" t="b">
        <f t="shared" si="5"/>
        <v>1</v>
      </c>
      <c r="G52" s="117" t="s">
        <v>189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6"/>
        <v>1</v>
      </c>
      <c r="L52" s="163" t="s">
        <v>138</v>
      </c>
      <c r="M52" s="163" t="s">
        <v>233</v>
      </c>
      <c r="N52" s="163">
        <v>6</v>
      </c>
      <c r="O52" s="164">
        <v>162</v>
      </c>
      <c r="P52" s="132" t="b">
        <f t="shared" si="7"/>
        <v>1</v>
      </c>
      <c r="Q52" s="163" t="s">
        <v>187</v>
      </c>
      <c r="R52" s="163" t="s">
        <v>236</v>
      </c>
      <c r="S52" s="163">
        <v>9</v>
      </c>
      <c r="T52" s="164">
        <v>162</v>
      </c>
      <c r="U52" s="165" t="b">
        <f t="shared" si="3"/>
        <v>1</v>
      </c>
      <c r="V52" s="69" t="s">
        <v>142</v>
      </c>
      <c r="W52" s="69" t="s">
        <v>233</v>
      </c>
      <c r="X52" s="69">
        <v>4</v>
      </c>
      <c r="Y52" s="9">
        <v>108</v>
      </c>
      <c r="Z52" s="69" t="b">
        <f t="shared" si="4"/>
        <v>1</v>
      </c>
      <c r="AA52" t="s">
        <v>155</v>
      </c>
      <c r="AB52" t="s">
        <v>234</v>
      </c>
      <c r="AC52">
        <v>2</v>
      </c>
      <c r="AD52" s="82">
        <v>48</v>
      </c>
    </row>
    <row r="53" spans="1:30" x14ac:dyDescent="0.35">
      <c r="A53" t="b">
        <f>COUNTIF(Salg_Total[Vare],B53)&gt;0</f>
        <v>1</v>
      </c>
      <c r="B53" s="146" t="str">
        <v>Skittles</v>
      </c>
      <c r="C53" s="131">
        <f>SUMIFS(Vipps_Totalraport[Beløp inkl. MVA],Vipps_Totalraport[Vare],B53)</f>
        <v>375</v>
      </c>
      <c r="D53" s="132">
        <f>SUMIFS(Vipps_Totalraport[Beløp inkl. MVA],Vipps_Totalraport[Vare],B53)</f>
        <v>375</v>
      </c>
      <c r="F53" t="b">
        <f t="shared" si="5"/>
        <v>1</v>
      </c>
      <c r="G53" s="117" t="s">
        <v>190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6"/>
        <v>1</v>
      </c>
      <c r="L53" s="160" t="s">
        <v>135</v>
      </c>
      <c r="M53" s="160" t="s">
        <v>233</v>
      </c>
      <c r="N53" s="160">
        <v>5</v>
      </c>
      <c r="O53" s="161">
        <v>135</v>
      </c>
      <c r="P53" s="134" t="b">
        <f t="shared" si="7"/>
        <v>1</v>
      </c>
      <c r="Q53" s="160" t="s">
        <v>154</v>
      </c>
      <c r="R53" s="160" t="s">
        <v>234</v>
      </c>
      <c r="S53" s="160">
        <v>7</v>
      </c>
      <c r="T53" s="161">
        <v>168</v>
      </c>
      <c r="U53" s="162" t="b">
        <f t="shared" si="3"/>
        <v>1</v>
      </c>
      <c r="V53" s="69" t="s">
        <v>138</v>
      </c>
      <c r="W53" s="69" t="s">
        <v>233</v>
      </c>
      <c r="X53" s="69">
        <v>4</v>
      </c>
      <c r="Y53" s="9">
        <v>108</v>
      </c>
      <c r="Z53" s="69" t="b">
        <f t="shared" si="4"/>
        <v>1</v>
      </c>
      <c r="AA53" t="s">
        <v>197</v>
      </c>
      <c r="AB53" t="s">
        <v>236</v>
      </c>
      <c r="AC53">
        <v>2</v>
      </c>
      <c r="AD53" s="82">
        <v>20</v>
      </c>
    </row>
    <row r="54" spans="1:30" x14ac:dyDescent="0.35">
      <c r="A54" t="b">
        <f>COUNTIF(Salg_Total[Vare],B54)&gt;0</f>
        <v>1</v>
      </c>
      <c r="B54" s="146" t="str">
        <v>Mentos</v>
      </c>
      <c r="C54" s="131">
        <f>SUMIFS(Vipps_Totalraport[Beløp inkl. MVA],Vipps_Totalraport[Vare],B54)</f>
        <v>3304</v>
      </c>
      <c r="D54" s="132">
        <f>SUMIFS(Vipps_Totalraport[Beløp inkl. MVA],Vipps_Totalraport[Vare],B54)</f>
        <v>3304</v>
      </c>
      <c r="F54" t="b">
        <f t="shared" si="5"/>
        <v>1</v>
      </c>
      <c r="G54" s="117" t="s">
        <v>191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6"/>
        <v>1</v>
      </c>
      <c r="L54" s="163" t="s">
        <v>136</v>
      </c>
      <c r="M54" s="163" t="s">
        <v>233</v>
      </c>
      <c r="N54" s="163">
        <v>3</v>
      </c>
      <c r="O54" s="164">
        <v>120</v>
      </c>
      <c r="P54" s="132" t="b">
        <f t="shared" si="7"/>
        <v>1</v>
      </c>
      <c r="Q54" s="163" t="s">
        <v>136</v>
      </c>
      <c r="R54" s="163" t="s">
        <v>233</v>
      </c>
      <c r="S54" s="163">
        <v>6</v>
      </c>
      <c r="T54" s="164">
        <v>240</v>
      </c>
      <c r="U54" s="165" t="b">
        <f t="shared" si="3"/>
        <v>1</v>
      </c>
      <c r="V54" s="69" t="s">
        <v>155</v>
      </c>
      <c r="W54" s="69" t="s">
        <v>234</v>
      </c>
      <c r="X54" s="69">
        <v>3</v>
      </c>
      <c r="Y54" s="9">
        <v>72</v>
      </c>
      <c r="Z54" s="69" t="b">
        <f t="shared" si="4"/>
        <v>1</v>
      </c>
      <c r="AA54" t="s">
        <v>150</v>
      </c>
      <c r="AB54" t="s">
        <v>233</v>
      </c>
      <c r="AC54">
        <v>1</v>
      </c>
      <c r="AD54" s="82">
        <v>28</v>
      </c>
    </row>
    <row r="55" spans="1:30" x14ac:dyDescent="0.35">
      <c r="A55" t="b">
        <f>COUNTIF(Salg_Total[Vare],B55)&gt;0</f>
        <v>1</v>
      </c>
      <c r="B55" s="146" t="str">
        <v>Bilar</v>
      </c>
      <c r="C55" s="131">
        <f>SUMIFS(Vipps_Totalraport[Beløp inkl. MVA],Vipps_Totalraport[Vare],B55)</f>
        <v>910</v>
      </c>
      <c r="D55" s="132">
        <f>SUMIFS(Vipps_Totalraport[Beløp inkl. MVA],Vipps_Totalraport[Vare],B55)</f>
        <v>910</v>
      </c>
      <c r="F55" t="b">
        <f t="shared" si="5"/>
        <v>1</v>
      </c>
      <c r="G55" s="117" t="s">
        <v>192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6"/>
        <v>1</v>
      </c>
      <c r="L55" s="160" t="s">
        <v>139</v>
      </c>
      <c r="M55" s="160" t="s">
        <v>233</v>
      </c>
      <c r="N55" s="160">
        <v>3</v>
      </c>
      <c r="O55" s="161">
        <v>81</v>
      </c>
      <c r="P55" s="134" t="b">
        <f t="shared" si="7"/>
        <v>1</v>
      </c>
      <c r="Q55" s="160" t="s">
        <v>167</v>
      </c>
      <c r="R55" s="160" t="s">
        <v>110</v>
      </c>
      <c r="S55" s="160">
        <v>5</v>
      </c>
      <c r="T55" s="161">
        <v>140</v>
      </c>
      <c r="U55" s="162" t="b">
        <f t="shared" si="3"/>
        <v>1</v>
      </c>
      <c r="V55" s="69" t="s">
        <v>151</v>
      </c>
      <c r="W55" s="69" t="s">
        <v>233</v>
      </c>
      <c r="X55" s="69">
        <v>2</v>
      </c>
      <c r="Y55" s="9">
        <v>56</v>
      </c>
      <c r="Z55" s="69" t="b">
        <f t="shared" si="4"/>
        <v>1</v>
      </c>
      <c r="AA55" t="s">
        <v>153</v>
      </c>
      <c r="AB55" t="s">
        <v>233</v>
      </c>
      <c r="AC55">
        <v>1</v>
      </c>
      <c r="AD55" s="82">
        <v>30</v>
      </c>
    </row>
    <row r="56" spans="1:30" x14ac:dyDescent="0.35">
      <c r="A56" t="b">
        <f>COUNTIF(Salg_Total[Vare],B56)&gt;0</f>
        <v>1</v>
      </c>
      <c r="B56" s="146" t="str">
        <v>Hockey Pulver</v>
      </c>
      <c r="C56" s="131">
        <f>SUMIFS(Vipps_Totalraport[Beløp inkl. MVA],Vipps_Totalraport[Vare],B56)</f>
        <v>2904</v>
      </c>
      <c r="D56" s="132">
        <f>SUMIFS(Vipps_Totalraport[Beløp inkl. MVA],Vipps_Totalraport[Vare],B56)</f>
        <v>2904</v>
      </c>
      <c r="F56" t="b">
        <f t="shared" si="5"/>
        <v>1</v>
      </c>
      <c r="G56" s="117" t="s">
        <v>193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6"/>
        <v>1</v>
      </c>
      <c r="L56" s="163" t="s">
        <v>158</v>
      </c>
      <c r="M56" s="163" t="s">
        <v>234</v>
      </c>
      <c r="N56" s="163">
        <v>1</v>
      </c>
      <c r="O56" s="164">
        <v>24</v>
      </c>
      <c r="P56" s="132" t="b">
        <f t="shared" si="7"/>
        <v>1</v>
      </c>
      <c r="Q56" s="163" t="s">
        <v>151</v>
      </c>
      <c r="R56" s="163" t="s">
        <v>233</v>
      </c>
      <c r="S56" s="163">
        <v>4</v>
      </c>
      <c r="T56" s="164">
        <v>112</v>
      </c>
      <c r="U56" s="165" t="b">
        <f t="shared" si="3"/>
        <v>1</v>
      </c>
      <c r="V56" s="69" t="s">
        <v>174</v>
      </c>
      <c r="W56" s="69" t="s">
        <v>232</v>
      </c>
      <c r="X56" s="69">
        <v>1</v>
      </c>
      <c r="Y56" s="9">
        <v>10</v>
      </c>
      <c r="Z56" s="69" t="b">
        <f t="shared" si="4"/>
        <v>1</v>
      </c>
      <c r="AA56" t="s">
        <v>159</v>
      </c>
      <c r="AB56" t="s">
        <v>234</v>
      </c>
      <c r="AC56">
        <v>1</v>
      </c>
      <c r="AD56" s="82">
        <v>24</v>
      </c>
    </row>
    <row r="57" spans="1:30" x14ac:dyDescent="0.35">
      <c r="A57" t="b">
        <f>COUNTIF(Salg_Total[Vare],B57)&gt;0</f>
        <v>1</v>
      </c>
      <c r="B57" s="146" t="str">
        <v>Extra Tyggis</v>
      </c>
      <c r="C57" s="131">
        <f>SUMIFS(Vipps_Totalraport[Beløp inkl. MVA],Vipps_Totalraport[Vare],B57)</f>
        <v>1350</v>
      </c>
      <c r="D57" s="132">
        <f>SUMIFS(Vipps_Totalraport[Beløp inkl. MVA],Vipps_Totalraport[Vare],B57)</f>
        <v>1350</v>
      </c>
      <c r="F57" t="b">
        <f t="shared" si="5"/>
        <v>1</v>
      </c>
      <c r="G57" s="117" t="s">
        <v>194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6"/>
        <v>1</v>
      </c>
      <c r="L57" s="160" t="s">
        <v>197</v>
      </c>
      <c r="M57" s="160" t="s">
        <v>236</v>
      </c>
      <c r="N57" s="160">
        <v>1</v>
      </c>
      <c r="O57" s="161">
        <v>10</v>
      </c>
      <c r="P57" s="134" t="b">
        <f t="shared" si="7"/>
        <v>1</v>
      </c>
      <c r="Q57" s="160" t="s">
        <v>138</v>
      </c>
      <c r="R57" s="160" t="s">
        <v>233</v>
      </c>
      <c r="S57" s="160">
        <v>3</v>
      </c>
      <c r="T57" s="161">
        <v>81</v>
      </c>
      <c r="U57" s="162" t="b">
        <f>COUNTIF($B:$B,V57)&gt;0</f>
        <v>1</v>
      </c>
      <c r="V57" s="69" t="s">
        <v>182</v>
      </c>
      <c r="W57" s="69" t="s">
        <v>232</v>
      </c>
      <c r="X57" s="69">
        <v>1</v>
      </c>
      <c r="Y57" s="9">
        <v>20</v>
      </c>
      <c r="Z57" s="69"/>
      <c r="AA57" t="s">
        <v>171</v>
      </c>
      <c r="AB57" t="s">
        <v>232</v>
      </c>
      <c r="AC57">
        <v>1</v>
      </c>
      <c r="AD57" s="82">
        <v>30</v>
      </c>
    </row>
    <row r="58" spans="1:30" x14ac:dyDescent="0.35">
      <c r="A58" t="b">
        <f>COUNTIF(Salg_Total[Vare],B58)&gt;0</f>
        <v>1</v>
      </c>
      <c r="B58" s="146" t="str">
        <v>Double Dip</v>
      </c>
      <c r="C58" s="131">
        <f>SUMIFS(Vipps_Totalraport[Beløp inkl. MVA],Vipps_Totalraport[Vare],B58)</f>
        <v>384</v>
      </c>
      <c r="D58" s="132">
        <f>SUMIFS(Vipps_Totalraport[Beløp inkl. MVA],Vipps_Totalraport[Vare],B58)</f>
        <v>384</v>
      </c>
      <c r="F58" t="b">
        <f t="shared" si="5"/>
        <v>1</v>
      </c>
      <c r="G58" s="117" t="s">
        <v>195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6"/>
        <v>1</v>
      </c>
      <c r="L58" s="163" t="s">
        <v>237</v>
      </c>
      <c r="M58" s="163" t="s">
        <v>233</v>
      </c>
      <c r="N58" s="163">
        <v>1</v>
      </c>
      <c r="O58" s="164">
        <v>25</v>
      </c>
      <c r="P58" s="132" t="b">
        <f t="shared" si="7"/>
        <v>1</v>
      </c>
      <c r="Q58" s="163" t="s">
        <v>177</v>
      </c>
      <c r="R58" s="163" t="s">
        <v>111</v>
      </c>
      <c r="S58" s="163">
        <v>3</v>
      </c>
      <c r="T58" s="164">
        <v>60</v>
      </c>
      <c r="U58" s="69"/>
      <c r="AA58" t="s">
        <v>179</v>
      </c>
      <c r="AB58" t="s">
        <v>232</v>
      </c>
      <c r="AC58">
        <v>1</v>
      </c>
      <c r="AD58" s="82">
        <v>28</v>
      </c>
    </row>
    <row r="59" spans="1:30" ht="15.5" customHeight="1" x14ac:dyDescent="0.35">
      <c r="A59" t="b">
        <f>COUNTIF(Salg_Total[Vare],B59)&gt;0</f>
        <v>1</v>
      </c>
      <c r="B59" s="147" t="str">
        <v>Mellombar Orange</v>
      </c>
      <c r="C59" s="131">
        <f>SUMIFS(Vipps_Totalraport[Beløp inkl. MVA],Vipps_Totalraport[Vare],B59)</f>
        <v>270</v>
      </c>
      <c r="D59" s="132">
        <f>SUMIFS(Vipps_Totalraport[Beløp inkl. MVA],Vipps_Totalraport[Vare],B59)</f>
        <v>270</v>
      </c>
      <c r="F59" t="b">
        <f t="shared" si="5"/>
        <v>1</v>
      </c>
      <c r="G59" s="118" t="s">
        <v>196</v>
      </c>
      <c r="H59" s="133">
        <v>0</v>
      </c>
      <c r="I59" s="133">
        <v>0</v>
      </c>
      <c r="J59" s="133">
        <f>IFERROR(Vippsutskrifter!$I59/Vippsutskrifter!$H59,0)</f>
        <v>0</v>
      </c>
      <c r="L59" s="170"/>
      <c r="M59" s="171"/>
      <c r="N59" s="171"/>
      <c r="O59" s="172"/>
      <c r="P59" s="122" t="b">
        <f t="shared" si="7"/>
        <v>1</v>
      </c>
      <c r="Q59" s="160" t="s">
        <v>182</v>
      </c>
      <c r="R59" s="160" t="s">
        <v>232</v>
      </c>
      <c r="S59" s="160">
        <v>2</v>
      </c>
      <c r="T59" s="161">
        <v>40</v>
      </c>
      <c r="U59" s="69"/>
      <c r="AA59" s="190" t="s">
        <v>315</v>
      </c>
      <c r="AB59" s="190"/>
      <c r="AC59" s="190">
        <f>SUM(AC2:AC58)</f>
        <v>1399</v>
      </c>
      <c r="AD59" s="191">
        <f>SUM(AD2:AD58)</f>
        <v>32381</v>
      </c>
    </row>
    <row r="60" spans="1:30" x14ac:dyDescent="0.35">
      <c r="A60" t="b">
        <f>COUNTIF(Salg_Total[Vare],B60)&gt;0</f>
        <v>1</v>
      </c>
      <c r="B60" s="147" t="str">
        <v>Mellombar Blå</v>
      </c>
      <c r="C60" s="131">
        <f>SUMIFS(Vipps_Totalraport[Beløp inkl. MVA],Vipps_Totalraport[Vare],B60)</f>
        <v>230</v>
      </c>
      <c r="D60" s="132">
        <f>SUMIFS(Vipps_Totalraport[Beløp inkl. MVA],Vipps_Totalraport[Vare],B60)</f>
        <v>230</v>
      </c>
      <c r="F60" t="b">
        <f t="shared" si="5"/>
        <v>1</v>
      </c>
      <c r="G60" s="118" t="s">
        <v>197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</row>
    <row r="61" spans="1:30" x14ac:dyDescent="0.35">
      <c r="A61" t="b">
        <f>COUNTIF(Salg_Total[Vare],B61)&gt;0</f>
        <v>1</v>
      </c>
      <c r="B61" s="147" t="str">
        <v>Chili nøtter</v>
      </c>
      <c r="C61" s="131">
        <f>SUMIFS(Vipps_Totalraport[Beløp inkl. MVA],Vipps_Totalraport[Vare],B61)</f>
        <v>1350</v>
      </c>
      <c r="D61" s="132">
        <f>SUMIFS(Vipps_Totalraport[Beløp inkl. MVA],Vipps_Totalraport[Vare],B61)</f>
        <v>1350</v>
      </c>
      <c r="F61" t="b">
        <f t="shared" si="5"/>
        <v>1</v>
      </c>
      <c r="G61" s="118" t="s">
        <v>198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</row>
    <row r="62" spans="1:30" ht="15.5" x14ac:dyDescent="0.35">
      <c r="A62" t="b">
        <f>COUNTIF(Salg_Total[Vare],B62)&gt;0</f>
        <v>1</v>
      </c>
      <c r="B62" s="147" t="str">
        <v>Redbull sukkerfri</v>
      </c>
      <c r="C62" s="131">
        <f>SUMIFS(Vipps_Totalraport[Beløp inkl. MVA],Vipps_Totalraport[Vare],B62)</f>
        <v>1206</v>
      </c>
      <c r="D62" s="132">
        <f>SUMIFS(Vipps_Totalraport[Beløp inkl. MVA],Vipps_Totalraport[Vare],B62)</f>
        <v>1206</v>
      </c>
      <c r="L62" s="68" t="s">
        <v>226</v>
      </c>
      <c r="M62" s="68"/>
      <c r="N62" s="68"/>
      <c r="O62" s="167">
        <f>SUM(O2:O59)</f>
        <v>33099</v>
      </c>
      <c r="Q62" s="69" t="s">
        <v>226</v>
      </c>
      <c r="R62" s="69"/>
      <c r="S62" s="69"/>
      <c r="T62" s="9">
        <f>SUM(T2:T59)</f>
        <v>49585</v>
      </c>
      <c r="U62" s="69"/>
      <c r="V62" s="111" t="s">
        <v>315</v>
      </c>
      <c r="W62" s="111"/>
      <c r="X62" s="111" t="s">
        <v>316</v>
      </c>
      <c r="Y62" s="112">
        <f>SUM(Y2:Y57)</f>
        <v>37446</v>
      </c>
    </row>
    <row r="63" spans="1:30" x14ac:dyDescent="0.35">
      <c r="A63" t="b">
        <f>COUNTIF(Salg_Total[Vare],B63)&gt;0</f>
        <v>1</v>
      </c>
      <c r="B63" s="147" t="str">
        <v>Battery Blueberry</v>
      </c>
      <c r="C63" s="131">
        <f>SUMIFS(Vipps_Totalraport[Beløp inkl. MVA],Vipps_Totalraport[Vare],B63)</f>
        <v>1372</v>
      </c>
      <c r="D63" s="132">
        <f>SUMIFS(Vipps_Totalraport[Beløp inkl. MVA],Vipps_Totalraport[Vare],B63)</f>
        <v>1372</v>
      </c>
      <c r="H63" t="s">
        <v>239</v>
      </c>
      <c r="I63">
        <f>SUM(I2:I61)</f>
        <v>35244</v>
      </c>
      <c r="J63">
        <f>IFERROR(Vippsutskrifter!$I63/Vippsutskrifter!$H63,0)</f>
        <v>0</v>
      </c>
      <c r="K63" t="b">
        <f t="shared" ref="K63:K65" si="8">COUNTIF($A:$A,L63)&gt;0</f>
        <v>1</v>
      </c>
    </row>
    <row r="64" spans="1:30" x14ac:dyDescent="0.35">
      <c r="A64" t="b">
        <f>COUNTIF(Salg_Total[Vare],B64)&gt;0</f>
        <v>1</v>
      </c>
      <c r="B64" s="147" t="str">
        <v>Battery Yellow</v>
      </c>
      <c r="C64" s="131">
        <f>SUMIFS(Vipps_Totalraport[Beløp inkl. MVA],Vipps_Totalraport[Vare],B64)</f>
        <v>588</v>
      </c>
      <c r="D64" s="132">
        <f>SUMIFS(Vipps_Totalraport[Beløp inkl. MVA],Vipps_Totalraport[Vare],B64)</f>
        <v>588</v>
      </c>
      <c r="H64" t="s">
        <v>240</v>
      </c>
      <c r="I64">
        <v>32578</v>
      </c>
      <c r="J64">
        <f>IFERROR(Vippsutskrifter!$I64/Vippsutskrifter!$H64,0)</f>
        <v>0</v>
      </c>
      <c r="K64" t="b">
        <f t="shared" si="8"/>
        <v>1</v>
      </c>
    </row>
    <row r="65" spans="1:25" ht="26" customHeight="1" x14ac:dyDescent="0.35">
      <c r="A65" t="b">
        <f>COUNTIF(Salg_Total[Vare],B65)&gt;0</f>
        <v>1</v>
      </c>
      <c r="B65" s="147" t="str">
        <v>Cola zero 0.5</v>
      </c>
      <c r="C65" s="131">
        <f>SUMIFS(Vipps_Totalraport[Beløp inkl. MVA],Vipps_Totalraport[Vare],B65)</f>
        <v>1176</v>
      </c>
      <c r="D65" s="132">
        <f>SUMIFS(Vipps_Totalraport[Beløp inkl. MVA],Vipps_Totalraport[Vare],B65)</f>
        <v>1176</v>
      </c>
      <c r="H65" t="s">
        <v>241</v>
      </c>
      <c r="I65">
        <f>I63-I64</f>
        <v>2666</v>
      </c>
      <c r="J65">
        <f>IFERROR(Vippsutskrifter!$I65/Vippsutskrifter!$H65,0)</f>
        <v>0</v>
      </c>
      <c r="K65" t="b">
        <f t="shared" si="8"/>
        <v>1</v>
      </c>
    </row>
    <row r="66" spans="1:25" x14ac:dyDescent="0.35">
      <c r="A66" t="b">
        <f>COUNTIF(Salg_Total[Vare],B66)&gt;0</f>
        <v>1</v>
      </c>
      <c r="B66" s="147" t="str">
        <v>Battery Remix 2.0</v>
      </c>
      <c r="C66" s="131">
        <f>SUMIFS(Vipps_Totalraport[Beløp inkl. MVA],Vipps_Totalraport[Vare],B66)</f>
        <v>168</v>
      </c>
      <c r="D66" s="132">
        <f>SUMIFS(Vipps_Totalraport[Beløp inkl. MVA],Vipps_Totalraport[Vare],B66)</f>
        <v>168</v>
      </c>
      <c r="I66">
        <f>SUM(I2:I61)</f>
        <v>35244</v>
      </c>
      <c r="O66">
        <f t="shared" ref="O66:Y66" si="9">SUM(O2:O61)</f>
        <v>33099</v>
      </c>
      <c r="T66">
        <f t="shared" si="9"/>
        <v>49585</v>
      </c>
      <c r="Y66">
        <f t="shared" si="9"/>
        <v>37446</v>
      </c>
    </row>
    <row r="67" spans="1:25" x14ac:dyDescent="0.35">
      <c r="A67" t="b">
        <f>COUNTIF(Salg_Total[Vare],B67)&gt;0</f>
        <v>1</v>
      </c>
      <c r="B67" s="147" t="str">
        <v>Snickers 50g</v>
      </c>
      <c r="C67" s="131">
        <f>SUMIFS(Vipps_Totalraport[Beløp inkl. MVA],Vipps_Totalraport[Vare],B67)</f>
        <v>1780</v>
      </c>
      <c r="D67" s="132">
        <f>SUMIFS(Vipps_Totalraport[Beløp inkl. MVA],Vipps_Totalraport[Vare],B67)</f>
        <v>1780</v>
      </c>
    </row>
    <row r="68" spans="1:25" x14ac:dyDescent="0.35">
      <c r="A68" t="b">
        <f>COUNTIF(Salg_Total[Vare],B68)&gt;0</f>
        <v>1</v>
      </c>
      <c r="B68" s="125" t="str">
        <v>Sjokoladeplate 200g</v>
      </c>
      <c r="C68" s="131">
        <f>SUMIFS(Vipps_Totalraport[Beløp inkl. MVA],Vipps_Totalraport[Vare],B68)</f>
        <v>5715</v>
      </c>
      <c r="D68" s="132">
        <f>SUMIFS(Vipps_Totalraport[Beløp inkl. MVA],Vipps_Totalraport[Vare],B68)</f>
        <v>5715</v>
      </c>
    </row>
    <row r="69" spans="1:25" x14ac:dyDescent="0.35">
      <c r="A69" t="b">
        <f>COUNTIF(Salg_Total[Vare],B69)&gt;0</f>
        <v>1</v>
      </c>
      <c r="B69" s="126" t="str">
        <v>Melkesjokolade 100g</v>
      </c>
      <c r="C69" s="131">
        <f>SUMIFS(Vipps_Totalraport[Beløp inkl. MVA],Vipps_Totalraport[Vare],B69)</f>
        <v>1740</v>
      </c>
      <c r="D69" s="132">
        <f>SUMIFS(Vipps_Totalraport[Beløp inkl. MVA],Vipps_Totalraport[Vare],B69)</f>
        <v>1740</v>
      </c>
    </row>
    <row r="70" spans="1:25" x14ac:dyDescent="0.35">
      <c r="A70" t="b">
        <f>COUNTIF(Salg_Total[Vare],B70)&gt;0</f>
        <v>1</v>
      </c>
      <c r="B70" t="str">
        <v>Julebrus boks</v>
      </c>
      <c r="C70" s="131">
        <f>SUMIFS(Vipps_Totalraport[Beløp inkl. MVA],Vipps_Totalraport[Vare],B70)</f>
        <v>1440</v>
      </c>
      <c r="D70" s="132">
        <f>SUMIFS(Vipps_Totalraport[Beløp inkl. MVA],Vipps_Totalraport[Vare],B70)</f>
        <v>1440</v>
      </c>
    </row>
    <row r="71" spans="1:25" x14ac:dyDescent="0.35">
      <c r="A71" t="b">
        <f>COUNTIF(Salg_Total[Vare],B71)&gt;0</f>
        <v>1</v>
      </c>
      <c r="B71" t="str">
        <v>Monster Landon Norris</v>
      </c>
      <c r="C71" s="131">
        <f>SUMIFS(Vipps_Totalraport[Beløp inkl. MVA],Vipps_Totalraport[Vare],B71)</f>
        <v>270</v>
      </c>
      <c r="D71" s="132">
        <f>SUMIFS(Vipps_Totalraport[Beløp inkl. MVA],Vipps_Totalraport[Vare],B71)</f>
        <v>270</v>
      </c>
    </row>
    <row r="72" spans="1:25" x14ac:dyDescent="0.35">
      <c r="B72" t="str">
        <v>Totalt</v>
      </c>
    </row>
    <row r="75" spans="1:25" ht="26" x14ac:dyDescent="0.6">
      <c r="H75" s="84" t="s">
        <v>242</v>
      </c>
    </row>
    <row r="76" spans="1:25" x14ac:dyDescent="0.35">
      <c r="A76" t="s">
        <v>519</v>
      </c>
      <c r="B76">
        <f>SUM(B81:B487)</f>
        <v>193333.0100000001</v>
      </c>
      <c r="H76" t="s">
        <v>243</v>
      </c>
      <c r="I76" s="82">
        <f>SUM(I62:AD62)/1.0175</f>
        <v>118063.88206388206</v>
      </c>
    </row>
    <row r="77" spans="1:25" x14ac:dyDescent="0.35">
      <c r="H77" t="s">
        <v>244</v>
      </c>
      <c r="I77">
        <f>SUM(B77:B232)</f>
        <v>193333.0100000001</v>
      </c>
    </row>
    <row r="78" spans="1:25" x14ac:dyDescent="0.35">
      <c r="H78" t="s">
        <v>83</v>
      </c>
      <c r="I78" s="82">
        <f>I76-Vippsutskrifter!I77</f>
        <v>-75269.127936118035</v>
      </c>
    </row>
    <row r="79" spans="1:25" x14ac:dyDescent="0.35">
      <c r="A79" s="83"/>
    </row>
    <row r="80" spans="1:2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ht="15.5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 t="s">
        <v>315</v>
      </c>
      <c r="AB81" s="111"/>
      <c r="AC81" s="111" t="s">
        <v>316</v>
      </c>
      <c r="AD81" s="112">
        <f>SUM(AD2:AD80)</f>
        <v>64762</v>
      </c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30.11.2025</v>
      </c>
      <c r="B83">
        <v>2164.3200000000002</v>
      </c>
      <c r="C83" t="str">
        <v>Drottningborgrussen</v>
      </c>
      <c r="D83">
        <v>1242010</v>
      </c>
      <c r="E83" t="str">
        <v>Utb. 2000064 Vippsnr 126635</v>
      </c>
    </row>
    <row r="84" spans="1:30" x14ac:dyDescent="0.35">
      <c r="A84" t="str">
        <v>30.10.2025</v>
      </c>
      <c r="B84">
        <v>2355.87</v>
      </c>
      <c r="C84" t="str">
        <v>Drottningborgrussen</v>
      </c>
      <c r="D84">
        <v>1108088</v>
      </c>
      <c r="E84" t="str">
        <v>Utb. 2000042 Vippsnr 126635</v>
      </c>
    </row>
    <row r="85" spans="1:30" x14ac:dyDescent="0.35">
      <c r="A85" t="str">
        <v>30.09.2025</v>
      </c>
      <c r="B85">
        <v>71.72</v>
      </c>
      <c r="C85" t="str">
        <v>Drottningborgrussen</v>
      </c>
      <c r="D85">
        <v>607955</v>
      </c>
      <c r="E85" t="str">
        <v>Utb. 2000018 Vippsnr 126635</v>
      </c>
      <c r="AD85">
        <f>SUM(AD2:AD80)</f>
        <v>64762</v>
      </c>
    </row>
    <row r="86" spans="1:30" x14ac:dyDescent="0.35">
      <c r="A86" t="str">
        <v>29.10.2025</v>
      </c>
      <c r="B86">
        <v>1606.29</v>
      </c>
      <c r="C86" t="str">
        <v>Drottningborgrussen</v>
      </c>
      <c r="D86">
        <v>1029196</v>
      </c>
      <c r="E86" t="str">
        <v>Utb. 2000041 Vippsnr 126635</v>
      </c>
    </row>
    <row r="87" spans="1:30" x14ac:dyDescent="0.35">
      <c r="A87" t="str">
        <v>29.09.2025</v>
      </c>
      <c r="B87">
        <v>1770.42</v>
      </c>
      <c r="C87" t="str">
        <v>Drottningborgrussen</v>
      </c>
      <c r="D87">
        <v>476321</v>
      </c>
      <c r="E87" t="str">
        <v>Utb. 2000017 Vippsnr 126635</v>
      </c>
    </row>
    <row r="88" spans="1:30" x14ac:dyDescent="0.35">
      <c r="A88" t="str">
        <v>28.10.2025</v>
      </c>
      <c r="B88">
        <v>1619.07</v>
      </c>
      <c r="C88" t="str">
        <v>Drottningborgrussen</v>
      </c>
      <c r="D88">
        <v>941095</v>
      </c>
      <c r="E88" t="str">
        <v>Utb. 2000038 Vippsnr 126635</v>
      </c>
    </row>
    <row r="89" spans="1:30" x14ac:dyDescent="0.35">
      <c r="A89" t="str">
        <v>28.10.2025</v>
      </c>
      <c r="B89">
        <v>4527.1899999999996</v>
      </c>
      <c r="C89" t="str">
        <v>Drottningborgrussen</v>
      </c>
      <c r="D89">
        <v>941221</v>
      </c>
      <c r="E89" t="str">
        <v>Utb. 2000039 Vippsnr 126635</v>
      </c>
    </row>
    <row r="90" spans="1:30" x14ac:dyDescent="0.35">
      <c r="A90" t="str">
        <v>28.10.2025</v>
      </c>
      <c r="B90">
        <v>3027.99</v>
      </c>
      <c r="C90" t="str">
        <v>Drottningborgrussen</v>
      </c>
      <c r="D90">
        <v>941220</v>
      </c>
      <c r="E90" t="str">
        <v>Utb. 2000040 Vippsnr 126635</v>
      </c>
    </row>
    <row r="91" spans="1:30" x14ac:dyDescent="0.35">
      <c r="A91" t="str">
        <v>28.08.2025</v>
      </c>
      <c r="B91">
        <v>1819.5</v>
      </c>
      <c r="C91" t="str">
        <v>Drottningborgrussen</v>
      </c>
      <c r="D91">
        <v>1311596</v>
      </c>
      <c r="E91" t="str">
        <v>Utb. 2001576 Vippsnr 126635</v>
      </c>
    </row>
    <row r="92" spans="1:30" x14ac:dyDescent="0.35">
      <c r="A92" t="str">
        <v>27.11.2025</v>
      </c>
      <c r="B92">
        <v>1930.5</v>
      </c>
      <c r="C92" t="str">
        <v>Drottningborgrussen</v>
      </c>
      <c r="D92">
        <v>1158256</v>
      </c>
      <c r="E92" t="str">
        <v>Utb. 2000063 Vippsnr 126635</v>
      </c>
    </row>
    <row r="93" spans="1:30" x14ac:dyDescent="0.35">
      <c r="A93" t="str">
        <v>27.10.2025</v>
      </c>
      <c r="B93">
        <v>1240.82</v>
      </c>
      <c r="C93" t="str">
        <v>Drottningborgrussen</v>
      </c>
      <c r="D93">
        <v>836512</v>
      </c>
      <c r="E93" t="str">
        <v>Utb. 2000037 Vippsnr 126635</v>
      </c>
    </row>
    <row r="94" spans="1:30" x14ac:dyDescent="0.35">
      <c r="A94" t="str">
        <v>27.08.2025</v>
      </c>
      <c r="B94">
        <v>1566.03</v>
      </c>
      <c r="C94" t="str">
        <v>Drottningborgrussen</v>
      </c>
      <c r="D94">
        <v>1194854</v>
      </c>
      <c r="E94" t="str">
        <v>Utb. 2001575 Vippsnr 126635</v>
      </c>
    </row>
    <row r="95" spans="1:30" x14ac:dyDescent="0.35">
      <c r="A95" t="str">
        <v>26.11.2025</v>
      </c>
      <c r="B95">
        <v>2325.4699999999998</v>
      </c>
      <c r="C95" t="str">
        <v>Drottningborgrussen</v>
      </c>
      <c r="D95">
        <v>1098733</v>
      </c>
      <c r="E95" t="str">
        <v>Utb. 2000062 Vippsnr 126635</v>
      </c>
    </row>
    <row r="96" spans="1:30" x14ac:dyDescent="0.35">
      <c r="A96" t="str">
        <v>26.09.2025</v>
      </c>
      <c r="B96">
        <v>1037.49</v>
      </c>
      <c r="C96" t="str">
        <v>Drottningborgrussen</v>
      </c>
      <c r="D96">
        <v>392660</v>
      </c>
      <c r="E96" t="str">
        <v>Utb. 2000016 Vippsnr 126635</v>
      </c>
    </row>
    <row r="97" spans="1:5" x14ac:dyDescent="0.35">
      <c r="A97" t="str">
        <v>26.08.2025</v>
      </c>
      <c r="B97">
        <v>566.85</v>
      </c>
      <c r="C97" t="str">
        <v>Drottningborgrussen</v>
      </c>
      <c r="D97">
        <v>1101037</v>
      </c>
      <c r="E97" t="str">
        <v>Utb. 2001574 Vippsnr 126635</v>
      </c>
    </row>
    <row r="98" spans="1:5" x14ac:dyDescent="0.35">
      <c r="A98" t="str">
        <v>26.08.2025</v>
      </c>
      <c r="B98">
        <v>611.1</v>
      </c>
      <c r="C98" t="str">
        <v>Drottningborgrussen</v>
      </c>
      <c r="D98">
        <v>1101018</v>
      </c>
      <c r="E98" t="str">
        <v>Utb. 2001573 Vippsnr 126635</v>
      </c>
    </row>
    <row r="99" spans="1:5" x14ac:dyDescent="0.35">
      <c r="A99" t="str">
        <v>26.08.2025</v>
      </c>
      <c r="B99">
        <v>1211.3499999999999</v>
      </c>
      <c r="C99" t="str">
        <v>Drottningborgrussen</v>
      </c>
      <c r="D99">
        <v>1101019</v>
      </c>
      <c r="E99" t="str">
        <v>Utb. 2001572 Vippsnr 126635</v>
      </c>
    </row>
    <row r="100" spans="1:5" x14ac:dyDescent="0.35">
      <c r="A100" t="str">
        <v>25.11.2025</v>
      </c>
      <c r="B100">
        <v>1742.95</v>
      </c>
      <c r="C100" t="str">
        <v>Drottningborgrussen</v>
      </c>
      <c r="D100">
        <v>1025924</v>
      </c>
      <c r="E100" t="str">
        <v>Utb. 2000060 Vippsnr 126635</v>
      </c>
    </row>
    <row r="101" spans="1:5" x14ac:dyDescent="0.35">
      <c r="A101" t="str">
        <v>25.11.2025</v>
      </c>
      <c r="B101">
        <v>1384.32</v>
      </c>
      <c r="C101" t="str">
        <v>Drottningborgrussen</v>
      </c>
      <c r="D101">
        <v>1025919</v>
      </c>
      <c r="E101" t="str">
        <v>Utb. 2000061 Vippsnr 126635</v>
      </c>
    </row>
    <row r="102" spans="1:5" x14ac:dyDescent="0.35">
      <c r="A102" t="str">
        <v>25.11.2025</v>
      </c>
      <c r="B102">
        <v>1985.53</v>
      </c>
      <c r="C102" t="str">
        <v>Drottningborgrussen</v>
      </c>
      <c r="D102">
        <v>1025921</v>
      </c>
      <c r="E102" t="str">
        <v>Utb. 2000059 Vippsnr 126635</v>
      </c>
    </row>
    <row r="103" spans="1:5" x14ac:dyDescent="0.35">
      <c r="A103" t="str">
        <v>25.09.2025</v>
      </c>
      <c r="B103">
        <v>1443.25</v>
      </c>
      <c r="C103" t="str">
        <v>Drottningborgrussen</v>
      </c>
      <c r="D103">
        <v>294675</v>
      </c>
      <c r="E103" t="str">
        <v>Utb. 2000015 Vippsnr 126635</v>
      </c>
    </row>
    <row r="104" spans="1:5" x14ac:dyDescent="0.35">
      <c r="A104" t="str">
        <v>25.08.2025</v>
      </c>
      <c r="B104">
        <v>1351.85</v>
      </c>
      <c r="C104" t="str">
        <v>Drottningborgrussen</v>
      </c>
      <c r="D104">
        <v>979339</v>
      </c>
      <c r="E104" t="str">
        <v>Utb. 2001571 Vippsnr 126635</v>
      </c>
    </row>
    <row r="105" spans="1:5" x14ac:dyDescent="0.35">
      <c r="A105" t="str">
        <v>24.11.2025</v>
      </c>
      <c r="B105">
        <v>1287.97</v>
      </c>
      <c r="C105" t="str">
        <v>Drottningborgrussen</v>
      </c>
      <c r="D105">
        <v>938553</v>
      </c>
      <c r="E105" t="str">
        <v>Utb. 2000058 Vippsnr 126635</v>
      </c>
    </row>
    <row r="106" spans="1:5" x14ac:dyDescent="0.35">
      <c r="A106" t="str">
        <v>24.10.2025</v>
      </c>
      <c r="B106">
        <v>1350.81</v>
      </c>
      <c r="C106" t="str">
        <v>Drottningborgrussen</v>
      </c>
      <c r="D106">
        <v>770108</v>
      </c>
      <c r="E106" t="str">
        <v>Utb. 2000036 Vippsnr 126635</v>
      </c>
    </row>
    <row r="107" spans="1:5" x14ac:dyDescent="0.35">
      <c r="A107" t="str">
        <v>24.09.2025</v>
      </c>
      <c r="B107">
        <v>820.38</v>
      </c>
      <c r="C107" t="str">
        <v>Drottningborgrussen</v>
      </c>
      <c r="D107">
        <v>213902</v>
      </c>
      <c r="E107" t="str">
        <v>Utb. 2000014 Vippsnr 126635</v>
      </c>
    </row>
    <row r="108" spans="1:5" x14ac:dyDescent="0.35">
      <c r="A108" t="str">
        <v>23.12.2025</v>
      </c>
      <c r="B108">
        <v>29.47</v>
      </c>
      <c r="C108" t="str">
        <v>Drottningborgrussen</v>
      </c>
      <c r="D108">
        <v>278224</v>
      </c>
      <c r="E108" t="str">
        <v>Utb. 2000087 Vippsnr 126635</v>
      </c>
    </row>
    <row r="109" spans="1:5" x14ac:dyDescent="0.35">
      <c r="A109" t="str">
        <v>23.10.2025</v>
      </c>
      <c r="B109">
        <v>1927.56</v>
      </c>
      <c r="C109" t="str">
        <v>Drottningborgrussen</v>
      </c>
      <c r="D109">
        <v>672524</v>
      </c>
      <c r="E109" t="str">
        <v>Utb. 2000035 Vippsnr 126635</v>
      </c>
    </row>
    <row r="110" spans="1:5" x14ac:dyDescent="0.35">
      <c r="A110" t="str">
        <v>23.09.2025</v>
      </c>
      <c r="B110">
        <v>1176.02</v>
      </c>
      <c r="C110" t="str">
        <v>Drottningborgrussen</v>
      </c>
      <c r="D110">
        <v>129594</v>
      </c>
      <c r="E110" t="str">
        <v>Utb. 2000012 Vippsnr 126635</v>
      </c>
    </row>
    <row r="111" spans="1:5" x14ac:dyDescent="0.35">
      <c r="A111" t="str">
        <v>23.09.2025</v>
      </c>
      <c r="B111">
        <v>1535.56</v>
      </c>
      <c r="C111" t="str">
        <v>Drottningborgrussen</v>
      </c>
      <c r="D111">
        <v>129870</v>
      </c>
      <c r="E111" t="str">
        <v>Utb. 2000011 Vippsnr 126635</v>
      </c>
    </row>
    <row r="112" spans="1:5" x14ac:dyDescent="0.35">
      <c r="A112" t="str">
        <v>23.09.2025</v>
      </c>
      <c r="B112">
        <v>379.25</v>
      </c>
      <c r="C112" t="str">
        <v>Drottningborgrussen</v>
      </c>
      <c r="D112">
        <v>129596</v>
      </c>
      <c r="E112" t="str">
        <v>Utb. 2000013 Vippsnr 126635</v>
      </c>
    </row>
    <row r="113" spans="1:5" x14ac:dyDescent="0.35">
      <c r="A113" t="str">
        <v>22.12.2025</v>
      </c>
      <c r="B113">
        <v>521.66999999999996</v>
      </c>
      <c r="C113" t="str">
        <v>Drottningborgrussen</v>
      </c>
      <c r="D113">
        <v>1466610</v>
      </c>
      <c r="E113" t="str">
        <v>Utb. 2000086 Vippsnr 126635</v>
      </c>
    </row>
    <row r="114" spans="1:5" x14ac:dyDescent="0.35">
      <c r="A114" t="str">
        <v>22.10.2025</v>
      </c>
      <c r="B114">
        <v>1966.89</v>
      </c>
      <c r="C114" t="str">
        <v>Drottningborgrussen</v>
      </c>
      <c r="D114">
        <v>596605</v>
      </c>
      <c r="E114" t="str">
        <v>Utb. 2000034 Vippsnr 126635</v>
      </c>
    </row>
    <row r="115" spans="1:5" x14ac:dyDescent="0.35">
      <c r="A115" t="str">
        <v>22.09.2025</v>
      </c>
      <c r="B115">
        <v>1210.3900000000001</v>
      </c>
      <c r="C115" t="str">
        <v>Drottningborgrussen</v>
      </c>
      <c r="D115">
        <v>1527295</v>
      </c>
      <c r="E115" t="str">
        <v>Utb. 2000010 Vippsnr 126635</v>
      </c>
    </row>
    <row r="116" spans="1:5" x14ac:dyDescent="0.35">
      <c r="A116" t="str">
        <v>22.08.2025</v>
      </c>
      <c r="B116">
        <v>1245.71</v>
      </c>
      <c r="C116" t="str">
        <v>Drottningborgrussen</v>
      </c>
      <c r="D116">
        <v>898381</v>
      </c>
      <c r="E116" t="str">
        <v>Utb. 2001570 Vippsnr 126635</v>
      </c>
    </row>
    <row r="117" spans="1:5" x14ac:dyDescent="0.35">
      <c r="A117" t="str">
        <v>21.11.2025</v>
      </c>
      <c r="B117">
        <v>1805.75</v>
      </c>
      <c r="C117" t="str">
        <v>Drottningborgrussen</v>
      </c>
      <c r="D117">
        <v>881846</v>
      </c>
      <c r="E117" t="str">
        <v>Utb. 2000057 Vippsnr 126635</v>
      </c>
    </row>
    <row r="118" spans="1:5" x14ac:dyDescent="0.35">
      <c r="A118" t="str">
        <v>21.10.2025</v>
      </c>
      <c r="B118">
        <v>1793.01</v>
      </c>
      <c r="C118" t="str">
        <v>Drottningborgrussen</v>
      </c>
      <c r="D118">
        <v>517804</v>
      </c>
      <c r="E118" t="str">
        <v>Utb. 2000032 Vippsnr 126635</v>
      </c>
    </row>
    <row r="119" spans="1:5" x14ac:dyDescent="0.35">
      <c r="A119" t="str">
        <v>21.10.2025</v>
      </c>
      <c r="B119">
        <v>1324.32</v>
      </c>
      <c r="C119" t="str">
        <v>Drottningborgrussen</v>
      </c>
      <c r="D119">
        <v>517799</v>
      </c>
      <c r="E119" t="str">
        <v>Utb. 2000033 Vippsnr 126635</v>
      </c>
    </row>
    <row r="120" spans="1:5" x14ac:dyDescent="0.35">
      <c r="A120" t="str">
        <v>21.10.2025</v>
      </c>
      <c r="B120">
        <v>2183.94</v>
      </c>
      <c r="C120" t="str">
        <v>Drottningborgrussen</v>
      </c>
      <c r="D120">
        <v>517324</v>
      </c>
      <c r="E120" t="str">
        <v>Utb. 2000031 Vippsnr 126635</v>
      </c>
    </row>
    <row r="121" spans="1:5" x14ac:dyDescent="0.35">
      <c r="A121" t="str">
        <v>21.08.2025</v>
      </c>
      <c r="B121">
        <v>711.31</v>
      </c>
      <c r="C121" t="str">
        <v>Drottningborgrussen</v>
      </c>
      <c r="D121">
        <v>790146</v>
      </c>
      <c r="E121" t="str">
        <v>Utb. 2001569 Vippsnr 126635</v>
      </c>
    </row>
    <row r="122" spans="1:5" x14ac:dyDescent="0.35">
      <c r="A122" t="str">
        <v>20.11.2025</v>
      </c>
      <c r="B122">
        <v>1485.47</v>
      </c>
      <c r="C122" t="str">
        <v>Drottningborgrussen</v>
      </c>
      <c r="D122">
        <v>807235</v>
      </c>
      <c r="E122" t="str">
        <v>Utb. 2000056 Vippsnr 126635</v>
      </c>
    </row>
    <row r="123" spans="1:5" x14ac:dyDescent="0.35">
      <c r="A123" t="str">
        <v>20.10.2025</v>
      </c>
      <c r="B123">
        <v>1419.65</v>
      </c>
      <c r="C123" t="str">
        <v>Drottningborgrussen</v>
      </c>
      <c r="D123">
        <v>414192</v>
      </c>
      <c r="E123" t="str">
        <v>Utb. 2000030 Vippsnr 126635</v>
      </c>
    </row>
    <row r="124" spans="1:5" x14ac:dyDescent="0.35">
      <c r="A124" t="str">
        <v>20.08.2025</v>
      </c>
      <c r="B124">
        <v>845.86</v>
      </c>
      <c r="C124" t="str">
        <v>Drottningborgrussen</v>
      </c>
      <c r="D124">
        <v>698285</v>
      </c>
      <c r="E124" t="str">
        <v>Utb. 2001568 Vippsnr 126635</v>
      </c>
    </row>
    <row r="125" spans="1:5" x14ac:dyDescent="0.35">
      <c r="A125" t="str">
        <v>19.12.2025</v>
      </c>
      <c r="B125">
        <v>2758.69</v>
      </c>
      <c r="C125" t="str">
        <v>Drottningborgrussen</v>
      </c>
      <c r="D125">
        <v>898688</v>
      </c>
      <c r="E125" t="str">
        <v>Utb. 2000085 Vippsnr 126635</v>
      </c>
    </row>
    <row r="126" spans="1:5" x14ac:dyDescent="0.35">
      <c r="A126" t="str">
        <v>19.11.2025</v>
      </c>
      <c r="B126">
        <v>2346.0500000000002</v>
      </c>
      <c r="C126" t="str">
        <v>Drottningborgrussen</v>
      </c>
      <c r="D126">
        <v>742446</v>
      </c>
      <c r="E126" t="str">
        <v>Utb. 2000055 Vippsnr 126635</v>
      </c>
    </row>
    <row r="127" spans="1:5" x14ac:dyDescent="0.35">
      <c r="A127" t="str">
        <v>19.09.2025</v>
      </c>
      <c r="B127">
        <v>3184.11</v>
      </c>
      <c r="C127" t="str">
        <v>Drottningborgrussen</v>
      </c>
      <c r="D127">
        <v>1451306</v>
      </c>
      <c r="E127" t="str">
        <v>Utb. 2000009 Vippsnr 126635</v>
      </c>
    </row>
    <row r="128" spans="1:5" x14ac:dyDescent="0.35">
      <c r="A128" t="str">
        <v>19.08.2025</v>
      </c>
      <c r="B128">
        <v>800.68</v>
      </c>
      <c r="C128" t="str">
        <v>Drottningborgrussen</v>
      </c>
      <c r="D128">
        <v>591487</v>
      </c>
      <c r="E128" t="str">
        <v>Utb. 2001567 Vippsnr 126635</v>
      </c>
    </row>
    <row r="129" spans="1:5" x14ac:dyDescent="0.35">
      <c r="A129" t="str">
        <v>19.08.2025</v>
      </c>
      <c r="B129">
        <v>609.14</v>
      </c>
      <c r="C129" t="str">
        <v>Drottningborgrussen</v>
      </c>
      <c r="D129">
        <v>591486</v>
      </c>
      <c r="E129" t="str">
        <v>Utb. 2001566 Vippsnr 126635</v>
      </c>
    </row>
    <row r="130" spans="1:5" x14ac:dyDescent="0.35">
      <c r="A130" t="str">
        <v>19.08.2025</v>
      </c>
      <c r="B130">
        <v>177.83</v>
      </c>
      <c r="C130" t="str">
        <v>Drottningborgrussen</v>
      </c>
      <c r="D130">
        <v>591147</v>
      </c>
      <c r="E130" t="str">
        <v>Utb. 2001565 Vippsnr 126635</v>
      </c>
    </row>
    <row r="131" spans="1:5" x14ac:dyDescent="0.35">
      <c r="A131" t="str">
        <v>18.12.2025</v>
      </c>
      <c r="B131">
        <v>1980.63</v>
      </c>
      <c r="C131" t="str">
        <v>Drottningborgrussen</v>
      </c>
      <c r="D131">
        <v>766625</v>
      </c>
      <c r="E131" t="str">
        <v>Utb. 2000084 Vippsnr 126635</v>
      </c>
    </row>
    <row r="132" spans="1:5" x14ac:dyDescent="0.35">
      <c r="A132" t="str">
        <v>18.11.2025</v>
      </c>
      <c r="B132">
        <v>902.87</v>
      </c>
      <c r="C132" t="str">
        <v>Drottningborgrussen</v>
      </c>
      <c r="D132">
        <v>663483</v>
      </c>
      <c r="E132" t="str">
        <v>Utb. 2000054 Vippsnr 126635</v>
      </c>
    </row>
    <row r="133" spans="1:5" x14ac:dyDescent="0.35">
      <c r="A133" t="str">
        <v>18.11.2025</v>
      </c>
      <c r="B133">
        <v>66.8</v>
      </c>
      <c r="C133" t="str">
        <v>Drottningborgrussen</v>
      </c>
      <c r="D133">
        <v>663586</v>
      </c>
      <c r="E133" t="str">
        <v>Utb. 2001594 Vippsnr 970538</v>
      </c>
    </row>
    <row r="134" spans="1:5" x14ac:dyDescent="0.35">
      <c r="A134" t="str">
        <v>18.09.2025</v>
      </c>
      <c r="B134">
        <v>2332.34</v>
      </c>
      <c r="C134" t="str">
        <v>Drottningborgrussen</v>
      </c>
      <c r="D134">
        <v>1358029</v>
      </c>
      <c r="E134" t="str">
        <v>Utb. 2000008 Vippsnr 126635</v>
      </c>
    </row>
    <row r="135" spans="1:5" x14ac:dyDescent="0.35">
      <c r="A135" t="str">
        <v>18.08.2025</v>
      </c>
      <c r="B135">
        <v>862.6</v>
      </c>
      <c r="C135" t="str">
        <v>Drottningborgrussen</v>
      </c>
      <c r="D135">
        <v>461260</v>
      </c>
      <c r="E135" t="str">
        <v>Utb. 2001564 Vippsnr 126635</v>
      </c>
    </row>
    <row r="136" spans="1:5" x14ac:dyDescent="0.35">
      <c r="A136" t="str">
        <v>17.12.2025</v>
      </c>
      <c r="B136">
        <v>2505.1799999999998</v>
      </c>
      <c r="C136" t="str">
        <v>Drottningborgrussen</v>
      </c>
      <c r="D136">
        <v>685963</v>
      </c>
      <c r="E136" t="str">
        <v>Utb. 2000083 Vippsnr 126635</v>
      </c>
    </row>
    <row r="137" spans="1:5" x14ac:dyDescent="0.35">
      <c r="A137" t="str">
        <v>17.10.2025</v>
      </c>
      <c r="B137">
        <v>2927.7</v>
      </c>
      <c r="C137" t="str">
        <v>Drottningborgrussen</v>
      </c>
      <c r="D137">
        <v>339492</v>
      </c>
      <c r="E137" t="str">
        <v>Utb. 2000029 Vippsnr 126635</v>
      </c>
    </row>
    <row r="138" spans="1:5" x14ac:dyDescent="0.35">
      <c r="A138" t="str">
        <v>17.09.2025</v>
      </c>
      <c r="B138">
        <v>4179.34</v>
      </c>
      <c r="C138" t="str">
        <v>Drottningborgrussen</v>
      </c>
      <c r="D138">
        <v>1275771</v>
      </c>
      <c r="E138" t="str">
        <v>Utb. 2000007 Vippsnr 126635</v>
      </c>
    </row>
    <row r="139" spans="1:5" x14ac:dyDescent="0.35">
      <c r="A139" t="str">
        <v>16.12.2025</v>
      </c>
      <c r="B139">
        <v>2331.35</v>
      </c>
      <c r="C139" t="str">
        <v>Drottningborgrussen</v>
      </c>
      <c r="D139">
        <v>612501</v>
      </c>
      <c r="E139" t="str">
        <v>Utb. 2000081 Vippsnr 126635</v>
      </c>
    </row>
    <row r="140" spans="1:5" x14ac:dyDescent="0.35">
      <c r="A140" t="str">
        <v>16.12.2025</v>
      </c>
      <c r="B140">
        <v>2510.14</v>
      </c>
      <c r="C140" t="str">
        <v>Drottningborgrussen</v>
      </c>
      <c r="D140">
        <v>612501</v>
      </c>
      <c r="E140" t="str">
        <v>Utb. 2000080 Vippsnr 126635</v>
      </c>
    </row>
    <row r="141" spans="1:5" x14ac:dyDescent="0.35">
      <c r="A141" t="str">
        <v>16.12.2025</v>
      </c>
      <c r="B141">
        <v>371.36</v>
      </c>
      <c r="C141" t="str">
        <v>Drottningborgrussen</v>
      </c>
      <c r="D141">
        <v>612537</v>
      </c>
      <c r="E141" t="str">
        <v>Utb. 2000082 Vippsnr 126635</v>
      </c>
    </row>
    <row r="142" spans="1:5" x14ac:dyDescent="0.35">
      <c r="A142" t="str">
        <v>16.10.2025</v>
      </c>
      <c r="B142">
        <v>1713.37</v>
      </c>
      <c r="C142" t="str">
        <v>Drottningborgrussen</v>
      </c>
      <c r="D142">
        <v>234407</v>
      </c>
      <c r="E142" t="str">
        <v>Utb. 2000028 Vippsnr 126635</v>
      </c>
    </row>
    <row r="143" spans="1:5" x14ac:dyDescent="0.35">
      <c r="A143" t="str">
        <v>16.09.2025</v>
      </c>
      <c r="B143">
        <v>3204.77</v>
      </c>
      <c r="C143" t="str">
        <v>Drottningborgrussen</v>
      </c>
      <c r="D143">
        <v>1169683</v>
      </c>
      <c r="E143" t="str">
        <v>Utb. 2000004 Vippsnr 126635</v>
      </c>
    </row>
    <row r="144" spans="1:5" x14ac:dyDescent="0.35">
      <c r="A144" t="str">
        <v>16.09.2025</v>
      </c>
      <c r="B144">
        <v>1396.08</v>
      </c>
      <c r="C144" t="str">
        <v>Drottningborgrussen</v>
      </c>
      <c r="D144">
        <v>1169651</v>
      </c>
      <c r="E144" t="str">
        <v>Utb. 2000005 Vippsnr 126635</v>
      </c>
    </row>
    <row r="145" spans="1:5" x14ac:dyDescent="0.35">
      <c r="A145" t="str">
        <v>16.09.2025</v>
      </c>
      <c r="B145">
        <v>3189.07</v>
      </c>
      <c r="C145" t="str">
        <v>Drottningborgrussen</v>
      </c>
      <c r="D145">
        <v>1169649</v>
      </c>
      <c r="E145" t="str">
        <v>Utb. 2000006 Vippsnr 126635</v>
      </c>
    </row>
    <row r="146" spans="1:5" x14ac:dyDescent="0.35">
      <c r="A146" t="str">
        <v>15.12.2025</v>
      </c>
      <c r="B146">
        <v>1544.41</v>
      </c>
      <c r="C146" t="str">
        <v>Drottningborgrussen</v>
      </c>
      <c r="D146">
        <v>526170</v>
      </c>
      <c r="E146" t="str">
        <v>Utb. 2000079 Vippsnr 126635</v>
      </c>
    </row>
    <row r="147" spans="1:5" x14ac:dyDescent="0.35">
      <c r="A147" t="str">
        <v>15.10.2025</v>
      </c>
      <c r="B147">
        <v>2491.48</v>
      </c>
      <c r="C147" t="str">
        <v>Drottningborgrussen</v>
      </c>
      <c r="D147">
        <v>147914</v>
      </c>
      <c r="E147" t="str">
        <v>Utb. 2000027 Vippsnr 126635</v>
      </c>
    </row>
    <row r="148" spans="1:5" x14ac:dyDescent="0.35">
      <c r="A148" t="str">
        <v>15.09.2025</v>
      </c>
      <c r="B148">
        <v>1787.21</v>
      </c>
      <c r="C148" t="str">
        <v>Drottningborgrussen</v>
      </c>
      <c r="D148">
        <v>1071246</v>
      </c>
      <c r="E148" t="str">
        <v>Utb. 2000003 Vippsnr 126635</v>
      </c>
    </row>
    <row r="149" spans="1:5" x14ac:dyDescent="0.35">
      <c r="A149" t="str">
        <v>15.08.2025</v>
      </c>
      <c r="B149">
        <v>1185.81</v>
      </c>
      <c r="C149" t="str">
        <v>Drottningborgrussen</v>
      </c>
      <c r="D149">
        <v>372904</v>
      </c>
      <c r="E149" t="str">
        <v>Utb. 2001563 Vippsnr 126635</v>
      </c>
    </row>
    <row r="150" spans="1:5" x14ac:dyDescent="0.35">
      <c r="A150" t="str">
        <v>15.01.2026</v>
      </c>
      <c r="B150">
        <v>1469.72</v>
      </c>
      <c r="C150" t="str">
        <v>Drottningborgrussen</v>
      </c>
      <c r="D150">
        <v>464617</v>
      </c>
      <c r="E150" t="str">
        <v>Utb. 2000096 Vippsnr 126635</v>
      </c>
    </row>
    <row r="151" spans="1:5" x14ac:dyDescent="0.35">
      <c r="A151" t="str">
        <v>14.10.2025</v>
      </c>
      <c r="B151">
        <v>441.1</v>
      </c>
      <c r="C151" t="str">
        <v>Drottningborgrussen</v>
      </c>
      <c r="D151">
        <v>1555163</v>
      </c>
      <c r="E151" t="str">
        <v>Utb. 2000026 Vippsnr 126635</v>
      </c>
    </row>
    <row r="152" spans="1:5" x14ac:dyDescent="0.35">
      <c r="A152" t="str">
        <v>14.10.2025</v>
      </c>
      <c r="B152">
        <v>1980.63</v>
      </c>
      <c r="C152" t="str">
        <v>Drottningborgrussen</v>
      </c>
      <c r="D152">
        <v>1556209</v>
      </c>
      <c r="E152" t="str">
        <v>Utb. 2000024 Vippsnr 126635</v>
      </c>
    </row>
    <row r="153" spans="1:5" x14ac:dyDescent="0.35">
      <c r="A153" t="str">
        <v>14.10.2025</v>
      </c>
      <c r="B153">
        <v>868.46</v>
      </c>
      <c r="C153" t="str">
        <v>Drottningborgrussen</v>
      </c>
      <c r="D153">
        <v>1556213</v>
      </c>
      <c r="E153" t="str">
        <v>Utb. 2000025 Vippsnr 126635</v>
      </c>
    </row>
    <row r="154" spans="1:5" x14ac:dyDescent="0.35">
      <c r="A154" t="str">
        <v>14.08.2025</v>
      </c>
      <c r="B154">
        <v>2555.38</v>
      </c>
      <c r="C154" t="str">
        <v>Drottningborgrussen</v>
      </c>
      <c r="D154">
        <v>254875</v>
      </c>
      <c r="E154" t="str">
        <v>Utb. 2001562 Vippsnr 126635</v>
      </c>
    </row>
    <row r="155" spans="1:5" x14ac:dyDescent="0.35">
      <c r="A155" t="str">
        <v>14.01.2026</v>
      </c>
      <c r="B155">
        <v>2261.56</v>
      </c>
      <c r="C155" t="str">
        <v>Drottningborgrussen</v>
      </c>
      <c r="D155">
        <v>401190</v>
      </c>
      <c r="E155" t="str">
        <v>Utb. 2000095 Vippsnr 126635</v>
      </c>
    </row>
    <row r="156" spans="1:5" x14ac:dyDescent="0.35">
      <c r="A156" t="str">
        <v>13.10.2025</v>
      </c>
      <c r="B156">
        <v>914.67</v>
      </c>
      <c r="C156" t="str">
        <v>Drottningborgrussen</v>
      </c>
      <c r="D156">
        <v>1438142</v>
      </c>
      <c r="E156" t="str">
        <v>Utb. 2000023 Vippsnr 126635</v>
      </c>
    </row>
    <row r="157" spans="1:5" x14ac:dyDescent="0.35">
      <c r="A157" t="str">
        <v>13.01.2026</v>
      </c>
      <c r="B157">
        <v>215.16</v>
      </c>
      <c r="C157" t="str">
        <v>Drottningborgrussen</v>
      </c>
      <c r="D157">
        <v>337317</v>
      </c>
      <c r="E157" t="str">
        <v>Utb. 2000094 Vippsnr 126635</v>
      </c>
    </row>
    <row r="158" spans="1:5" x14ac:dyDescent="0.35">
      <c r="A158" t="str">
        <v>13.01.2026</v>
      </c>
      <c r="B158">
        <v>2081.8000000000002</v>
      </c>
      <c r="C158" t="str">
        <v>Drottningborgrussen</v>
      </c>
      <c r="D158">
        <v>337316</v>
      </c>
      <c r="E158" t="str">
        <v>Utb. 2000092 Vippsnr 126635</v>
      </c>
    </row>
    <row r="159" spans="1:5" x14ac:dyDescent="0.35">
      <c r="A159" t="str">
        <v>13.01.2026</v>
      </c>
      <c r="B159">
        <v>1259.54</v>
      </c>
      <c r="C159" t="str">
        <v>Drottningborgrussen</v>
      </c>
      <c r="D159">
        <v>337285</v>
      </c>
      <c r="E159" t="str">
        <v>Utb. 2000093 Vippsnr 126635</v>
      </c>
    </row>
    <row r="160" spans="1:5" x14ac:dyDescent="0.35">
      <c r="A160" t="str">
        <v>12.12.2025</v>
      </c>
      <c r="B160">
        <v>2713.45</v>
      </c>
      <c r="C160" t="str">
        <v>Drottningborgrussen</v>
      </c>
      <c r="D160">
        <v>463713</v>
      </c>
      <c r="E160" t="str">
        <v>Utb. 2000078 Vippsnr 126635</v>
      </c>
    </row>
    <row r="161" spans="1:5" x14ac:dyDescent="0.35">
      <c r="A161" t="str">
        <v>12.09.2025</v>
      </c>
      <c r="B161">
        <v>3372.18</v>
      </c>
      <c r="C161" t="str">
        <v>Drottningborgrussen</v>
      </c>
      <c r="D161">
        <v>990313</v>
      </c>
      <c r="E161" t="str">
        <v>Utb. 2000002 Vippsnr 126635</v>
      </c>
    </row>
    <row r="162" spans="1:5" x14ac:dyDescent="0.35">
      <c r="A162" t="str">
        <v>12.01.2026</v>
      </c>
      <c r="B162">
        <v>993.26</v>
      </c>
      <c r="C162" t="str">
        <v>Drottningborgrussen</v>
      </c>
      <c r="D162">
        <v>270439</v>
      </c>
      <c r="E162" t="str">
        <v>Utb. 2000091 Vippsnr 126635</v>
      </c>
    </row>
    <row r="163" spans="1:5" x14ac:dyDescent="0.35">
      <c r="A163" t="str">
        <v>11.12.2025</v>
      </c>
      <c r="B163">
        <v>2565.13</v>
      </c>
      <c r="C163" t="str">
        <v>Drottningborgrussen</v>
      </c>
      <c r="D163">
        <v>401962</v>
      </c>
      <c r="E163" t="str">
        <v>Utb. 2000077 Vippsnr 126635</v>
      </c>
    </row>
    <row r="164" spans="1:5" x14ac:dyDescent="0.35">
      <c r="A164" t="str">
        <v>11.11.2025</v>
      </c>
      <c r="B164">
        <v>542.30999999999995</v>
      </c>
      <c r="C164" t="str">
        <v>Drottningborgrussen</v>
      </c>
      <c r="D164">
        <v>280413</v>
      </c>
      <c r="E164" t="str">
        <v>Utb. 2000053 Vippsnr 126635</v>
      </c>
    </row>
    <row r="165" spans="1:5" x14ac:dyDescent="0.35">
      <c r="A165" t="str">
        <v>11.11.2025</v>
      </c>
      <c r="B165">
        <v>2393.23</v>
      </c>
      <c r="C165" t="str">
        <v>Drottningborgrussen</v>
      </c>
      <c r="D165">
        <v>280431</v>
      </c>
      <c r="E165" t="str">
        <v>Utb. 2000052 Vippsnr 126635</v>
      </c>
    </row>
    <row r="166" spans="1:5" x14ac:dyDescent="0.35">
      <c r="A166" t="str">
        <v>11.09.2025</v>
      </c>
      <c r="B166">
        <v>403.68</v>
      </c>
      <c r="C166" t="str">
        <v>Drottningborgrussen</v>
      </c>
      <c r="D166">
        <v>911913</v>
      </c>
      <c r="E166" t="str">
        <v>Utb. 2000001 Vippsnr 126635</v>
      </c>
    </row>
    <row r="167" spans="1:5" x14ac:dyDescent="0.35">
      <c r="A167" t="str">
        <v>11.09.2025</v>
      </c>
      <c r="B167">
        <v>760.45</v>
      </c>
      <c r="C167" t="str">
        <v>Drottningborgrussen</v>
      </c>
      <c r="D167">
        <v>911913</v>
      </c>
      <c r="E167" t="str">
        <v>Utb. 2001590 Vippsnr 970538</v>
      </c>
    </row>
    <row r="168" spans="1:5" x14ac:dyDescent="0.35">
      <c r="A168" t="str">
        <v>10.12.2025</v>
      </c>
      <c r="B168">
        <v>1667.26</v>
      </c>
      <c r="C168" t="str">
        <v>Drottningborgrussen</v>
      </c>
      <c r="D168">
        <v>336283</v>
      </c>
      <c r="E168" t="str">
        <v>Utb. 2000076 Vippsnr 126635</v>
      </c>
    </row>
    <row r="169" spans="1:5" x14ac:dyDescent="0.35">
      <c r="A169" t="str">
        <v>10.11.2025</v>
      </c>
      <c r="B169">
        <v>1567.96</v>
      </c>
      <c r="C169" t="str">
        <v>Drottningborgrussen</v>
      </c>
      <c r="D169">
        <v>189244</v>
      </c>
      <c r="E169" t="str">
        <v>Utb. 2000051 Vippsnr 126635</v>
      </c>
    </row>
    <row r="170" spans="1:5" x14ac:dyDescent="0.35">
      <c r="A170" t="str">
        <v>10.10.2025</v>
      </c>
      <c r="B170">
        <v>2038.63</v>
      </c>
      <c r="C170" t="str">
        <v>Drottningborgrussen</v>
      </c>
      <c r="D170">
        <v>1363385</v>
      </c>
      <c r="E170" t="str">
        <v>Utb. 2000022 Vippsnr 126635</v>
      </c>
    </row>
    <row r="171" spans="1:5" x14ac:dyDescent="0.35">
      <c r="A171" t="str">
        <v>10.09.2025</v>
      </c>
      <c r="B171">
        <v>2765.61</v>
      </c>
      <c r="C171" t="str">
        <v>Drottningborgrussen</v>
      </c>
      <c r="D171">
        <v>708562</v>
      </c>
      <c r="E171" t="str">
        <v>Utb. 2001586 Vippsnr 126635</v>
      </c>
    </row>
    <row r="172" spans="1:5" x14ac:dyDescent="0.35">
      <c r="A172" t="str">
        <v>10.09.2025</v>
      </c>
      <c r="B172">
        <v>410.67</v>
      </c>
      <c r="C172" t="str">
        <v>Drottningborgrussen</v>
      </c>
      <c r="D172">
        <v>708536</v>
      </c>
      <c r="E172" t="str">
        <v>Utb. 2001588 Vippsnr 126635</v>
      </c>
    </row>
    <row r="173" spans="1:5" x14ac:dyDescent="0.35">
      <c r="A173" t="str">
        <v>10.09.2025</v>
      </c>
      <c r="B173">
        <v>1133.72</v>
      </c>
      <c r="C173" t="str">
        <v>Drottningborgrussen</v>
      </c>
      <c r="D173">
        <v>804173</v>
      </c>
      <c r="E173" t="str">
        <v>Utb. 2001589 Vippsnr 126635</v>
      </c>
    </row>
    <row r="174" spans="1:5" x14ac:dyDescent="0.35">
      <c r="A174" t="str">
        <v>10.09.2025</v>
      </c>
      <c r="B174">
        <v>39.299999999999997</v>
      </c>
      <c r="C174" t="str">
        <v>Drottningborgrussen</v>
      </c>
      <c r="D174">
        <v>708536</v>
      </c>
      <c r="E174" t="str">
        <v>Utb. 2001587 Vippsnr 126635</v>
      </c>
    </row>
    <row r="175" spans="1:5" x14ac:dyDescent="0.35">
      <c r="A175" t="str">
        <v>09.12.2025</v>
      </c>
      <c r="B175">
        <v>2294.0500000000002</v>
      </c>
      <c r="C175" t="str">
        <v>Drottningborgrussen</v>
      </c>
      <c r="D175">
        <v>258164</v>
      </c>
      <c r="E175" t="str">
        <v>Utb. 2000073 Vippsnr 126635</v>
      </c>
    </row>
    <row r="176" spans="1:5" x14ac:dyDescent="0.35">
      <c r="A176" t="str">
        <v>09.12.2025</v>
      </c>
      <c r="B176">
        <v>532.5</v>
      </c>
      <c r="C176" t="str">
        <v>Drottningborgrussen</v>
      </c>
      <c r="D176">
        <v>258137</v>
      </c>
      <c r="E176" t="str">
        <v>Utb. 2000075 Vippsnr 126635</v>
      </c>
    </row>
    <row r="177" spans="1:5" x14ac:dyDescent="0.35">
      <c r="A177" t="str">
        <v>09.12.2025</v>
      </c>
      <c r="B177">
        <v>1107.27</v>
      </c>
      <c r="C177" t="str">
        <v>Drottningborgrussen</v>
      </c>
      <c r="D177">
        <v>258170</v>
      </c>
      <c r="E177" t="str">
        <v>Utb. 2000074 Vippsnr 126635</v>
      </c>
    </row>
    <row r="178" spans="1:5" x14ac:dyDescent="0.35">
      <c r="A178" t="str">
        <v>09.10.2025</v>
      </c>
      <c r="B178">
        <v>1481.51</v>
      </c>
      <c r="C178" t="str">
        <v>Drottningborgrussen</v>
      </c>
      <c r="D178">
        <v>1294628</v>
      </c>
      <c r="E178" t="str">
        <v>Utb. 2000021 Vippsnr 126635</v>
      </c>
    </row>
    <row r="179" spans="1:5" x14ac:dyDescent="0.35">
      <c r="A179" t="str">
        <v>09.01.2026</v>
      </c>
      <c r="B179">
        <v>1545.38</v>
      </c>
      <c r="C179" t="str">
        <v>Drottningborgrussen</v>
      </c>
      <c r="D179">
        <v>132539</v>
      </c>
      <c r="E179" t="str">
        <v>Utb. 2000090 Vippsnr 126635</v>
      </c>
    </row>
    <row r="180" spans="1:5" x14ac:dyDescent="0.35">
      <c r="A180" t="str">
        <v>08.12.2025</v>
      </c>
      <c r="B180">
        <v>801.7</v>
      </c>
      <c r="C180" t="str">
        <v>Drottningborgrussen</v>
      </c>
      <c r="D180">
        <v>188529</v>
      </c>
      <c r="E180" t="str">
        <v>Utb. 2000072 Vippsnr 126635</v>
      </c>
    </row>
    <row r="181" spans="1:5" x14ac:dyDescent="0.35">
      <c r="A181" t="str">
        <v>08.10.2025</v>
      </c>
      <c r="B181">
        <v>2410.92</v>
      </c>
      <c r="C181" t="str">
        <v>Drottningborgrussen</v>
      </c>
      <c r="D181">
        <v>1173632</v>
      </c>
      <c r="E181" t="str">
        <v>Utb. 2000020 Vippsnr 126635</v>
      </c>
    </row>
    <row r="182" spans="1:5" x14ac:dyDescent="0.35">
      <c r="A182" t="str">
        <v>08.09.2025</v>
      </c>
      <c r="B182">
        <v>824.3</v>
      </c>
      <c r="C182" t="str">
        <v>Drottningborgrussen</v>
      </c>
      <c r="D182">
        <v>586845</v>
      </c>
      <c r="E182" t="str">
        <v>Utb. 2001585 Vippsnr 126635</v>
      </c>
    </row>
    <row r="183" spans="1:5" x14ac:dyDescent="0.35">
      <c r="A183" t="str">
        <v>08.01.2026</v>
      </c>
      <c r="B183">
        <v>1336.15</v>
      </c>
      <c r="C183" t="str">
        <v>Drottningborgrussen</v>
      </c>
      <c r="D183">
        <v>1028948</v>
      </c>
      <c r="E183" t="str">
        <v>Utb. 2000089 Vippsnr 126635</v>
      </c>
    </row>
    <row r="184" spans="1:5" x14ac:dyDescent="0.35">
      <c r="A184" t="str">
        <v>07.11.2025</v>
      </c>
      <c r="B184">
        <v>1570.94</v>
      </c>
      <c r="C184" t="str">
        <v>Drottningborgrussen</v>
      </c>
      <c r="D184">
        <v>125503</v>
      </c>
      <c r="E184" t="str">
        <v>Utb. 2000050 Vippsnr 126635</v>
      </c>
    </row>
    <row r="185" spans="1:5" x14ac:dyDescent="0.35">
      <c r="A185" t="str">
        <v>07.10.2025</v>
      </c>
      <c r="B185">
        <v>69.760000000000005</v>
      </c>
      <c r="C185" t="str">
        <v>Drottningborgrussen</v>
      </c>
      <c r="D185">
        <v>1091666</v>
      </c>
      <c r="E185" t="str">
        <v>Utb. 2000019 Vippsnr 126635</v>
      </c>
    </row>
    <row r="186" spans="1:5" x14ac:dyDescent="0.35">
      <c r="A186" t="str">
        <v>07.01.2026</v>
      </c>
      <c r="B186">
        <v>27.51</v>
      </c>
      <c r="C186" t="str">
        <v>Drottningborgrussen</v>
      </c>
      <c r="D186">
        <v>816250</v>
      </c>
      <c r="E186" t="str">
        <v>Utb. 2000088 Vippsnr 126635</v>
      </c>
    </row>
    <row r="187" spans="1:5" x14ac:dyDescent="0.35">
      <c r="A187" t="str">
        <v>06.11.2025</v>
      </c>
      <c r="B187">
        <v>14.74</v>
      </c>
      <c r="C187" t="str">
        <v>Drottningborgrussen</v>
      </c>
      <c r="D187">
        <v>1535172</v>
      </c>
      <c r="E187" t="str">
        <v>Utb. 2001593 Vippsnr 970538</v>
      </c>
    </row>
    <row r="188" spans="1:5" x14ac:dyDescent="0.35">
      <c r="A188" t="str">
        <v>06.11.2025</v>
      </c>
      <c r="B188">
        <v>2232.09</v>
      </c>
      <c r="C188" t="str">
        <v>Drottningborgrussen</v>
      </c>
      <c r="D188">
        <v>1535103</v>
      </c>
      <c r="E188" t="str">
        <v>Utb. 2000049 Vippsnr 126635</v>
      </c>
    </row>
    <row r="189" spans="1:5" x14ac:dyDescent="0.35">
      <c r="A189" t="str">
        <v>05.12.2025</v>
      </c>
      <c r="B189">
        <v>1548.39</v>
      </c>
      <c r="C189" t="str">
        <v>Drottningborgrussen</v>
      </c>
      <c r="D189">
        <v>131876</v>
      </c>
      <c r="E189" t="str">
        <v>Utb. 2000071 Vippsnr 126635</v>
      </c>
    </row>
    <row r="190" spans="1:5" x14ac:dyDescent="0.35">
      <c r="A190" t="str">
        <v>05.11.2025</v>
      </c>
      <c r="B190">
        <v>58.95</v>
      </c>
      <c r="C190" t="str">
        <v>Drottningborgrussen</v>
      </c>
      <c r="D190">
        <v>1464690</v>
      </c>
      <c r="E190" t="str">
        <v>Utb. 2001592 Vippsnr 970538</v>
      </c>
    </row>
    <row r="191" spans="1:5" x14ac:dyDescent="0.35">
      <c r="A191" t="str">
        <v>05.11.2025</v>
      </c>
      <c r="B191">
        <v>2257.67</v>
      </c>
      <c r="C191" t="str">
        <v>Drottningborgrussen</v>
      </c>
      <c r="D191">
        <v>1464766</v>
      </c>
      <c r="E191" t="str">
        <v>Utb. 2000048 Vippsnr 126635</v>
      </c>
    </row>
    <row r="192" spans="1:5" x14ac:dyDescent="0.35">
      <c r="A192" t="str">
        <v>05.09.2025</v>
      </c>
      <c r="B192">
        <v>1599.42</v>
      </c>
      <c r="C192" t="str">
        <v>Drottningborgrussen</v>
      </c>
      <c r="D192">
        <v>500599</v>
      </c>
      <c r="E192" t="str">
        <v>Utb. 2001584 Vippsnr 126635</v>
      </c>
    </row>
    <row r="193" spans="1:5" x14ac:dyDescent="0.35">
      <c r="A193" t="str">
        <v>04.12.2025</v>
      </c>
      <c r="B193">
        <v>2000.3</v>
      </c>
      <c r="C193" t="str">
        <v>Drottningborgrussen</v>
      </c>
      <c r="D193">
        <v>1569757</v>
      </c>
      <c r="E193" t="str">
        <v>Utb. 2000070 Vippsnr 126635</v>
      </c>
    </row>
    <row r="194" spans="1:5" x14ac:dyDescent="0.35">
      <c r="A194" t="str">
        <v>04.12.2025</v>
      </c>
      <c r="B194">
        <v>2029.73</v>
      </c>
      <c r="C194" t="str">
        <v>Drottningborgrussen</v>
      </c>
      <c r="D194">
        <v>1504939</v>
      </c>
      <c r="E194" t="str">
        <v>Utb. 2000069 Vippsnr 126635</v>
      </c>
    </row>
    <row r="195" spans="1:5" x14ac:dyDescent="0.35">
      <c r="A195" t="str">
        <v>04.11.2025</v>
      </c>
      <c r="B195">
        <v>1795.89</v>
      </c>
      <c r="C195" t="str">
        <v>Drottningborgrussen</v>
      </c>
      <c r="D195">
        <v>1382088</v>
      </c>
      <c r="E195" t="str">
        <v>Utb. 2000045 Vippsnr 126635</v>
      </c>
    </row>
    <row r="196" spans="1:5" x14ac:dyDescent="0.35">
      <c r="A196" t="str">
        <v>04.11.2025</v>
      </c>
      <c r="B196">
        <v>131.63999999999999</v>
      </c>
      <c r="C196" t="str">
        <v>Drottningborgrussen</v>
      </c>
      <c r="D196">
        <v>1382083</v>
      </c>
      <c r="E196" t="str">
        <v>Utb. 2000047 Vippsnr 126635</v>
      </c>
    </row>
    <row r="197" spans="1:5" x14ac:dyDescent="0.35">
      <c r="A197" t="str">
        <v>04.11.2025</v>
      </c>
      <c r="B197">
        <v>181.74</v>
      </c>
      <c r="C197" t="str">
        <v>Drottningborgrussen</v>
      </c>
      <c r="D197">
        <v>1382035</v>
      </c>
      <c r="E197" t="str">
        <v>Utb. 2000046 Vippsnr 126635</v>
      </c>
    </row>
    <row r="198" spans="1:5" x14ac:dyDescent="0.35">
      <c r="A198" t="str">
        <v>04.11.2025</v>
      </c>
      <c r="B198">
        <v>186.67</v>
      </c>
      <c r="C198" t="str">
        <v>Drottningborgrussen</v>
      </c>
      <c r="D198">
        <v>1382035</v>
      </c>
      <c r="E198" t="str">
        <v>Utb. 2001591 Vippsnr 970538</v>
      </c>
    </row>
    <row r="199" spans="1:5" x14ac:dyDescent="0.35">
      <c r="A199" t="str">
        <v>04.09.2025</v>
      </c>
      <c r="B199">
        <v>1771.34</v>
      </c>
      <c r="C199" t="str">
        <v>Drottningborgrussen</v>
      </c>
      <c r="D199">
        <v>395079</v>
      </c>
      <c r="E199" t="str">
        <v>Utb. 2001583 Vippsnr 126635</v>
      </c>
    </row>
    <row r="200" spans="1:5" x14ac:dyDescent="0.35">
      <c r="A200" t="str">
        <v>03.12.2025</v>
      </c>
      <c r="B200">
        <v>3906.27</v>
      </c>
      <c r="C200" t="str">
        <v>Drottningborgrussen</v>
      </c>
      <c r="D200">
        <v>1490526</v>
      </c>
      <c r="E200" t="str">
        <v>Utb. 2000066 Vippsnr 126635</v>
      </c>
    </row>
    <row r="201" spans="1:5" x14ac:dyDescent="0.35">
      <c r="A201" t="str">
        <v>03.12.2025</v>
      </c>
      <c r="B201">
        <v>55.02</v>
      </c>
      <c r="C201" t="str">
        <v>Drottningborgrussen</v>
      </c>
      <c r="D201">
        <v>1490517</v>
      </c>
      <c r="E201" t="str">
        <v>Utb. 2000067 Vippsnr 126635</v>
      </c>
    </row>
    <row r="202" spans="1:5" x14ac:dyDescent="0.35">
      <c r="A202" t="str">
        <v>03.12.2025</v>
      </c>
      <c r="B202">
        <v>881.25</v>
      </c>
      <c r="C202" t="str">
        <v>Drottningborgrussen</v>
      </c>
      <c r="D202">
        <v>1490319</v>
      </c>
      <c r="E202" t="str">
        <v>Utb. 2000068 Vippsnr 126635</v>
      </c>
    </row>
    <row r="203" spans="1:5" x14ac:dyDescent="0.35">
      <c r="A203" t="str">
        <v>03.11.2025</v>
      </c>
      <c r="B203">
        <v>728.98</v>
      </c>
      <c r="C203" t="str">
        <v>Drottningborgrussen</v>
      </c>
      <c r="D203">
        <v>1296222</v>
      </c>
      <c r="E203" t="str">
        <v>Utb. 2000044 Vippsnr 126635</v>
      </c>
    </row>
    <row r="204" spans="1:5" x14ac:dyDescent="0.35">
      <c r="A204" t="str">
        <v>03.09.2025</v>
      </c>
      <c r="B204">
        <v>1064.99</v>
      </c>
      <c r="C204" t="str">
        <v>Drottningborgrussen</v>
      </c>
      <c r="D204">
        <v>299282</v>
      </c>
      <c r="E204" t="str">
        <v>Utb. 2001582 Vippsnr 126635</v>
      </c>
    </row>
    <row r="205" spans="1:5" x14ac:dyDescent="0.35">
      <c r="A205" t="str">
        <v>02.09.2025</v>
      </c>
      <c r="B205">
        <v>329.13</v>
      </c>
      <c r="C205" t="str">
        <v>Drottningborgrussen</v>
      </c>
      <c r="D205">
        <v>192719</v>
      </c>
      <c r="E205" t="str">
        <v>Utb. 2001580 Vippsnr 126635</v>
      </c>
    </row>
    <row r="206" spans="1:5" x14ac:dyDescent="0.35">
      <c r="A206" t="str">
        <v>02.09.2025</v>
      </c>
      <c r="B206">
        <v>2895.32</v>
      </c>
      <c r="C206" t="str">
        <v>Drottningborgrussen</v>
      </c>
      <c r="D206">
        <v>192654</v>
      </c>
      <c r="E206" t="str">
        <v>Utb. 2001579 Vippsnr 126635</v>
      </c>
    </row>
    <row r="207" spans="1:5" x14ac:dyDescent="0.35">
      <c r="A207" t="str">
        <v>02.09.2025</v>
      </c>
      <c r="B207">
        <v>476.49</v>
      </c>
      <c r="C207" t="str">
        <v>Drottningborgrussen</v>
      </c>
      <c r="D207">
        <v>192717</v>
      </c>
      <c r="E207" t="str">
        <v>Utb. 2001581 Vippsnr 126635</v>
      </c>
    </row>
    <row r="208" spans="1:5" x14ac:dyDescent="0.35">
      <c r="A208" t="str">
        <v>01.12.2025</v>
      </c>
      <c r="B208">
        <v>1707.51</v>
      </c>
      <c r="C208" t="str">
        <v>Drottningborgrussen</v>
      </c>
      <c r="D208">
        <v>1340374</v>
      </c>
      <c r="E208" t="str">
        <v>Utb. 2000065 Vippsnr 126635</v>
      </c>
    </row>
    <row r="209" spans="1:5" x14ac:dyDescent="0.35">
      <c r="A209" t="str">
        <v>01.09.2025</v>
      </c>
      <c r="B209">
        <v>443.07</v>
      </c>
      <c r="C209" t="str">
        <v>Drottningborgrussen</v>
      </c>
      <c r="D209">
        <v>1544831</v>
      </c>
      <c r="E209" t="str">
        <v>Utb. 2001578 Vippsnr 126635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A2:A71">
    <cfRule type="cellIs" dxfId="4" priority="1" operator="equal">
      <formula>TRUE</formula>
    </cfRule>
  </conditionalFormatting>
  <conditionalFormatting sqref="F2:F61 K2:K61 K63">
    <cfRule type="cellIs" dxfId="3" priority="6" operator="equal">
      <formula>TRUE</formula>
    </cfRule>
  </conditionalFormatting>
  <conditionalFormatting sqref="P2:P59">
    <cfRule type="cellIs" dxfId="2" priority="4" operator="equal">
      <formula>TRUE</formula>
    </cfRule>
  </conditionalFormatting>
  <conditionalFormatting sqref="U2:U57">
    <cfRule type="cellIs" dxfId="1" priority="3" operator="equal">
      <formula>TRUE</formula>
    </cfRule>
  </conditionalFormatting>
  <conditionalFormatting sqref="Z2:Z57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verticalDpi="0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zoomScale="68" workbookViewId="0">
      <selection activeCell="A9" sqref="A9"/>
    </sheetView>
  </sheetViews>
  <sheetFormatPr defaultColWidth="8.81640625" defaultRowHeight="14.5" x14ac:dyDescent="0.35"/>
  <cols>
    <col min="1" max="1" width="26.7265625" bestFit="1" customWidth="1"/>
    <col min="2" max="2" width="15.08984375" bestFit="1" customWidth="1"/>
    <col min="3" max="3" width="15.08984375" customWidth="1"/>
    <col min="4" max="4" width="17.36328125" customWidth="1"/>
    <col min="5" max="5" width="12.36328125" bestFit="1" customWidth="1"/>
    <col min="8" max="8" width="28.089843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227</v>
      </c>
      <c r="B1" s="129" t="s">
        <v>124</v>
      </c>
      <c r="C1" s="130" t="s">
        <v>249</v>
      </c>
      <c r="D1" s="136"/>
      <c r="H1" s="137" t="s">
        <v>227</v>
      </c>
      <c r="I1" s="137" t="s">
        <v>124</v>
      </c>
      <c r="J1" s="137" t="s">
        <v>249</v>
      </c>
      <c r="K1" s="137" t="s">
        <v>326</v>
      </c>
      <c r="M1" s="137" t="s">
        <v>227</v>
      </c>
      <c r="N1" s="137" t="s">
        <v>124</v>
      </c>
      <c r="O1" s="137" t="s">
        <v>249</v>
      </c>
      <c r="P1" s="137" t="s">
        <v>326</v>
      </c>
    </row>
    <row r="2" spans="1:16" ht="16" customHeight="1" x14ac:dyDescent="0.35">
      <c r="A2" s="146" t="str" cm="1">
        <f t="array" ref="A2:A70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316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Julebrus boks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Julebrus boks</v>
      </c>
      <c r="J39">
        <f t="shared" si="0"/>
        <v>0</v>
      </c>
      <c r="K39">
        <v>28</v>
      </c>
      <c r="M39" s="124" t="str">
        <f>Inkjøp[[#This Row],[Produkt]]</f>
        <v>Julebrus boks</v>
      </c>
      <c r="O39">
        <f t="shared" si="1"/>
        <v>0</v>
      </c>
      <c r="P39">
        <v>28</v>
      </c>
    </row>
    <row r="40" spans="1:16" ht="16" customHeight="1" x14ac:dyDescent="0.35">
      <c r="A40" s="146" t="str">
        <v>Iste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Iste U/sukker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Iste U/sukker</v>
      </c>
      <c r="J41">
        <f t="shared" si="0"/>
        <v>0</v>
      </c>
      <c r="K41">
        <v>30</v>
      </c>
      <c r="M41" s="124" t="str">
        <f>Inkjøp[[#This Row],[Produkt]]</f>
        <v>Iste U/sukker</v>
      </c>
      <c r="O41">
        <f t="shared" si="1"/>
        <v>0</v>
      </c>
      <c r="P41">
        <v>30</v>
      </c>
    </row>
    <row r="42" spans="1:16" ht="16" customHeight="1" x14ac:dyDescent="0.35">
      <c r="A42" s="146" t="str">
        <v>Smil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Smil</v>
      </c>
      <c r="I42">
        <v>2</v>
      </c>
      <c r="J42">
        <f t="shared" si="0"/>
        <v>70</v>
      </c>
      <c r="K42">
        <v>35</v>
      </c>
      <c r="M42" s="124" t="str">
        <f>Inkjøp[[#This Row],[Produkt]]</f>
        <v>Smil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Melkesjokolade 100g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Melkesjokolade 100g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Melkesjokolade 100g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Melkerull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Melkerull</v>
      </c>
      <c r="I44">
        <v>1</v>
      </c>
      <c r="J44">
        <f t="shared" si="0"/>
        <v>10</v>
      </c>
      <c r="K44">
        <v>10</v>
      </c>
      <c r="M44" s="124" t="str">
        <f>Inkjøp[[#This Row],[Produkt]]</f>
        <v>Melkerull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Bueno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Bueno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Bueno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Kinder Maxi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Kinder Maxi</v>
      </c>
      <c r="J46">
        <f t="shared" si="0"/>
        <v>0</v>
      </c>
      <c r="K46">
        <v>45</v>
      </c>
      <c r="M46" s="124" t="str">
        <f>Inkjøp[[#This Row],[Produkt]]</f>
        <v>Kinder Maxi</v>
      </c>
      <c r="O46">
        <f t="shared" si="1"/>
        <v>0</v>
      </c>
      <c r="P46">
        <v>45</v>
      </c>
    </row>
    <row r="47" spans="1:16" ht="16" customHeight="1" x14ac:dyDescent="0.35">
      <c r="A47" s="146" t="str">
        <v>Snickers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Snickers</v>
      </c>
      <c r="J47">
        <f t="shared" si="0"/>
        <v>0</v>
      </c>
      <c r="K47">
        <v>20</v>
      </c>
      <c r="M47" s="124" t="str">
        <f>Inkjøp[[#This Row],[Produkt]]</f>
        <v>Snickers</v>
      </c>
      <c r="O47">
        <f t="shared" si="1"/>
        <v>0</v>
      </c>
      <c r="P47">
        <v>20</v>
      </c>
    </row>
    <row r="48" spans="1:16" ht="16" customHeight="1" x14ac:dyDescent="0.35">
      <c r="A48" s="146" t="str">
        <v>sjokoladeplate 200g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sjokoladeplate 200g</v>
      </c>
      <c r="J48">
        <f t="shared" si="0"/>
        <v>0</v>
      </c>
      <c r="K48">
        <v>25</v>
      </c>
      <c r="M48" s="124" t="str">
        <f>Inkjøp[[#This Row],[Produkt]]</f>
        <v>sjokoladeplate 200g</v>
      </c>
      <c r="O48">
        <f t="shared" si="1"/>
        <v>0</v>
      </c>
      <c r="P48">
        <v>25</v>
      </c>
    </row>
    <row r="49" spans="1:16" ht="16" customHeight="1" x14ac:dyDescent="0.35">
      <c r="A49" s="146" t="str">
        <v>Snickers 50g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Snickers 50g</v>
      </c>
      <c r="J49">
        <f t="shared" si="0"/>
        <v>0</v>
      </c>
      <c r="K49">
        <v>28</v>
      </c>
      <c r="M49" s="124" t="str">
        <f>Inkjøp[[#This Row],[Produkt]]</f>
        <v>Snickers 50g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Mars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Mars</v>
      </c>
      <c r="J50">
        <f t="shared" si="0"/>
        <v>0</v>
      </c>
      <c r="K50">
        <v>28</v>
      </c>
      <c r="M50" s="124" t="str">
        <f>Inkjøp[[#This Row],[Produkt]]</f>
        <v>Mars</v>
      </c>
      <c r="O50">
        <f t="shared" si="1"/>
        <v>0</v>
      </c>
      <c r="P50">
        <v>28</v>
      </c>
    </row>
    <row r="51" spans="1:16" x14ac:dyDescent="0.35">
      <c r="A51" s="146" t="str">
        <v>Twix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Twix</v>
      </c>
      <c r="J51">
        <f t="shared" si="0"/>
        <v>0</v>
      </c>
      <c r="K51">
        <v>20</v>
      </c>
      <c r="M51" s="124" t="str">
        <f>Inkjøp[[#This Row],[Produkt]]</f>
        <v>Twix</v>
      </c>
      <c r="O51">
        <f t="shared" si="1"/>
        <v>0</v>
      </c>
      <c r="P51">
        <v>20</v>
      </c>
    </row>
    <row r="52" spans="1:16" x14ac:dyDescent="0.35">
      <c r="A52" s="146" t="str">
        <v>Japp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Japp</v>
      </c>
      <c r="I52">
        <v>1</v>
      </c>
      <c r="J52">
        <f t="shared" si="0"/>
        <v>20</v>
      </c>
      <c r="K52">
        <v>20</v>
      </c>
      <c r="M52" s="124" t="str">
        <f>Inkjøp[[#This Row],[Produkt]]</f>
        <v>Japp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Lion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Lion</v>
      </c>
      <c r="I53">
        <v>2</v>
      </c>
      <c r="J53">
        <f t="shared" si="0"/>
        <v>20</v>
      </c>
      <c r="K53">
        <v>10</v>
      </c>
      <c r="M53" s="124" t="str">
        <f>Inkjøp[[#This Row],[Produkt]]</f>
        <v>Lion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Smarties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Smarties</v>
      </c>
      <c r="J54">
        <f t="shared" si="0"/>
        <v>0</v>
      </c>
      <c r="K54">
        <v>10</v>
      </c>
      <c r="M54" s="124" t="str">
        <f>Inkjøp[[#This Row],[Produkt]]</f>
        <v>Smarties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Snap n´crackle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Snap n´crackle</v>
      </c>
      <c r="I55">
        <v>4</v>
      </c>
      <c r="J55">
        <f t="shared" si="0"/>
        <v>80</v>
      </c>
      <c r="K55">
        <v>20</v>
      </c>
      <c r="M55" s="124" t="str">
        <f>Inkjøp[[#This Row],[Produkt]]</f>
        <v>Snap n´crackle</v>
      </c>
      <c r="O55">
        <f t="shared" si="1"/>
        <v>0</v>
      </c>
      <c r="P55">
        <v>20</v>
      </c>
    </row>
    <row r="56" spans="1:16" x14ac:dyDescent="0.35">
      <c r="A56" s="146" t="str">
        <v>Drumstick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Drumstick</v>
      </c>
      <c r="J56">
        <f t="shared" si="0"/>
        <v>0</v>
      </c>
      <c r="K56">
        <v>15</v>
      </c>
      <c r="M56" s="124" t="str">
        <f>Inkjøp[[#This Row],[Produkt]]</f>
        <v>Drumstick</v>
      </c>
      <c r="O56">
        <f t="shared" si="1"/>
        <v>0</v>
      </c>
      <c r="P56">
        <v>15</v>
      </c>
    </row>
    <row r="57" spans="1:16" x14ac:dyDescent="0.35">
      <c r="A57" s="146" t="str">
        <v>Squashies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Squashies</v>
      </c>
      <c r="I57">
        <v>2</v>
      </c>
      <c r="J57">
        <f t="shared" si="0"/>
        <v>36</v>
      </c>
      <c r="K57">
        <v>18</v>
      </c>
      <c r="M57" s="124" t="str">
        <f>Inkjøp[[#This Row],[Produkt]]</f>
        <v>Squashies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Vepsebol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Vepsebol</v>
      </c>
      <c r="J58">
        <f t="shared" si="0"/>
        <v>0</v>
      </c>
      <c r="K58">
        <v>18</v>
      </c>
      <c r="M58" s="124" t="str">
        <f>Inkjøp[[#This Row],[Produkt]]</f>
        <v>Vepsebol</v>
      </c>
      <c r="O58">
        <f t="shared" si="1"/>
        <v>0</v>
      </c>
      <c r="P58">
        <v>18</v>
      </c>
    </row>
    <row r="59" spans="1:16" x14ac:dyDescent="0.35">
      <c r="A59" s="147" t="str">
        <v>Pringles Original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Original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Original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Sour Cream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Sour Cream</v>
      </c>
      <c r="J60">
        <f t="shared" si="0"/>
        <v>0</v>
      </c>
      <c r="K60">
        <v>25</v>
      </c>
      <c r="M60" s="125" t="str">
        <f>Inkjøp[[#This Row],[Produkt]]</f>
        <v>Pringles Sour Cream</v>
      </c>
      <c r="O60">
        <f t="shared" si="1"/>
        <v>0</v>
      </c>
      <c r="P60">
        <v>25</v>
      </c>
    </row>
    <row r="61" spans="1:16" x14ac:dyDescent="0.35">
      <c r="A61" s="147" t="str">
        <v>Pringles Paprika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Pringles Paprika</v>
      </c>
      <c r="I61">
        <v>1</v>
      </c>
      <c r="J61">
        <f t="shared" si="0"/>
        <v>18</v>
      </c>
      <c r="K61">
        <v>18</v>
      </c>
      <c r="M61" s="125" t="str">
        <f>Inkjøp[[#This Row],[Produkt]]</f>
        <v>Pringles Paprika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Skittles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Skittles</v>
      </c>
      <c r="J62">
        <f t="shared" si="0"/>
        <v>0</v>
      </c>
      <c r="K62">
        <v>35</v>
      </c>
      <c r="M62" s="126" t="str">
        <f>Inkjøp[[#This Row],[Produkt]]</f>
        <v>Skittles</v>
      </c>
      <c r="O62">
        <f t="shared" si="1"/>
        <v>0</v>
      </c>
      <c r="P62">
        <v>35</v>
      </c>
    </row>
    <row r="63" spans="1:16" x14ac:dyDescent="0.35">
      <c r="A63" s="147" t="str">
        <v>Mentos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Mentos</v>
      </c>
      <c r="I63">
        <v>6</v>
      </c>
      <c r="J63">
        <f t="shared" si="0"/>
        <v>48</v>
      </c>
      <c r="K63">
        <v>8</v>
      </c>
      <c r="M63" s="126" t="str">
        <f>Inkjøp[[#This Row],[Produkt]]</f>
        <v>Mentos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Bilar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Bilar</v>
      </c>
      <c r="J64">
        <f t="shared" si="0"/>
        <v>0</v>
      </c>
      <c r="K64">
        <v>15</v>
      </c>
      <c r="M64" s="126" t="str">
        <f>Inkjøp[[#This Row],[Produkt]]</f>
        <v>Bilar</v>
      </c>
      <c r="O64">
        <f t="shared" si="1"/>
        <v>0</v>
      </c>
      <c r="P64">
        <v>15</v>
      </c>
    </row>
    <row r="65" spans="1:16" x14ac:dyDescent="0.35">
      <c r="A65" s="147" t="str">
        <v>Hockey Pulver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Hockey Pulver</v>
      </c>
      <c r="I65">
        <v>4</v>
      </c>
      <c r="J65">
        <f t="shared" si="0"/>
        <v>32</v>
      </c>
      <c r="K65">
        <v>8</v>
      </c>
      <c r="M65" s="126" t="str">
        <f>Inkjøp[[#This Row],[Produkt]]</f>
        <v>Hockey Pulver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Extra Tyggis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Extra Tyggis</v>
      </c>
      <c r="J66">
        <f t="shared" si="0"/>
        <v>0</v>
      </c>
      <c r="K66">
        <v>10</v>
      </c>
      <c r="M66" s="126" t="str">
        <f>Inkjøp[[#This Row],[Produkt]]</f>
        <v>Extra Tyggis</v>
      </c>
      <c r="O66">
        <f t="shared" si="1"/>
        <v>0</v>
      </c>
      <c r="P66">
        <v>10</v>
      </c>
    </row>
    <row r="67" spans="1:16" x14ac:dyDescent="0.35">
      <c r="A67" s="147" t="str">
        <v>Double Dip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Double Dip</v>
      </c>
      <c r="J67">
        <f t="shared" ref="J67" si="2">K67*I67</f>
        <v>0</v>
      </c>
      <c r="K67">
        <v>10</v>
      </c>
      <c r="M67" s="126" t="str">
        <f>Inkjøp[[#This Row],[Produkt]]</f>
        <v>Double Dip</v>
      </c>
      <c r="O67">
        <f t="shared" ref="O67" si="3">P67*N67</f>
        <v>0</v>
      </c>
      <c r="P67">
        <v>10</v>
      </c>
    </row>
    <row r="68" spans="1:16" x14ac:dyDescent="0.35">
      <c r="A68" s="147" t="str">
        <v>Chili nøtter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Orange</v>
      </c>
      <c r="B69" s="131">
        <f>SUMIFS(Terminal_Totalraport[Antall],Terminal_Totalraport[Vare],A69)</f>
        <v>0</v>
      </c>
      <c r="C69" s="132">
        <f>SUMIFS(Terminal_Totalraport[Beløp inkl. MVA],Terminal_Totalraport[Vare],A69)</f>
        <v>0</v>
      </c>
    </row>
    <row r="70" spans="1:16" x14ac:dyDescent="0.35">
      <c r="A70" t="str">
        <v>Mellombar Blå</v>
      </c>
      <c r="B70" s="131">
        <f>SUMIFS(Terminal_Totalraport[Antall],Terminal_Totalraport[Vare],A70)</f>
        <v>0</v>
      </c>
      <c r="C70" s="132">
        <f>SUMIFS(Terminal_Totalraport[Beløp inkl. MVA],Terminal_Totalraport[Vare],A70)</f>
        <v>0</v>
      </c>
    </row>
    <row r="71" spans="1:16" x14ac:dyDescent="0.35">
      <c r="B71" s="131">
        <f>SUMIFS(Terminal_Totalraport[Antall],Terminal_Totalraport[Vare],A71)</f>
        <v>0</v>
      </c>
      <c r="C71" s="132">
        <f>SUMIFS(Terminal_Totalraport[Beløp inkl. MVA],Terminal_Totalraport[Vare],A71)</f>
        <v>0</v>
      </c>
    </row>
    <row r="75" spans="1:16" ht="23.5" x14ac:dyDescent="0.55000000000000004">
      <c r="I75" s="85" t="s">
        <v>242</v>
      </c>
    </row>
    <row r="76" spans="1:16" x14ac:dyDescent="0.35">
      <c r="I76" t="s">
        <v>250</v>
      </c>
      <c r="J76">
        <f>SUM(C2:C68)</f>
        <v>3633</v>
      </c>
    </row>
    <row r="77" spans="1:16" x14ac:dyDescent="0.35">
      <c r="I77" t="s">
        <v>518</v>
      </c>
      <c r="J77">
        <f>SUM(B81:B414)</f>
        <v>5580.33</v>
      </c>
    </row>
    <row r="78" spans="1:16" x14ac:dyDescent="0.35">
      <c r="I78" t="s">
        <v>9</v>
      </c>
      <c r="J78">
        <f>J77-J76</f>
        <v>1947.33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30.12.2025</v>
      </c>
      <c r="B82">
        <v>31.43</v>
      </c>
      <c r="C82" t="str">
        <v>Drottningborgrussen</v>
      </c>
      <c r="D82">
        <v>487034</v>
      </c>
      <c r="E82" t="str">
        <v>Nets 0038 5351127</v>
      </c>
    </row>
    <row r="83" spans="1:5" x14ac:dyDescent="0.35">
      <c r="A83" t="str">
        <v>30.11.2025</v>
      </c>
      <c r="B83">
        <v>64.819999999999993</v>
      </c>
      <c r="C83" t="str">
        <v>Drottningborgrussen</v>
      </c>
      <c r="D83">
        <v>1241127</v>
      </c>
      <c r="E83" t="str">
        <v>Nets 0034 5351127</v>
      </c>
    </row>
    <row r="84" spans="1:5" x14ac:dyDescent="0.35">
      <c r="A84" t="str">
        <v>27.11.2025</v>
      </c>
      <c r="B84">
        <v>402</v>
      </c>
      <c r="C84" t="str">
        <v>Drottningborgrussen</v>
      </c>
      <c r="D84">
        <v>10143</v>
      </c>
      <c r="E84" t="str">
        <v>DROTTNINGBORGRU DROTTNINGBO  769821</v>
      </c>
    </row>
    <row r="85" spans="1:5" x14ac:dyDescent="0.35">
      <c r="A85" t="str">
        <v>27.10.2025</v>
      </c>
      <c r="B85">
        <v>182</v>
      </c>
      <c r="C85" t="str">
        <v>Drottningborgrussen</v>
      </c>
      <c r="D85">
        <v>10141</v>
      </c>
      <c r="E85" t="str">
        <v>DROTTNINGBORGRU DROTTNINGBO  769821</v>
      </c>
    </row>
    <row r="86" spans="1:5" x14ac:dyDescent="0.35">
      <c r="A86" t="str">
        <v>26.09.2025</v>
      </c>
      <c r="B86">
        <v>85.62</v>
      </c>
      <c r="C86" t="str">
        <v>Drottningborgrussen</v>
      </c>
      <c r="D86">
        <v>391661</v>
      </c>
      <c r="E86" t="str">
        <v>Nets 0030 5351127</v>
      </c>
    </row>
    <row r="87" spans="1:5" x14ac:dyDescent="0.35">
      <c r="A87" t="str">
        <v>24.10.2025</v>
      </c>
      <c r="B87">
        <v>52.05</v>
      </c>
      <c r="C87" t="str">
        <v>Drottningborgrussen</v>
      </c>
      <c r="D87">
        <v>768485</v>
      </c>
      <c r="E87" t="str">
        <v>Nets 0031 5351127</v>
      </c>
    </row>
    <row r="88" spans="1:5" x14ac:dyDescent="0.35">
      <c r="A88" t="str">
        <v>21.10.2025</v>
      </c>
      <c r="B88">
        <v>113</v>
      </c>
      <c r="C88" t="str">
        <v>Drottningborgrussen</v>
      </c>
      <c r="D88">
        <v>10140</v>
      </c>
      <c r="E88" t="str">
        <v>DROTTNINGBORGRU DROTTNINGBO  769821</v>
      </c>
    </row>
    <row r="89" spans="1:5" x14ac:dyDescent="0.35">
      <c r="A89" t="str">
        <v>19.12.2025</v>
      </c>
      <c r="B89">
        <v>117.84</v>
      </c>
      <c r="C89" t="str">
        <v>Drottningborgrussen</v>
      </c>
      <c r="D89">
        <v>462516</v>
      </c>
      <c r="E89" t="str">
        <v>Nets 0037 5351127</v>
      </c>
    </row>
    <row r="90" spans="1:5" x14ac:dyDescent="0.35">
      <c r="A90" t="str">
        <v>19.11.2025</v>
      </c>
      <c r="B90">
        <v>96</v>
      </c>
      <c r="C90" t="str">
        <v>Drottningborgrussen</v>
      </c>
      <c r="D90">
        <v>10142</v>
      </c>
      <c r="E90" t="str">
        <v>DROTTNINGBORGRU DROTTNINGBO  769821</v>
      </c>
    </row>
    <row r="91" spans="1:5" x14ac:dyDescent="0.35">
      <c r="A91" t="str">
        <v>19.09.2025</v>
      </c>
      <c r="B91">
        <v>438.56</v>
      </c>
      <c r="C91" t="str">
        <v>Drottningborgrussen</v>
      </c>
      <c r="D91">
        <v>1450281</v>
      </c>
      <c r="E91" t="str">
        <v>Nets 0029 5351127</v>
      </c>
    </row>
    <row r="92" spans="1:5" x14ac:dyDescent="0.35">
      <c r="A92" t="str">
        <v>18.09.2025</v>
      </c>
      <c r="B92">
        <v>1203</v>
      </c>
      <c r="C92" t="str">
        <v>Drottningborgrussen</v>
      </c>
      <c r="D92">
        <v>10138</v>
      </c>
      <c r="E92" t="str">
        <v>DROTTNINGBORGRU DROTTNINGBO  769821</v>
      </c>
    </row>
    <row r="93" spans="1:5" x14ac:dyDescent="0.35">
      <c r="A93" t="str">
        <v>15.09.2025</v>
      </c>
      <c r="B93">
        <v>580</v>
      </c>
      <c r="C93" t="str">
        <v>Drottningborgrussen</v>
      </c>
      <c r="D93">
        <v>10137</v>
      </c>
      <c r="E93" t="str">
        <v>DROTTNINGBORGRU DROTTNINGBO  769821</v>
      </c>
    </row>
    <row r="94" spans="1:5" x14ac:dyDescent="0.35">
      <c r="A94" t="str">
        <v>14.01.2026</v>
      </c>
      <c r="B94">
        <v>60</v>
      </c>
      <c r="C94" t="str">
        <v>Drottningborgrussen</v>
      </c>
      <c r="D94">
        <v>10146</v>
      </c>
      <c r="E94" t="str">
        <v>DROTTNINGBORGRU DROTTNINGBO  769821</v>
      </c>
    </row>
    <row r="95" spans="1:5" x14ac:dyDescent="0.35">
      <c r="A95" t="str">
        <v>12.12.2025</v>
      </c>
      <c r="B95">
        <v>81.510000000000005</v>
      </c>
      <c r="C95" t="str">
        <v>Drottningborgrussen</v>
      </c>
      <c r="D95">
        <v>431660</v>
      </c>
      <c r="E95" t="str">
        <v>Nets 0036 5351127</v>
      </c>
    </row>
    <row r="96" spans="1:5" x14ac:dyDescent="0.35">
      <c r="A96" t="str">
        <v>12.09.2025</v>
      </c>
      <c r="B96">
        <v>214.09</v>
      </c>
      <c r="C96" t="str">
        <v>Drottningborgrussen</v>
      </c>
      <c r="D96">
        <v>988727</v>
      </c>
      <c r="E96" t="str">
        <v>Nets 0028 5351127</v>
      </c>
    </row>
    <row r="97" spans="1:5" x14ac:dyDescent="0.35">
      <c r="A97" t="str">
        <v>10.09.2025</v>
      </c>
      <c r="B97">
        <v>44</v>
      </c>
      <c r="C97" t="str">
        <v>Drottningborgrussen</v>
      </c>
      <c r="D97">
        <v>10136</v>
      </c>
      <c r="E97" t="str">
        <v>DROTTNINGBORGRU DROTTNINGBO  769821</v>
      </c>
    </row>
    <row r="98" spans="1:5" x14ac:dyDescent="0.35">
      <c r="A98" t="str">
        <v>09.12.2025</v>
      </c>
      <c r="B98">
        <v>230</v>
      </c>
      <c r="C98" t="str">
        <v>Drottningborgrussen</v>
      </c>
      <c r="D98">
        <v>10144</v>
      </c>
      <c r="E98" t="str">
        <v>DROTTNINGBORGRU DROTTNINGBO  769821</v>
      </c>
    </row>
    <row r="99" spans="1:5" x14ac:dyDescent="0.35">
      <c r="A99" t="str">
        <v>09.10.2025</v>
      </c>
      <c r="B99">
        <v>62</v>
      </c>
      <c r="C99" t="str">
        <v>Drottningborgrussen</v>
      </c>
      <c r="D99">
        <v>10139</v>
      </c>
      <c r="E99" t="str">
        <v>DROTTNINGBORGRU DROTTNINGBO  769821</v>
      </c>
    </row>
    <row r="100" spans="1:5" x14ac:dyDescent="0.35">
      <c r="A100" t="str">
        <v>09.09.2025</v>
      </c>
      <c r="B100">
        <v>84</v>
      </c>
      <c r="C100" t="str">
        <v>Drottningborgrussen</v>
      </c>
      <c r="D100">
        <v>10135</v>
      </c>
      <c r="E100" t="str">
        <v>DROTTNINGBORGRU DROTTNINGBO  769821</v>
      </c>
    </row>
    <row r="101" spans="1:5" x14ac:dyDescent="0.35">
      <c r="A101" t="str">
        <v>08.09.2025</v>
      </c>
      <c r="B101">
        <v>538</v>
      </c>
      <c r="C101" t="str">
        <v>Drottningborgrussen</v>
      </c>
      <c r="D101">
        <v>10134</v>
      </c>
      <c r="E101" t="str">
        <v>DROTTNINGBORGRU DROTTNINGBO  769821</v>
      </c>
    </row>
    <row r="102" spans="1:5" x14ac:dyDescent="0.35">
      <c r="A102" t="str">
        <v>07.11.2025</v>
      </c>
      <c r="B102">
        <v>118.83</v>
      </c>
      <c r="C102" t="str">
        <v>Drottningborgrussen</v>
      </c>
      <c r="D102">
        <v>124987</v>
      </c>
      <c r="E102" t="str">
        <v>Nets 0033 5351127</v>
      </c>
    </row>
    <row r="103" spans="1:5" x14ac:dyDescent="0.35">
      <c r="A103" t="str">
        <v>06.01.2026</v>
      </c>
      <c r="B103">
        <v>196</v>
      </c>
      <c r="C103" t="str">
        <v>Drottningborgrussen</v>
      </c>
      <c r="D103">
        <v>10145</v>
      </c>
      <c r="E103" t="str">
        <v>DROTTNINGBORGRU DROTTNINGBO  769821</v>
      </c>
    </row>
    <row r="104" spans="1:5" x14ac:dyDescent="0.35">
      <c r="A104" t="str">
        <v>05.12.2025</v>
      </c>
      <c r="B104">
        <v>63.83</v>
      </c>
      <c r="C104" t="str">
        <v>Drottningborgrussen</v>
      </c>
      <c r="D104">
        <v>131728</v>
      </c>
      <c r="E104" t="str">
        <v>Nets 0035 5351127</v>
      </c>
    </row>
    <row r="105" spans="1:5" x14ac:dyDescent="0.35">
      <c r="A105" t="str">
        <v>05.09.2025</v>
      </c>
      <c r="B105">
        <v>173.83</v>
      </c>
      <c r="C105" t="str">
        <v>Drottningborgrussen</v>
      </c>
      <c r="D105">
        <v>496549</v>
      </c>
      <c r="E105" t="str">
        <v>Nets 0027 5351127</v>
      </c>
    </row>
    <row r="106" spans="1:5" x14ac:dyDescent="0.35">
      <c r="A106" t="str">
        <v>03.09.2025</v>
      </c>
      <c r="B106">
        <v>234</v>
      </c>
      <c r="C106" t="str">
        <v>Drottningborgrussen</v>
      </c>
      <c r="D106">
        <v>10133</v>
      </c>
      <c r="E106" t="str">
        <v>DROTTNINGBORGRU DROTTNINGBO  769821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2E603-DB98-43FF-A884-230C53A3391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C73"/>
  <sheetViews>
    <sheetView workbookViewId="0">
      <selection activeCell="B7" sqref="B7"/>
    </sheetView>
  </sheetViews>
  <sheetFormatPr defaultRowHeight="14.5" x14ac:dyDescent="0.35"/>
  <cols>
    <col min="1" max="1" width="24.1796875" bestFit="1" customWidth="1"/>
    <col min="2" max="2" width="12.90625" bestFit="1" customWidth="1"/>
    <col min="3" max="3" width="12.7265625" bestFit="1" customWidth="1"/>
  </cols>
  <sheetData>
    <row r="1" spans="1:3" x14ac:dyDescent="0.35">
      <c r="A1" t="s">
        <v>227</v>
      </c>
      <c r="B1" t="s">
        <v>328</v>
      </c>
      <c r="C1" t="s">
        <v>329</v>
      </c>
    </row>
    <row r="2" spans="1:3" x14ac:dyDescent="0.35">
      <c r="A2" t="s">
        <v>130</v>
      </c>
      <c r="B2">
        <v>323</v>
      </c>
      <c r="C2">
        <v>9690</v>
      </c>
    </row>
    <row r="3" spans="1:3" x14ac:dyDescent="0.35">
      <c r="A3" t="s">
        <v>131</v>
      </c>
      <c r="B3">
        <v>294</v>
      </c>
      <c r="C3">
        <v>8820</v>
      </c>
    </row>
    <row r="4" spans="1:3" x14ac:dyDescent="0.35">
      <c r="A4" t="s">
        <v>132</v>
      </c>
      <c r="B4">
        <v>321</v>
      </c>
      <c r="C4">
        <v>9630</v>
      </c>
    </row>
    <row r="5" spans="1:3" x14ac:dyDescent="0.35">
      <c r="A5" t="s">
        <v>133</v>
      </c>
      <c r="B5">
        <v>151</v>
      </c>
      <c r="C5">
        <v>4530</v>
      </c>
    </row>
    <row r="6" spans="1:3" x14ac:dyDescent="0.35">
      <c r="A6" t="s">
        <v>134</v>
      </c>
      <c r="B6">
        <v>227</v>
      </c>
      <c r="C6">
        <v>6810</v>
      </c>
    </row>
    <row r="7" spans="1:3" x14ac:dyDescent="0.35">
      <c r="A7" t="s">
        <v>135</v>
      </c>
      <c r="B7">
        <v>73</v>
      </c>
      <c r="C7">
        <v>2036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20</v>
      </c>
      <c r="C10">
        <v>540</v>
      </c>
    </row>
    <row r="11" spans="1:3" x14ac:dyDescent="0.35">
      <c r="A11" t="s">
        <v>139</v>
      </c>
      <c r="B11">
        <v>76</v>
      </c>
      <c r="C11">
        <v>2052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24</v>
      </c>
      <c r="C14">
        <v>636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219</v>
      </c>
      <c r="C16">
        <v>3454</v>
      </c>
    </row>
    <row r="17" spans="1:3" x14ac:dyDescent="0.35">
      <c r="A17" t="s">
        <v>145</v>
      </c>
      <c r="B17">
        <v>167</v>
      </c>
      <c r="C17">
        <v>4676</v>
      </c>
    </row>
    <row r="18" spans="1:3" x14ac:dyDescent="0.35">
      <c r="A18" t="s">
        <v>147</v>
      </c>
      <c r="B18">
        <v>121</v>
      </c>
      <c r="C18">
        <v>3388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52</v>
      </c>
      <c r="C20">
        <v>1542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78</v>
      </c>
      <c r="C23">
        <v>1872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44</v>
      </c>
      <c r="C25">
        <v>1056</v>
      </c>
    </row>
    <row r="26" spans="1:3" x14ac:dyDescent="0.35">
      <c r="A26" t="s">
        <v>159</v>
      </c>
      <c r="B26">
        <v>35</v>
      </c>
      <c r="C26">
        <v>822</v>
      </c>
    </row>
    <row r="27" spans="1:3" x14ac:dyDescent="0.35">
      <c r="A27" t="s">
        <v>160</v>
      </c>
      <c r="B27">
        <v>241</v>
      </c>
      <c r="C27">
        <v>3667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55</v>
      </c>
      <c r="C29">
        <v>1540</v>
      </c>
    </row>
    <row r="30" spans="1:3" x14ac:dyDescent="0.35">
      <c r="A30" t="s">
        <v>163</v>
      </c>
      <c r="B30">
        <v>316</v>
      </c>
      <c r="C30">
        <v>8784</v>
      </c>
    </row>
    <row r="31" spans="1:3" x14ac:dyDescent="0.35">
      <c r="A31" t="s">
        <v>164</v>
      </c>
      <c r="B31">
        <v>468</v>
      </c>
      <c r="C31">
        <v>9360</v>
      </c>
    </row>
    <row r="32" spans="1:3" x14ac:dyDescent="0.35">
      <c r="A32" t="s">
        <v>165</v>
      </c>
      <c r="B32">
        <v>156</v>
      </c>
      <c r="C32">
        <v>3120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54</v>
      </c>
      <c r="C34">
        <v>1533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55</v>
      </c>
      <c r="C36">
        <v>1925</v>
      </c>
    </row>
    <row r="37" spans="1:3" x14ac:dyDescent="0.35">
      <c r="A37" t="s">
        <v>172</v>
      </c>
      <c r="B37">
        <v>58</v>
      </c>
      <c r="C37">
        <v>1955</v>
      </c>
    </row>
    <row r="38" spans="1:3" x14ac:dyDescent="0.35">
      <c r="A38" t="s">
        <v>173</v>
      </c>
      <c r="B38">
        <v>353</v>
      </c>
      <c r="C38">
        <v>6368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37</v>
      </c>
      <c r="C43">
        <v>1020</v>
      </c>
    </row>
    <row r="44" spans="1:3" x14ac:dyDescent="0.35">
      <c r="A44" t="s">
        <v>181</v>
      </c>
      <c r="B44">
        <v>49</v>
      </c>
      <c r="C44">
        <v>940</v>
      </c>
    </row>
    <row r="45" spans="1:3" x14ac:dyDescent="0.35">
      <c r="A45" t="s">
        <v>182</v>
      </c>
      <c r="B45">
        <v>62</v>
      </c>
      <c r="C45">
        <v>1120</v>
      </c>
    </row>
    <row r="46" spans="1:3" x14ac:dyDescent="0.35">
      <c r="A46" t="s">
        <v>183</v>
      </c>
      <c r="B46">
        <v>187</v>
      </c>
      <c r="C46">
        <v>1910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161</v>
      </c>
      <c r="C48">
        <v>3214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71</v>
      </c>
      <c r="C50">
        <v>1278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87</v>
      </c>
      <c r="C52">
        <v>1566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181</v>
      </c>
      <c r="C54">
        <v>3392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371</v>
      </c>
      <c r="C56">
        <v>2968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50</v>
      </c>
      <c r="C63">
        <v>1402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91</v>
      </c>
      <c r="C67">
        <v>1836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60</v>
      </c>
      <c r="C69">
        <v>1776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  <row r="73" spans="1:3" x14ac:dyDescent="0.35">
      <c r="A73" t="s">
        <v>176</v>
      </c>
      <c r="C73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70"/>
  <sheetViews>
    <sheetView topLeftCell="A3"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3.26953125" bestFit="1" customWidth="1"/>
    <col min="3" max="3" width="14.90625" bestFit="1" customWidth="1"/>
  </cols>
  <sheetData>
    <row r="1" spans="1:3" x14ac:dyDescent="0.35">
      <c r="A1" t="s">
        <v>123</v>
      </c>
      <c r="B1" t="s">
        <v>332</v>
      </c>
      <c r="C1" t="s">
        <v>323</v>
      </c>
    </row>
    <row r="2" spans="1:3" x14ac:dyDescent="0.35">
      <c r="A2" t="s">
        <v>130</v>
      </c>
      <c r="B2">
        <v>408</v>
      </c>
      <c r="C2">
        <v>10702.799999999997</v>
      </c>
    </row>
    <row r="3" spans="1:3" x14ac:dyDescent="0.35">
      <c r="A3" t="s">
        <v>131</v>
      </c>
      <c r="B3">
        <v>360</v>
      </c>
      <c r="C3">
        <v>9097.3799999999974</v>
      </c>
    </row>
    <row r="4" spans="1:3" x14ac:dyDescent="0.35">
      <c r="A4" t="s">
        <v>132</v>
      </c>
      <c r="B4">
        <v>432</v>
      </c>
      <c r="C4">
        <v>10167.659999999998</v>
      </c>
    </row>
    <row r="5" spans="1:3" x14ac:dyDescent="0.35">
      <c r="A5" t="s">
        <v>133</v>
      </c>
      <c r="B5">
        <v>192</v>
      </c>
      <c r="C5">
        <v>6421.6799999999985</v>
      </c>
    </row>
    <row r="6" spans="1:3" x14ac:dyDescent="0.35">
      <c r="A6" t="s">
        <v>134</v>
      </c>
      <c r="B6">
        <v>288</v>
      </c>
      <c r="C6">
        <v>6421.6799999999985</v>
      </c>
    </row>
    <row r="7" spans="1:3" x14ac:dyDescent="0.35">
      <c r="A7" t="s">
        <v>321</v>
      </c>
      <c r="B7">
        <v>0</v>
      </c>
      <c r="C7">
        <v>0</v>
      </c>
    </row>
    <row r="8" spans="1:3" x14ac:dyDescent="0.35">
      <c r="A8" t="s">
        <v>135</v>
      </c>
      <c r="B8">
        <v>144</v>
      </c>
      <c r="C8">
        <v>3810.8159999999998</v>
      </c>
    </row>
    <row r="9" spans="1:3" x14ac:dyDescent="0.35">
      <c r="A9" t="s">
        <v>136</v>
      </c>
      <c r="B9">
        <v>24</v>
      </c>
      <c r="C9">
        <v>782.98799999999994</v>
      </c>
    </row>
    <row r="10" spans="1:3" x14ac:dyDescent="0.35">
      <c r="A10" t="s">
        <v>137</v>
      </c>
      <c r="B10">
        <v>96</v>
      </c>
      <c r="C10">
        <v>1899.8879999999999</v>
      </c>
    </row>
    <row r="11" spans="1:3" x14ac:dyDescent="0.35">
      <c r="A11" t="s">
        <v>138</v>
      </c>
      <c r="B11">
        <v>48</v>
      </c>
      <c r="C11">
        <v>1636.056</v>
      </c>
    </row>
    <row r="12" spans="1:3" x14ac:dyDescent="0.35">
      <c r="A12" t="s">
        <v>139</v>
      </c>
      <c r="B12">
        <v>120</v>
      </c>
      <c r="C12">
        <v>3724.7279999999992</v>
      </c>
    </row>
    <row r="13" spans="1:3" x14ac:dyDescent="0.35">
      <c r="A13" t="s">
        <v>140</v>
      </c>
      <c r="B13">
        <v>264</v>
      </c>
      <c r="C13">
        <v>7449.4559999999992</v>
      </c>
    </row>
    <row r="14" spans="1:3" x14ac:dyDescent="0.35">
      <c r="A14" t="s">
        <v>141</v>
      </c>
      <c r="B14">
        <v>96</v>
      </c>
      <c r="C14">
        <v>1063.6559999999999</v>
      </c>
    </row>
    <row r="15" spans="1:3" x14ac:dyDescent="0.35">
      <c r="A15" t="s">
        <v>142</v>
      </c>
      <c r="B15">
        <v>48</v>
      </c>
      <c r="C15">
        <v>1595.4839999999999</v>
      </c>
    </row>
    <row r="16" spans="1:3" x14ac:dyDescent="0.35">
      <c r="A16" t="s">
        <v>143</v>
      </c>
      <c r="B16">
        <v>216</v>
      </c>
      <c r="C16">
        <v>2326.44</v>
      </c>
    </row>
    <row r="17" spans="1:3" x14ac:dyDescent="0.35">
      <c r="A17" t="s">
        <v>144</v>
      </c>
      <c r="B17">
        <v>216</v>
      </c>
      <c r="C17">
        <v>2174.6400000000003</v>
      </c>
    </row>
    <row r="18" spans="1:3" x14ac:dyDescent="0.35">
      <c r="A18" t="s">
        <v>145</v>
      </c>
      <c r="B18">
        <v>216</v>
      </c>
      <c r="C18">
        <v>5663.9879999999994</v>
      </c>
    </row>
    <row r="19" spans="1:3" x14ac:dyDescent="0.35">
      <c r="A19" t="s">
        <v>147</v>
      </c>
      <c r="B19">
        <v>168</v>
      </c>
      <c r="C19">
        <v>3334.9919999999993</v>
      </c>
    </row>
    <row r="20" spans="1:3" x14ac:dyDescent="0.35">
      <c r="A20" t="s">
        <v>149</v>
      </c>
      <c r="B20">
        <v>360</v>
      </c>
      <c r="C20">
        <v>7740.8639999999987</v>
      </c>
    </row>
    <row r="21" spans="1:3" x14ac:dyDescent="0.35">
      <c r="A21" t="s">
        <v>150</v>
      </c>
      <c r="B21">
        <v>24</v>
      </c>
      <c r="C21">
        <v>676.70399999999995</v>
      </c>
    </row>
    <row r="22" spans="1:3" x14ac:dyDescent="0.35">
      <c r="A22" t="s">
        <v>151</v>
      </c>
      <c r="B22">
        <v>24</v>
      </c>
      <c r="C22">
        <v>699.88799999999992</v>
      </c>
    </row>
    <row r="23" spans="1:3" x14ac:dyDescent="0.35">
      <c r="A23" t="s">
        <v>152</v>
      </c>
      <c r="B23">
        <v>96</v>
      </c>
      <c r="C23">
        <v>2095.2959999999998</v>
      </c>
    </row>
    <row r="24" spans="1:3" x14ac:dyDescent="0.35">
      <c r="A24" t="s">
        <v>153</v>
      </c>
      <c r="B24">
        <v>48</v>
      </c>
      <c r="C24">
        <v>1715.5439999999999</v>
      </c>
    </row>
    <row r="25" spans="1:3" x14ac:dyDescent="0.35">
      <c r="A25" t="s">
        <v>154</v>
      </c>
      <c r="B25">
        <v>96</v>
      </c>
      <c r="C25">
        <v>1963.6019999999999</v>
      </c>
    </row>
    <row r="26" spans="1:3" x14ac:dyDescent="0.35">
      <c r="A26" t="s">
        <v>155</v>
      </c>
      <c r="B26">
        <v>48</v>
      </c>
      <c r="C26">
        <v>1090.8899999999999</v>
      </c>
    </row>
    <row r="27" spans="1:3" x14ac:dyDescent="0.35">
      <c r="A27" t="s">
        <v>156</v>
      </c>
      <c r="B27">
        <v>84</v>
      </c>
      <c r="C27">
        <v>1529.1779999999999</v>
      </c>
    </row>
    <row r="28" spans="1:3" x14ac:dyDescent="0.35">
      <c r="A28" t="s">
        <v>157</v>
      </c>
      <c r="B28">
        <v>82</v>
      </c>
      <c r="C28">
        <v>1692.7999999999997</v>
      </c>
    </row>
    <row r="29" spans="1:3" x14ac:dyDescent="0.35">
      <c r="A29" t="s">
        <v>158</v>
      </c>
      <c r="B29">
        <v>60</v>
      </c>
      <c r="C29">
        <v>1090.8899999999999</v>
      </c>
    </row>
    <row r="30" spans="1:3" x14ac:dyDescent="0.35">
      <c r="A30" t="s">
        <v>159</v>
      </c>
      <c r="B30">
        <v>36</v>
      </c>
      <c r="C30">
        <v>1157.8200000000002</v>
      </c>
    </row>
    <row r="31" spans="1:3" x14ac:dyDescent="0.35">
      <c r="A31" t="s">
        <v>160</v>
      </c>
      <c r="B31">
        <v>306</v>
      </c>
      <c r="C31">
        <v>3378.24</v>
      </c>
    </row>
    <row r="32" spans="1:3" x14ac:dyDescent="0.35">
      <c r="A32" t="s">
        <v>161</v>
      </c>
      <c r="B32">
        <v>264</v>
      </c>
      <c r="C32">
        <v>5497.9319999999998</v>
      </c>
    </row>
    <row r="33" spans="1:3" x14ac:dyDescent="0.35">
      <c r="A33" t="s">
        <v>162</v>
      </c>
      <c r="B33">
        <v>96</v>
      </c>
      <c r="C33">
        <v>2998.8719999999998</v>
      </c>
    </row>
    <row r="34" spans="1:3" x14ac:dyDescent="0.35">
      <c r="A34" t="s">
        <v>163</v>
      </c>
      <c r="B34">
        <v>384</v>
      </c>
      <c r="C34">
        <v>9501.119999999999</v>
      </c>
    </row>
    <row r="35" spans="1:3" x14ac:dyDescent="0.35">
      <c r="A35" t="s">
        <v>164</v>
      </c>
      <c r="B35">
        <v>580</v>
      </c>
      <c r="C35">
        <v>7496.167199999999</v>
      </c>
    </row>
    <row r="36" spans="1:3" x14ac:dyDescent="0.35">
      <c r="A36" t="s">
        <v>165</v>
      </c>
      <c r="B36">
        <v>240</v>
      </c>
      <c r="C36">
        <v>2639.0699999999997</v>
      </c>
    </row>
    <row r="37" spans="1:3" x14ac:dyDescent="0.35">
      <c r="A37" t="s">
        <v>166</v>
      </c>
      <c r="B37">
        <v>60</v>
      </c>
      <c r="C37">
        <v>841.05</v>
      </c>
    </row>
    <row r="38" spans="1:3" x14ac:dyDescent="0.35">
      <c r="A38" t="s">
        <v>167</v>
      </c>
      <c r="B38">
        <v>96</v>
      </c>
      <c r="C38">
        <v>1836.9599999999998</v>
      </c>
    </row>
    <row r="39" spans="1:3" x14ac:dyDescent="0.35">
      <c r="A39" t="s">
        <v>515</v>
      </c>
      <c r="B39">
        <v>0</v>
      </c>
      <c r="C39">
        <v>0</v>
      </c>
    </row>
    <row r="40" spans="1:3" x14ac:dyDescent="0.35">
      <c r="A40" t="s">
        <v>168</v>
      </c>
      <c r="B40">
        <v>72</v>
      </c>
      <c r="C40">
        <v>1538.3519999999999</v>
      </c>
    </row>
    <row r="41" spans="1:3" x14ac:dyDescent="0.35">
      <c r="A41" t="s">
        <v>169</v>
      </c>
      <c r="B41">
        <v>48</v>
      </c>
      <c r="C41">
        <v>762.13799999999992</v>
      </c>
    </row>
    <row r="42" spans="1:3" x14ac:dyDescent="0.35">
      <c r="A42" t="s">
        <v>170</v>
      </c>
      <c r="B42">
        <v>55</v>
      </c>
      <c r="C42">
        <v>1331.9563349999999</v>
      </c>
    </row>
    <row r="43" spans="1:3" x14ac:dyDescent="0.35">
      <c r="A43" t="s">
        <v>171</v>
      </c>
      <c r="B43">
        <v>60</v>
      </c>
      <c r="C43">
        <v>1188</v>
      </c>
    </row>
    <row r="44" spans="1:3" x14ac:dyDescent="0.35">
      <c r="A44" t="s">
        <v>172</v>
      </c>
      <c r="B44">
        <v>55</v>
      </c>
      <c r="C44">
        <v>1406.9823349999999</v>
      </c>
    </row>
    <row r="45" spans="1:3" x14ac:dyDescent="0.35">
      <c r="A45" t="s">
        <v>173</v>
      </c>
      <c r="B45">
        <v>450</v>
      </c>
      <c r="C45">
        <v>6922.079999999999</v>
      </c>
    </row>
    <row r="46" spans="1:3" x14ac:dyDescent="0.35">
      <c r="A46" t="s">
        <v>174</v>
      </c>
      <c r="B46">
        <v>720</v>
      </c>
      <c r="C46">
        <v>4562.2799999999988</v>
      </c>
    </row>
    <row r="47" spans="1:3" x14ac:dyDescent="0.35">
      <c r="A47" t="s">
        <v>175</v>
      </c>
      <c r="B47">
        <v>96</v>
      </c>
      <c r="C47">
        <v>2215.7279999999996</v>
      </c>
    </row>
    <row r="48" spans="1:3" x14ac:dyDescent="0.35">
      <c r="A48" t="s">
        <v>176</v>
      </c>
      <c r="B48">
        <v>242</v>
      </c>
      <c r="C48">
        <v>14471.599999999999</v>
      </c>
    </row>
    <row r="49" spans="1:3" x14ac:dyDescent="0.35">
      <c r="A49" t="s">
        <v>177</v>
      </c>
      <c r="B49">
        <v>128</v>
      </c>
      <c r="C49">
        <v>4395.3919999999998</v>
      </c>
    </row>
    <row r="50" spans="1:3" x14ac:dyDescent="0.35">
      <c r="A50" t="s">
        <v>178</v>
      </c>
      <c r="B50">
        <v>120</v>
      </c>
      <c r="C50">
        <v>3709.4399999999996</v>
      </c>
    </row>
    <row r="51" spans="1:3" x14ac:dyDescent="0.35">
      <c r="A51" t="s">
        <v>179</v>
      </c>
      <c r="B51">
        <v>150</v>
      </c>
      <c r="C51">
        <v>5798.76</v>
      </c>
    </row>
    <row r="52" spans="1:3" x14ac:dyDescent="0.35">
      <c r="A52" t="s">
        <v>180</v>
      </c>
      <c r="B52">
        <v>35</v>
      </c>
      <c r="C52">
        <v>735.52907499999992</v>
      </c>
    </row>
    <row r="53" spans="1:3" x14ac:dyDescent="0.35">
      <c r="A53" t="s">
        <v>181</v>
      </c>
      <c r="B53">
        <v>48</v>
      </c>
      <c r="C53">
        <v>720.91200000000003</v>
      </c>
    </row>
    <row r="54" spans="1:3" x14ac:dyDescent="0.35">
      <c r="A54" t="s">
        <v>182</v>
      </c>
      <c r="B54">
        <v>48</v>
      </c>
      <c r="C54">
        <v>626.52</v>
      </c>
    </row>
    <row r="55" spans="1:3" x14ac:dyDescent="0.35">
      <c r="A55" t="s">
        <v>183</v>
      </c>
      <c r="B55">
        <v>240</v>
      </c>
      <c r="C55">
        <v>626.51999999999987</v>
      </c>
    </row>
    <row r="56" spans="1:3" x14ac:dyDescent="0.35">
      <c r="A56" t="s">
        <v>184</v>
      </c>
      <c r="B56">
        <v>576</v>
      </c>
      <c r="C56">
        <v>2556.0360000000001</v>
      </c>
    </row>
    <row r="57" spans="1:3" x14ac:dyDescent="0.35">
      <c r="A57" t="s">
        <v>185</v>
      </c>
      <c r="B57">
        <v>180</v>
      </c>
      <c r="C57">
        <v>1021.5449999999998</v>
      </c>
    </row>
    <row r="58" spans="1:3" x14ac:dyDescent="0.35">
      <c r="A58" t="s">
        <v>186</v>
      </c>
      <c r="B58">
        <v>150</v>
      </c>
      <c r="C58">
        <v>1421.3999999999999</v>
      </c>
    </row>
    <row r="59" spans="1:3" x14ac:dyDescent="0.35">
      <c r="A59" t="s">
        <v>187</v>
      </c>
      <c r="B59">
        <v>96</v>
      </c>
      <c r="C59">
        <v>1502.8199999999997</v>
      </c>
    </row>
    <row r="60" spans="1:3" x14ac:dyDescent="0.35">
      <c r="A60" t="s">
        <v>188</v>
      </c>
      <c r="B60">
        <v>96</v>
      </c>
      <c r="C60">
        <v>1502.8199999999997</v>
      </c>
    </row>
    <row r="61" spans="1:3" x14ac:dyDescent="0.35">
      <c r="A61" t="s">
        <v>189</v>
      </c>
      <c r="B61">
        <v>96</v>
      </c>
      <c r="C61">
        <v>1502.8199999999997</v>
      </c>
    </row>
    <row r="62" spans="1:3" x14ac:dyDescent="0.35">
      <c r="A62" t="s">
        <v>190</v>
      </c>
      <c r="B62">
        <v>15</v>
      </c>
      <c r="C62">
        <v>311.36250000000001</v>
      </c>
    </row>
    <row r="63" spans="1:3" x14ac:dyDescent="0.35">
      <c r="A63" t="s">
        <v>191</v>
      </c>
      <c r="B63">
        <v>240</v>
      </c>
      <c r="C63">
        <v>4231.08</v>
      </c>
    </row>
    <row r="64" spans="1:3" x14ac:dyDescent="0.35">
      <c r="A64" t="s">
        <v>192</v>
      </c>
      <c r="B64">
        <v>26</v>
      </c>
      <c r="C64">
        <v>747.20099999999991</v>
      </c>
    </row>
    <row r="65" spans="1:3" x14ac:dyDescent="0.35">
      <c r="A65" t="s">
        <v>193</v>
      </c>
      <c r="B65">
        <v>510</v>
      </c>
      <c r="C65">
        <v>1536.63</v>
      </c>
    </row>
    <row r="66" spans="1:3" x14ac:dyDescent="0.35">
      <c r="A66" t="s">
        <v>194</v>
      </c>
      <c r="B66">
        <v>120</v>
      </c>
      <c r="C66">
        <v>1316.5199999999998</v>
      </c>
    </row>
    <row r="67" spans="1:3" x14ac:dyDescent="0.35">
      <c r="A67" t="s">
        <v>195</v>
      </c>
      <c r="B67">
        <v>144</v>
      </c>
      <c r="C67">
        <v>611.06399999999996</v>
      </c>
    </row>
    <row r="68" spans="1:3" x14ac:dyDescent="0.35">
      <c r="A68" t="s">
        <v>198</v>
      </c>
      <c r="B68">
        <v>56</v>
      </c>
      <c r="C68">
        <v>1256.7659999999998</v>
      </c>
    </row>
    <row r="69" spans="1:3" x14ac:dyDescent="0.35">
      <c r="A69" t="s">
        <v>196</v>
      </c>
      <c r="B69">
        <v>60</v>
      </c>
      <c r="C69">
        <v>192.51</v>
      </c>
    </row>
    <row r="70" spans="1:3" x14ac:dyDescent="0.35">
      <c r="A70" t="s">
        <v>197</v>
      </c>
      <c r="B70">
        <v>60</v>
      </c>
      <c r="C70">
        <v>208.79399999999995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331</v>
      </c>
      <c r="B38">
        <v>0</v>
      </c>
      <c r="C38">
        <v>0</v>
      </c>
    </row>
    <row r="39" spans="1:3" x14ac:dyDescent="0.35">
      <c r="A39" t="s">
        <v>168</v>
      </c>
      <c r="B39">
        <v>45</v>
      </c>
      <c r="C39">
        <v>1260</v>
      </c>
    </row>
    <row r="40" spans="1:3" x14ac:dyDescent="0.35">
      <c r="A40" t="s">
        <v>169</v>
      </c>
      <c r="B40">
        <v>28</v>
      </c>
      <c r="C40">
        <v>784</v>
      </c>
    </row>
    <row r="41" spans="1:3" x14ac:dyDescent="0.35">
      <c r="A41" t="s">
        <v>170</v>
      </c>
      <c r="B41">
        <v>52</v>
      </c>
      <c r="C41">
        <v>1820</v>
      </c>
    </row>
    <row r="42" spans="1:3" x14ac:dyDescent="0.35">
      <c r="A42" t="s">
        <v>171</v>
      </c>
      <c r="B42">
        <v>57</v>
      </c>
      <c r="C42">
        <v>1710</v>
      </c>
    </row>
    <row r="43" spans="1:3" x14ac:dyDescent="0.35">
      <c r="A43" t="s">
        <v>172</v>
      </c>
      <c r="B43">
        <v>55</v>
      </c>
      <c r="C43">
        <v>1925</v>
      </c>
    </row>
    <row r="44" spans="1:3" x14ac:dyDescent="0.35">
      <c r="A44" t="s">
        <v>173</v>
      </c>
      <c r="B44">
        <v>295</v>
      </c>
      <c r="C44">
        <v>5310</v>
      </c>
    </row>
    <row r="45" spans="1:3" x14ac:dyDescent="0.35">
      <c r="A45" t="s">
        <v>174</v>
      </c>
      <c r="B45">
        <v>461</v>
      </c>
      <c r="C45">
        <v>4610</v>
      </c>
    </row>
    <row r="46" spans="1:3" x14ac:dyDescent="0.35">
      <c r="A46" t="s">
        <v>175</v>
      </c>
      <c r="B46">
        <v>104</v>
      </c>
      <c r="C46">
        <v>2600</v>
      </c>
    </row>
    <row r="47" spans="1:3" x14ac:dyDescent="0.35">
      <c r="A47" t="s">
        <v>176</v>
      </c>
      <c r="B47">
        <v>102</v>
      </c>
      <c r="C47">
        <v>4590</v>
      </c>
    </row>
    <row r="48" spans="1:3" x14ac:dyDescent="0.35">
      <c r="A48" t="s">
        <v>177</v>
      </c>
      <c r="B48">
        <v>85</v>
      </c>
      <c r="C48">
        <v>1700</v>
      </c>
    </row>
    <row r="49" spans="1:3" x14ac:dyDescent="0.35">
      <c r="A49" t="s">
        <v>178</v>
      </c>
      <c r="B49">
        <v>114</v>
      </c>
      <c r="C49">
        <v>2850</v>
      </c>
    </row>
    <row r="50" spans="1:3" x14ac:dyDescent="0.35">
      <c r="A50" t="s">
        <v>179</v>
      </c>
      <c r="B50">
        <v>141</v>
      </c>
      <c r="C50">
        <v>3948</v>
      </c>
    </row>
    <row r="51" spans="1:3" x14ac:dyDescent="0.35">
      <c r="A51" t="s">
        <v>180</v>
      </c>
      <c r="B51">
        <v>35</v>
      </c>
      <c r="C51">
        <v>980</v>
      </c>
    </row>
    <row r="52" spans="1:3" x14ac:dyDescent="0.35">
      <c r="A52" t="s">
        <v>181</v>
      </c>
      <c r="B52">
        <v>45</v>
      </c>
      <c r="C52">
        <v>900</v>
      </c>
    </row>
    <row r="53" spans="1:3" x14ac:dyDescent="0.35">
      <c r="A53" t="s">
        <v>182</v>
      </c>
      <c r="B53">
        <v>50</v>
      </c>
      <c r="C53">
        <v>1000</v>
      </c>
    </row>
    <row r="54" spans="1:3" x14ac:dyDescent="0.35">
      <c r="A54" t="s">
        <v>183</v>
      </c>
      <c r="B54">
        <v>179</v>
      </c>
      <c r="C54">
        <v>1790</v>
      </c>
    </row>
    <row r="55" spans="1:3" x14ac:dyDescent="0.35">
      <c r="A55" t="s">
        <v>184</v>
      </c>
      <c r="B55">
        <v>397</v>
      </c>
      <c r="C55">
        <v>3970</v>
      </c>
    </row>
    <row r="56" spans="1:3" x14ac:dyDescent="0.35">
      <c r="A56" t="s">
        <v>185</v>
      </c>
      <c r="B56">
        <v>86</v>
      </c>
      <c r="C56">
        <v>1720</v>
      </c>
    </row>
    <row r="57" spans="1:3" x14ac:dyDescent="0.35">
      <c r="A57" t="s">
        <v>186</v>
      </c>
      <c r="B57">
        <v>96</v>
      </c>
      <c r="C57">
        <v>1440</v>
      </c>
    </row>
    <row r="58" spans="1:3" x14ac:dyDescent="0.35">
      <c r="A58" t="s">
        <v>187</v>
      </c>
      <c r="B58">
        <v>65</v>
      </c>
      <c r="C58">
        <v>1170</v>
      </c>
    </row>
    <row r="59" spans="1:3" x14ac:dyDescent="0.35">
      <c r="A59" t="s">
        <v>188</v>
      </c>
      <c r="B59">
        <v>68</v>
      </c>
      <c r="C59">
        <v>1224</v>
      </c>
    </row>
    <row r="60" spans="1:3" x14ac:dyDescent="0.35">
      <c r="A60" t="s">
        <v>189</v>
      </c>
      <c r="B60">
        <v>72</v>
      </c>
      <c r="C60">
        <v>1296</v>
      </c>
    </row>
    <row r="61" spans="1:3" x14ac:dyDescent="0.35">
      <c r="A61" t="s">
        <v>190</v>
      </c>
      <c r="B61">
        <v>15</v>
      </c>
      <c r="C61">
        <v>375</v>
      </c>
    </row>
    <row r="62" spans="1:3" x14ac:dyDescent="0.35">
      <c r="A62" t="s">
        <v>191</v>
      </c>
      <c r="B62">
        <v>166</v>
      </c>
      <c r="C62">
        <v>3232</v>
      </c>
    </row>
    <row r="63" spans="1:3" x14ac:dyDescent="0.35">
      <c r="A63" t="s">
        <v>192</v>
      </c>
      <c r="B63">
        <v>26</v>
      </c>
      <c r="C63">
        <v>910</v>
      </c>
    </row>
    <row r="64" spans="1:3" x14ac:dyDescent="0.35">
      <c r="A64" t="s">
        <v>193</v>
      </c>
      <c r="B64">
        <v>336</v>
      </c>
      <c r="C64">
        <v>2688</v>
      </c>
    </row>
    <row r="65" spans="1:3" x14ac:dyDescent="0.35">
      <c r="A65" t="s">
        <v>194</v>
      </c>
      <c r="B65">
        <v>81</v>
      </c>
      <c r="C65">
        <v>1215</v>
      </c>
    </row>
    <row r="66" spans="1:3" x14ac:dyDescent="0.35">
      <c r="A66" t="s">
        <v>195</v>
      </c>
      <c r="B66">
        <v>46</v>
      </c>
      <c r="C66">
        <v>368</v>
      </c>
    </row>
    <row r="67" spans="1:3" x14ac:dyDescent="0.35">
      <c r="A67" t="s">
        <v>198</v>
      </c>
      <c r="B67">
        <v>54</v>
      </c>
      <c r="C67">
        <v>1350</v>
      </c>
    </row>
    <row r="68" spans="1:3" x14ac:dyDescent="0.35">
      <c r="A68" t="s">
        <v>196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topLeftCell="A32" zoomScale="44" workbookViewId="0">
      <selection activeCell="N46" sqref="B13:N46"/>
    </sheetView>
  </sheetViews>
  <sheetFormatPr defaultColWidth="8.7265625" defaultRowHeight="14.5" x14ac:dyDescent="0.35"/>
  <cols>
    <col min="4" max="4" width="14.6328125" customWidth="1"/>
    <col min="7" max="7" width="22.81640625" customWidth="1"/>
    <col min="14" max="14" width="39.1796875" customWidth="1"/>
    <col min="16" max="16" width="11.1796875" customWidth="1"/>
    <col min="26" max="26" width="19.90625" customWidth="1"/>
    <col min="27" max="27" width="24.7265625" customWidth="1"/>
    <col min="121" max="121" width="7.6328125" customWidth="1"/>
    <col min="122" max="122" width="19.08984375" customWidth="1"/>
  </cols>
  <sheetData>
    <row r="3" spans="3:126" x14ac:dyDescent="0.35">
      <c r="C3" s="75" t="s">
        <v>112</v>
      </c>
      <c r="D3" s="67"/>
      <c r="DA3" s="75"/>
      <c r="DB3" s="67"/>
    </row>
    <row r="4" spans="3:126" x14ac:dyDescent="0.35">
      <c r="C4" s="73" t="s">
        <v>113</v>
      </c>
      <c r="D4" s="73">
        <f>SUM(D13:D38)</f>
        <v>-20602.360000000004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1823.4099999999962</v>
      </c>
      <c r="DA6" s="27"/>
      <c r="DB6" s="27"/>
    </row>
    <row r="9" spans="3:126" x14ac:dyDescent="0.35">
      <c r="R9" t="s">
        <v>122</v>
      </c>
    </row>
    <row r="10" spans="3:126" x14ac:dyDescent="0.35">
      <c r="O10">
        <v>7</v>
      </c>
      <c r="P10" t="s">
        <v>116</v>
      </c>
      <c r="Q10">
        <f>R10/83</f>
        <v>24.096385542168676</v>
      </c>
      <c r="R10" s="70">
        <f>SUM(T10:V10)</f>
        <v>2000</v>
      </c>
      <c r="S10" t="s">
        <v>309</v>
      </c>
      <c r="T10">
        <v>2000</v>
      </c>
    </row>
    <row r="11" spans="3:126" ht="39.5" customHeight="1" x14ac:dyDescent="0.9">
      <c r="C11" s="77"/>
      <c r="J11" s="77"/>
      <c r="P11" t="s">
        <v>117</v>
      </c>
      <c r="Q11">
        <f t="shared" ref="Q11:Q19" si="0">R11/83</f>
        <v>168.97590361445782</v>
      </c>
      <c r="R11" s="70">
        <f>SUM(T11:V11)</f>
        <v>14025</v>
      </c>
      <c r="S11" t="s">
        <v>308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118</v>
      </c>
      <c r="Q12">
        <f t="shared" si="0"/>
        <v>14.952530120481928</v>
      </c>
      <c r="R12" s="70">
        <f>SUM(T12:Y12)</f>
        <v>1241.06</v>
      </c>
      <c r="S12" t="s">
        <v>303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114</v>
      </c>
      <c r="DU12" t="s">
        <v>115</v>
      </c>
      <c r="DV12">
        <v>85</v>
      </c>
    </row>
    <row r="13" spans="3:126" ht="29" x14ac:dyDescent="0.35">
      <c r="C13" s="73" t="s">
        <v>498</v>
      </c>
      <c r="D13" s="73">
        <v>-60</v>
      </c>
      <c r="E13" s="73" t="s">
        <v>618</v>
      </c>
      <c r="F13" s="73">
        <v>91076850000</v>
      </c>
      <c r="G13" s="186" t="s">
        <v>619</v>
      </c>
      <c r="J13" s="17" t="s">
        <v>92</v>
      </c>
      <c r="K13" s="17">
        <v>270.19</v>
      </c>
      <c r="L13" s="17" t="s">
        <v>5</v>
      </c>
      <c r="M13" s="17">
        <v>1158256</v>
      </c>
      <c r="N13" s="17" t="s">
        <v>659</v>
      </c>
      <c r="P13" t="s">
        <v>297</v>
      </c>
      <c r="Q13">
        <f t="shared" si="0"/>
        <v>10.563855421686746</v>
      </c>
      <c r="R13" s="70">
        <f>SUM(T13:V13)</f>
        <v>876.8</v>
      </c>
      <c r="S13" t="s">
        <v>308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116</v>
      </c>
      <c r="DS13">
        <v>2000</v>
      </c>
      <c r="DT13">
        <f>DS13/DV12</f>
        <v>23.529411764705884</v>
      </c>
    </row>
    <row r="14" spans="3:126" ht="29" x14ac:dyDescent="0.35">
      <c r="C14" s="73" t="s">
        <v>498</v>
      </c>
      <c r="D14" s="73">
        <v>-60</v>
      </c>
      <c r="E14" s="73" t="s">
        <v>620</v>
      </c>
      <c r="F14" s="73">
        <v>91076770000</v>
      </c>
      <c r="G14" s="186" t="s">
        <v>621</v>
      </c>
      <c r="J14" s="17" t="s">
        <v>40</v>
      </c>
      <c r="K14" s="17">
        <v>1350.95</v>
      </c>
      <c r="L14" s="17" t="s">
        <v>5</v>
      </c>
      <c r="M14" s="17">
        <v>1098733</v>
      </c>
      <c r="N14" s="17" t="s">
        <v>660</v>
      </c>
      <c r="P14" t="s">
        <v>110</v>
      </c>
      <c r="Q14">
        <f t="shared" si="0"/>
        <v>11.068674698795181</v>
      </c>
      <c r="R14" s="70">
        <f>SUM(T14:X14)</f>
        <v>918.7</v>
      </c>
      <c r="S14" t="s">
        <v>305</v>
      </c>
      <c r="T14">
        <v>292.89999999999998</v>
      </c>
      <c r="U14">
        <v>214</v>
      </c>
      <c r="V14" t="s">
        <v>304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117</v>
      </c>
      <c r="DS14">
        <f>$DV12*DT14</f>
        <v>14025</v>
      </c>
      <c r="DT14">
        <v>165</v>
      </c>
    </row>
    <row r="15" spans="3:126" ht="29" x14ac:dyDescent="0.35">
      <c r="C15" s="73" t="s">
        <v>498</v>
      </c>
      <c r="D15" s="73">
        <v>-411.8</v>
      </c>
      <c r="E15" s="73" t="s">
        <v>622</v>
      </c>
      <c r="F15" s="73">
        <v>91076670000</v>
      </c>
      <c r="G15" s="186" t="s">
        <v>623</v>
      </c>
      <c r="J15" s="17" t="s">
        <v>65</v>
      </c>
      <c r="K15" s="17">
        <v>8916.27</v>
      </c>
      <c r="L15" s="17" t="s">
        <v>5</v>
      </c>
      <c r="M15" s="17">
        <v>1025921</v>
      </c>
      <c r="N15" s="17" t="s">
        <v>661</v>
      </c>
      <c r="P15" t="s">
        <v>119</v>
      </c>
      <c r="Q15">
        <f t="shared" si="0"/>
        <v>8.6204819277108431</v>
      </c>
      <c r="R15" s="70">
        <f>SUM(T15:V15)</f>
        <v>715.5</v>
      </c>
      <c r="S15" t="s">
        <v>303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118</v>
      </c>
      <c r="DS15">
        <v>1700</v>
      </c>
      <c r="DT15">
        <f>DS15/$DV12</f>
        <v>20</v>
      </c>
    </row>
    <row r="16" spans="3:126" ht="29" x14ac:dyDescent="0.35">
      <c r="C16" s="73" t="s">
        <v>498</v>
      </c>
      <c r="D16" s="78">
        <v>-60</v>
      </c>
      <c r="E16" s="79" t="s">
        <v>624</v>
      </c>
      <c r="F16" s="73">
        <v>91076890000</v>
      </c>
      <c r="G16" s="186" t="s">
        <v>625</v>
      </c>
      <c r="J16" s="17" t="s">
        <v>65</v>
      </c>
      <c r="K16" s="17">
        <v>270.19</v>
      </c>
      <c r="L16" s="17" t="s">
        <v>5</v>
      </c>
      <c r="M16" s="17">
        <v>1025919</v>
      </c>
      <c r="N16" s="17" t="s">
        <v>662</v>
      </c>
      <c r="P16" t="s">
        <v>298</v>
      </c>
      <c r="Q16">
        <f t="shared" si="0"/>
        <v>20.492771084337349</v>
      </c>
      <c r="R16" s="70">
        <f>SUM(T16:V16)</f>
        <v>1700.8999999999999</v>
      </c>
      <c r="S16" t="s">
        <v>306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297</v>
      </c>
      <c r="DT16">
        <f>DS16/$DV12</f>
        <v>0</v>
      </c>
    </row>
    <row r="17" spans="3:124" ht="29" x14ac:dyDescent="0.35">
      <c r="C17" s="73" t="s">
        <v>498</v>
      </c>
      <c r="D17" s="73">
        <v>-60</v>
      </c>
      <c r="E17" s="73" t="s">
        <v>276</v>
      </c>
      <c r="F17" s="73">
        <v>91076720000</v>
      </c>
      <c r="G17" s="186" t="s">
        <v>626</v>
      </c>
      <c r="J17" s="17" t="s">
        <v>65</v>
      </c>
      <c r="K17" s="17">
        <v>4052.85</v>
      </c>
      <c r="L17" s="17" t="s">
        <v>5</v>
      </c>
      <c r="M17" s="17">
        <v>1025924</v>
      </c>
      <c r="N17" s="17" t="s">
        <v>663</v>
      </c>
      <c r="P17" t="s">
        <v>299</v>
      </c>
      <c r="Q17">
        <f t="shared" si="0"/>
        <v>1.191566265060241</v>
      </c>
      <c r="R17" s="70">
        <f>SUM(T17:V17)</f>
        <v>98.9</v>
      </c>
      <c r="S17" t="s">
        <v>303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110</v>
      </c>
      <c r="DT17">
        <f>DS17/$DV12</f>
        <v>0</v>
      </c>
    </row>
    <row r="18" spans="3:124" ht="43.5" x14ac:dyDescent="0.35">
      <c r="C18" s="73" t="s">
        <v>498</v>
      </c>
      <c r="D18" s="79">
        <v>-60</v>
      </c>
      <c r="E18" s="73" t="s">
        <v>627</v>
      </c>
      <c r="F18" s="73">
        <v>91076780000</v>
      </c>
      <c r="G18" s="186" t="s">
        <v>628</v>
      </c>
      <c r="J18" s="17" t="s">
        <v>90</v>
      </c>
      <c r="K18" s="17">
        <v>1080.76</v>
      </c>
      <c r="L18" s="17" t="s">
        <v>5</v>
      </c>
      <c r="M18" s="17">
        <v>938553</v>
      </c>
      <c r="N18" s="17" t="s">
        <v>664</v>
      </c>
      <c r="P18" t="s">
        <v>302</v>
      </c>
      <c r="Q18">
        <f t="shared" si="0"/>
        <v>13.012048192771084</v>
      </c>
      <c r="R18" s="70">
        <f>SUM(T18:V18)</f>
        <v>1080</v>
      </c>
      <c r="S18" t="s">
        <v>307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119</v>
      </c>
      <c r="DS18">
        <v>715.5</v>
      </c>
      <c r="DT18">
        <f>DS18/$DV12</f>
        <v>8.4176470588235297</v>
      </c>
    </row>
    <row r="19" spans="3:124" ht="29" x14ac:dyDescent="0.35">
      <c r="C19" s="73" t="s">
        <v>498</v>
      </c>
      <c r="D19" s="73">
        <v>-1700.9</v>
      </c>
      <c r="E19" s="73" t="s">
        <v>629</v>
      </c>
      <c r="F19" s="73">
        <v>91076700000</v>
      </c>
      <c r="G19" s="186" t="s">
        <v>630</v>
      </c>
      <c r="J19" s="17" t="s">
        <v>87</v>
      </c>
      <c r="K19" s="17">
        <v>2161.52</v>
      </c>
      <c r="L19" s="17" t="s">
        <v>5</v>
      </c>
      <c r="M19" s="17">
        <v>881846</v>
      </c>
      <c r="N19" s="17" t="s">
        <v>665</v>
      </c>
      <c r="P19" t="s">
        <v>44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498</v>
      </c>
      <c r="D20" s="73">
        <v>-60</v>
      </c>
      <c r="E20" s="73" t="s">
        <v>631</v>
      </c>
      <c r="F20" s="73">
        <v>91076790000</v>
      </c>
      <c r="G20" s="186" t="s">
        <v>632</v>
      </c>
      <c r="J20" s="17" t="s">
        <v>86</v>
      </c>
      <c r="K20" s="17">
        <v>3512.47</v>
      </c>
      <c r="L20" s="17" t="s">
        <v>5</v>
      </c>
      <c r="M20" s="17">
        <v>807235</v>
      </c>
      <c r="N20" s="17" t="s">
        <v>666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498</v>
      </c>
      <c r="D21" s="73">
        <v>-60</v>
      </c>
      <c r="E21" s="73" t="s">
        <v>602</v>
      </c>
      <c r="F21" s="73">
        <v>91076800000</v>
      </c>
      <c r="G21" s="186" t="s">
        <v>633</v>
      </c>
      <c r="J21" s="17" t="s">
        <v>502</v>
      </c>
      <c r="K21" s="17">
        <v>270.19</v>
      </c>
      <c r="L21" s="17" t="s">
        <v>5</v>
      </c>
      <c r="M21" s="17">
        <v>1504939</v>
      </c>
      <c r="N21" s="17" t="s">
        <v>667</v>
      </c>
      <c r="P21" t="s">
        <v>300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498</v>
      </c>
      <c r="D22" s="73">
        <v>-60</v>
      </c>
      <c r="E22" s="73" t="s">
        <v>543</v>
      </c>
      <c r="F22" s="73">
        <v>91076840000</v>
      </c>
      <c r="G22" s="186" t="s">
        <v>634</v>
      </c>
      <c r="J22" s="17" t="s">
        <v>505</v>
      </c>
      <c r="K22" s="17">
        <v>540.38</v>
      </c>
      <c r="L22" s="17" t="s">
        <v>5</v>
      </c>
      <c r="M22" s="17">
        <v>1490518</v>
      </c>
      <c r="N22" s="17" t="s">
        <v>668</v>
      </c>
      <c r="P22" t="s">
        <v>301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498</v>
      </c>
      <c r="D23" s="73">
        <v>-14025</v>
      </c>
      <c r="E23" s="73" t="s">
        <v>547</v>
      </c>
      <c r="F23" s="73">
        <v>91076640000</v>
      </c>
      <c r="G23" s="186" t="s">
        <v>635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120</v>
      </c>
      <c r="DT23">
        <f>SUM(DT13:DT22)</f>
        <v>216.9470588235294</v>
      </c>
    </row>
    <row r="24" spans="3:124" ht="29" x14ac:dyDescent="0.35">
      <c r="C24" s="73" t="s">
        <v>498</v>
      </c>
      <c r="D24" s="73">
        <v>-6</v>
      </c>
      <c r="E24" s="73" t="s">
        <v>288</v>
      </c>
      <c r="F24" s="73">
        <v>91076740000</v>
      </c>
      <c r="G24" s="186" t="s">
        <v>636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121</v>
      </c>
      <c r="DT24">
        <v>270</v>
      </c>
    </row>
    <row r="25" spans="3:124" ht="29" x14ac:dyDescent="0.35">
      <c r="C25" s="73" t="s">
        <v>498</v>
      </c>
      <c r="D25" s="73">
        <v>-1241.06</v>
      </c>
      <c r="E25" s="73" t="s">
        <v>637</v>
      </c>
      <c r="F25" s="73">
        <v>91076650000</v>
      </c>
      <c r="G25" s="186" t="s">
        <v>638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122</v>
      </c>
      <c r="DT25">
        <f>DT24-DT23</f>
        <v>53.052941176470597</v>
      </c>
    </row>
    <row r="26" spans="3:124" ht="29" x14ac:dyDescent="0.35">
      <c r="C26" s="73" t="s">
        <v>498</v>
      </c>
      <c r="D26" s="73">
        <v>-506.9</v>
      </c>
      <c r="E26" s="73" t="s">
        <v>547</v>
      </c>
      <c r="F26" s="73">
        <v>91076680000</v>
      </c>
      <c r="G26" s="186" t="s">
        <v>639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498</v>
      </c>
      <c r="D27" s="73">
        <v>-60</v>
      </c>
      <c r="E27" s="73" t="s">
        <v>640</v>
      </c>
      <c r="F27" s="73">
        <v>91076730000</v>
      </c>
      <c r="G27" s="186" t="s">
        <v>641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498</v>
      </c>
      <c r="D28" s="73">
        <v>-60</v>
      </c>
      <c r="E28" s="73" t="s">
        <v>642</v>
      </c>
      <c r="F28" s="73">
        <v>91076860000</v>
      </c>
      <c r="G28" s="186" t="s">
        <v>643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498</v>
      </c>
      <c r="D29" s="73">
        <v>-715</v>
      </c>
      <c r="E29" s="73" t="s">
        <v>637</v>
      </c>
      <c r="F29" s="73">
        <v>91076690000</v>
      </c>
      <c r="G29" s="186" t="s">
        <v>644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498</v>
      </c>
      <c r="D30" s="73">
        <v>-60</v>
      </c>
      <c r="E30" s="73" t="s">
        <v>645</v>
      </c>
      <c r="F30" s="73">
        <v>91076870000</v>
      </c>
      <c r="G30" s="186" t="s">
        <v>646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498</v>
      </c>
      <c r="D31" s="73">
        <v>-876.8</v>
      </c>
      <c r="E31" s="73" t="s">
        <v>547</v>
      </c>
      <c r="F31" s="73">
        <v>91076660000</v>
      </c>
      <c r="G31" s="186" t="s">
        <v>647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498</v>
      </c>
      <c r="D32" s="73">
        <v>-60</v>
      </c>
      <c r="E32" s="73" t="s">
        <v>286</v>
      </c>
      <c r="F32" s="73">
        <v>91076810000</v>
      </c>
      <c r="G32" s="186" t="s">
        <v>648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498</v>
      </c>
      <c r="D33" s="73">
        <v>-98.9</v>
      </c>
      <c r="E33" s="73" t="s">
        <v>637</v>
      </c>
      <c r="F33" s="73">
        <v>91076710000</v>
      </c>
      <c r="G33" s="186" t="s">
        <v>649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498</v>
      </c>
      <c r="D34" s="73">
        <v>-60</v>
      </c>
      <c r="E34" s="73" t="s">
        <v>650</v>
      </c>
      <c r="F34" s="73">
        <v>91076880000</v>
      </c>
      <c r="G34" s="186" t="s">
        <v>651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498</v>
      </c>
      <c r="D35" s="73">
        <v>-60</v>
      </c>
      <c r="E35" s="73" t="s">
        <v>652</v>
      </c>
      <c r="F35" s="73">
        <v>91076760000</v>
      </c>
      <c r="G35" s="186" t="s">
        <v>653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498</v>
      </c>
      <c r="D36" s="73">
        <v>-60</v>
      </c>
      <c r="E36" s="73" t="s">
        <v>282</v>
      </c>
      <c r="F36" s="73">
        <v>91076820000</v>
      </c>
      <c r="G36" s="186" t="s">
        <v>654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498</v>
      </c>
      <c r="D37" s="73">
        <v>-60</v>
      </c>
      <c r="E37" s="73" t="s">
        <v>655</v>
      </c>
      <c r="F37" s="73">
        <v>91076750000</v>
      </c>
      <c r="G37" s="186" t="s">
        <v>656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498</v>
      </c>
      <c r="D38" s="73">
        <v>-60</v>
      </c>
      <c r="E38" s="73" t="s">
        <v>657</v>
      </c>
      <c r="F38" s="73">
        <v>91076830000</v>
      </c>
      <c r="G38" s="186" t="s">
        <v>658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topLeftCell="A23" zoomScale="63" workbookViewId="0">
      <selection activeCell="R39" sqref="A13:R39"/>
    </sheetView>
  </sheetViews>
  <sheetFormatPr defaultColWidth="8.7265625" defaultRowHeight="14.5" x14ac:dyDescent="0.35"/>
  <cols>
    <col min="4" max="4" width="8.81640625" bestFit="1" customWidth="1"/>
    <col min="6" max="6" width="12.08984375" bestFit="1" customWidth="1"/>
    <col min="8" max="8" width="35.9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-331</v>
      </c>
    </row>
    <row r="5" spans="3:14" x14ac:dyDescent="0.35">
      <c r="C5" s="17" t="s">
        <v>12</v>
      </c>
      <c r="D5" s="17">
        <f>SUM(K13:K40)</f>
        <v>37998.149999999994</v>
      </c>
    </row>
    <row r="6" spans="3:14" x14ac:dyDescent="0.35">
      <c r="C6" s="27" t="s">
        <v>1</v>
      </c>
      <c r="D6" s="27">
        <f>D4+D5</f>
        <v>37667.149999999994</v>
      </c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50</v>
      </c>
      <c r="D13" s="73">
        <v>-331</v>
      </c>
      <c r="E13" s="73" t="s">
        <v>657</v>
      </c>
      <c r="F13" s="73">
        <v>19136410000</v>
      </c>
      <c r="G13" s="186" t="s">
        <v>669</v>
      </c>
      <c r="J13" s="17" t="s">
        <v>73</v>
      </c>
      <c r="K13" s="17">
        <v>1621.12</v>
      </c>
      <c r="L13" s="17" t="s">
        <v>5</v>
      </c>
      <c r="M13" s="17">
        <v>1242038</v>
      </c>
      <c r="N13" s="17" t="s">
        <v>670</v>
      </c>
    </row>
    <row r="14" spans="3:14" x14ac:dyDescent="0.35">
      <c r="C14" s="73"/>
      <c r="D14" s="73"/>
      <c r="E14" s="73"/>
      <c r="F14" s="73"/>
      <c r="G14" s="73"/>
      <c r="J14" s="17" t="s">
        <v>92</v>
      </c>
      <c r="K14" s="17">
        <v>1965</v>
      </c>
      <c r="L14" s="17" t="s">
        <v>5</v>
      </c>
      <c r="M14" s="17">
        <v>1158313</v>
      </c>
      <c r="N14" s="17" t="s">
        <v>671</v>
      </c>
    </row>
    <row r="15" spans="3:14" x14ac:dyDescent="0.35">
      <c r="C15" s="73"/>
      <c r="D15" s="73"/>
      <c r="E15" s="73"/>
      <c r="F15" s="73"/>
      <c r="G15" s="73"/>
      <c r="J15" s="17" t="s">
        <v>40</v>
      </c>
      <c r="K15" s="17">
        <v>3733.5</v>
      </c>
      <c r="L15" s="17" t="s">
        <v>5</v>
      </c>
      <c r="M15" s="17">
        <v>1098734</v>
      </c>
      <c r="N15" s="17" t="s">
        <v>672</v>
      </c>
    </row>
    <row r="16" spans="3:14" x14ac:dyDescent="0.35">
      <c r="C16" s="73"/>
      <c r="D16" s="78"/>
      <c r="E16" s="79"/>
      <c r="F16" s="73"/>
      <c r="G16" s="73"/>
      <c r="J16" s="17" t="s">
        <v>40</v>
      </c>
      <c r="K16" s="17">
        <v>5000</v>
      </c>
      <c r="L16" s="17" t="s">
        <v>5</v>
      </c>
      <c r="M16" s="17">
        <v>841614</v>
      </c>
      <c r="N16" s="17" t="s">
        <v>673</v>
      </c>
    </row>
    <row r="17" spans="3:14" x14ac:dyDescent="0.35">
      <c r="C17" s="73"/>
      <c r="D17" s="73"/>
      <c r="E17" s="73"/>
      <c r="F17" s="73"/>
      <c r="G17" s="73"/>
      <c r="J17" s="17" t="s">
        <v>65</v>
      </c>
      <c r="K17" s="17">
        <v>393</v>
      </c>
      <c r="L17" s="17" t="s">
        <v>5</v>
      </c>
      <c r="M17" s="17">
        <v>1025806</v>
      </c>
      <c r="N17" s="17" t="s">
        <v>674</v>
      </c>
    </row>
    <row r="18" spans="3:14" x14ac:dyDescent="0.35">
      <c r="C18" s="73"/>
      <c r="D18" s="79"/>
      <c r="E18" s="73"/>
      <c r="F18" s="73"/>
      <c r="G18" s="73"/>
      <c r="J18" s="17" t="s">
        <v>90</v>
      </c>
      <c r="K18" s="17">
        <v>294.72000000000003</v>
      </c>
      <c r="L18" s="17" t="s">
        <v>5</v>
      </c>
      <c r="M18" s="17">
        <v>938940</v>
      </c>
      <c r="N18" s="17" t="s">
        <v>675</v>
      </c>
    </row>
    <row r="19" spans="3:14" x14ac:dyDescent="0.35">
      <c r="C19" s="73"/>
      <c r="D19" s="73"/>
      <c r="E19" s="73"/>
      <c r="F19" s="73"/>
      <c r="G19" s="73"/>
      <c r="J19" s="17" t="s">
        <v>87</v>
      </c>
      <c r="K19" s="17">
        <v>393</v>
      </c>
      <c r="L19" s="17" t="s">
        <v>5</v>
      </c>
      <c r="M19" s="17">
        <v>881776</v>
      </c>
      <c r="N19" s="17" t="s">
        <v>676</v>
      </c>
    </row>
    <row r="20" spans="3:14" x14ac:dyDescent="0.35">
      <c r="C20" s="73"/>
      <c r="D20" s="73"/>
      <c r="E20" s="73"/>
      <c r="F20" s="73"/>
      <c r="G20" s="73"/>
      <c r="J20" s="17" t="s">
        <v>86</v>
      </c>
      <c r="K20" s="17">
        <v>294.75</v>
      </c>
      <c r="L20" s="17" t="s">
        <v>5</v>
      </c>
      <c r="M20" s="17">
        <v>807235</v>
      </c>
      <c r="N20" s="17" t="s">
        <v>677</v>
      </c>
    </row>
    <row r="21" spans="3:14" x14ac:dyDescent="0.35">
      <c r="C21" s="73"/>
      <c r="D21" s="73"/>
      <c r="E21" s="73"/>
      <c r="F21" s="73"/>
      <c r="G21" s="73"/>
      <c r="J21" s="17" t="s">
        <v>85</v>
      </c>
      <c r="K21" s="17">
        <v>687.75</v>
      </c>
      <c r="L21" s="17" t="s">
        <v>5</v>
      </c>
      <c r="M21" s="17">
        <v>742447</v>
      </c>
      <c r="N21" s="17" t="s">
        <v>678</v>
      </c>
    </row>
    <row r="22" spans="3:14" x14ac:dyDescent="0.35">
      <c r="C22" s="73"/>
      <c r="D22" s="73"/>
      <c r="E22" s="73"/>
      <c r="F22" s="73"/>
      <c r="G22" s="73"/>
      <c r="J22" s="17" t="s">
        <v>84</v>
      </c>
      <c r="K22" s="17">
        <v>294.75</v>
      </c>
      <c r="L22" s="17" t="s">
        <v>5</v>
      </c>
      <c r="M22" s="17">
        <v>663584</v>
      </c>
      <c r="N22" s="17" t="s">
        <v>679</v>
      </c>
    </row>
    <row r="23" spans="3:14" x14ac:dyDescent="0.35">
      <c r="C23" s="73"/>
      <c r="D23" s="73"/>
      <c r="E23" s="73"/>
      <c r="F23" s="73"/>
      <c r="G23" s="73"/>
      <c r="J23" s="17" t="s">
        <v>84</v>
      </c>
      <c r="K23" s="17">
        <v>540.37</v>
      </c>
      <c r="L23" s="17" t="s">
        <v>5</v>
      </c>
      <c r="M23" s="17">
        <v>663579</v>
      </c>
      <c r="N23" s="17" t="s">
        <v>680</v>
      </c>
    </row>
    <row r="24" spans="3:14" x14ac:dyDescent="0.35">
      <c r="C24" s="73"/>
      <c r="D24" s="73"/>
      <c r="E24" s="73"/>
      <c r="F24" s="73"/>
      <c r="G24" s="73"/>
      <c r="J24" s="17" t="s">
        <v>480</v>
      </c>
      <c r="K24" s="17">
        <v>294.75</v>
      </c>
      <c r="L24" s="17" t="s">
        <v>5</v>
      </c>
      <c r="M24" s="17">
        <v>685964</v>
      </c>
      <c r="N24" s="17" t="s">
        <v>681</v>
      </c>
    </row>
    <row r="25" spans="3:14" x14ac:dyDescent="0.35">
      <c r="C25" s="73"/>
      <c r="D25" s="73"/>
      <c r="E25" s="73"/>
      <c r="F25" s="73"/>
      <c r="G25" s="73"/>
      <c r="J25" s="17" t="s">
        <v>767</v>
      </c>
      <c r="K25" s="17">
        <v>442.11</v>
      </c>
      <c r="L25" s="17" t="s">
        <v>5</v>
      </c>
      <c r="M25" s="17">
        <v>401203</v>
      </c>
      <c r="N25" s="17" t="s">
        <v>789</v>
      </c>
    </row>
    <row r="26" spans="3:14" x14ac:dyDescent="0.35">
      <c r="C26" s="73"/>
      <c r="D26" s="73"/>
      <c r="E26" s="73"/>
      <c r="F26" s="73"/>
      <c r="G26" s="73"/>
      <c r="J26" s="17" t="s">
        <v>71</v>
      </c>
      <c r="K26" s="17">
        <v>393</v>
      </c>
      <c r="L26" s="17" t="s">
        <v>5</v>
      </c>
      <c r="M26" s="17">
        <v>280433</v>
      </c>
      <c r="N26" s="17" t="s">
        <v>682</v>
      </c>
    </row>
    <row r="27" spans="3:14" x14ac:dyDescent="0.35">
      <c r="C27" s="73"/>
      <c r="D27" s="73"/>
      <c r="E27" s="73"/>
      <c r="F27" s="73"/>
      <c r="G27" s="73"/>
      <c r="J27" s="17" t="s">
        <v>492</v>
      </c>
      <c r="K27" s="17">
        <v>147.37</v>
      </c>
      <c r="L27" s="17" t="s">
        <v>5</v>
      </c>
      <c r="M27" s="17">
        <v>336299</v>
      </c>
      <c r="N27" s="17" t="s">
        <v>683</v>
      </c>
    </row>
    <row r="28" spans="3:14" x14ac:dyDescent="0.35">
      <c r="C28" s="73"/>
      <c r="D28" s="73"/>
      <c r="E28" s="73"/>
      <c r="F28" s="73"/>
      <c r="G28" s="73"/>
      <c r="J28" s="17" t="s">
        <v>494</v>
      </c>
      <c r="K28" s="17">
        <v>1228.1199999999999</v>
      </c>
      <c r="L28" s="17" t="s">
        <v>5</v>
      </c>
      <c r="M28" s="17">
        <v>258169</v>
      </c>
      <c r="N28" s="17" t="s">
        <v>684</v>
      </c>
    </row>
    <row r="29" spans="3:14" x14ac:dyDescent="0.35">
      <c r="C29" s="73"/>
      <c r="D29" s="73"/>
      <c r="E29" s="73"/>
      <c r="F29" s="73"/>
      <c r="G29" s="73"/>
      <c r="J29" s="17" t="s">
        <v>500</v>
      </c>
      <c r="K29" s="17">
        <v>196.5</v>
      </c>
      <c r="L29" s="17" t="s">
        <v>5</v>
      </c>
      <c r="M29" s="17">
        <v>131877</v>
      </c>
      <c r="N29" s="17" t="s">
        <v>685</v>
      </c>
    </row>
    <row r="30" spans="3:14" x14ac:dyDescent="0.35">
      <c r="C30" s="73"/>
      <c r="D30" s="73"/>
      <c r="E30" s="73"/>
      <c r="F30" s="73"/>
      <c r="G30" s="73"/>
      <c r="J30" s="17" t="s">
        <v>502</v>
      </c>
      <c r="K30" s="17">
        <v>245.62</v>
      </c>
      <c r="L30" s="17" t="s">
        <v>5</v>
      </c>
      <c r="M30" s="17">
        <v>1569757</v>
      </c>
      <c r="N30" s="17" t="s">
        <v>686</v>
      </c>
    </row>
    <row r="31" spans="3:14" x14ac:dyDescent="0.35">
      <c r="C31" s="73"/>
      <c r="D31" s="73"/>
      <c r="E31" s="73"/>
      <c r="F31" s="73"/>
      <c r="G31" s="73"/>
      <c r="J31" s="17" t="s">
        <v>505</v>
      </c>
      <c r="K31" s="17">
        <v>1165.24</v>
      </c>
      <c r="L31" s="17" t="s">
        <v>5</v>
      </c>
      <c r="M31" s="17">
        <v>1501535</v>
      </c>
      <c r="N31" s="17" t="s">
        <v>687</v>
      </c>
    </row>
    <row r="32" spans="3:14" x14ac:dyDescent="0.35">
      <c r="C32" s="73"/>
      <c r="D32" s="73"/>
      <c r="E32" s="73"/>
      <c r="F32" s="73"/>
      <c r="G32" s="73"/>
      <c r="J32" s="17" t="s">
        <v>505</v>
      </c>
      <c r="K32" s="17">
        <v>1179</v>
      </c>
      <c r="L32" s="17" t="s">
        <v>5</v>
      </c>
      <c r="M32" s="17">
        <v>1490543</v>
      </c>
      <c r="N32" s="17" t="s">
        <v>688</v>
      </c>
    </row>
    <row r="33" spans="3:14" x14ac:dyDescent="0.35">
      <c r="C33" s="73"/>
      <c r="D33" s="73"/>
      <c r="E33" s="73"/>
      <c r="F33" s="73"/>
      <c r="G33" s="73"/>
      <c r="J33" s="17" t="s">
        <v>505</v>
      </c>
      <c r="K33" s="17">
        <v>3782.62</v>
      </c>
      <c r="L33" s="17" t="s">
        <v>5</v>
      </c>
      <c r="M33" s="17">
        <v>1490517</v>
      </c>
      <c r="N33" s="17" t="s">
        <v>689</v>
      </c>
    </row>
    <row r="34" spans="3:14" x14ac:dyDescent="0.35">
      <c r="C34" s="73"/>
      <c r="D34" s="73"/>
      <c r="E34" s="73"/>
      <c r="F34" s="73"/>
      <c r="G34" s="73"/>
      <c r="J34" s="17" t="s">
        <v>509</v>
      </c>
      <c r="K34" s="17">
        <v>13705.86</v>
      </c>
      <c r="L34" s="17" t="s">
        <v>5</v>
      </c>
      <c r="M34" s="17">
        <v>1340193</v>
      </c>
      <c r="N34" s="17" t="s">
        <v>690</v>
      </c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249</v>
      </c>
      <c r="D2">
        <v>2490</v>
      </c>
    </row>
    <row r="3" spans="1:4" x14ac:dyDescent="0.35">
      <c r="A3" t="s">
        <v>193</v>
      </c>
      <c r="B3" t="s">
        <v>111</v>
      </c>
      <c r="C3">
        <v>149</v>
      </c>
      <c r="D3">
        <v>1192</v>
      </c>
    </row>
    <row r="4" spans="1:4" x14ac:dyDescent="0.35">
      <c r="A4" t="s">
        <v>164</v>
      </c>
      <c r="B4" t="s">
        <v>110</v>
      </c>
      <c r="C4">
        <v>130</v>
      </c>
      <c r="D4">
        <v>2600</v>
      </c>
    </row>
    <row r="5" spans="1:4" x14ac:dyDescent="0.35">
      <c r="A5" t="s">
        <v>149</v>
      </c>
      <c r="B5" t="s">
        <v>233</v>
      </c>
      <c r="C5">
        <v>122</v>
      </c>
      <c r="D5">
        <v>3416</v>
      </c>
    </row>
    <row r="6" spans="1:4" x14ac:dyDescent="0.35">
      <c r="A6" t="s">
        <v>173</v>
      </c>
      <c r="B6" t="s">
        <v>232</v>
      </c>
      <c r="C6">
        <v>118</v>
      </c>
      <c r="D6">
        <v>2124</v>
      </c>
    </row>
    <row r="7" spans="1:4" x14ac:dyDescent="0.35">
      <c r="A7" t="s">
        <v>134</v>
      </c>
      <c r="B7" t="s">
        <v>233</v>
      </c>
      <c r="C7">
        <v>93</v>
      </c>
      <c r="D7">
        <v>2790</v>
      </c>
    </row>
    <row r="8" spans="1:4" x14ac:dyDescent="0.35">
      <c r="A8" t="s">
        <v>132</v>
      </c>
      <c r="B8" t="s">
        <v>233</v>
      </c>
      <c r="C8">
        <v>91</v>
      </c>
      <c r="D8">
        <v>2730</v>
      </c>
    </row>
    <row r="9" spans="1:4" x14ac:dyDescent="0.35">
      <c r="A9" t="s">
        <v>131</v>
      </c>
      <c r="B9" t="s">
        <v>233</v>
      </c>
      <c r="C9">
        <v>78</v>
      </c>
      <c r="D9">
        <v>2340</v>
      </c>
    </row>
    <row r="10" spans="1:4" x14ac:dyDescent="0.35">
      <c r="A10" t="s">
        <v>184</v>
      </c>
      <c r="B10" t="s">
        <v>111</v>
      </c>
      <c r="C10">
        <v>77</v>
      </c>
      <c r="D10">
        <v>770</v>
      </c>
    </row>
    <row r="11" spans="1:4" x14ac:dyDescent="0.35">
      <c r="A11" t="s">
        <v>130</v>
      </c>
      <c r="B11" t="s">
        <v>233</v>
      </c>
      <c r="C11">
        <v>76</v>
      </c>
      <c r="D11">
        <v>2280</v>
      </c>
    </row>
    <row r="12" spans="1:4" x14ac:dyDescent="0.35">
      <c r="A12" t="s">
        <v>179</v>
      </c>
      <c r="B12" t="s">
        <v>232</v>
      </c>
      <c r="C12">
        <v>70</v>
      </c>
      <c r="D12">
        <v>1960</v>
      </c>
    </row>
    <row r="13" spans="1:4" x14ac:dyDescent="0.35">
      <c r="A13" t="s">
        <v>163</v>
      </c>
      <c r="B13" t="s">
        <v>110</v>
      </c>
      <c r="C13">
        <v>70</v>
      </c>
      <c r="D13">
        <v>1960</v>
      </c>
    </row>
    <row r="14" spans="1:4" x14ac:dyDescent="0.35">
      <c r="A14" t="s">
        <v>165</v>
      </c>
      <c r="B14" t="s">
        <v>110</v>
      </c>
      <c r="C14">
        <v>68</v>
      </c>
      <c r="D14">
        <v>1360</v>
      </c>
    </row>
    <row r="15" spans="1:4" x14ac:dyDescent="0.35">
      <c r="A15" t="s">
        <v>160</v>
      </c>
      <c r="B15" t="s">
        <v>234</v>
      </c>
      <c r="C15">
        <v>60</v>
      </c>
      <c r="D15">
        <v>900</v>
      </c>
    </row>
    <row r="16" spans="1:4" x14ac:dyDescent="0.35">
      <c r="A16" t="s">
        <v>143</v>
      </c>
      <c r="B16" t="s">
        <v>233</v>
      </c>
      <c r="C16">
        <v>51</v>
      </c>
      <c r="D16">
        <v>765</v>
      </c>
    </row>
    <row r="17" spans="1:4" x14ac:dyDescent="0.35">
      <c r="A17" t="s">
        <v>144</v>
      </c>
      <c r="B17" t="s">
        <v>233</v>
      </c>
      <c r="C17">
        <v>47</v>
      </c>
      <c r="D17">
        <v>705</v>
      </c>
    </row>
    <row r="18" spans="1:4" x14ac:dyDescent="0.35">
      <c r="A18" t="s">
        <v>178</v>
      </c>
      <c r="B18" t="s">
        <v>232</v>
      </c>
      <c r="C18">
        <v>46</v>
      </c>
      <c r="D18">
        <v>1150</v>
      </c>
    </row>
    <row r="19" spans="1:4" x14ac:dyDescent="0.35">
      <c r="A19" t="s">
        <v>191</v>
      </c>
      <c r="B19" t="s">
        <v>111</v>
      </c>
      <c r="C19">
        <v>46</v>
      </c>
      <c r="D19">
        <v>920</v>
      </c>
    </row>
    <row r="20" spans="1:4" x14ac:dyDescent="0.35">
      <c r="A20" t="s">
        <v>161</v>
      </c>
      <c r="B20" t="s">
        <v>110</v>
      </c>
      <c r="C20">
        <v>42</v>
      </c>
      <c r="D20">
        <v>1176</v>
      </c>
    </row>
    <row r="21" spans="1:4" x14ac:dyDescent="0.35">
      <c r="A21" t="s">
        <v>183</v>
      </c>
      <c r="B21" t="s">
        <v>111</v>
      </c>
      <c r="C21">
        <v>40</v>
      </c>
      <c r="D21">
        <v>400</v>
      </c>
    </row>
    <row r="22" spans="1:4" x14ac:dyDescent="0.35">
      <c r="A22" t="s">
        <v>133</v>
      </c>
      <c r="B22" t="s">
        <v>233</v>
      </c>
      <c r="C22">
        <v>39</v>
      </c>
      <c r="D22">
        <v>1170</v>
      </c>
    </row>
    <row r="23" spans="1:4" x14ac:dyDescent="0.35">
      <c r="A23" t="s">
        <v>140</v>
      </c>
      <c r="B23" t="s">
        <v>233</v>
      </c>
      <c r="C23">
        <v>37</v>
      </c>
      <c r="D23">
        <v>999</v>
      </c>
    </row>
    <row r="24" spans="1:4" x14ac:dyDescent="0.35">
      <c r="A24" t="s">
        <v>141</v>
      </c>
      <c r="B24" t="s">
        <v>233</v>
      </c>
      <c r="C24">
        <v>35</v>
      </c>
      <c r="D24">
        <v>945</v>
      </c>
    </row>
    <row r="25" spans="1:4" x14ac:dyDescent="0.35">
      <c r="A25" t="s">
        <v>157</v>
      </c>
      <c r="B25" t="s">
        <v>234</v>
      </c>
      <c r="C25">
        <v>34</v>
      </c>
      <c r="D25">
        <v>816</v>
      </c>
    </row>
    <row r="26" spans="1:4" x14ac:dyDescent="0.35">
      <c r="A26" t="s">
        <v>186</v>
      </c>
      <c r="B26" t="s">
        <v>111</v>
      </c>
      <c r="C26">
        <v>34</v>
      </c>
      <c r="D26">
        <v>510</v>
      </c>
    </row>
    <row r="27" spans="1:4" x14ac:dyDescent="0.35">
      <c r="A27" t="s">
        <v>156</v>
      </c>
      <c r="B27" t="s">
        <v>234</v>
      </c>
      <c r="C27">
        <v>26</v>
      </c>
      <c r="D27">
        <v>624</v>
      </c>
    </row>
    <row r="28" spans="1:4" x14ac:dyDescent="0.35">
      <c r="A28" t="s">
        <v>168</v>
      </c>
      <c r="B28" t="s">
        <v>110</v>
      </c>
      <c r="C28">
        <v>26</v>
      </c>
      <c r="D28">
        <v>728</v>
      </c>
    </row>
    <row r="29" spans="1:4" x14ac:dyDescent="0.35">
      <c r="A29" t="s">
        <v>198</v>
      </c>
      <c r="B29" t="s">
        <v>236</v>
      </c>
      <c r="C29">
        <v>25</v>
      </c>
      <c r="D29">
        <v>625</v>
      </c>
    </row>
    <row r="30" spans="1:4" x14ac:dyDescent="0.35">
      <c r="A30" t="s">
        <v>139</v>
      </c>
      <c r="B30" t="s">
        <v>233</v>
      </c>
      <c r="C30">
        <v>25</v>
      </c>
      <c r="D30">
        <v>675</v>
      </c>
    </row>
    <row r="31" spans="1:4" x14ac:dyDescent="0.35">
      <c r="A31" t="s">
        <v>145</v>
      </c>
      <c r="B31" t="s">
        <v>233</v>
      </c>
      <c r="C31">
        <v>23</v>
      </c>
      <c r="D31">
        <v>644</v>
      </c>
    </row>
    <row r="32" spans="1:4" x14ac:dyDescent="0.35">
      <c r="A32" t="s">
        <v>194</v>
      </c>
      <c r="B32" t="s">
        <v>236</v>
      </c>
      <c r="C32">
        <v>23</v>
      </c>
      <c r="D32">
        <v>345</v>
      </c>
    </row>
    <row r="33" spans="1:4" x14ac:dyDescent="0.35">
      <c r="A33" t="s">
        <v>153</v>
      </c>
      <c r="B33" t="s">
        <v>233</v>
      </c>
      <c r="C33">
        <v>22</v>
      </c>
      <c r="D33">
        <v>660</v>
      </c>
    </row>
    <row r="34" spans="1:4" x14ac:dyDescent="0.35">
      <c r="A34" t="s">
        <v>166</v>
      </c>
      <c r="B34" t="s">
        <v>110</v>
      </c>
      <c r="C34">
        <v>21</v>
      </c>
      <c r="D34">
        <v>420</v>
      </c>
    </row>
    <row r="35" spans="1:4" x14ac:dyDescent="0.35">
      <c r="A35" t="s">
        <v>147</v>
      </c>
      <c r="B35" t="s">
        <v>233</v>
      </c>
      <c r="C35">
        <v>20</v>
      </c>
      <c r="D35">
        <v>560</v>
      </c>
    </row>
    <row r="36" spans="1:4" x14ac:dyDescent="0.35">
      <c r="A36" t="s">
        <v>135</v>
      </c>
      <c r="B36" t="s">
        <v>233</v>
      </c>
      <c r="C36">
        <v>20</v>
      </c>
      <c r="D36">
        <v>540</v>
      </c>
    </row>
    <row r="37" spans="1:4" x14ac:dyDescent="0.35">
      <c r="A37" t="s">
        <v>188</v>
      </c>
      <c r="B37" t="s">
        <v>236</v>
      </c>
      <c r="C37">
        <v>19</v>
      </c>
      <c r="D37">
        <v>342</v>
      </c>
    </row>
    <row r="38" spans="1:4" x14ac:dyDescent="0.35">
      <c r="A38" t="s">
        <v>237</v>
      </c>
      <c r="B38" t="s">
        <v>233</v>
      </c>
      <c r="C38">
        <v>16</v>
      </c>
      <c r="D38">
        <v>432</v>
      </c>
    </row>
    <row r="39" spans="1:4" x14ac:dyDescent="0.35">
      <c r="A39" t="s">
        <v>175</v>
      </c>
      <c r="B39" t="s">
        <v>232</v>
      </c>
      <c r="C39">
        <v>16</v>
      </c>
      <c r="D39">
        <v>400</v>
      </c>
    </row>
    <row r="40" spans="1:4" x14ac:dyDescent="0.35">
      <c r="A40" t="s">
        <v>152</v>
      </c>
      <c r="B40" t="s">
        <v>233</v>
      </c>
      <c r="C40">
        <v>15</v>
      </c>
      <c r="D40">
        <v>420</v>
      </c>
    </row>
    <row r="41" spans="1:4" x14ac:dyDescent="0.35">
      <c r="A41" t="s">
        <v>189</v>
      </c>
      <c r="B41" t="s">
        <v>236</v>
      </c>
      <c r="C41">
        <v>15</v>
      </c>
      <c r="D41">
        <v>270</v>
      </c>
    </row>
    <row r="42" spans="1:4" x14ac:dyDescent="0.35">
      <c r="A42" t="s">
        <v>159</v>
      </c>
      <c r="B42" t="s">
        <v>234</v>
      </c>
      <c r="C42">
        <v>14</v>
      </c>
      <c r="D42">
        <v>336</v>
      </c>
    </row>
    <row r="43" spans="1:4" x14ac:dyDescent="0.35">
      <c r="A43" t="s">
        <v>158</v>
      </c>
      <c r="B43" t="s">
        <v>234</v>
      </c>
      <c r="C43">
        <v>13</v>
      </c>
      <c r="D43">
        <v>312</v>
      </c>
    </row>
    <row r="44" spans="1:4" x14ac:dyDescent="0.35">
      <c r="A44" t="s">
        <v>169</v>
      </c>
      <c r="B44" t="s">
        <v>110</v>
      </c>
      <c r="C44">
        <v>13</v>
      </c>
      <c r="D44">
        <v>364</v>
      </c>
    </row>
    <row r="45" spans="1:4" x14ac:dyDescent="0.35">
      <c r="A45" t="s">
        <v>197</v>
      </c>
      <c r="B45" t="s">
        <v>236</v>
      </c>
      <c r="C45">
        <v>13</v>
      </c>
      <c r="D45">
        <v>130</v>
      </c>
    </row>
    <row r="46" spans="1:4" x14ac:dyDescent="0.35">
      <c r="A46" t="s">
        <v>150</v>
      </c>
      <c r="B46" t="s">
        <v>233</v>
      </c>
      <c r="C46">
        <v>12</v>
      </c>
      <c r="D46">
        <v>336</v>
      </c>
    </row>
    <row r="47" spans="1:4" x14ac:dyDescent="0.35">
      <c r="A47" t="s">
        <v>195</v>
      </c>
      <c r="B47" t="s">
        <v>111</v>
      </c>
      <c r="C47">
        <v>12</v>
      </c>
      <c r="D47">
        <v>96</v>
      </c>
    </row>
    <row r="48" spans="1:4" x14ac:dyDescent="0.35">
      <c r="A48" t="s">
        <v>142</v>
      </c>
      <c r="B48" t="s">
        <v>233</v>
      </c>
      <c r="C48">
        <v>11</v>
      </c>
      <c r="D48">
        <v>297</v>
      </c>
    </row>
    <row r="49" spans="1:4" x14ac:dyDescent="0.35">
      <c r="A49" t="s">
        <v>162</v>
      </c>
      <c r="B49" t="s">
        <v>110</v>
      </c>
      <c r="C49">
        <v>9</v>
      </c>
      <c r="D49">
        <v>252</v>
      </c>
    </row>
    <row r="50" spans="1:4" x14ac:dyDescent="0.35">
      <c r="A50" t="s">
        <v>155</v>
      </c>
      <c r="B50" t="s">
        <v>234</v>
      </c>
      <c r="C50">
        <v>9</v>
      </c>
      <c r="D50">
        <v>216</v>
      </c>
    </row>
    <row r="51" spans="1:4" x14ac:dyDescent="0.35">
      <c r="A51" t="s">
        <v>196</v>
      </c>
      <c r="B51" t="s">
        <v>236</v>
      </c>
      <c r="C51">
        <v>9</v>
      </c>
      <c r="D51">
        <v>90</v>
      </c>
    </row>
    <row r="52" spans="1:4" x14ac:dyDescent="0.35">
      <c r="A52" t="s">
        <v>187</v>
      </c>
      <c r="B52" t="s">
        <v>236</v>
      </c>
      <c r="C52">
        <v>9</v>
      </c>
      <c r="D52">
        <v>162</v>
      </c>
    </row>
    <row r="53" spans="1:4" x14ac:dyDescent="0.35">
      <c r="A53" t="s">
        <v>154</v>
      </c>
      <c r="B53" t="s">
        <v>234</v>
      </c>
      <c r="C53">
        <v>7</v>
      </c>
      <c r="D53">
        <v>168</v>
      </c>
    </row>
    <row r="54" spans="1:4" x14ac:dyDescent="0.35">
      <c r="A54" t="s">
        <v>136</v>
      </c>
      <c r="B54" t="s">
        <v>233</v>
      </c>
      <c r="C54">
        <v>6</v>
      </c>
      <c r="D54">
        <v>240</v>
      </c>
    </row>
    <row r="55" spans="1:4" x14ac:dyDescent="0.35">
      <c r="A55" t="s">
        <v>167</v>
      </c>
      <c r="B55" t="s">
        <v>110</v>
      </c>
      <c r="C55">
        <v>5</v>
      </c>
      <c r="D55">
        <v>140</v>
      </c>
    </row>
    <row r="56" spans="1:4" x14ac:dyDescent="0.35">
      <c r="A56" t="s">
        <v>151</v>
      </c>
      <c r="B56" t="s">
        <v>233</v>
      </c>
      <c r="C56">
        <v>4</v>
      </c>
      <c r="D56">
        <v>112</v>
      </c>
    </row>
    <row r="57" spans="1:4" x14ac:dyDescent="0.35">
      <c r="A57" t="s">
        <v>138</v>
      </c>
      <c r="B57" t="s">
        <v>233</v>
      </c>
      <c r="C57">
        <v>3</v>
      </c>
      <c r="D57">
        <v>81</v>
      </c>
    </row>
    <row r="58" spans="1:4" x14ac:dyDescent="0.35">
      <c r="A58" t="s">
        <v>177</v>
      </c>
      <c r="B58" t="s">
        <v>111</v>
      </c>
      <c r="C58">
        <v>3</v>
      </c>
      <c r="D58">
        <v>60</v>
      </c>
    </row>
    <row r="59" spans="1:4" x14ac:dyDescent="0.35">
      <c r="A59" t="s">
        <v>182</v>
      </c>
      <c r="B59" t="s">
        <v>232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defaultRowHeight="14.5" x14ac:dyDescent="0.35"/>
  <cols>
    <col min="1" max="1" width="24.6328125" bestFit="1" customWidth="1"/>
    <col min="2" max="2" width="8.1796875" bestFit="1" customWidth="1"/>
    <col min="3" max="3" width="16.08984375" bestFit="1" customWidth="1"/>
    <col min="4" max="4" width="11" bestFit="1" customWidth="1"/>
  </cols>
  <sheetData>
    <row r="1" spans="1:4" x14ac:dyDescent="0.35">
      <c r="A1" t="s">
        <v>227</v>
      </c>
      <c r="B1" t="s">
        <v>124</v>
      </c>
      <c r="C1" t="s">
        <v>228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235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238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  <row r="62" spans="1:4" x14ac:dyDescent="0.35">
      <c r="B62" t="s">
        <v>239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0.7265625" bestFit="1" customWidth="1"/>
  </cols>
  <sheetData>
    <row r="1" spans="1:5" x14ac:dyDescent="0.35">
      <c r="A1" t="s">
        <v>227</v>
      </c>
      <c r="B1" t="s">
        <v>230</v>
      </c>
      <c r="C1" t="s">
        <v>124</v>
      </c>
      <c r="D1" t="s">
        <v>231</v>
      </c>
      <c r="E1" t="s">
        <v>229</v>
      </c>
    </row>
    <row r="2" spans="1:5" x14ac:dyDescent="0.35">
      <c r="A2" t="s">
        <v>164</v>
      </c>
      <c r="B2" t="s">
        <v>110</v>
      </c>
      <c r="C2">
        <v>106</v>
      </c>
      <c r="D2">
        <v>2120</v>
      </c>
      <c r="E2" t="b">
        <v>1</v>
      </c>
    </row>
    <row r="3" spans="1:5" x14ac:dyDescent="0.35">
      <c r="A3" t="s">
        <v>131</v>
      </c>
      <c r="B3" t="s">
        <v>233</v>
      </c>
      <c r="C3">
        <v>99</v>
      </c>
      <c r="D3">
        <v>2970</v>
      </c>
      <c r="E3" t="b">
        <v>1</v>
      </c>
    </row>
    <row r="4" spans="1:5" x14ac:dyDescent="0.35">
      <c r="A4" t="s">
        <v>184</v>
      </c>
      <c r="B4" t="s">
        <v>111</v>
      </c>
      <c r="C4">
        <v>95</v>
      </c>
      <c r="D4">
        <v>950</v>
      </c>
      <c r="E4" t="b">
        <v>1</v>
      </c>
    </row>
    <row r="5" spans="1:5" x14ac:dyDescent="0.35">
      <c r="A5" t="s">
        <v>163</v>
      </c>
      <c r="B5" t="s">
        <v>110</v>
      </c>
      <c r="C5">
        <v>76</v>
      </c>
      <c r="D5">
        <v>2128</v>
      </c>
      <c r="E5" t="b">
        <v>1</v>
      </c>
    </row>
    <row r="6" spans="1:5" x14ac:dyDescent="0.35">
      <c r="A6" t="s">
        <v>193</v>
      </c>
      <c r="B6" t="s">
        <v>111</v>
      </c>
      <c r="C6">
        <v>72</v>
      </c>
      <c r="D6">
        <v>576</v>
      </c>
      <c r="E6" t="b">
        <v>1</v>
      </c>
    </row>
    <row r="7" spans="1:5" x14ac:dyDescent="0.35">
      <c r="A7" t="s">
        <v>132</v>
      </c>
      <c r="B7" t="s">
        <v>233</v>
      </c>
      <c r="C7">
        <v>69</v>
      </c>
      <c r="D7">
        <v>2070</v>
      </c>
      <c r="E7" t="b">
        <v>1</v>
      </c>
    </row>
    <row r="8" spans="1:5" x14ac:dyDescent="0.35">
      <c r="A8" t="s">
        <v>130</v>
      </c>
      <c r="B8" t="s">
        <v>233</v>
      </c>
      <c r="C8">
        <v>68</v>
      </c>
      <c r="D8">
        <v>2040</v>
      </c>
      <c r="E8" t="b">
        <v>1</v>
      </c>
    </row>
    <row r="9" spans="1:5" x14ac:dyDescent="0.35">
      <c r="A9" t="s">
        <v>143</v>
      </c>
      <c r="B9" t="s">
        <v>233</v>
      </c>
      <c r="C9">
        <v>60</v>
      </c>
      <c r="D9">
        <v>900</v>
      </c>
      <c r="E9" t="b">
        <v>1</v>
      </c>
    </row>
    <row r="10" spans="1:5" x14ac:dyDescent="0.35">
      <c r="A10" t="s">
        <v>314</v>
      </c>
      <c r="B10" t="s">
        <v>232</v>
      </c>
      <c r="C10">
        <v>58</v>
      </c>
      <c r="D10">
        <v>2610</v>
      </c>
      <c r="E10" t="b">
        <v>1</v>
      </c>
    </row>
    <row r="11" spans="1:5" x14ac:dyDescent="0.35">
      <c r="A11" t="s">
        <v>177</v>
      </c>
      <c r="B11" t="s">
        <v>232</v>
      </c>
      <c r="C11">
        <v>58</v>
      </c>
      <c r="D11">
        <v>1160</v>
      </c>
      <c r="E11" t="b">
        <v>1</v>
      </c>
    </row>
    <row r="12" spans="1:5" x14ac:dyDescent="0.35">
      <c r="A12" t="s">
        <v>173</v>
      </c>
      <c r="B12" t="s">
        <v>232</v>
      </c>
      <c r="C12">
        <v>57</v>
      </c>
      <c r="D12">
        <v>1026</v>
      </c>
      <c r="E12" t="b">
        <v>1</v>
      </c>
    </row>
    <row r="13" spans="1:5" x14ac:dyDescent="0.35">
      <c r="A13" t="s">
        <v>171</v>
      </c>
      <c r="B13" t="s">
        <v>232</v>
      </c>
      <c r="C13">
        <v>57</v>
      </c>
      <c r="D13">
        <v>1710</v>
      </c>
      <c r="E13" t="b">
        <v>1</v>
      </c>
    </row>
    <row r="14" spans="1:5" x14ac:dyDescent="0.35">
      <c r="A14" t="s">
        <v>160</v>
      </c>
      <c r="B14" t="s">
        <v>234</v>
      </c>
      <c r="C14">
        <v>53</v>
      </c>
      <c r="D14">
        <v>795</v>
      </c>
      <c r="E14" t="b">
        <v>1</v>
      </c>
    </row>
    <row r="15" spans="1:5" x14ac:dyDescent="0.35">
      <c r="A15" t="s">
        <v>161</v>
      </c>
      <c r="B15" t="s">
        <v>110</v>
      </c>
      <c r="C15">
        <v>49</v>
      </c>
      <c r="D15">
        <v>1372</v>
      </c>
      <c r="E15" t="b">
        <v>1</v>
      </c>
    </row>
    <row r="16" spans="1:5" x14ac:dyDescent="0.35">
      <c r="A16" t="s">
        <v>140</v>
      </c>
      <c r="B16" t="s">
        <v>233</v>
      </c>
      <c r="C16">
        <v>46</v>
      </c>
      <c r="D16">
        <v>1242</v>
      </c>
      <c r="E16" t="b">
        <v>1</v>
      </c>
    </row>
    <row r="17" spans="1:5" x14ac:dyDescent="0.35">
      <c r="A17" t="s">
        <v>144</v>
      </c>
      <c r="B17" t="s">
        <v>233</v>
      </c>
      <c r="C17">
        <v>44</v>
      </c>
      <c r="D17">
        <v>660</v>
      </c>
      <c r="E17" t="b">
        <v>1</v>
      </c>
    </row>
    <row r="18" spans="1:5" x14ac:dyDescent="0.35">
      <c r="A18" t="s">
        <v>191</v>
      </c>
      <c r="B18" t="s">
        <v>111</v>
      </c>
      <c r="C18">
        <v>43</v>
      </c>
      <c r="D18">
        <v>816</v>
      </c>
      <c r="E18" t="b">
        <v>1</v>
      </c>
    </row>
    <row r="19" spans="1:5" x14ac:dyDescent="0.35">
      <c r="A19" t="s">
        <v>145</v>
      </c>
      <c r="B19" t="s">
        <v>233</v>
      </c>
      <c r="C19">
        <v>40</v>
      </c>
      <c r="D19">
        <v>1120</v>
      </c>
      <c r="E19" t="b">
        <v>1</v>
      </c>
    </row>
    <row r="20" spans="1:5" x14ac:dyDescent="0.35">
      <c r="A20" t="s">
        <v>149</v>
      </c>
      <c r="B20" t="s">
        <v>233</v>
      </c>
      <c r="C20">
        <v>39</v>
      </c>
      <c r="D20">
        <v>1092</v>
      </c>
      <c r="E20" t="b">
        <v>1</v>
      </c>
    </row>
    <row r="21" spans="1:5" x14ac:dyDescent="0.35">
      <c r="A21" t="s">
        <v>166</v>
      </c>
      <c r="B21" t="s">
        <v>110</v>
      </c>
      <c r="C21">
        <v>31</v>
      </c>
      <c r="D21">
        <v>620</v>
      </c>
      <c r="E21" t="b">
        <v>1</v>
      </c>
    </row>
    <row r="22" spans="1:5" x14ac:dyDescent="0.35">
      <c r="A22" t="s">
        <v>183</v>
      </c>
      <c r="B22" t="s">
        <v>111</v>
      </c>
      <c r="C22">
        <v>27</v>
      </c>
      <c r="D22">
        <v>270</v>
      </c>
      <c r="E22" t="b">
        <v>1</v>
      </c>
    </row>
    <row r="23" spans="1:5" x14ac:dyDescent="0.35">
      <c r="A23" t="s">
        <v>147</v>
      </c>
      <c r="B23" t="s">
        <v>233</v>
      </c>
      <c r="C23">
        <v>23</v>
      </c>
      <c r="D23">
        <v>644</v>
      </c>
      <c r="E23" t="b">
        <v>1</v>
      </c>
    </row>
    <row r="24" spans="1:5" x14ac:dyDescent="0.35">
      <c r="A24" t="s">
        <v>187</v>
      </c>
      <c r="B24" t="s">
        <v>236</v>
      </c>
      <c r="C24">
        <v>23</v>
      </c>
      <c r="D24">
        <v>414</v>
      </c>
      <c r="E24" t="b">
        <v>1</v>
      </c>
    </row>
    <row r="25" spans="1:5" x14ac:dyDescent="0.35">
      <c r="A25" t="s">
        <v>165</v>
      </c>
      <c r="B25" t="s">
        <v>110</v>
      </c>
      <c r="C25">
        <v>21</v>
      </c>
      <c r="D25">
        <v>420</v>
      </c>
      <c r="E25" t="b">
        <v>1</v>
      </c>
    </row>
    <row r="26" spans="1:5" x14ac:dyDescent="0.35">
      <c r="A26" t="s">
        <v>189</v>
      </c>
      <c r="B26" t="s">
        <v>236</v>
      </c>
      <c r="C26">
        <v>21</v>
      </c>
      <c r="D26">
        <v>378</v>
      </c>
      <c r="E26" t="b">
        <v>1</v>
      </c>
    </row>
    <row r="27" spans="1:5" x14ac:dyDescent="0.35">
      <c r="A27" t="s">
        <v>152</v>
      </c>
      <c r="B27" t="s">
        <v>233</v>
      </c>
      <c r="C27">
        <v>20</v>
      </c>
      <c r="D27">
        <v>560</v>
      </c>
      <c r="E27" t="b">
        <v>1</v>
      </c>
    </row>
    <row r="28" spans="1:5" x14ac:dyDescent="0.35">
      <c r="A28" t="s">
        <v>167</v>
      </c>
      <c r="B28" t="s">
        <v>110</v>
      </c>
      <c r="C28">
        <v>19</v>
      </c>
      <c r="D28">
        <v>532</v>
      </c>
      <c r="E28" t="b">
        <v>1</v>
      </c>
    </row>
    <row r="29" spans="1:5" x14ac:dyDescent="0.35">
      <c r="A29" t="s">
        <v>194</v>
      </c>
      <c r="B29" t="s">
        <v>236</v>
      </c>
      <c r="C29">
        <v>19</v>
      </c>
      <c r="D29">
        <v>285</v>
      </c>
      <c r="E29" t="b">
        <v>1</v>
      </c>
    </row>
    <row r="30" spans="1:5" x14ac:dyDescent="0.35">
      <c r="A30" t="s">
        <v>133</v>
      </c>
      <c r="B30" t="s">
        <v>233</v>
      </c>
      <c r="C30">
        <v>19</v>
      </c>
      <c r="D30">
        <v>570</v>
      </c>
      <c r="E30" t="b">
        <v>1</v>
      </c>
    </row>
    <row r="31" spans="1:5" x14ac:dyDescent="0.35">
      <c r="A31" t="s">
        <v>134</v>
      </c>
      <c r="B31" t="s">
        <v>233</v>
      </c>
      <c r="C31">
        <v>18</v>
      </c>
      <c r="D31">
        <v>540</v>
      </c>
      <c r="E31" t="b">
        <v>1</v>
      </c>
    </row>
    <row r="32" spans="1:5" x14ac:dyDescent="0.35">
      <c r="A32" t="s">
        <v>188</v>
      </c>
      <c r="B32" t="s">
        <v>236</v>
      </c>
      <c r="C32">
        <v>17</v>
      </c>
      <c r="D32">
        <v>306</v>
      </c>
      <c r="E32" t="b">
        <v>1</v>
      </c>
    </row>
    <row r="33" spans="1:5" x14ac:dyDescent="0.35">
      <c r="A33" t="s">
        <v>154</v>
      </c>
      <c r="B33" t="s">
        <v>234</v>
      </c>
      <c r="C33">
        <v>16</v>
      </c>
      <c r="D33">
        <v>384</v>
      </c>
      <c r="E33" t="b">
        <v>1</v>
      </c>
    </row>
    <row r="34" spans="1:5" x14ac:dyDescent="0.35">
      <c r="A34" t="s">
        <v>139</v>
      </c>
      <c r="B34" t="s">
        <v>233</v>
      </c>
      <c r="C34">
        <v>16</v>
      </c>
      <c r="D34">
        <v>432</v>
      </c>
      <c r="E34" t="b">
        <v>1</v>
      </c>
    </row>
    <row r="35" spans="1:5" x14ac:dyDescent="0.35">
      <c r="A35" t="s">
        <v>135</v>
      </c>
      <c r="B35" t="s">
        <v>233</v>
      </c>
      <c r="C35">
        <v>15</v>
      </c>
      <c r="D35">
        <v>405</v>
      </c>
      <c r="E35" t="b">
        <v>1</v>
      </c>
    </row>
    <row r="36" spans="1:5" x14ac:dyDescent="0.35">
      <c r="A36" t="s">
        <v>186</v>
      </c>
      <c r="B36" t="s">
        <v>111</v>
      </c>
      <c r="C36">
        <v>15</v>
      </c>
      <c r="D36">
        <v>225</v>
      </c>
      <c r="E36" t="b">
        <v>1</v>
      </c>
    </row>
    <row r="37" spans="1:5" x14ac:dyDescent="0.35">
      <c r="A37" t="s">
        <v>179</v>
      </c>
      <c r="B37" t="s">
        <v>232</v>
      </c>
      <c r="C37">
        <v>12</v>
      </c>
      <c r="D37">
        <v>336</v>
      </c>
      <c r="E37" t="b">
        <v>1</v>
      </c>
    </row>
    <row r="38" spans="1:5" x14ac:dyDescent="0.35">
      <c r="A38" t="s">
        <v>162</v>
      </c>
      <c r="B38" t="s">
        <v>110</v>
      </c>
      <c r="C38">
        <v>11</v>
      </c>
      <c r="D38">
        <v>308</v>
      </c>
      <c r="E38" t="b">
        <v>1</v>
      </c>
    </row>
    <row r="39" spans="1:5" x14ac:dyDescent="0.35">
      <c r="A39" t="s">
        <v>158</v>
      </c>
      <c r="B39" t="s">
        <v>234</v>
      </c>
      <c r="C39">
        <v>11</v>
      </c>
      <c r="D39">
        <v>264</v>
      </c>
      <c r="E39" t="b">
        <v>1</v>
      </c>
    </row>
    <row r="40" spans="1:5" x14ac:dyDescent="0.35">
      <c r="A40" t="s">
        <v>153</v>
      </c>
      <c r="B40" t="s">
        <v>233</v>
      </c>
      <c r="C40">
        <v>9</v>
      </c>
      <c r="D40">
        <v>270</v>
      </c>
      <c r="E40" t="b">
        <v>1</v>
      </c>
    </row>
    <row r="41" spans="1:5" x14ac:dyDescent="0.35">
      <c r="A41" t="s">
        <v>156</v>
      </c>
      <c r="B41" t="s">
        <v>234</v>
      </c>
      <c r="C41">
        <v>9</v>
      </c>
      <c r="D41">
        <v>216</v>
      </c>
      <c r="E41" t="b">
        <v>1</v>
      </c>
    </row>
    <row r="42" spans="1:5" x14ac:dyDescent="0.35">
      <c r="A42" t="s">
        <v>196</v>
      </c>
      <c r="B42" t="s">
        <v>236</v>
      </c>
      <c r="C42">
        <v>9</v>
      </c>
      <c r="D42">
        <v>90</v>
      </c>
      <c r="E42" t="b">
        <v>1</v>
      </c>
    </row>
    <row r="43" spans="1:5" x14ac:dyDescent="0.35">
      <c r="A43" t="s">
        <v>150</v>
      </c>
      <c r="B43" t="s">
        <v>233</v>
      </c>
      <c r="C43">
        <v>8</v>
      </c>
      <c r="D43">
        <v>224</v>
      </c>
      <c r="E43" t="b">
        <v>1</v>
      </c>
    </row>
    <row r="44" spans="1:5" x14ac:dyDescent="0.35">
      <c r="A44" t="s">
        <v>157</v>
      </c>
      <c r="B44" t="s">
        <v>234</v>
      </c>
      <c r="C44">
        <v>8</v>
      </c>
      <c r="D44">
        <v>192</v>
      </c>
      <c r="E44" t="b">
        <v>1</v>
      </c>
    </row>
    <row r="45" spans="1:5" x14ac:dyDescent="0.35">
      <c r="A45" t="s">
        <v>198</v>
      </c>
      <c r="B45" t="s">
        <v>236</v>
      </c>
      <c r="C45">
        <v>7</v>
      </c>
      <c r="D45">
        <v>175</v>
      </c>
      <c r="E45" t="b">
        <v>1</v>
      </c>
    </row>
    <row r="46" spans="1:5" x14ac:dyDescent="0.35">
      <c r="A46" t="s">
        <v>197</v>
      </c>
      <c r="B46" t="s">
        <v>236</v>
      </c>
      <c r="C46">
        <v>7</v>
      </c>
      <c r="D46">
        <v>70</v>
      </c>
      <c r="E46" t="b">
        <v>1</v>
      </c>
    </row>
    <row r="47" spans="1:5" x14ac:dyDescent="0.35">
      <c r="A47" t="s">
        <v>237</v>
      </c>
      <c r="B47" t="s">
        <v>233</v>
      </c>
      <c r="C47">
        <v>7</v>
      </c>
      <c r="D47">
        <v>189</v>
      </c>
      <c r="E47" t="b">
        <v>1</v>
      </c>
    </row>
    <row r="48" spans="1:5" x14ac:dyDescent="0.35">
      <c r="A48" t="s">
        <v>159</v>
      </c>
      <c r="B48" t="s">
        <v>234</v>
      </c>
      <c r="C48">
        <v>6</v>
      </c>
      <c r="D48">
        <v>144</v>
      </c>
      <c r="E48" t="b">
        <v>1</v>
      </c>
    </row>
    <row r="49" spans="1:5" x14ac:dyDescent="0.35">
      <c r="A49" t="s">
        <v>195</v>
      </c>
      <c r="B49" t="s">
        <v>111</v>
      </c>
      <c r="C49">
        <v>4</v>
      </c>
      <c r="D49">
        <v>32</v>
      </c>
      <c r="E49" t="b">
        <v>1</v>
      </c>
    </row>
    <row r="50" spans="1:5" x14ac:dyDescent="0.35">
      <c r="A50" t="s">
        <v>168</v>
      </c>
      <c r="B50" t="s">
        <v>110</v>
      </c>
      <c r="C50">
        <v>4</v>
      </c>
      <c r="D50">
        <v>112</v>
      </c>
      <c r="E50" t="b">
        <v>1</v>
      </c>
    </row>
    <row r="51" spans="1:5" x14ac:dyDescent="0.35">
      <c r="A51" t="s">
        <v>141</v>
      </c>
      <c r="B51" t="s">
        <v>233</v>
      </c>
      <c r="C51">
        <v>4</v>
      </c>
      <c r="D51">
        <v>108</v>
      </c>
      <c r="E51" t="b">
        <v>1</v>
      </c>
    </row>
    <row r="52" spans="1:5" x14ac:dyDescent="0.35">
      <c r="A52" t="s">
        <v>142</v>
      </c>
      <c r="B52" t="s">
        <v>233</v>
      </c>
      <c r="C52">
        <v>4</v>
      </c>
      <c r="D52">
        <v>108</v>
      </c>
      <c r="E52" t="b">
        <v>1</v>
      </c>
    </row>
    <row r="53" spans="1:5" x14ac:dyDescent="0.35">
      <c r="A53" t="s">
        <v>138</v>
      </c>
      <c r="B53" t="s">
        <v>233</v>
      </c>
      <c r="C53">
        <v>4</v>
      </c>
      <c r="D53">
        <v>108</v>
      </c>
      <c r="E53" t="b">
        <v>1</v>
      </c>
    </row>
    <row r="54" spans="1:5" x14ac:dyDescent="0.35">
      <c r="A54" t="s">
        <v>155</v>
      </c>
      <c r="B54" t="s">
        <v>234</v>
      </c>
      <c r="C54">
        <v>3</v>
      </c>
      <c r="D54">
        <v>72</v>
      </c>
      <c r="E54" t="b">
        <v>1</v>
      </c>
    </row>
    <row r="55" spans="1:5" x14ac:dyDescent="0.35">
      <c r="A55" t="s">
        <v>151</v>
      </c>
      <c r="B55" t="s">
        <v>233</v>
      </c>
      <c r="C55">
        <v>2</v>
      </c>
      <c r="D55">
        <v>56</v>
      </c>
      <c r="E55" t="b">
        <v>1</v>
      </c>
    </row>
    <row r="56" spans="1:5" x14ac:dyDescent="0.35">
      <c r="A56" t="s">
        <v>174</v>
      </c>
      <c r="B56" t="s">
        <v>232</v>
      </c>
      <c r="C56">
        <v>1</v>
      </c>
      <c r="D56">
        <v>10</v>
      </c>
      <c r="E56" t="b">
        <v>1</v>
      </c>
    </row>
    <row r="57" spans="1:5" x14ac:dyDescent="0.35">
      <c r="A57" t="s">
        <v>182</v>
      </c>
      <c r="B57" t="s">
        <v>232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9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164</v>
      </c>
      <c r="B2" t="s">
        <v>110</v>
      </c>
      <c r="C2">
        <v>76</v>
      </c>
      <c r="D2">
        <v>1520</v>
      </c>
    </row>
    <row r="3" spans="1:4" x14ac:dyDescent="0.35">
      <c r="A3" t="s">
        <v>184</v>
      </c>
      <c r="B3" t="s">
        <v>111</v>
      </c>
      <c r="C3">
        <v>74</v>
      </c>
      <c r="D3">
        <v>740</v>
      </c>
    </row>
    <row r="4" spans="1:4" x14ac:dyDescent="0.35">
      <c r="A4" t="s">
        <v>174</v>
      </c>
      <c r="B4" t="s">
        <v>232</v>
      </c>
      <c r="C4">
        <v>73</v>
      </c>
      <c r="D4">
        <v>730</v>
      </c>
    </row>
    <row r="5" spans="1:4" x14ac:dyDescent="0.35">
      <c r="A5" t="s">
        <v>163</v>
      </c>
      <c r="B5" t="s">
        <v>110</v>
      </c>
      <c r="C5">
        <v>73</v>
      </c>
      <c r="D5">
        <v>2044</v>
      </c>
    </row>
    <row r="6" spans="1:4" x14ac:dyDescent="0.35">
      <c r="A6" t="s">
        <v>185</v>
      </c>
      <c r="B6" t="s">
        <v>111</v>
      </c>
      <c r="C6">
        <v>72</v>
      </c>
      <c r="D6">
        <v>1440</v>
      </c>
    </row>
    <row r="7" spans="1:4" x14ac:dyDescent="0.35">
      <c r="A7" t="s">
        <v>314</v>
      </c>
      <c r="B7" t="s">
        <v>232</v>
      </c>
      <c r="C7">
        <v>69</v>
      </c>
      <c r="D7">
        <v>3105</v>
      </c>
    </row>
    <row r="8" spans="1:4" x14ac:dyDescent="0.35">
      <c r="A8" t="s">
        <v>173</v>
      </c>
      <c r="B8" t="s">
        <v>232</v>
      </c>
      <c r="C8">
        <v>56</v>
      </c>
      <c r="D8">
        <v>1008</v>
      </c>
    </row>
    <row r="9" spans="1:4" x14ac:dyDescent="0.35">
      <c r="A9" t="s">
        <v>130</v>
      </c>
      <c r="B9" t="s">
        <v>233</v>
      </c>
      <c r="C9">
        <v>53</v>
      </c>
      <c r="D9">
        <v>1590</v>
      </c>
    </row>
    <row r="10" spans="1:4" x14ac:dyDescent="0.35">
      <c r="A10" t="s">
        <v>149</v>
      </c>
      <c r="B10" t="s">
        <v>233</v>
      </c>
      <c r="C10">
        <v>48</v>
      </c>
      <c r="D10">
        <v>1344</v>
      </c>
    </row>
    <row r="11" spans="1:4" x14ac:dyDescent="0.35">
      <c r="A11" t="s">
        <v>515</v>
      </c>
      <c r="B11" t="s">
        <v>110</v>
      </c>
      <c r="C11">
        <v>48</v>
      </c>
      <c r="D11">
        <v>1440</v>
      </c>
    </row>
    <row r="12" spans="1:4" x14ac:dyDescent="0.35">
      <c r="A12" t="s">
        <v>145</v>
      </c>
      <c r="B12" t="s">
        <v>233</v>
      </c>
      <c r="C12">
        <v>47</v>
      </c>
      <c r="D12">
        <v>1316</v>
      </c>
    </row>
    <row r="13" spans="1:4" x14ac:dyDescent="0.35">
      <c r="A13" t="s">
        <v>144</v>
      </c>
      <c r="B13" t="s">
        <v>233</v>
      </c>
      <c r="C13">
        <v>45</v>
      </c>
      <c r="D13">
        <v>675</v>
      </c>
    </row>
    <row r="14" spans="1:4" x14ac:dyDescent="0.35">
      <c r="A14" t="s">
        <v>132</v>
      </c>
      <c r="B14" t="s">
        <v>233</v>
      </c>
      <c r="C14">
        <v>38</v>
      </c>
      <c r="D14">
        <v>1140</v>
      </c>
    </row>
    <row r="15" spans="1:4" x14ac:dyDescent="0.35">
      <c r="A15" t="s">
        <v>165</v>
      </c>
      <c r="B15" t="s">
        <v>110</v>
      </c>
      <c r="C15">
        <v>37</v>
      </c>
      <c r="D15">
        <v>740</v>
      </c>
    </row>
    <row r="16" spans="1:4" x14ac:dyDescent="0.35">
      <c r="A16" t="s">
        <v>161</v>
      </c>
      <c r="B16" t="s">
        <v>110</v>
      </c>
      <c r="C16">
        <v>37</v>
      </c>
      <c r="D16">
        <v>1036</v>
      </c>
    </row>
    <row r="17" spans="1:4" x14ac:dyDescent="0.35">
      <c r="A17" t="s">
        <v>131</v>
      </c>
      <c r="B17" t="s">
        <v>233</v>
      </c>
      <c r="C17">
        <v>37</v>
      </c>
      <c r="D17">
        <v>1110</v>
      </c>
    </row>
    <row r="18" spans="1:4" x14ac:dyDescent="0.35">
      <c r="A18" t="s">
        <v>140</v>
      </c>
      <c r="B18" t="s">
        <v>233</v>
      </c>
      <c r="C18">
        <v>37</v>
      </c>
      <c r="D18">
        <v>999</v>
      </c>
    </row>
    <row r="19" spans="1:4" x14ac:dyDescent="0.35">
      <c r="A19" t="s">
        <v>134</v>
      </c>
      <c r="B19" t="s">
        <v>233</v>
      </c>
      <c r="C19">
        <v>34</v>
      </c>
      <c r="D19">
        <v>1020</v>
      </c>
    </row>
    <row r="20" spans="1:4" x14ac:dyDescent="0.35">
      <c r="A20" t="s">
        <v>133</v>
      </c>
      <c r="B20" t="s">
        <v>233</v>
      </c>
      <c r="C20">
        <v>32</v>
      </c>
      <c r="D20">
        <v>960</v>
      </c>
    </row>
    <row r="21" spans="1:4" x14ac:dyDescent="0.35">
      <c r="A21" t="s">
        <v>193</v>
      </c>
      <c r="B21" t="s">
        <v>111</v>
      </c>
      <c r="C21">
        <v>30</v>
      </c>
      <c r="D21">
        <v>240</v>
      </c>
    </row>
    <row r="22" spans="1:4" x14ac:dyDescent="0.35">
      <c r="A22" t="s">
        <v>177</v>
      </c>
      <c r="B22" t="s">
        <v>232</v>
      </c>
      <c r="C22">
        <v>28</v>
      </c>
      <c r="D22">
        <v>560</v>
      </c>
    </row>
    <row r="23" spans="1:4" x14ac:dyDescent="0.35">
      <c r="A23" t="s">
        <v>191</v>
      </c>
      <c r="B23" t="s">
        <v>111</v>
      </c>
      <c r="C23">
        <v>26</v>
      </c>
      <c r="D23">
        <v>468</v>
      </c>
    </row>
    <row r="24" spans="1:4" x14ac:dyDescent="0.35">
      <c r="A24" t="s">
        <v>160</v>
      </c>
      <c r="B24" t="s">
        <v>234</v>
      </c>
      <c r="C24">
        <v>25</v>
      </c>
      <c r="D24">
        <v>375</v>
      </c>
    </row>
    <row r="25" spans="1:4" x14ac:dyDescent="0.35">
      <c r="A25" t="s">
        <v>143</v>
      </c>
      <c r="B25" t="s">
        <v>233</v>
      </c>
      <c r="C25">
        <v>24</v>
      </c>
      <c r="D25">
        <v>360</v>
      </c>
    </row>
    <row r="26" spans="1:4" x14ac:dyDescent="0.35">
      <c r="A26" t="s">
        <v>135</v>
      </c>
      <c r="B26" t="s">
        <v>233</v>
      </c>
      <c r="C26">
        <v>23</v>
      </c>
      <c r="D26">
        <v>621</v>
      </c>
    </row>
    <row r="27" spans="1:4" x14ac:dyDescent="0.35">
      <c r="A27" t="s">
        <v>147</v>
      </c>
      <c r="B27" t="s">
        <v>233</v>
      </c>
      <c r="C27">
        <v>22</v>
      </c>
      <c r="D27">
        <v>616</v>
      </c>
    </row>
    <row r="28" spans="1:4" x14ac:dyDescent="0.35">
      <c r="A28" t="s">
        <v>186</v>
      </c>
      <c r="B28" t="s">
        <v>111</v>
      </c>
      <c r="C28">
        <v>19</v>
      </c>
      <c r="D28">
        <v>285</v>
      </c>
    </row>
    <row r="29" spans="1:4" x14ac:dyDescent="0.35">
      <c r="A29" t="s">
        <v>167</v>
      </c>
      <c r="B29" t="s">
        <v>110</v>
      </c>
      <c r="C29">
        <v>18</v>
      </c>
      <c r="D29">
        <v>504</v>
      </c>
    </row>
    <row r="30" spans="1:4" x14ac:dyDescent="0.35">
      <c r="A30" t="s">
        <v>194</v>
      </c>
      <c r="B30" t="s">
        <v>236</v>
      </c>
      <c r="C30">
        <v>18</v>
      </c>
      <c r="D30">
        <v>270</v>
      </c>
    </row>
    <row r="31" spans="1:4" x14ac:dyDescent="0.35">
      <c r="A31" t="s">
        <v>157</v>
      </c>
      <c r="B31" t="s">
        <v>234</v>
      </c>
      <c r="C31">
        <v>15</v>
      </c>
      <c r="D31">
        <v>360</v>
      </c>
    </row>
    <row r="32" spans="1:4" x14ac:dyDescent="0.35">
      <c r="A32" t="s">
        <v>152</v>
      </c>
      <c r="B32" t="s">
        <v>233</v>
      </c>
      <c r="C32">
        <v>14</v>
      </c>
      <c r="D32">
        <v>392</v>
      </c>
    </row>
    <row r="33" spans="1:4" x14ac:dyDescent="0.35">
      <c r="A33" t="s">
        <v>189</v>
      </c>
      <c r="B33" t="s">
        <v>236</v>
      </c>
      <c r="C33">
        <v>14</v>
      </c>
      <c r="D33">
        <v>252</v>
      </c>
    </row>
    <row r="34" spans="1:4" x14ac:dyDescent="0.35">
      <c r="A34" t="s">
        <v>188</v>
      </c>
      <c r="B34" t="s">
        <v>236</v>
      </c>
      <c r="C34">
        <v>14</v>
      </c>
      <c r="D34">
        <v>252</v>
      </c>
    </row>
    <row r="35" spans="1:4" x14ac:dyDescent="0.35">
      <c r="A35" t="s">
        <v>183</v>
      </c>
      <c r="B35" t="s">
        <v>111</v>
      </c>
      <c r="C35">
        <v>12</v>
      </c>
      <c r="D35">
        <v>120</v>
      </c>
    </row>
    <row r="36" spans="1:4" x14ac:dyDescent="0.35">
      <c r="A36" t="s">
        <v>162</v>
      </c>
      <c r="B36" t="s">
        <v>110</v>
      </c>
      <c r="C36">
        <v>11</v>
      </c>
      <c r="D36">
        <v>308</v>
      </c>
    </row>
    <row r="37" spans="1:4" x14ac:dyDescent="0.35">
      <c r="A37" t="s">
        <v>156</v>
      </c>
      <c r="B37" t="s">
        <v>234</v>
      </c>
      <c r="C37">
        <v>11</v>
      </c>
      <c r="D37">
        <v>264</v>
      </c>
    </row>
    <row r="38" spans="1:4" x14ac:dyDescent="0.35">
      <c r="A38" t="s">
        <v>321</v>
      </c>
      <c r="B38" t="s">
        <v>233</v>
      </c>
      <c r="C38">
        <v>9</v>
      </c>
      <c r="D38">
        <v>270</v>
      </c>
    </row>
    <row r="39" spans="1:4" x14ac:dyDescent="0.35">
      <c r="A39" t="s">
        <v>141</v>
      </c>
      <c r="B39" t="s">
        <v>233</v>
      </c>
      <c r="C39">
        <v>9</v>
      </c>
      <c r="D39">
        <v>243</v>
      </c>
    </row>
    <row r="40" spans="1:4" x14ac:dyDescent="0.35">
      <c r="A40" t="s">
        <v>139</v>
      </c>
      <c r="B40" t="s">
        <v>233</v>
      </c>
      <c r="C40">
        <v>9</v>
      </c>
      <c r="D40">
        <v>243</v>
      </c>
    </row>
    <row r="41" spans="1:4" x14ac:dyDescent="0.35">
      <c r="A41" t="s">
        <v>154</v>
      </c>
      <c r="B41" t="s">
        <v>234</v>
      </c>
      <c r="C41">
        <v>8</v>
      </c>
      <c r="D41">
        <v>192</v>
      </c>
    </row>
    <row r="42" spans="1:4" x14ac:dyDescent="0.35">
      <c r="A42" t="s">
        <v>187</v>
      </c>
      <c r="B42" t="s">
        <v>236</v>
      </c>
      <c r="C42">
        <v>8</v>
      </c>
      <c r="D42">
        <v>144</v>
      </c>
    </row>
    <row r="43" spans="1:4" x14ac:dyDescent="0.35">
      <c r="A43" t="s">
        <v>158</v>
      </c>
      <c r="B43" t="s">
        <v>234</v>
      </c>
      <c r="C43">
        <v>6</v>
      </c>
      <c r="D43">
        <v>144</v>
      </c>
    </row>
    <row r="44" spans="1:4" x14ac:dyDescent="0.35">
      <c r="A44" t="s">
        <v>168</v>
      </c>
      <c r="B44" t="s">
        <v>110</v>
      </c>
      <c r="C44">
        <v>6</v>
      </c>
      <c r="D44">
        <v>168</v>
      </c>
    </row>
    <row r="45" spans="1:4" x14ac:dyDescent="0.35">
      <c r="A45" t="s">
        <v>237</v>
      </c>
      <c r="B45" t="s">
        <v>233</v>
      </c>
      <c r="C45">
        <v>5</v>
      </c>
      <c r="D45">
        <v>135</v>
      </c>
    </row>
    <row r="46" spans="1:4" x14ac:dyDescent="0.35">
      <c r="A46" t="s">
        <v>169</v>
      </c>
      <c r="B46" t="s">
        <v>110</v>
      </c>
      <c r="C46">
        <v>4</v>
      </c>
      <c r="D46">
        <v>112</v>
      </c>
    </row>
    <row r="47" spans="1:4" x14ac:dyDescent="0.35">
      <c r="A47" t="s">
        <v>142</v>
      </c>
      <c r="B47" t="s">
        <v>233</v>
      </c>
      <c r="C47">
        <v>4</v>
      </c>
      <c r="D47">
        <v>108</v>
      </c>
    </row>
    <row r="48" spans="1:4" x14ac:dyDescent="0.35">
      <c r="A48" t="s">
        <v>198</v>
      </c>
      <c r="B48" t="s">
        <v>236</v>
      </c>
      <c r="C48">
        <v>3</v>
      </c>
      <c r="D48">
        <v>75</v>
      </c>
    </row>
    <row r="49" spans="1:4" x14ac:dyDescent="0.35">
      <c r="A49" t="s">
        <v>195</v>
      </c>
      <c r="B49" t="s">
        <v>111</v>
      </c>
      <c r="C49">
        <v>3</v>
      </c>
      <c r="D49">
        <v>24</v>
      </c>
    </row>
    <row r="50" spans="1:4" x14ac:dyDescent="0.35">
      <c r="A50" t="s">
        <v>196</v>
      </c>
      <c r="B50" t="s">
        <v>236</v>
      </c>
      <c r="C50">
        <v>3</v>
      </c>
      <c r="D50">
        <v>30</v>
      </c>
    </row>
    <row r="51" spans="1:4" x14ac:dyDescent="0.35">
      <c r="A51" t="s">
        <v>138</v>
      </c>
      <c r="B51" t="s">
        <v>233</v>
      </c>
      <c r="C51">
        <v>3</v>
      </c>
      <c r="D51">
        <v>81</v>
      </c>
    </row>
    <row r="52" spans="1:4" x14ac:dyDescent="0.35">
      <c r="A52" t="s">
        <v>155</v>
      </c>
      <c r="B52" t="s">
        <v>234</v>
      </c>
      <c r="C52">
        <v>2</v>
      </c>
      <c r="D52">
        <v>48</v>
      </c>
    </row>
    <row r="53" spans="1:4" x14ac:dyDescent="0.35">
      <c r="A53" t="s">
        <v>197</v>
      </c>
      <c r="B53" t="s">
        <v>236</v>
      </c>
      <c r="C53">
        <v>2</v>
      </c>
      <c r="D53">
        <v>20</v>
      </c>
    </row>
    <row r="54" spans="1:4" x14ac:dyDescent="0.35">
      <c r="A54" t="s">
        <v>150</v>
      </c>
      <c r="B54" t="s">
        <v>233</v>
      </c>
      <c r="C54">
        <v>1</v>
      </c>
      <c r="D54">
        <v>28</v>
      </c>
    </row>
    <row r="55" spans="1:4" x14ac:dyDescent="0.35">
      <c r="A55" t="s">
        <v>153</v>
      </c>
      <c r="B55" t="s">
        <v>233</v>
      </c>
      <c r="C55">
        <v>1</v>
      </c>
      <c r="D55">
        <v>30</v>
      </c>
    </row>
    <row r="56" spans="1:4" x14ac:dyDescent="0.35">
      <c r="A56" t="s">
        <v>159</v>
      </c>
      <c r="B56" t="s">
        <v>234</v>
      </c>
      <c r="C56">
        <v>1</v>
      </c>
      <c r="D56">
        <v>24</v>
      </c>
    </row>
    <row r="57" spans="1:4" x14ac:dyDescent="0.35">
      <c r="A57" t="s">
        <v>171</v>
      </c>
      <c r="B57" t="s">
        <v>232</v>
      </c>
      <c r="C57">
        <v>1</v>
      </c>
      <c r="D57">
        <v>30</v>
      </c>
    </row>
    <row r="58" spans="1:4" x14ac:dyDescent="0.35">
      <c r="A58" t="s">
        <v>179</v>
      </c>
      <c r="B58" t="s">
        <v>232</v>
      </c>
      <c r="C58">
        <v>1</v>
      </c>
      <c r="D58">
        <v>28</v>
      </c>
    </row>
    <row r="59" spans="1:4" x14ac:dyDescent="0.35">
      <c r="A59" t="s">
        <v>226</v>
      </c>
      <c r="C59">
        <v>1399</v>
      </c>
      <c r="D59">
        <v>32381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10.7265625" bestFit="1" customWidth="1"/>
    <col min="5" max="5" width="11" customWidth="1"/>
  </cols>
  <sheetData>
    <row r="1" spans="1:4" x14ac:dyDescent="0.35">
      <c r="A1" t="s">
        <v>227</v>
      </c>
      <c r="B1" t="s">
        <v>124</v>
      </c>
      <c r="C1" t="s">
        <v>231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155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2"/>
  <sheetViews>
    <sheetView workbookViewId="0">
      <selection sqref="A1:E275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5" width="16.453125" bestFit="1" customWidth="1"/>
    <col min="6" max="7" width="11" bestFit="1" customWidth="1"/>
    <col min="8" max="8" width="13.08984375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317</v>
      </c>
      <c r="C2">
        <v>9510</v>
      </c>
    </row>
    <row r="3" spans="1:3" x14ac:dyDescent="0.35">
      <c r="A3" t="s">
        <v>131</v>
      </c>
      <c r="B3">
        <v>289</v>
      </c>
      <c r="C3">
        <v>8670</v>
      </c>
    </row>
    <row r="4" spans="1:3" x14ac:dyDescent="0.35">
      <c r="A4" t="s">
        <v>132</v>
      </c>
      <c r="B4">
        <v>311</v>
      </c>
      <c r="C4">
        <v>9330</v>
      </c>
    </row>
    <row r="5" spans="1:3" x14ac:dyDescent="0.35">
      <c r="A5" t="s">
        <v>133</v>
      </c>
      <c r="B5">
        <v>148</v>
      </c>
      <c r="C5">
        <v>4440</v>
      </c>
    </row>
    <row r="6" spans="1:3" x14ac:dyDescent="0.35">
      <c r="A6" t="s">
        <v>134</v>
      </c>
      <c r="B6">
        <v>219</v>
      </c>
      <c r="C6">
        <v>6570</v>
      </c>
    </row>
    <row r="7" spans="1:3" x14ac:dyDescent="0.35">
      <c r="A7" t="s">
        <v>135</v>
      </c>
      <c r="B7">
        <v>68</v>
      </c>
      <c r="C7">
        <v>1836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70</v>
      </c>
      <c r="C11">
        <v>1890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23</v>
      </c>
      <c r="C14">
        <v>621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206</v>
      </c>
      <c r="C16">
        <v>3090</v>
      </c>
    </row>
    <row r="17" spans="1:3" x14ac:dyDescent="0.35">
      <c r="A17" t="s">
        <v>145</v>
      </c>
      <c r="B17">
        <v>165</v>
      </c>
      <c r="C17">
        <v>4620</v>
      </c>
    </row>
    <row r="18" spans="1:3" x14ac:dyDescent="0.35">
      <c r="A18" t="s">
        <v>147</v>
      </c>
      <c r="B18">
        <v>119</v>
      </c>
      <c r="C18">
        <v>3332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49</v>
      </c>
      <c r="C20">
        <v>1470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73</v>
      </c>
      <c r="C23">
        <v>1752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43</v>
      </c>
      <c r="C25">
        <v>1032</v>
      </c>
    </row>
    <row r="26" spans="1:3" x14ac:dyDescent="0.35">
      <c r="A26" t="s">
        <v>159</v>
      </c>
      <c r="B26">
        <v>33</v>
      </c>
      <c r="C26">
        <v>792</v>
      </c>
    </row>
    <row r="27" spans="1:3" x14ac:dyDescent="0.35">
      <c r="A27" t="s">
        <v>160</v>
      </c>
      <c r="B27">
        <v>237</v>
      </c>
      <c r="C27">
        <v>3555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52</v>
      </c>
      <c r="C29">
        <v>1456</v>
      </c>
    </row>
    <row r="30" spans="1:3" x14ac:dyDescent="0.35">
      <c r="A30" t="s">
        <v>163</v>
      </c>
      <c r="B30">
        <v>308</v>
      </c>
      <c r="C30">
        <v>8624</v>
      </c>
    </row>
    <row r="31" spans="1:3" x14ac:dyDescent="0.35">
      <c r="A31" t="s">
        <v>164</v>
      </c>
      <c r="B31">
        <v>464</v>
      </c>
      <c r="C31">
        <v>9280</v>
      </c>
    </row>
    <row r="32" spans="1:3" x14ac:dyDescent="0.35">
      <c r="A32" t="s">
        <v>165</v>
      </c>
      <c r="B32">
        <v>153</v>
      </c>
      <c r="C32">
        <v>3060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55</v>
      </c>
      <c r="C37">
        <v>1925</v>
      </c>
    </row>
    <row r="38" spans="1:3" x14ac:dyDescent="0.35">
      <c r="A38" t="s">
        <v>173</v>
      </c>
      <c r="B38">
        <v>351</v>
      </c>
      <c r="C38">
        <v>6318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45</v>
      </c>
      <c r="C44">
        <v>900</v>
      </c>
    </row>
    <row r="45" spans="1:3" x14ac:dyDescent="0.35">
      <c r="A45" t="s">
        <v>182</v>
      </c>
      <c r="B45">
        <v>50</v>
      </c>
      <c r="C45">
        <v>1000</v>
      </c>
    </row>
    <row r="46" spans="1:3" x14ac:dyDescent="0.35">
      <c r="A46" t="s">
        <v>183</v>
      </c>
      <c r="B46">
        <v>183</v>
      </c>
      <c r="C46">
        <v>1830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49</v>
      </c>
      <c r="C63">
        <v>1372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58</v>
      </c>
      <c r="C69">
        <v>1740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4</v>
      </c>
      <c r="C2">
        <v>120</v>
      </c>
      <c r="D2">
        <v>30</v>
      </c>
    </row>
    <row r="3" spans="1:4" x14ac:dyDescent="0.35">
      <c r="A3" t="s">
        <v>131</v>
      </c>
      <c r="B3">
        <v>3</v>
      </c>
      <c r="C3">
        <v>90</v>
      </c>
      <c r="D3">
        <v>30</v>
      </c>
    </row>
    <row r="4" spans="1:4" x14ac:dyDescent="0.35">
      <c r="A4" t="s">
        <v>132</v>
      </c>
      <c r="B4">
        <v>6</v>
      </c>
      <c r="C4">
        <v>180</v>
      </c>
      <c r="D4">
        <v>30</v>
      </c>
    </row>
    <row r="5" spans="1:4" x14ac:dyDescent="0.35">
      <c r="A5" t="s">
        <v>133</v>
      </c>
      <c r="B5">
        <v>2</v>
      </c>
      <c r="C5">
        <v>60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3</v>
      </c>
      <c r="C8">
        <v>120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B11">
        <v>4</v>
      </c>
      <c r="C11">
        <v>108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C15">
        <v>0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6</v>
      </c>
      <c r="C17">
        <v>168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B19">
        <v>2</v>
      </c>
      <c r="C19">
        <v>56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C23">
        <v>0</v>
      </c>
      <c r="D23">
        <v>30</v>
      </c>
    </row>
    <row r="24" spans="1:4" x14ac:dyDescent="0.35">
      <c r="A24" t="s">
        <v>153</v>
      </c>
      <c r="B24">
        <v>1</v>
      </c>
      <c r="C24">
        <v>24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3</v>
      </c>
      <c r="C27">
        <v>72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C29">
        <v>0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2</v>
      </c>
      <c r="C33">
        <v>56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1</v>
      </c>
      <c r="C36">
        <v>20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2</v>
      </c>
      <c r="C40">
        <v>70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2</v>
      </c>
      <c r="C42">
        <v>70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1</v>
      </c>
      <c r="C44">
        <v>10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C49">
        <v>0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C54">
        <v>0</v>
      </c>
      <c r="D54">
        <v>10</v>
      </c>
    </row>
    <row r="55" spans="1:4" x14ac:dyDescent="0.35">
      <c r="A55" t="s">
        <v>183</v>
      </c>
      <c r="B55">
        <v>4</v>
      </c>
      <c r="C55">
        <v>80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2</v>
      </c>
      <c r="C57">
        <v>36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6</v>
      </c>
      <c r="C63">
        <v>48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2</v>
      </c>
      <c r="C2">
        <v>60</v>
      </c>
      <c r="D2">
        <v>30</v>
      </c>
    </row>
    <row r="3" spans="1:4" x14ac:dyDescent="0.35">
      <c r="A3" t="s">
        <v>131</v>
      </c>
      <c r="B3">
        <v>2</v>
      </c>
      <c r="C3">
        <v>60</v>
      </c>
      <c r="D3">
        <v>30</v>
      </c>
    </row>
    <row r="4" spans="1:4" x14ac:dyDescent="0.35">
      <c r="A4" t="s">
        <v>132</v>
      </c>
      <c r="B4">
        <v>4</v>
      </c>
      <c r="C4">
        <v>120</v>
      </c>
      <c r="D4">
        <v>30</v>
      </c>
    </row>
    <row r="5" spans="1:4" x14ac:dyDescent="0.35">
      <c r="A5" t="s">
        <v>133</v>
      </c>
      <c r="B5">
        <v>1</v>
      </c>
      <c r="C5">
        <v>30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2</v>
      </c>
      <c r="C8">
        <v>80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C11">
        <v>0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B15">
        <v>1</v>
      </c>
      <c r="C15">
        <v>15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7</v>
      </c>
      <c r="C17">
        <v>196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C19">
        <v>0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B23">
        <v>1</v>
      </c>
      <c r="C23">
        <v>30</v>
      </c>
      <c r="D23">
        <v>30</v>
      </c>
    </row>
    <row r="24" spans="1:4" x14ac:dyDescent="0.35">
      <c r="A24" t="s">
        <v>153</v>
      </c>
      <c r="B24">
        <v>2</v>
      </c>
      <c r="C24">
        <v>48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2</v>
      </c>
      <c r="C27">
        <v>48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B29">
        <v>1</v>
      </c>
      <c r="C29">
        <v>24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1</v>
      </c>
      <c r="C33">
        <v>28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2</v>
      </c>
      <c r="C36">
        <v>40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1</v>
      </c>
      <c r="C40">
        <v>35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1</v>
      </c>
      <c r="C42">
        <v>35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2</v>
      </c>
      <c r="C44">
        <v>20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B49">
        <v>2</v>
      </c>
      <c r="C49">
        <v>56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B54">
        <v>12</v>
      </c>
      <c r="C54">
        <v>120</v>
      </c>
      <c r="D54">
        <v>10</v>
      </c>
    </row>
    <row r="55" spans="1:4" x14ac:dyDescent="0.35">
      <c r="A55" t="s">
        <v>183</v>
      </c>
      <c r="C55">
        <v>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1</v>
      </c>
      <c r="C57">
        <v>18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5</v>
      </c>
      <c r="C63">
        <v>40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B3">
        <v>5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321</v>
      </c>
      <c r="C7">
        <v>0</v>
      </c>
    </row>
    <row r="8" spans="1:3" x14ac:dyDescent="0.35">
      <c r="A8" t="s">
        <v>135</v>
      </c>
      <c r="B8">
        <v>5</v>
      </c>
      <c r="C8">
        <v>200</v>
      </c>
    </row>
    <row r="9" spans="1:3" x14ac:dyDescent="0.35">
      <c r="A9" t="s">
        <v>136</v>
      </c>
      <c r="C9">
        <v>0</v>
      </c>
    </row>
    <row r="10" spans="1:3" x14ac:dyDescent="0.35">
      <c r="A10" t="s">
        <v>137</v>
      </c>
      <c r="C10">
        <v>0</v>
      </c>
    </row>
    <row r="11" spans="1:3" x14ac:dyDescent="0.35">
      <c r="A11" t="s">
        <v>138</v>
      </c>
      <c r="B11">
        <v>4</v>
      </c>
      <c r="C11">
        <v>108</v>
      </c>
    </row>
    <row r="12" spans="1:3" x14ac:dyDescent="0.35">
      <c r="A12" t="s">
        <v>139</v>
      </c>
      <c r="B12">
        <v>6</v>
      </c>
      <c r="C12">
        <v>162</v>
      </c>
    </row>
    <row r="13" spans="1:3" x14ac:dyDescent="0.35">
      <c r="A13" t="s">
        <v>140</v>
      </c>
      <c r="C13">
        <v>0</v>
      </c>
    </row>
    <row r="14" spans="1:3" x14ac:dyDescent="0.35">
      <c r="A14" t="s">
        <v>141</v>
      </c>
      <c r="C14">
        <v>0</v>
      </c>
    </row>
    <row r="15" spans="1:3" x14ac:dyDescent="0.35">
      <c r="A15" t="s">
        <v>142</v>
      </c>
      <c r="B15">
        <v>1</v>
      </c>
      <c r="C15">
        <v>15</v>
      </c>
    </row>
    <row r="16" spans="1:3" x14ac:dyDescent="0.35">
      <c r="A16" t="s">
        <v>143</v>
      </c>
      <c r="C16">
        <v>0</v>
      </c>
    </row>
    <row r="17" spans="1:3" x14ac:dyDescent="0.35">
      <c r="A17" t="s">
        <v>144</v>
      </c>
      <c r="B17">
        <v>13</v>
      </c>
      <c r="C17">
        <v>364</v>
      </c>
    </row>
    <row r="18" spans="1:3" x14ac:dyDescent="0.35">
      <c r="A18" t="s">
        <v>145</v>
      </c>
      <c r="B18">
        <v>2</v>
      </c>
      <c r="C18">
        <v>56</v>
      </c>
    </row>
    <row r="19" spans="1:3" x14ac:dyDescent="0.35">
      <c r="A19" t="s">
        <v>147</v>
      </c>
      <c r="B19">
        <v>2</v>
      </c>
      <c r="C19">
        <v>56</v>
      </c>
    </row>
    <row r="20" spans="1:3" x14ac:dyDescent="0.35">
      <c r="A20" t="s">
        <v>149</v>
      </c>
      <c r="C20">
        <v>0</v>
      </c>
    </row>
    <row r="21" spans="1:3" x14ac:dyDescent="0.35">
      <c r="A21" t="s">
        <v>150</v>
      </c>
      <c r="C21">
        <v>0</v>
      </c>
    </row>
    <row r="22" spans="1:3" x14ac:dyDescent="0.35">
      <c r="A22" t="s">
        <v>151</v>
      </c>
      <c r="C22">
        <v>0</v>
      </c>
    </row>
    <row r="23" spans="1:3" x14ac:dyDescent="0.35">
      <c r="A23" t="s">
        <v>152</v>
      </c>
      <c r="B23">
        <v>1</v>
      </c>
      <c r="C23">
        <v>30</v>
      </c>
    </row>
    <row r="24" spans="1:3" x14ac:dyDescent="0.35">
      <c r="A24" t="s">
        <v>153</v>
      </c>
      <c r="B24">
        <v>3</v>
      </c>
      <c r="C24">
        <v>72</v>
      </c>
    </row>
    <row r="25" spans="1:3" x14ac:dyDescent="0.35">
      <c r="A25" t="s">
        <v>154</v>
      </c>
      <c r="C25">
        <v>0</v>
      </c>
    </row>
    <row r="26" spans="1:3" x14ac:dyDescent="0.35">
      <c r="A26" t="s">
        <v>155</v>
      </c>
      <c r="C26">
        <v>0</v>
      </c>
    </row>
    <row r="27" spans="1:3" x14ac:dyDescent="0.35">
      <c r="A27" t="s">
        <v>156</v>
      </c>
      <c r="B27">
        <v>5</v>
      </c>
      <c r="C27">
        <v>120</v>
      </c>
    </row>
    <row r="28" spans="1:3" x14ac:dyDescent="0.35">
      <c r="A28" t="s">
        <v>157</v>
      </c>
      <c r="C28">
        <v>0</v>
      </c>
    </row>
    <row r="29" spans="1:3" x14ac:dyDescent="0.35">
      <c r="A29" t="s">
        <v>158</v>
      </c>
      <c r="B29">
        <v>1</v>
      </c>
      <c r="C29">
        <v>24</v>
      </c>
    </row>
    <row r="30" spans="1:3" x14ac:dyDescent="0.35">
      <c r="A30" t="s">
        <v>159</v>
      </c>
      <c r="B30">
        <v>2</v>
      </c>
      <c r="C30">
        <v>30</v>
      </c>
    </row>
    <row r="31" spans="1:3" x14ac:dyDescent="0.35">
      <c r="A31" t="s">
        <v>160</v>
      </c>
      <c r="B31">
        <v>4</v>
      </c>
      <c r="C31">
        <v>112</v>
      </c>
    </row>
    <row r="32" spans="1:3" x14ac:dyDescent="0.35">
      <c r="A32" t="s">
        <v>161</v>
      </c>
      <c r="C32">
        <v>0</v>
      </c>
    </row>
    <row r="33" spans="1:3" x14ac:dyDescent="0.35">
      <c r="A33" t="s">
        <v>162</v>
      </c>
      <c r="B33">
        <v>3</v>
      </c>
      <c r="C33">
        <v>84</v>
      </c>
    </row>
    <row r="34" spans="1:3" x14ac:dyDescent="0.35">
      <c r="A34" t="s">
        <v>163</v>
      </c>
      <c r="B34">
        <v>8</v>
      </c>
      <c r="C34">
        <v>160</v>
      </c>
    </row>
    <row r="35" spans="1:3" x14ac:dyDescent="0.35">
      <c r="A35" t="s">
        <v>164</v>
      </c>
      <c r="B35">
        <v>4</v>
      </c>
      <c r="C35">
        <v>80</v>
      </c>
    </row>
    <row r="36" spans="1:3" x14ac:dyDescent="0.35">
      <c r="A36" t="s">
        <v>165</v>
      </c>
      <c r="B36">
        <v>3</v>
      </c>
      <c r="C36">
        <v>60</v>
      </c>
    </row>
    <row r="37" spans="1:3" x14ac:dyDescent="0.35">
      <c r="A37" t="s">
        <v>166</v>
      </c>
      <c r="C37">
        <v>0</v>
      </c>
    </row>
    <row r="38" spans="1:3" x14ac:dyDescent="0.35">
      <c r="A38" t="s">
        <v>167</v>
      </c>
      <c r="C38">
        <v>0</v>
      </c>
    </row>
    <row r="39" spans="1:3" x14ac:dyDescent="0.35">
      <c r="A39" t="s">
        <v>515</v>
      </c>
      <c r="C39">
        <v>0</v>
      </c>
    </row>
    <row r="40" spans="1:3" x14ac:dyDescent="0.35">
      <c r="A40" t="s">
        <v>168</v>
      </c>
      <c r="B40">
        <v>3</v>
      </c>
      <c r="C40">
        <v>105</v>
      </c>
    </row>
    <row r="41" spans="1:3" x14ac:dyDescent="0.35">
      <c r="A41" t="s">
        <v>169</v>
      </c>
      <c r="C41">
        <v>0</v>
      </c>
    </row>
    <row r="42" spans="1:3" x14ac:dyDescent="0.35">
      <c r="A42" t="s">
        <v>170</v>
      </c>
      <c r="B42">
        <v>3</v>
      </c>
      <c r="C42">
        <v>105</v>
      </c>
    </row>
    <row r="43" spans="1:3" x14ac:dyDescent="0.35">
      <c r="A43" t="s">
        <v>171</v>
      </c>
      <c r="B43">
        <v>2</v>
      </c>
      <c r="C43">
        <v>36</v>
      </c>
    </row>
    <row r="44" spans="1:3" x14ac:dyDescent="0.35">
      <c r="A44" t="s">
        <v>172</v>
      </c>
      <c r="B44">
        <v>3</v>
      </c>
      <c r="C44">
        <v>30</v>
      </c>
    </row>
    <row r="45" spans="1:3" x14ac:dyDescent="0.35">
      <c r="A45" t="s">
        <v>173</v>
      </c>
      <c r="B45">
        <v>2</v>
      </c>
      <c r="C45">
        <v>50</v>
      </c>
    </row>
    <row r="46" spans="1:3" x14ac:dyDescent="0.35">
      <c r="A46" t="s">
        <v>174</v>
      </c>
      <c r="C46">
        <v>0</v>
      </c>
    </row>
    <row r="47" spans="1:3" x14ac:dyDescent="0.35">
      <c r="A47" t="s">
        <v>175</v>
      </c>
      <c r="C47">
        <v>0</v>
      </c>
    </row>
    <row r="48" spans="1:3" x14ac:dyDescent="0.35">
      <c r="A48" t="s">
        <v>176</v>
      </c>
      <c r="C48">
        <v>0</v>
      </c>
    </row>
    <row r="49" spans="1:3" x14ac:dyDescent="0.35">
      <c r="A49" t="s">
        <v>177</v>
      </c>
      <c r="B49">
        <v>2</v>
      </c>
      <c r="C49">
        <v>56</v>
      </c>
    </row>
    <row r="50" spans="1:3" x14ac:dyDescent="0.35">
      <c r="A50" t="s">
        <v>178</v>
      </c>
      <c r="C50">
        <v>0</v>
      </c>
    </row>
    <row r="51" spans="1:3" x14ac:dyDescent="0.35">
      <c r="A51" t="s">
        <v>179</v>
      </c>
      <c r="C51">
        <v>0</v>
      </c>
    </row>
    <row r="52" spans="1:3" x14ac:dyDescent="0.35">
      <c r="A52" t="s">
        <v>180</v>
      </c>
      <c r="B52">
        <v>2</v>
      </c>
      <c r="C52">
        <v>40</v>
      </c>
    </row>
    <row r="53" spans="1:3" x14ac:dyDescent="0.35">
      <c r="A53" t="s">
        <v>181</v>
      </c>
      <c r="B53">
        <v>4</v>
      </c>
      <c r="C53">
        <v>40</v>
      </c>
    </row>
    <row r="54" spans="1:3" x14ac:dyDescent="0.35">
      <c r="A54" t="s">
        <v>182</v>
      </c>
      <c r="B54">
        <v>12</v>
      </c>
      <c r="C54">
        <v>120</v>
      </c>
    </row>
    <row r="55" spans="1:3" x14ac:dyDescent="0.35">
      <c r="A55" t="s">
        <v>183</v>
      </c>
      <c r="B55">
        <v>4</v>
      </c>
      <c r="C55">
        <v>80</v>
      </c>
    </row>
    <row r="56" spans="1:3" x14ac:dyDescent="0.35">
      <c r="A56" t="s">
        <v>184</v>
      </c>
      <c r="C56">
        <v>0</v>
      </c>
    </row>
    <row r="57" spans="1:3" x14ac:dyDescent="0.35">
      <c r="A57" t="s">
        <v>185</v>
      </c>
      <c r="B57">
        <v>3</v>
      </c>
      <c r="C57">
        <v>54</v>
      </c>
    </row>
    <row r="58" spans="1:3" x14ac:dyDescent="0.35">
      <c r="A58" t="s">
        <v>186</v>
      </c>
      <c r="C58">
        <v>0</v>
      </c>
    </row>
    <row r="59" spans="1:3" x14ac:dyDescent="0.35">
      <c r="A59" t="s">
        <v>187</v>
      </c>
      <c r="B59">
        <v>2</v>
      </c>
      <c r="C59">
        <v>36</v>
      </c>
    </row>
    <row r="60" spans="1:3" x14ac:dyDescent="0.35">
      <c r="A60" t="s">
        <v>188</v>
      </c>
      <c r="C60">
        <v>0</v>
      </c>
    </row>
    <row r="61" spans="1:3" x14ac:dyDescent="0.35">
      <c r="A61" t="s">
        <v>189</v>
      </c>
      <c r="B61">
        <v>2</v>
      </c>
      <c r="C61">
        <v>36</v>
      </c>
    </row>
    <row r="62" spans="1:3" x14ac:dyDescent="0.35">
      <c r="A62" t="s">
        <v>190</v>
      </c>
      <c r="C62">
        <v>0</v>
      </c>
    </row>
    <row r="63" spans="1:3" x14ac:dyDescent="0.35">
      <c r="A63" t="s">
        <v>191</v>
      </c>
      <c r="B63">
        <v>11</v>
      </c>
      <c r="C63">
        <v>88</v>
      </c>
    </row>
    <row r="64" spans="1:3" x14ac:dyDescent="0.35">
      <c r="A64" t="s">
        <v>192</v>
      </c>
      <c r="C64">
        <v>0</v>
      </c>
    </row>
    <row r="65" spans="1:3" x14ac:dyDescent="0.35">
      <c r="A65" t="s">
        <v>193</v>
      </c>
      <c r="B65">
        <v>8</v>
      </c>
      <c r="C65">
        <v>64</v>
      </c>
    </row>
    <row r="66" spans="1:3" x14ac:dyDescent="0.35">
      <c r="A66" t="s">
        <v>194</v>
      </c>
      <c r="C66">
        <v>0</v>
      </c>
    </row>
    <row r="67" spans="1:3" x14ac:dyDescent="0.35">
      <c r="A67" t="s">
        <v>195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135</v>
      </c>
      <c r="B7">
        <v>0</v>
      </c>
      <c r="C7">
        <v>0</v>
      </c>
    </row>
    <row r="8" spans="1:3" x14ac:dyDescent="0.35">
      <c r="A8" t="s">
        <v>136</v>
      </c>
      <c r="B8">
        <v>5</v>
      </c>
      <c r="C8">
        <v>200</v>
      </c>
    </row>
    <row r="9" spans="1:3" x14ac:dyDescent="0.35">
      <c r="A9" t="s">
        <v>137</v>
      </c>
      <c r="B9">
        <v>0</v>
      </c>
      <c r="C9">
        <v>0</v>
      </c>
    </row>
    <row r="10" spans="1:3" x14ac:dyDescent="0.35">
      <c r="A10" t="s">
        <v>138</v>
      </c>
      <c r="B10">
        <v>0</v>
      </c>
      <c r="C10">
        <v>0</v>
      </c>
    </row>
    <row r="11" spans="1:3" x14ac:dyDescent="0.35">
      <c r="A11" t="s">
        <v>139</v>
      </c>
      <c r="B11">
        <v>4</v>
      </c>
      <c r="C11">
        <v>108</v>
      </c>
    </row>
    <row r="12" spans="1:3" x14ac:dyDescent="0.35">
      <c r="A12" t="s">
        <v>140</v>
      </c>
      <c r="B12">
        <v>6</v>
      </c>
      <c r="C12">
        <v>162</v>
      </c>
    </row>
    <row r="13" spans="1:3" x14ac:dyDescent="0.35">
      <c r="A13" t="s">
        <v>141</v>
      </c>
      <c r="B13">
        <v>0</v>
      </c>
      <c r="C13">
        <v>0</v>
      </c>
    </row>
    <row r="14" spans="1:3" x14ac:dyDescent="0.35">
      <c r="A14" t="s">
        <v>142</v>
      </c>
      <c r="B14">
        <v>0</v>
      </c>
      <c r="C14">
        <v>0</v>
      </c>
    </row>
    <row r="15" spans="1:3" x14ac:dyDescent="0.35">
      <c r="A15" t="s">
        <v>143</v>
      </c>
      <c r="B15">
        <v>1</v>
      </c>
      <c r="C15">
        <v>15</v>
      </c>
    </row>
    <row r="16" spans="1:3" x14ac:dyDescent="0.35">
      <c r="A16" t="s">
        <v>144</v>
      </c>
      <c r="B16">
        <v>0</v>
      </c>
      <c r="C16">
        <v>0</v>
      </c>
    </row>
    <row r="17" spans="1:3" x14ac:dyDescent="0.35">
      <c r="A17" t="s">
        <v>145</v>
      </c>
      <c r="B17">
        <v>13</v>
      </c>
      <c r="C17">
        <v>364</v>
      </c>
    </row>
    <row r="18" spans="1:3" x14ac:dyDescent="0.35">
      <c r="A18" t="s">
        <v>147</v>
      </c>
      <c r="B18">
        <v>2</v>
      </c>
      <c r="C18">
        <v>56</v>
      </c>
    </row>
    <row r="19" spans="1:3" x14ac:dyDescent="0.35">
      <c r="A19" t="s">
        <v>149</v>
      </c>
      <c r="B19">
        <v>2</v>
      </c>
      <c r="C19">
        <v>56</v>
      </c>
    </row>
    <row r="20" spans="1:3" x14ac:dyDescent="0.35">
      <c r="A20" t="s">
        <v>150</v>
      </c>
      <c r="B20">
        <v>0</v>
      </c>
      <c r="C20">
        <v>0</v>
      </c>
    </row>
    <row r="21" spans="1:3" x14ac:dyDescent="0.35">
      <c r="A21" t="s">
        <v>151</v>
      </c>
      <c r="B21">
        <v>0</v>
      </c>
      <c r="C21">
        <v>0</v>
      </c>
    </row>
    <row r="22" spans="1:3" x14ac:dyDescent="0.35">
      <c r="A22" t="s">
        <v>152</v>
      </c>
      <c r="B22">
        <v>0</v>
      </c>
      <c r="C22">
        <v>0</v>
      </c>
    </row>
    <row r="23" spans="1:3" x14ac:dyDescent="0.35">
      <c r="A23" t="s">
        <v>153</v>
      </c>
      <c r="B23">
        <v>1</v>
      </c>
      <c r="C23">
        <v>30</v>
      </c>
    </row>
    <row r="24" spans="1:3" x14ac:dyDescent="0.35">
      <c r="A24" t="s">
        <v>154</v>
      </c>
      <c r="B24">
        <v>3</v>
      </c>
      <c r="C24">
        <v>72</v>
      </c>
    </row>
    <row r="25" spans="1:3" x14ac:dyDescent="0.35">
      <c r="A25" t="s">
        <v>155</v>
      </c>
      <c r="B25">
        <v>0</v>
      </c>
      <c r="C25">
        <v>0</v>
      </c>
    </row>
    <row r="26" spans="1:3" x14ac:dyDescent="0.35">
      <c r="A26" t="s">
        <v>156</v>
      </c>
      <c r="B26">
        <v>0</v>
      </c>
      <c r="C26">
        <v>0</v>
      </c>
    </row>
    <row r="27" spans="1:3" x14ac:dyDescent="0.35">
      <c r="A27" t="s">
        <v>157</v>
      </c>
      <c r="B27">
        <v>5</v>
      </c>
      <c r="C27">
        <v>120</v>
      </c>
    </row>
    <row r="28" spans="1:3" x14ac:dyDescent="0.35">
      <c r="A28" t="s">
        <v>158</v>
      </c>
      <c r="B28">
        <v>0</v>
      </c>
      <c r="C28">
        <v>0</v>
      </c>
    </row>
    <row r="29" spans="1:3" x14ac:dyDescent="0.35">
      <c r="A29" t="s">
        <v>159</v>
      </c>
      <c r="B29">
        <v>1</v>
      </c>
      <c r="C29">
        <v>24</v>
      </c>
    </row>
    <row r="30" spans="1:3" x14ac:dyDescent="0.35">
      <c r="A30" t="s">
        <v>160</v>
      </c>
      <c r="B30">
        <v>2</v>
      </c>
      <c r="C30">
        <v>30</v>
      </c>
    </row>
    <row r="31" spans="1:3" x14ac:dyDescent="0.35">
      <c r="A31" t="s">
        <v>161</v>
      </c>
      <c r="B31">
        <v>4</v>
      </c>
      <c r="C31">
        <v>112</v>
      </c>
    </row>
    <row r="32" spans="1:3" x14ac:dyDescent="0.35">
      <c r="A32" t="s">
        <v>162</v>
      </c>
      <c r="B32">
        <v>0</v>
      </c>
      <c r="C32">
        <v>0</v>
      </c>
    </row>
    <row r="33" spans="1:3" x14ac:dyDescent="0.35">
      <c r="A33" t="s">
        <v>163</v>
      </c>
      <c r="B33">
        <v>3</v>
      </c>
      <c r="C33">
        <v>84</v>
      </c>
    </row>
    <row r="34" spans="1:3" x14ac:dyDescent="0.35">
      <c r="A34" t="s">
        <v>164</v>
      </c>
      <c r="B34">
        <v>8</v>
      </c>
      <c r="C34">
        <v>160</v>
      </c>
    </row>
    <row r="35" spans="1:3" x14ac:dyDescent="0.35">
      <c r="A35" t="s">
        <v>165</v>
      </c>
      <c r="B35">
        <v>4</v>
      </c>
      <c r="C35">
        <v>80</v>
      </c>
    </row>
    <row r="36" spans="1:3" x14ac:dyDescent="0.35">
      <c r="A36" t="s">
        <v>166</v>
      </c>
      <c r="B36">
        <v>3</v>
      </c>
      <c r="C36">
        <v>60</v>
      </c>
    </row>
    <row r="37" spans="1:3" x14ac:dyDescent="0.35">
      <c r="A37" t="s">
        <v>167</v>
      </c>
      <c r="B37">
        <v>0</v>
      </c>
      <c r="C37">
        <v>0</v>
      </c>
    </row>
    <row r="38" spans="1:3" x14ac:dyDescent="0.35">
      <c r="A38" t="s">
        <v>168</v>
      </c>
      <c r="B38">
        <v>0</v>
      </c>
      <c r="C38">
        <v>0</v>
      </c>
    </row>
    <row r="39" spans="1:3" x14ac:dyDescent="0.35">
      <c r="A39" t="s">
        <v>169</v>
      </c>
      <c r="B39">
        <v>3</v>
      </c>
      <c r="C39">
        <v>105</v>
      </c>
    </row>
    <row r="40" spans="1:3" x14ac:dyDescent="0.35">
      <c r="A40" t="s">
        <v>170</v>
      </c>
      <c r="B40">
        <v>0</v>
      </c>
      <c r="C40">
        <v>0</v>
      </c>
    </row>
    <row r="41" spans="1:3" x14ac:dyDescent="0.35">
      <c r="A41" t="s">
        <v>171</v>
      </c>
      <c r="B41">
        <v>3</v>
      </c>
      <c r="C41">
        <v>105</v>
      </c>
    </row>
    <row r="42" spans="1:3" x14ac:dyDescent="0.35">
      <c r="A42" t="s">
        <v>172</v>
      </c>
      <c r="B42">
        <v>2</v>
      </c>
      <c r="C42">
        <v>36</v>
      </c>
    </row>
    <row r="43" spans="1:3" x14ac:dyDescent="0.35">
      <c r="A43" t="s">
        <v>173</v>
      </c>
      <c r="B43">
        <v>3</v>
      </c>
      <c r="C43">
        <v>30</v>
      </c>
    </row>
    <row r="44" spans="1:3" x14ac:dyDescent="0.35">
      <c r="A44" t="s">
        <v>174</v>
      </c>
      <c r="B44">
        <v>2</v>
      </c>
      <c r="C44">
        <v>50</v>
      </c>
    </row>
    <row r="45" spans="1:3" x14ac:dyDescent="0.35">
      <c r="A45" t="s">
        <v>175</v>
      </c>
      <c r="B45">
        <v>0</v>
      </c>
      <c r="C45">
        <v>0</v>
      </c>
    </row>
    <row r="46" spans="1:3" x14ac:dyDescent="0.35">
      <c r="A46" t="s">
        <v>176</v>
      </c>
      <c r="B46">
        <v>0</v>
      </c>
      <c r="C46">
        <v>0</v>
      </c>
    </row>
    <row r="47" spans="1:3" x14ac:dyDescent="0.35">
      <c r="A47" t="s">
        <v>177</v>
      </c>
      <c r="B47">
        <v>0</v>
      </c>
      <c r="C47">
        <v>0</v>
      </c>
    </row>
    <row r="48" spans="1:3" x14ac:dyDescent="0.35">
      <c r="A48" t="s">
        <v>178</v>
      </c>
      <c r="B48">
        <v>2</v>
      </c>
      <c r="C48">
        <v>56</v>
      </c>
    </row>
    <row r="49" spans="1:3" x14ac:dyDescent="0.35">
      <c r="A49" t="s">
        <v>179</v>
      </c>
      <c r="B49">
        <v>0</v>
      </c>
      <c r="C49">
        <v>0</v>
      </c>
    </row>
    <row r="50" spans="1:3" x14ac:dyDescent="0.35">
      <c r="A50" t="s">
        <v>180</v>
      </c>
      <c r="B50">
        <v>0</v>
      </c>
      <c r="C50">
        <v>0</v>
      </c>
    </row>
    <row r="51" spans="1:3" x14ac:dyDescent="0.35">
      <c r="A51" t="s">
        <v>181</v>
      </c>
      <c r="B51">
        <v>2</v>
      </c>
      <c r="C51">
        <v>40</v>
      </c>
    </row>
    <row r="52" spans="1:3" x14ac:dyDescent="0.35">
      <c r="A52" t="s">
        <v>182</v>
      </c>
      <c r="B52">
        <v>4</v>
      </c>
      <c r="C52">
        <v>40</v>
      </c>
    </row>
    <row r="53" spans="1:3" x14ac:dyDescent="0.35">
      <c r="A53" t="s">
        <v>183</v>
      </c>
      <c r="B53">
        <v>12</v>
      </c>
      <c r="C53">
        <v>120</v>
      </c>
    </row>
    <row r="54" spans="1:3" x14ac:dyDescent="0.35">
      <c r="A54" t="s">
        <v>184</v>
      </c>
      <c r="B54">
        <v>4</v>
      </c>
      <c r="C54">
        <v>80</v>
      </c>
    </row>
    <row r="55" spans="1:3" x14ac:dyDescent="0.35">
      <c r="A55" t="s">
        <v>185</v>
      </c>
      <c r="B55">
        <v>0</v>
      </c>
      <c r="C55">
        <v>0</v>
      </c>
    </row>
    <row r="56" spans="1:3" x14ac:dyDescent="0.35">
      <c r="A56" t="s">
        <v>186</v>
      </c>
      <c r="B56">
        <v>3</v>
      </c>
      <c r="C56">
        <v>54</v>
      </c>
    </row>
    <row r="57" spans="1:3" x14ac:dyDescent="0.35">
      <c r="A57" t="s">
        <v>187</v>
      </c>
      <c r="B57">
        <v>0</v>
      </c>
      <c r="C57">
        <v>0</v>
      </c>
    </row>
    <row r="58" spans="1:3" x14ac:dyDescent="0.35">
      <c r="A58" t="s">
        <v>188</v>
      </c>
      <c r="B58">
        <v>2</v>
      </c>
      <c r="C58">
        <v>36</v>
      </c>
    </row>
    <row r="59" spans="1:3" x14ac:dyDescent="0.35">
      <c r="A59" t="s">
        <v>189</v>
      </c>
      <c r="B59">
        <v>0</v>
      </c>
      <c r="C59">
        <v>0</v>
      </c>
    </row>
    <row r="60" spans="1:3" x14ac:dyDescent="0.35">
      <c r="A60" t="s">
        <v>190</v>
      </c>
      <c r="B60">
        <v>2</v>
      </c>
      <c r="C60">
        <v>36</v>
      </c>
    </row>
    <row r="61" spans="1:3" x14ac:dyDescent="0.35">
      <c r="A61" t="s">
        <v>191</v>
      </c>
      <c r="B61">
        <v>0</v>
      </c>
      <c r="C61">
        <v>0</v>
      </c>
    </row>
    <row r="62" spans="1:3" x14ac:dyDescent="0.35">
      <c r="A62" t="s">
        <v>192</v>
      </c>
      <c r="B62">
        <v>11</v>
      </c>
      <c r="C62">
        <v>88</v>
      </c>
    </row>
    <row r="63" spans="1:3" x14ac:dyDescent="0.35">
      <c r="A63" t="s">
        <v>193</v>
      </c>
      <c r="B63">
        <v>0</v>
      </c>
      <c r="C63">
        <v>0</v>
      </c>
    </row>
    <row r="64" spans="1:3" x14ac:dyDescent="0.35">
      <c r="A64" t="s">
        <v>194</v>
      </c>
      <c r="B64">
        <v>8</v>
      </c>
      <c r="C64">
        <v>64</v>
      </c>
    </row>
    <row r="65" spans="1:3" x14ac:dyDescent="0.35">
      <c r="A65" t="s">
        <v>195</v>
      </c>
      <c r="B65">
        <v>0</v>
      </c>
      <c r="C65">
        <v>0</v>
      </c>
    </row>
    <row r="66" spans="1:3" x14ac:dyDescent="0.35">
      <c r="A66" t="s">
        <v>198</v>
      </c>
      <c r="B66">
        <v>0</v>
      </c>
      <c r="C66">
        <v>0</v>
      </c>
    </row>
    <row r="67" spans="1:3" x14ac:dyDescent="0.35">
      <c r="A67" t="s">
        <v>196</v>
      </c>
      <c r="B67">
        <v>0</v>
      </c>
      <c r="C67">
        <v>0</v>
      </c>
    </row>
    <row r="68" spans="1:3" x14ac:dyDescent="0.35">
      <c r="A68" t="s">
        <v>197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workbookViewId="0">
      <selection activeCell="B11" sqref="B11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168</v>
      </c>
      <c r="B38">
        <v>45</v>
      </c>
      <c r="C38">
        <v>1260</v>
      </c>
    </row>
    <row r="39" spans="1:3" x14ac:dyDescent="0.35">
      <c r="A39" t="s">
        <v>169</v>
      </c>
      <c r="B39">
        <v>28</v>
      </c>
      <c r="C39">
        <v>784</v>
      </c>
    </row>
    <row r="40" spans="1:3" x14ac:dyDescent="0.35">
      <c r="A40" t="s">
        <v>170</v>
      </c>
      <c r="B40">
        <v>52</v>
      </c>
      <c r="C40">
        <v>1820</v>
      </c>
    </row>
    <row r="41" spans="1:3" x14ac:dyDescent="0.35">
      <c r="A41" t="s">
        <v>171</v>
      </c>
      <c r="B41">
        <v>57</v>
      </c>
      <c r="C41">
        <v>1710</v>
      </c>
    </row>
    <row r="42" spans="1:3" x14ac:dyDescent="0.35">
      <c r="A42" t="s">
        <v>172</v>
      </c>
      <c r="B42">
        <v>55</v>
      </c>
      <c r="C42">
        <v>1925</v>
      </c>
    </row>
    <row r="43" spans="1:3" x14ac:dyDescent="0.35">
      <c r="A43" t="s">
        <v>173</v>
      </c>
      <c r="B43">
        <v>295</v>
      </c>
      <c r="C43">
        <v>5310</v>
      </c>
    </row>
    <row r="44" spans="1:3" x14ac:dyDescent="0.35">
      <c r="A44" t="s">
        <v>174</v>
      </c>
      <c r="B44">
        <v>461</v>
      </c>
      <c r="C44">
        <v>4610</v>
      </c>
    </row>
    <row r="45" spans="1:3" x14ac:dyDescent="0.35">
      <c r="A45" t="s">
        <v>175</v>
      </c>
      <c r="B45">
        <v>104</v>
      </c>
      <c r="C45">
        <v>2600</v>
      </c>
    </row>
    <row r="46" spans="1:3" x14ac:dyDescent="0.35">
      <c r="A46" t="s">
        <v>176</v>
      </c>
      <c r="B46">
        <v>102</v>
      </c>
      <c r="C46">
        <v>4590</v>
      </c>
    </row>
    <row r="47" spans="1:3" x14ac:dyDescent="0.35">
      <c r="A47" t="s">
        <v>177</v>
      </c>
      <c r="B47">
        <v>85</v>
      </c>
      <c r="C47">
        <v>1700</v>
      </c>
    </row>
    <row r="48" spans="1:3" x14ac:dyDescent="0.35">
      <c r="A48" t="s">
        <v>178</v>
      </c>
      <c r="B48">
        <v>114</v>
      </c>
      <c r="C48">
        <v>2850</v>
      </c>
    </row>
    <row r="49" spans="1:3" x14ac:dyDescent="0.35">
      <c r="A49" t="s">
        <v>179</v>
      </c>
      <c r="B49">
        <v>141</v>
      </c>
      <c r="C49">
        <v>3948</v>
      </c>
    </row>
    <row r="50" spans="1:3" x14ac:dyDescent="0.35">
      <c r="A50" t="s">
        <v>180</v>
      </c>
      <c r="B50">
        <v>35</v>
      </c>
      <c r="C50">
        <v>980</v>
      </c>
    </row>
    <row r="51" spans="1:3" x14ac:dyDescent="0.35">
      <c r="A51" t="s">
        <v>181</v>
      </c>
      <c r="B51">
        <v>45</v>
      </c>
      <c r="C51">
        <v>900</v>
      </c>
    </row>
    <row r="52" spans="1:3" x14ac:dyDescent="0.35">
      <c r="A52" t="s">
        <v>182</v>
      </c>
      <c r="B52">
        <v>50</v>
      </c>
      <c r="C52">
        <v>1000</v>
      </c>
    </row>
    <row r="53" spans="1:3" x14ac:dyDescent="0.35">
      <c r="A53" t="s">
        <v>183</v>
      </c>
      <c r="B53">
        <v>179</v>
      </c>
      <c r="C53">
        <v>1790</v>
      </c>
    </row>
    <row r="54" spans="1:3" x14ac:dyDescent="0.35">
      <c r="A54" t="s">
        <v>184</v>
      </c>
      <c r="B54">
        <v>397</v>
      </c>
      <c r="C54">
        <v>3970</v>
      </c>
    </row>
    <row r="55" spans="1:3" x14ac:dyDescent="0.35">
      <c r="A55" t="s">
        <v>185</v>
      </c>
      <c r="B55">
        <v>86</v>
      </c>
      <c r="C55">
        <v>1720</v>
      </c>
    </row>
    <row r="56" spans="1:3" x14ac:dyDescent="0.35">
      <c r="A56" t="s">
        <v>186</v>
      </c>
      <c r="B56">
        <v>96</v>
      </c>
      <c r="C56">
        <v>1440</v>
      </c>
    </row>
    <row r="57" spans="1:3" x14ac:dyDescent="0.35">
      <c r="A57" t="s">
        <v>187</v>
      </c>
      <c r="B57">
        <v>65</v>
      </c>
      <c r="C57">
        <v>1170</v>
      </c>
    </row>
    <row r="58" spans="1:3" x14ac:dyDescent="0.35">
      <c r="A58" t="s">
        <v>188</v>
      </c>
      <c r="B58">
        <v>68</v>
      </c>
      <c r="C58">
        <v>1224</v>
      </c>
    </row>
    <row r="59" spans="1:3" x14ac:dyDescent="0.35">
      <c r="A59" t="s">
        <v>189</v>
      </c>
      <c r="B59">
        <v>72</v>
      </c>
      <c r="C59">
        <v>1296</v>
      </c>
    </row>
    <row r="60" spans="1:3" x14ac:dyDescent="0.35">
      <c r="A60" t="s">
        <v>190</v>
      </c>
      <c r="B60">
        <v>15</v>
      </c>
      <c r="C60">
        <v>375</v>
      </c>
    </row>
    <row r="61" spans="1:3" x14ac:dyDescent="0.35">
      <c r="A61" t="s">
        <v>191</v>
      </c>
      <c r="B61">
        <v>166</v>
      </c>
      <c r="C61">
        <v>3232</v>
      </c>
    </row>
    <row r="62" spans="1:3" x14ac:dyDescent="0.35">
      <c r="A62" t="s">
        <v>192</v>
      </c>
      <c r="B62">
        <v>26</v>
      </c>
      <c r="C62">
        <v>910</v>
      </c>
    </row>
    <row r="63" spans="1:3" x14ac:dyDescent="0.35">
      <c r="A63" t="s">
        <v>193</v>
      </c>
      <c r="B63">
        <v>336</v>
      </c>
      <c r="C63">
        <v>2688</v>
      </c>
    </row>
    <row r="64" spans="1:3" x14ac:dyDescent="0.35">
      <c r="A64" t="s">
        <v>194</v>
      </c>
      <c r="B64">
        <v>81</v>
      </c>
      <c r="C64">
        <v>1215</v>
      </c>
    </row>
    <row r="65" spans="1:3" x14ac:dyDescent="0.35">
      <c r="A65" t="s">
        <v>195</v>
      </c>
      <c r="B65">
        <v>46</v>
      </c>
      <c r="C65">
        <v>368</v>
      </c>
    </row>
    <row r="66" spans="1:3" x14ac:dyDescent="0.35">
      <c r="A66" t="s">
        <v>198</v>
      </c>
      <c r="B66">
        <v>54</v>
      </c>
      <c r="C66">
        <v>1350</v>
      </c>
    </row>
    <row r="67" spans="1:3" x14ac:dyDescent="0.35">
      <c r="A67" t="s">
        <v>196</v>
      </c>
      <c r="B67">
        <v>24</v>
      </c>
      <c r="C67">
        <v>240</v>
      </c>
    </row>
    <row r="68" spans="1:3" x14ac:dyDescent="0.35">
      <c r="A68" t="s">
        <v>197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zoomScale="35" workbookViewId="0">
      <selection activeCell="H14" sqref="H14"/>
    </sheetView>
  </sheetViews>
  <sheetFormatPr defaultColWidth="8.7265625" defaultRowHeight="14.5" x14ac:dyDescent="0.35"/>
  <sheetData>
    <row r="3" spans="3:14" x14ac:dyDescent="0.35">
      <c r="C3" s="75"/>
      <c r="D3" s="67"/>
    </row>
    <row r="4" spans="3:14" x14ac:dyDescent="0.35">
      <c r="C4" s="73"/>
      <c r="D4" s="73"/>
    </row>
    <row r="5" spans="3:14" x14ac:dyDescent="0.35">
      <c r="C5" s="17"/>
      <c r="D5" s="17"/>
    </row>
    <row r="6" spans="3:14" x14ac:dyDescent="0.35">
      <c r="C6" s="27"/>
      <c r="D6" s="27"/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/>
      <c r="K13" s="17"/>
      <c r="L13" s="17"/>
      <c r="M13" s="17"/>
      <c r="N13" s="17"/>
    </row>
    <row r="14" spans="3:14" x14ac:dyDescent="0.35">
      <c r="C14" s="73"/>
      <c r="D14" s="73"/>
      <c r="E14" s="73"/>
      <c r="F14" s="73"/>
      <c r="G14" s="73"/>
      <c r="J14" s="17"/>
      <c r="K14" s="17"/>
      <c r="L14" s="17"/>
      <c r="M14" s="17"/>
      <c r="N14" s="17"/>
    </row>
    <row r="15" spans="3:14" x14ac:dyDescent="0.35">
      <c r="C15" s="73"/>
      <c r="D15" s="73"/>
      <c r="E15" s="73"/>
      <c r="F15" s="73"/>
      <c r="G15" s="73"/>
      <c r="J15" s="17"/>
      <c r="K15" s="17"/>
      <c r="L15" s="17"/>
      <c r="M15" s="17"/>
      <c r="N15" s="17"/>
    </row>
    <row r="16" spans="3:14" x14ac:dyDescent="0.35">
      <c r="C16" s="73"/>
      <c r="D16" s="78"/>
      <c r="E16" s="79"/>
      <c r="F16" s="73"/>
      <c r="G16" s="73"/>
      <c r="J16" s="17"/>
      <c r="K16" s="17"/>
      <c r="L16" s="17"/>
      <c r="M16" s="17"/>
      <c r="N16" s="17"/>
    </row>
    <row r="17" spans="3:14" x14ac:dyDescent="0.35">
      <c r="C17" s="73"/>
      <c r="D17" s="73"/>
      <c r="E17" s="73"/>
      <c r="F17" s="73"/>
      <c r="G17" s="73"/>
      <c r="J17" s="17"/>
      <c r="K17" s="17"/>
      <c r="L17" s="17"/>
      <c r="M17" s="17"/>
      <c r="N17" s="17"/>
    </row>
    <row r="18" spans="3:14" x14ac:dyDescent="0.35">
      <c r="C18" s="73"/>
      <c r="D18" s="79"/>
      <c r="E18" s="73"/>
      <c r="F18" s="73"/>
      <c r="G18" s="73"/>
      <c r="J18" s="17"/>
      <c r="K18" s="17"/>
      <c r="L18" s="17"/>
      <c r="M18" s="17"/>
      <c r="N18" s="17"/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71" workbookViewId="0">
      <selection activeCell="B7" sqref="B7"/>
    </sheetView>
  </sheetViews>
  <sheetFormatPr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632812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90625" customWidth="1"/>
    <col min="17" max="17" width="8.6328125" customWidth="1"/>
    <col min="18" max="18" width="19.1796875" customWidth="1"/>
    <col min="19" max="19" width="8.9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251</v>
      </c>
      <c r="B2" s="99"/>
      <c r="C2" s="99"/>
      <c r="D2" s="100" t="s">
        <v>252</v>
      </c>
      <c r="E2" s="99"/>
      <c r="F2" s="99"/>
      <c r="G2" s="99"/>
      <c r="H2" s="99"/>
      <c r="I2" s="99"/>
      <c r="J2" s="99"/>
      <c r="K2" s="101" t="s">
        <v>253</v>
      </c>
      <c r="L2" s="99"/>
      <c r="M2" s="99"/>
      <c r="N2" s="99"/>
      <c r="O2" s="99"/>
      <c r="P2" s="66"/>
      <c r="R2" s="83" t="s">
        <v>242</v>
      </c>
      <c r="T2" t="s">
        <v>9</v>
      </c>
      <c r="U2" s="108">
        <f>SUM(S4:S15)-SUM(G5:G13)</f>
        <v>-2649.44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254</v>
      </c>
      <c r="B4" s="59" t="s">
        <v>122</v>
      </c>
      <c r="C4" s="99"/>
      <c r="D4" s="60" t="s">
        <v>255</v>
      </c>
      <c r="E4" s="60" t="s">
        <v>255</v>
      </c>
      <c r="F4" s="60" t="s">
        <v>256</v>
      </c>
      <c r="G4" s="60" t="s">
        <v>122</v>
      </c>
      <c r="H4" s="60" t="s">
        <v>257</v>
      </c>
      <c r="I4" s="60" t="s">
        <v>219</v>
      </c>
      <c r="J4" s="99"/>
      <c r="K4" s="61" t="s">
        <v>258</v>
      </c>
      <c r="L4" s="61" t="s">
        <v>255</v>
      </c>
      <c r="M4" s="61" t="s">
        <v>256</v>
      </c>
      <c r="N4" s="61" t="s">
        <v>122</v>
      </c>
      <c r="O4" s="61" t="s">
        <v>219</v>
      </c>
      <c r="R4" t="s">
        <v>46</v>
      </c>
      <c r="S4">
        <v>-30</v>
      </c>
      <c r="T4" t="s">
        <v>259</v>
      </c>
      <c r="U4">
        <v>19204740000</v>
      </c>
      <c r="V4" s="187" t="s">
        <v>260</v>
      </c>
    </row>
    <row r="5" spans="1:22" ht="15" customHeight="1" thickBot="1" x14ac:dyDescent="0.4">
      <c r="A5" s="62" t="s">
        <v>261</v>
      </c>
      <c r="B5" s="102">
        <f>SUM(G5:G17)</f>
        <v>829</v>
      </c>
      <c r="C5" s="99"/>
      <c r="D5" s="63" t="s">
        <v>262</v>
      </c>
      <c r="E5" s="63" t="s">
        <v>263</v>
      </c>
      <c r="F5" s="63" t="s">
        <v>264</v>
      </c>
      <c r="G5" s="104">
        <v>315</v>
      </c>
      <c r="H5" s="64">
        <v>30007202462</v>
      </c>
      <c r="I5" s="63" t="s">
        <v>265</v>
      </c>
      <c r="J5" s="99"/>
      <c r="K5" s="65" t="s">
        <v>266</v>
      </c>
      <c r="L5" s="65" t="s">
        <v>267</v>
      </c>
      <c r="M5" s="65" t="s">
        <v>264</v>
      </c>
      <c r="N5" s="106">
        <v>405</v>
      </c>
      <c r="O5" s="65" t="s">
        <v>268</v>
      </c>
      <c r="R5" t="s">
        <v>31</v>
      </c>
      <c r="S5">
        <v>-114.24</v>
      </c>
      <c r="T5" t="s">
        <v>269</v>
      </c>
      <c r="U5">
        <v>50597930000</v>
      </c>
      <c r="V5" s="187" t="s">
        <v>270</v>
      </c>
    </row>
    <row r="6" spans="1:22" ht="15" customHeight="1" thickBot="1" x14ac:dyDescent="0.4">
      <c r="A6" s="62" t="s">
        <v>271</v>
      </c>
      <c r="B6" s="102">
        <v>810</v>
      </c>
      <c r="C6" s="99"/>
      <c r="D6" s="63" t="s">
        <v>272</v>
      </c>
      <c r="E6" s="63" t="s">
        <v>273</v>
      </c>
      <c r="F6" s="63" t="s">
        <v>264</v>
      </c>
      <c r="G6" s="104">
        <v>315</v>
      </c>
      <c r="H6" s="64">
        <v>30303937613</v>
      </c>
      <c r="I6" s="63" t="s">
        <v>265</v>
      </c>
      <c r="J6" s="99"/>
      <c r="K6" s="65" t="s">
        <v>274</v>
      </c>
      <c r="L6" s="65" t="s">
        <v>275</v>
      </c>
      <c r="M6" s="65" t="s">
        <v>264</v>
      </c>
      <c r="N6" s="106">
        <v>405</v>
      </c>
      <c r="O6" s="65" t="s">
        <v>268</v>
      </c>
      <c r="R6" t="s">
        <v>31</v>
      </c>
      <c r="S6">
        <v>-67.2</v>
      </c>
      <c r="T6" t="s">
        <v>276</v>
      </c>
      <c r="U6">
        <v>50597940000</v>
      </c>
      <c r="V6" s="187" t="s">
        <v>277</v>
      </c>
    </row>
    <row r="7" spans="1:22" ht="15" customHeight="1" thickBot="1" x14ac:dyDescent="0.4">
      <c r="A7" s="62" t="s">
        <v>278</v>
      </c>
      <c r="B7" s="102">
        <f>SUM(S4:S16)</f>
        <v>-1820.44</v>
      </c>
      <c r="C7" s="99"/>
      <c r="D7" s="63" t="s">
        <v>279</v>
      </c>
      <c r="E7" s="63" t="s">
        <v>280</v>
      </c>
      <c r="F7" s="63" t="s">
        <v>281</v>
      </c>
      <c r="G7" s="104">
        <v>30</v>
      </c>
      <c r="H7" s="64">
        <v>30005311655</v>
      </c>
      <c r="I7" s="63" t="s">
        <v>265</v>
      </c>
      <c r="J7" s="99"/>
      <c r="K7" s="65"/>
      <c r="L7" s="65"/>
      <c r="M7" s="65"/>
      <c r="N7" s="106">
        <v>0</v>
      </c>
      <c r="O7" s="65" t="s">
        <v>268</v>
      </c>
      <c r="R7" t="s">
        <v>49</v>
      </c>
      <c r="S7">
        <v>-169</v>
      </c>
      <c r="T7" t="s">
        <v>282</v>
      </c>
      <c r="U7">
        <v>12605890000</v>
      </c>
      <c r="V7" s="187" t="s">
        <v>283</v>
      </c>
    </row>
    <row r="8" spans="1:22" ht="15" customHeight="1" thickBot="1" x14ac:dyDescent="0.4">
      <c r="A8" s="99" t="s">
        <v>295</v>
      </c>
      <c r="B8" s="103">
        <f>B5+B6+B7</f>
        <v>-181.44000000000005</v>
      </c>
      <c r="C8" s="99"/>
      <c r="D8" s="63" t="s">
        <v>284</v>
      </c>
      <c r="E8" s="63" t="s">
        <v>285</v>
      </c>
      <c r="F8" s="63" t="s">
        <v>57</v>
      </c>
      <c r="G8" s="104">
        <v>169</v>
      </c>
      <c r="H8" s="64">
        <v>28016632246</v>
      </c>
      <c r="I8" s="63" t="s">
        <v>268</v>
      </c>
      <c r="J8" s="99"/>
      <c r="K8" s="65"/>
      <c r="L8" s="65"/>
      <c r="M8" s="65"/>
      <c r="N8" s="106">
        <v>0</v>
      </c>
      <c r="O8" s="65" t="s">
        <v>268</v>
      </c>
      <c r="R8" t="s">
        <v>248</v>
      </c>
      <c r="S8">
        <v>-315</v>
      </c>
      <c r="T8" t="s">
        <v>286</v>
      </c>
      <c r="U8">
        <v>57384120000</v>
      </c>
      <c r="V8" s="187" t="s">
        <v>287</v>
      </c>
    </row>
    <row r="9" spans="1:22" ht="15" customHeight="1" thickBot="1" x14ac:dyDescent="0.4">
      <c r="A9" s="99"/>
      <c r="B9" s="103"/>
      <c r="C9" s="99"/>
      <c r="D9" s="63"/>
      <c r="E9" s="63"/>
      <c r="F9" s="63"/>
      <c r="G9" s="104">
        <v>0</v>
      </c>
      <c r="H9" s="63"/>
      <c r="I9" s="63" t="s">
        <v>268</v>
      </c>
      <c r="J9" s="99"/>
      <c r="K9" s="65"/>
      <c r="L9" s="65"/>
      <c r="M9" s="65"/>
      <c r="N9" s="106">
        <v>0</v>
      </c>
      <c r="O9" s="65" t="s">
        <v>268</v>
      </c>
      <c r="R9" t="s">
        <v>248</v>
      </c>
      <c r="S9">
        <v>-315</v>
      </c>
      <c r="T9" t="s">
        <v>288</v>
      </c>
      <c r="U9">
        <v>57384110000</v>
      </c>
      <c r="V9" s="187" t="s">
        <v>289</v>
      </c>
    </row>
    <row r="10" spans="1:22" ht="15" customHeight="1" thickBot="1" x14ac:dyDescent="0.4">
      <c r="A10" s="99"/>
      <c r="B10" s="103"/>
      <c r="C10" s="99"/>
      <c r="D10" s="63"/>
      <c r="E10" s="63"/>
      <c r="F10" s="63"/>
      <c r="G10" s="105"/>
      <c r="H10" s="63"/>
      <c r="I10" s="63" t="s">
        <v>268</v>
      </c>
      <c r="J10" s="99"/>
      <c r="K10" s="65"/>
      <c r="L10" s="65"/>
      <c r="M10" s="65"/>
      <c r="N10" s="107"/>
      <c r="O10" s="65" t="s">
        <v>268</v>
      </c>
      <c r="R10" t="s">
        <v>509</v>
      </c>
      <c r="S10">
        <v>-810</v>
      </c>
      <c r="T10" t="s">
        <v>516</v>
      </c>
      <c r="U10">
        <v>47188440000</v>
      </c>
      <c r="V10" s="187" t="s">
        <v>517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 t="s">
        <v>268</v>
      </c>
      <c r="J11" s="99"/>
      <c r="K11" s="65"/>
      <c r="L11" s="65"/>
      <c r="M11" s="65"/>
      <c r="N11" s="107"/>
      <c r="O11" s="65" t="s">
        <v>268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86"/>
  <sheetViews>
    <sheetView zoomScale="90" workbookViewId="0">
      <selection activeCell="D6" sqref="D6"/>
    </sheetView>
  </sheetViews>
  <sheetFormatPr defaultColWidth="8.81640625" defaultRowHeight="14.5" x14ac:dyDescent="0.35"/>
  <cols>
    <col min="1" max="1" width="19.81640625" customWidth="1"/>
    <col min="2" max="3" width="15.36328125" customWidth="1"/>
    <col min="4" max="4" width="16.36328125" customWidth="1"/>
    <col min="5" max="5" width="17.26953125" customWidth="1"/>
    <col min="6" max="6" width="21.453125" customWidth="1"/>
    <col min="7" max="7" width="25.81640625" customWidth="1"/>
    <col min="9" max="9" width="8.90625" bestFit="1" customWidth="1"/>
    <col min="12" max="12" width="11" bestFit="1" customWidth="1"/>
    <col min="30" max="30" width="21.1796875" customWidth="1"/>
    <col min="31" max="31" width="17.453125" customWidth="1"/>
    <col min="32" max="32" width="19" customWidth="1"/>
    <col min="33" max="33" width="12.6328125" customWidth="1"/>
    <col min="34" max="34" width="22.36328125" customWidth="1"/>
  </cols>
  <sheetData>
    <row r="1" spans="1:15" x14ac:dyDescent="0.35">
      <c r="A1" s="67" t="s">
        <v>14</v>
      </c>
    </row>
    <row r="3" spans="1:15" x14ac:dyDescent="0.35">
      <c r="B3" t="s">
        <v>290</v>
      </c>
      <c r="C3">
        <f>SUM(B11:B21)</f>
        <v>-41390.25</v>
      </c>
    </row>
    <row r="4" spans="1:15" x14ac:dyDescent="0.35">
      <c r="B4" t="s">
        <v>291</v>
      </c>
      <c r="C4">
        <f>SUM(I11:I1000)</f>
        <v>741769</v>
      </c>
    </row>
    <row r="5" spans="1:15" x14ac:dyDescent="0.35">
      <c r="B5" t="s">
        <v>292</v>
      </c>
      <c r="C5">
        <f>C3+C4</f>
        <v>700378.75</v>
      </c>
    </row>
    <row r="10" spans="1:15" x14ac:dyDescent="0.35">
      <c r="A10" s="80" t="s">
        <v>293</v>
      </c>
      <c r="B10" s="80" t="s">
        <v>26</v>
      </c>
      <c r="C10" s="80" t="s">
        <v>23</v>
      </c>
      <c r="D10" s="80" t="s">
        <v>294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294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695</v>
      </c>
      <c r="D11" s="81" t="s">
        <v>696</v>
      </c>
      <c r="E11" s="73">
        <v>19204770000</v>
      </c>
      <c r="F11" s="81" t="s">
        <v>46</v>
      </c>
      <c r="G11" s="73" t="s">
        <v>697</v>
      </c>
      <c r="I11" s="17">
        <v>1240</v>
      </c>
      <c r="J11" s="17" t="s">
        <v>5</v>
      </c>
      <c r="K11" s="17" t="s">
        <v>791</v>
      </c>
      <c r="L11" s="17">
        <v>8031951642</v>
      </c>
      <c r="M11" s="17" t="s">
        <v>79</v>
      </c>
      <c r="N11" s="17"/>
      <c r="O11" s="17"/>
    </row>
    <row r="12" spans="1:15" ht="29" x14ac:dyDescent="0.35">
      <c r="A12" s="73"/>
      <c r="B12" s="73">
        <v>-12689</v>
      </c>
      <c r="C12" s="81" t="s">
        <v>652</v>
      </c>
      <c r="D12" s="81" t="s">
        <v>698</v>
      </c>
      <c r="E12" s="73">
        <v>22959020000</v>
      </c>
      <c r="F12" s="81" t="s">
        <v>699</v>
      </c>
      <c r="G12" s="186" t="s">
        <v>700</v>
      </c>
      <c r="I12" s="17">
        <v>5257</v>
      </c>
      <c r="J12" s="17" t="s">
        <v>5</v>
      </c>
      <c r="K12" s="17" t="s">
        <v>791</v>
      </c>
      <c r="L12" s="17">
        <v>8031115316</v>
      </c>
      <c r="M12" s="17" t="s">
        <v>79</v>
      </c>
      <c r="N12" s="17"/>
      <c r="O12" s="17"/>
    </row>
    <row r="13" spans="1:15" ht="29" x14ac:dyDescent="0.35">
      <c r="A13" s="73"/>
      <c r="B13" s="73">
        <v>-5980</v>
      </c>
      <c r="C13" s="73" t="s">
        <v>652</v>
      </c>
      <c r="D13" s="81" t="s">
        <v>698</v>
      </c>
      <c r="E13" s="73">
        <v>22959030000</v>
      </c>
      <c r="F13" s="73" t="s">
        <v>699</v>
      </c>
      <c r="G13" s="186" t="s">
        <v>701</v>
      </c>
      <c r="I13" s="17">
        <v>1000</v>
      </c>
      <c r="J13" s="17" t="s">
        <v>5</v>
      </c>
      <c r="K13" s="17" t="s">
        <v>791</v>
      </c>
      <c r="L13" s="17">
        <v>8031984939</v>
      </c>
      <c r="M13" s="17" t="s">
        <v>79</v>
      </c>
      <c r="N13" s="17"/>
      <c r="O13" s="17"/>
    </row>
    <row r="14" spans="1:15" x14ac:dyDescent="0.35">
      <c r="A14" s="73"/>
      <c r="B14" s="73">
        <v>-556.25</v>
      </c>
      <c r="C14" s="73" t="s">
        <v>695</v>
      </c>
      <c r="D14" s="73" t="s">
        <v>696</v>
      </c>
      <c r="E14" s="73">
        <v>22959010000</v>
      </c>
      <c r="F14" s="73" t="s">
        <v>699</v>
      </c>
      <c r="G14" s="73" t="s">
        <v>697</v>
      </c>
      <c r="I14" s="17">
        <v>3540</v>
      </c>
      <c r="J14" s="17" t="s">
        <v>5</v>
      </c>
      <c r="K14" s="17" t="s">
        <v>791</v>
      </c>
      <c r="L14" s="17">
        <v>8030968226</v>
      </c>
      <c r="M14" s="17" t="s">
        <v>94</v>
      </c>
      <c r="N14" s="17"/>
      <c r="O14" s="17"/>
    </row>
    <row r="15" spans="1:15" ht="29" x14ac:dyDescent="0.35">
      <c r="A15" s="73"/>
      <c r="B15" s="73">
        <v>-5990</v>
      </c>
      <c r="C15" s="73" t="s">
        <v>702</v>
      </c>
      <c r="D15" s="73" t="s">
        <v>703</v>
      </c>
      <c r="E15" s="73">
        <v>22959040000</v>
      </c>
      <c r="F15" s="73" t="s">
        <v>699</v>
      </c>
      <c r="G15" s="186" t="s">
        <v>704</v>
      </c>
      <c r="I15" s="17">
        <v>1200</v>
      </c>
      <c r="J15" s="17" t="s">
        <v>5</v>
      </c>
      <c r="K15" s="17" t="s">
        <v>791</v>
      </c>
      <c r="L15" s="17">
        <v>8030999053</v>
      </c>
      <c r="M15" s="17" t="s">
        <v>94</v>
      </c>
      <c r="N15" s="17"/>
      <c r="O15" s="17"/>
    </row>
    <row r="16" spans="1:15" ht="29" x14ac:dyDescent="0.35">
      <c r="A16" s="73"/>
      <c r="B16" s="73">
        <v>-8905</v>
      </c>
      <c r="C16" s="73" t="s">
        <v>695</v>
      </c>
      <c r="D16" s="73" t="s">
        <v>696</v>
      </c>
      <c r="E16" s="73">
        <v>11235680000</v>
      </c>
      <c r="F16" s="73" t="s">
        <v>41</v>
      </c>
      <c r="G16" s="186" t="s">
        <v>705</v>
      </c>
      <c r="I16" s="17">
        <v>3478</v>
      </c>
      <c r="J16" s="17" t="s">
        <v>5</v>
      </c>
      <c r="K16" s="17" t="s">
        <v>791</v>
      </c>
      <c r="L16" s="17">
        <v>8030917211</v>
      </c>
      <c r="M16" s="17" t="s">
        <v>94</v>
      </c>
      <c r="N16" s="17"/>
      <c r="O16" s="17"/>
    </row>
    <row r="17" spans="2:13" x14ac:dyDescent="0.35">
      <c r="B17">
        <v>-4875</v>
      </c>
      <c r="C17" t="s">
        <v>695</v>
      </c>
      <c r="D17" t="s">
        <v>696</v>
      </c>
      <c r="E17">
        <v>94480440000</v>
      </c>
      <c r="F17" t="s">
        <v>706</v>
      </c>
      <c r="G17" t="s">
        <v>697</v>
      </c>
      <c r="I17">
        <v>1400</v>
      </c>
      <c r="J17" t="s">
        <v>5</v>
      </c>
      <c r="K17" t="s">
        <v>791</v>
      </c>
      <c r="L17">
        <v>8030982824</v>
      </c>
      <c r="M17" t="s">
        <v>94</v>
      </c>
    </row>
    <row r="18" spans="2:13" x14ac:dyDescent="0.35">
      <c r="I18">
        <v>2740</v>
      </c>
      <c r="J18" t="s">
        <v>5</v>
      </c>
      <c r="K18" t="s">
        <v>791</v>
      </c>
      <c r="L18">
        <v>8030115751</v>
      </c>
      <c r="M18" t="s">
        <v>94</v>
      </c>
    </row>
    <row r="19" spans="2:13" x14ac:dyDescent="0.35">
      <c r="I19">
        <v>44</v>
      </c>
      <c r="J19" t="s">
        <v>5</v>
      </c>
      <c r="K19" t="s">
        <v>791</v>
      </c>
      <c r="L19">
        <v>8029120845</v>
      </c>
      <c r="M19" t="s">
        <v>790</v>
      </c>
    </row>
    <row r="20" spans="2:13" x14ac:dyDescent="0.35">
      <c r="I20">
        <v>1130</v>
      </c>
      <c r="J20" t="s">
        <v>5</v>
      </c>
      <c r="K20" t="s">
        <v>791</v>
      </c>
      <c r="L20">
        <v>8029922654</v>
      </c>
      <c r="M20" t="s">
        <v>93</v>
      </c>
    </row>
    <row r="21" spans="2:13" x14ac:dyDescent="0.35">
      <c r="I21">
        <v>4349</v>
      </c>
      <c r="J21" t="s">
        <v>5</v>
      </c>
      <c r="K21" t="s">
        <v>791</v>
      </c>
      <c r="L21">
        <v>8029111959</v>
      </c>
      <c r="M21" t="s">
        <v>93</v>
      </c>
    </row>
    <row r="22" spans="2:13" x14ac:dyDescent="0.35">
      <c r="I22">
        <v>1600</v>
      </c>
      <c r="J22" t="s">
        <v>5</v>
      </c>
      <c r="K22" t="s">
        <v>791</v>
      </c>
      <c r="L22">
        <v>8029952151</v>
      </c>
      <c r="M22" t="s">
        <v>93</v>
      </c>
    </row>
    <row r="23" spans="2:13" x14ac:dyDescent="0.35">
      <c r="I23">
        <v>660</v>
      </c>
      <c r="J23" t="s">
        <v>5</v>
      </c>
      <c r="K23" t="s">
        <v>791</v>
      </c>
      <c r="L23">
        <v>8028974343</v>
      </c>
      <c r="M23" t="s">
        <v>37</v>
      </c>
    </row>
    <row r="24" spans="2:13" x14ac:dyDescent="0.35">
      <c r="I24">
        <v>540</v>
      </c>
      <c r="J24" t="s">
        <v>5</v>
      </c>
      <c r="K24" t="s">
        <v>791</v>
      </c>
      <c r="L24">
        <v>8028946311</v>
      </c>
      <c r="M24" t="s">
        <v>37</v>
      </c>
    </row>
    <row r="25" spans="2:13" x14ac:dyDescent="0.35">
      <c r="I25">
        <v>19215</v>
      </c>
      <c r="J25" t="s">
        <v>5</v>
      </c>
      <c r="K25" t="s">
        <v>791</v>
      </c>
      <c r="L25">
        <v>8028111826</v>
      </c>
      <c r="M25" t="s">
        <v>37</v>
      </c>
    </row>
    <row r="26" spans="2:13" x14ac:dyDescent="0.35">
      <c r="I26">
        <v>2100</v>
      </c>
      <c r="J26" t="s">
        <v>5</v>
      </c>
      <c r="K26" t="s">
        <v>791</v>
      </c>
      <c r="L26">
        <v>8028960202</v>
      </c>
      <c r="M26" t="s">
        <v>37</v>
      </c>
    </row>
    <row r="27" spans="2:13" x14ac:dyDescent="0.35">
      <c r="I27">
        <v>500</v>
      </c>
      <c r="J27" t="s">
        <v>5</v>
      </c>
      <c r="K27" t="s">
        <v>791</v>
      </c>
      <c r="L27">
        <v>8027113509</v>
      </c>
      <c r="M27" t="s">
        <v>92</v>
      </c>
    </row>
    <row r="28" spans="2:13" x14ac:dyDescent="0.35">
      <c r="I28">
        <v>616</v>
      </c>
      <c r="J28" t="s">
        <v>5</v>
      </c>
      <c r="K28" t="s">
        <v>791</v>
      </c>
      <c r="L28">
        <v>8027908004</v>
      </c>
      <c r="M28" t="s">
        <v>91</v>
      </c>
    </row>
    <row r="29" spans="2:13" x14ac:dyDescent="0.35">
      <c r="I29">
        <v>4746</v>
      </c>
      <c r="J29" t="s">
        <v>5</v>
      </c>
      <c r="K29" t="s">
        <v>791</v>
      </c>
      <c r="L29">
        <v>8027977461</v>
      </c>
      <c r="M29" t="s">
        <v>91</v>
      </c>
    </row>
    <row r="30" spans="2:13" x14ac:dyDescent="0.35">
      <c r="I30">
        <v>655</v>
      </c>
      <c r="J30" t="s">
        <v>5</v>
      </c>
      <c r="K30" t="s">
        <v>791</v>
      </c>
      <c r="L30">
        <v>8027991323</v>
      </c>
      <c r="M30" t="s">
        <v>91</v>
      </c>
    </row>
    <row r="31" spans="2:13" x14ac:dyDescent="0.35">
      <c r="I31">
        <v>5035</v>
      </c>
      <c r="J31" t="s">
        <v>5</v>
      </c>
      <c r="K31" t="s">
        <v>791</v>
      </c>
      <c r="L31">
        <v>8027927353</v>
      </c>
      <c r="M31" t="s">
        <v>91</v>
      </c>
    </row>
    <row r="32" spans="2:13" x14ac:dyDescent="0.35">
      <c r="I32">
        <v>42170</v>
      </c>
      <c r="J32" t="s">
        <v>5</v>
      </c>
      <c r="K32" t="s">
        <v>791</v>
      </c>
      <c r="L32">
        <v>8027119746</v>
      </c>
      <c r="M32" t="s">
        <v>91</v>
      </c>
    </row>
    <row r="33" spans="9:13" x14ac:dyDescent="0.35">
      <c r="I33">
        <v>780</v>
      </c>
      <c r="J33" t="s">
        <v>5</v>
      </c>
      <c r="K33" t="s">
        <v>791</v>
      </c>
      <c r="L33">
        <v>8024119742</v>
      </c>
      <c r="M33" t="s">
        <v>90</v>
      </c>
    </row>
    <row r="34" spans="9:13" x14ac:dyDescent="0.35">
      <c r="I34">
        <v>28554</v>
      </c>
      <c r="J34" t="s">
        <v>5</v>
      </c>
      <c r="K34" t="s">
        <v>791</v>
      </c>
      <c r="L34">
        <v>8024113194</v>
      </c>
      <c r="M34" t="s">
        <v>89</v>
      </c>
    </row>
    <row r="35" spans="9:13" x14ac:dyDescent="0.35">
      <c r="I35">
        <v>2956</v>
      </c>
      <c r="J35" t="s">
        <v>5</v>
      </c>
      <c r="K35" t="s">
        <v>791</v>
      </c>
      <c r="L35">
        <v>8024951821</v>
      </c>
      <c r="M35" t="s">
        <v>89</v>
      </c>
    </row>
    <row r="36" spans="9:13" x14ac:dyDescent="0.35">
      <c r="I36">
        <v>1150</v>
      </c>
      <c r="J36" t="s">
        <v>5</v>
      </c>
      <c r="K36" t="s">
        <v>791</v>
      </c>
      <c r="L36">
        <v>8024936193</v>
      </c>
      <c r="M36" t="s">
        <v>89</v>
      </c>
    </row>
    <row r="37" spans="9:13" x14ac:dyDescent="0.35">
      <c r="I37">
        <v>2350</v>
      </c>
      <c r="J37" t="s">
        <v>5</v>
      </c>
      <c r="K37" t="s">
        <v>791</v>
      </c>
      <c r="L37">
        <v>8024907957</v>
      </c>
      <c r="M37" t="s">
        <v>89</v>
      </c>
    </row>
    <row r="38" spans="9:13" x14ac:dyDescent="0.35">
      <c r="I38">
        <v>3925</v>
      </c>
      <c r="J38" t="s">
        <v>5</v>
      </c>
      <c r="K38" t="s">
        <v>791</v>
      </c>
      <c r="L38">
        <v>8024921375</v>
      </c>
      <c r="M38" t="s">
        <v>89</v>
      </c>
    </row>
    <row r="39" spans="9:13" x14ac:dyDescent="0.35">
      <c r="I39">
        <v>1240</v>
      </c>
      <c r="J39" t="s">
        <v>5</v>
      </c>
      <c r="K39" t="s">
        <v>791</v>
      </c>
      <c r="L39">
        <v>8023950498</v>
      </c>
      <c r="M39" t="s">
        <v>61</v>
      </c>
    </row>
    <row r="40" spans="9:13" x14ac:dyDescent="0.35">
      <c r="I40">
        <v>48311</v>
      </c>
      <c r="J40" t="s">
        <v>5</v>
      </c>
      <c r="K40" t="s">
        <v>791</v>
      </c>
      <c r="L40">
        <v>8023113140</v>
      </c>
      <c r="M40" t="s">
        <v>61</v>
      </c>
    </row>
    <row r="41" spans="9:13" x14ac:dyDescent="0.35">
      <c r="I41">
        <v>6975</v>
      </c>
      <c r="J41" t="s">
        <v>5</v>
      </c>
      <c r="K41" t="s">
        <v>791</v>
      </c>
      <c r="L41">
        <v>8023991880</v>
      </c>
      <c r="M41" t="s">
        <v>61</v>
      </c>
    </row>
    <row r="42" spans="9:13" x14ac:dyDescent="0.35">
      <c r="I42">
        <v>9316</v>
      </c>
      <c r="J42" t="s">
        <v>5</v>
      </c>
      <c r="K42" t="s">
        <v>791</v>
      </c>
      <c r="L42">
        <v>8023962234</v>
      </c>
      <c r="M42" t="s">
        <v>61</v>
      </c>
    </row>
    <row r="43" spans="9:13" x14ac:dyDescent="0.35">
      <c r="I43">
        <v>7630</v>
      </c>
      <c r="J43" t="s">
        <v>5</v>
      </c>
      <c r="K43" t="s">
        <v>791</v>
      </c>
      <c r="L43">
        <v>8023976130</v>
      </c>
      <c r="M43" t="s">
        <v>61</v>
      </c>
    </row>
    <row r="44" spans="9:13" x14ac:dyDescent="0.35">
      <c r="I44">
        <v>11890</v>
      </c>
      <c r="J44" t="s">
        <v>5</v>
      </c>
      <c r="K44" t="s">
        <v>791</v>
      </c>
      <c r="L44">
        <v>8022904938</v>
      </c>
      <c r="M44" t="s">
        <v>88</v>
      </c>
    </row>
    <row r="45" spans="9:13" x14ac:dyDescent="0.35">
      <c r="I45">
        <v>5570</v>
      </c>
      <c r="J45" t="s">
        <v>5</v>
      </c>
      <c r="K45" t="s">
        <v>791</v>
      </c>
      <c r="L45">
        <v>8022935214</v>
      </c>
      <c r="M45" t="s">
        <v>88</v>
      </c>
    </row>
    <row r="46" spans="9:13" x14ac:dyDescent="0.35">
      <c r="I46">
        <v>7100</v>
      </c>
      <c r="J46" t="s">
        <v>5</v>
      </c>
      <c r="K46" t="s">
        <v>791</v>
      </c>
      <c r="L46">
        <v>8022992299</v>
      </c>
      <c r="M46" t="s">
        <v>88</v>
      </c>
    </row>
    <row r="47" spans="9:13" x14ac:dyDescent="0.35">
      <c r="I47">
        <v>10425</v>
      </c>
      <c r="J47" t="s">
        <v>5</v>
      </c>
      <c r="K47" t="s">
        <v>791</v>
      </c>
      <c r="L47">
        <v>8022919540</v>
      </c>
      <c r="M47" t="s">
        <v>88</v>
      </c>
    </row>
    <row r="48" spans="9:13" x14ac:dyDescent="0.35">
      <c r="I48">
        <v>177414</v>
      </c>
      <c r="J48" t="s">
        <v>5</v>
      </c>
      <c r="K48" t="s">
        <v>791</v>
      </c>
      <c r="L48">
        <v>8022113608</v>
      </c>
      <c r="M48" t="s">
        <v>88</v>
      </c>
    </row>
    <row r="49" spans="9:13" x14ac:dyDescent="0.35">
      <c r="I49">
        <v>1725</v>
      </c>
      <c r="J49" t="s">
        <v>5</v>
      </c>
      <c r="K49" t="s">
        <v>791</v>
      </c>
      <c r="L49">
        <v>8021115323</v>
      </c>
      <c r="M49" t="s">
        <v>87</v>
      </c>
    </row>
    <row r="50" spans="9:13" x14ac:dyDescent="0.35">
      <c r="I50">
        <v>55380</v>
      </c>
      <c r="J50" t="s">
        <v>5</v>
      </c>
      <c r="K50" t="s">
        <v>791</v>
      </c>
      <c r="L50">
        <v>8021956835</v>
      </c>
      <c r="M50" t="s">
        <v>52</v>
      </c>
    </row>
    <row r="51" spans="9:13" x14ac:dyDescent="0.35">
      <c r="I51">
        <v>177935</v>
      </c>
      <c r="J51" t="s">
        <v>5</v>
      </c>
      <c r="K51" t="s">
        <v>791</v>
      </c>
      <c r="L51">
        <v>8021974574</v>
      </c>
      <c r="M51" t="s">
        <v>52</v>
      </c>
    </row>
    <row r="52" spans="9:13" x14ac:dyDescent="0.35">
      <c r="I52">
        <v>2820</v>
      </c>
      <c r="J52" t="s">
        <v>5</v>
      </c>
      <c r="K52" t="s">
        <v>791</v>
      </c>
      <c r="L52">
        <v>8021940906</v>
      </c>
      <c r="M52" t="s">
        <v>52</v>
      </c>
    </row>
    <row r="53" spans="9:13" x14ac:dyDescent="0.35">
      <c r="I53">
        <v>500</v>
      </c>
      <c r="J53" t="s">
        <v>5</v>
      </c>
      <c r="K53" t="s">
        <v>791</v>
      </c>
      <c r="L53">
        <v>8020117971</v>
      </c>
      <c r="M53" t="s">
        <v>86</v>
      </c>
    </row>
    <row r="54" spans="9:13" x14ac:dyDescent="0.35">
      <c r="I54">
        <v>1600</v>
      </c>
      <c r="J54" t="s">
        <v>5</v>
      </c>
      <c r="K54" t="s">
        <v>791</v>
      </c>
      <c r="L54">
        <v>8020913893</v>
      </c>
      <c r="M54" t="s">
        <v>86</v>
      </c>
    </row>
    <row r="55" spans="9:13" x14ac:dyDescent="0.35">
      <c r="I55">
        <v>2300</v>
      </c>
      <c r="J55" t="s">
        <v>5</v>
      </c>
      <c r="K55" t="s">
        <v>791</v>
      </c>
      <c r="L55">
        <v>8020972254</v>
      </c>
      <c r="M55" t="s">
        <v>86</v>
      </c>
    </row>
    <row r="56" spans="9:13" x14ac:dyDescent="0.35">
      <c r="I56">
        <v>1520</v>
      </c>
      <c r="J56" t="s">
        <v>5</v>
      </c>
      <c r="K56" t="s">
        <v>791</v>
      </c>
      <c r="L56">
        <v>8019113484</v>
      </c>
      <c r="M56" t="s">
        <v>85</v>
      </c>
    </row>
    <row r="57" spans="9:13" x14ac:dyDescent="0.35">
      <c r="I57">
        <v>250</v>
      </c>
      <c r="J57" t="s">
        <v>5</v>
      </c>
      <c r="K57" t="s">
        <v>791</v>
      </c>
      <c r="L57">
        <v>8018984704</v>
      </c>
      <c r="M57" t="s">
        <v>84</v>
      </c>
    </row>
    <row r="58" spans="9:13" x14ac:dyDescent="0.35">
      <c r="I58">
        <v>2150</v>
      </c>
      <c r="J58" t="s">
        <v>5</v>
      </c>
      <c r="K58" t="s">
        <v>791</v>
      </c>
      <c r="L58">
        <v>8018112901</v>
      </c>
      <c r="M58" t="s">
        <v>84</v>
      </c>
    </row>
    <row r="59" spans="9:13" x14ac:dyDescent="0.35">
      <c r="I59">
        <v>1260</v>
      </c>
      <c r="J59" t="s">
        <v>5</v>
      </c>
      <c r="K59" t="s">
        <v>791</v>
      </c>
      <c r="L59">
        <v>8017982693</v>
      </c>
      <c r="M59" t="s">
        <v>50</v>
      </c>
    </row>
    <row r="60" spans="9:13" x14ac:dyDescent="0.35">
      <c r="I60">
        <v>1867</v>
      </c>
      <c r="J60" t="s">
        <v>5</v>
      </c>
      <c r="K60" t="s">
        <v>791</v>
      </c>
      <c r="L60">
        <v>8017123814</v>
      </c>
      <c r="M60" t="s">
        <v>50</v>
      </c>
    </row>
    <row r="61" spans="9:13" x14ac:dyDescent="0.35">
      <c r="I61">
        <v>1300</v>
      </c>
      <c r="J61" t="s">
        <v>5</v>
      </c>
      <c r="K61" t="s">
        <v>791</v>
      </c>
      <c r="L61">
        <v>8016934193</v>
      </c>
      <c r="M61" t="s">
        <v>60</v>
      </c>
    </row>
    <row r="62" spans="9:13" x14ac:dyDescent="0.35">
      <c r="I62">
        <v>355</v>
      </c>
      <c r="J62" t="s">
        <v>5</v>
      </c>
      <c r="K62" t="s">
        <v>791</v>
      </c>
      <c r="L62">
        <v>8015124026</v>
      </c>
      <c r="M62" t="s">
        <v>486</v>
      </c>
    </row>
    <row r="63" spans="9:13" x14ac:dyDescent="0.35">
      <c r="I63">
        <v>520</v>
      </c>
      <c r="J63" t="s">
        <v>5</v>
      </c>
      <c r="K63" t="s">
        <v>791</v>
      </c>
      <c r="L63">
        <v>8014928769</v>
      </c>
      <c r="M63" t="s">
        <v>540</v>
      </c>
    </row>
    <row r="64" spans="9:13" x14ac:dyDescent="0.35">
      <c r="I64">
        <v>1500</v>
      </c>
      <c r="J64" t="s">
        <v>5</v>
      </c>
      <c r="K64" t="s">
        <v>791</v>
      </c>
      <c r="L64">
        <v>8014117719</v>
      </c>
      <c r="M64" t="s">
        <v>540</v>
      </c>
    </row>
    <row r="65" spans="9:13" x14ac:dyDescent="0.35">
      <c r="I65">
        <v>3827</v>
      </c>
      <c r="J65" t="s">
        <v>5</v>
      </c>
      <c r="K65" t="s">
        <v>791</v>
      </c>
      <c r="L65">
        <v>8013114633</v>
      </c>
      <c r="M65" t="s">
        <v>693</v>
      </c>
    </row>
    <row r="66" spans="9:13" x14ac:dyDescent="0.35">
      <c r="I66">
        <v>3307</v>
      </c>
      <c r="J66" t="s">
        <v>5</v>
      </c>
      <c r="K66" t="s">
        <v>791</v>
      </c>
      <c r="L66">
        <v>8012114793</v>
      </c>
      <c r="M66" t="s">
        <v>692</v>
      </c>
    </row>
    <row r="67" spans="9:13" x14ac:dyDescent="0.35">
      <c r="I67">
        <v>1050</v>
      </c>
      <c r="J67" t="s">
        <v>5</v>
      </c>
      <c r="K67" t="s">
        <v>791</v>
      </c>
      <c r="L67">
        <v>8011946399</v>
      </c>
      <c r="M67" t="s">
        <v>490</v>
      </c>
    </row>
    <row r="68" spans="9:13" x14ac:dyDescent="0.35">
      <c r="I68">
        <v>500</v>
      </c>
      <c r="J68" t="s">
        <v>5</v>
      </c>
      <c r="K68" t="s">
        <v>791</v>
      </c>
      <c r="L68">
        <v>8011980503</v>
      </c>
      <c r="M68" t="s">
        <v>490</v>
      </c>
    </row>
    <row r="69" spans="9:13" x14ac:dyDescent="0.35">
      <c r="I69">
        <v>1126</v>
      </c>
      <c r="J69" t="s">
        <v>5</v>
      </c>
      <c r="K69" t="s">
        <v>791</v>
      </c>
      <c r="L69">
        <v>8011113035</v>
      </c>
      <c r="M69" t="s">
        <v>71</v>
      </c>
    </row>
    <row r="70" spans="9:13" x14ac:dyDescent="0.35">
      <c r="I70">
        <v>500</v>
      </c>
      <c r="J70" t="s">
        <v>5</v>
      </c>
      <c r="K70" t="s">
        <v>791</v>
      </c>
      <c r="L70">
        <v>8010115066</v>
      </c>
      <c r="M70" t="s">
        <v>492</v>
      </c>
    </row>
    <row r="71" spans="9:13" x14ac:dyDescent="0.35">
      <c r="I71">
        <v>2340</v>
      </c>
      <c r="J71" t="s">
        <v>5</v>
      </c>
      <c r="K71" t="s">
        <v>791</v>
      </c>
      <c r="L71">
        <v>8010964885</v>
      </c>
      <c r="M71" t="s">
        <v>31</v>
      </c>
    </row>
    <row r="72" spans="9:13" x14ac:dyDescent="0.35">
      <c r="I72">
        <v>9999</v>
      </c>
      <c r="J72" t="s">
        <v>5</v>
      </c>
      <c r="K72" t="s">
        <v>791</v>
      </c>
      <c r="L72">
        <v>8010944595</v>
      </c>
      <c r="M72" t="s">
        <v>31</v>
      </c>
    </row>
    <row r="73" spans="9:13" x14ac:dyDescent="0.35">
      <c r="I73">
        <v>13664</v>
      </c>
      <c r="J73" t="s">
        <v>5</v>
      </c>
      <c r="K73" t="s">
        <v>791</v>
      </c>
      <c r="L73">
        <v>8010119939</v>
      </c>
      <c r="M73" t="s">
        <v>31</v>
      </c>
    </row>
    <row r="74" spans="9:13" x14ac:dyDescent="0.35">
      <c r="I74">
        <v>800</v>
      </c>
      <c r="J74" t="s">
        <v>5</v>
      </c>
      <c r="K74" t="s">
        <v>791</v>
      </c>
      <c r="L74">
        <v>8007113314</v>
      </c>
      <c r="M74" t="s">
        <v>64</v>
      </c>
    </row>
    <row r="75" spans="9:13" x14ac:dyDescent="0.35">
      <c r="I75">
        <v>1200</v>
      </c>
      <c r="J75" t="s">
        <v>5</v>
      </c>
      <c r="K75" t="s">
        <v>791</v>
      </c>
      <c r="L75">
        <v>8007972144</v>
      </c>
      <c r="M75" t="s">
        <v>64</v>
      </c>
    </row>
    <row r="76" spans="9:13" x14ac:dyDescent="0.35">
      <c r="I76">
        <v>1860</v>
      </c>
      <c r="J76" t="s">
        <v>5</v>
      </c>
      <c r="K76" t="s">
        <v>791</v>
      </c>
      <c r="L76">
        <v>8006113083</v>
      </c>
      <c r="M76" t="s">
        <v>55</v>
      </c>
    </row>
    <row r="77" spans="9:13" x14ac:dyDescent="0.35">
      <c r="I77">
        <v>400</v>
      </c>
      <c r="J77" t="s">
        <v>5</v>
      </c>
      <c r="K77" t="s">
        <v>791</v>
      </c>
      <c r="L77">
        <v>8006956146</v>
      </c>
      <c r="M77" t="s">
        <v>55</v>
      </c>
    </row>
    <row r="78" spans="9:13" x14ac:dyDescent="0.35">
      <c r="I78">
        <v>60</v>
      </c>
      <c r="J78" t="s">
        <v>5</v>
      </c>
      <c r="K78" t="s">
        <v>791</v>
      </c>
      <c r="L78">
        <v>8005113786</v>
      </c>
      <c r="M78" t="s">
        <v>500</v>
      </c>
    </row>
    <row r="79" spans="9:13" x14ac:dyDescent="0.35">
      <c r="I79">
        <v>900</v>
      </c>
      <c r="J79" t="s">
        <v>5</v>
      </c>
      <c r="K79" t="s">
        <v>791</v>
      </c>
      <c r="L79">
        <v>8005112844</v>
      </c>
      <c r="M79" t="s">
        <v>49</v>
      </c>
    </row>
    <row r="80" spans="9:13" x14ac:dyDescent="0.35">
      <c r="I80">
        <v>200</v>
      </c>
      <c r="J80" t="s">
        <v>5</v>
      </c>
      <c r="K80" t="s">
        <v>791</v>
      </c>
      <c r="L80">
        <v>8005998028</v>
      </c>
      <c r="M80" t="s">
        <v>49</v>
      </c>
    </row>
    <row r="81" spans="9:13" x14ac:dyDescent="0.35">
      <c r="I81">
        <v>800</v>
      </c>
      <c r="J81" t="s">
        <v>5</v>
      </c>
      <c r="K81" t="s">
        <v>791</v>
      </c>
      <c r="L81">
        <v>8004937946</v>
      </c>
      <c r="M81" t="s">
        <v>41</v>
      </c>
    </row>
    <row r="82" spans="9:13" x14ac:dyDescent="0.35">
      <c r="I82">
        <v>3330</v>
      </c>
      <c r="J82" t="s">
        <v>5</v>
      </c>
      <c r="K82" t="s">
        <v>791</v>
      </c>
      <c r="L82">
        <v>8004112980</v>
      </c>
      <c r="M82" t="s">
        <v>41</v>
      </c>
    </row>
    <row r="83" spans="9:13" x14ac:dyDescent="0.35">
      <c r="I83">
        <v>9227</v>
      </c>
      <c r="J83" t="s">
        <v>5</v>
      </c>
      <c r="K83" t="s">
        <v>791</v>
      </c>
      <c r="L83">
        <v>8003123810</v>
      </c>
      <c r="M83" t="s">
        <v>30</v>
      </c>
    </row>
    <row r="84" spans="9:13" x14ac:dyDescent="0.35">
      <c r="I84">
        <v>4500</v>
      </c>
      <c r="J84" t="s">
        <v>5</v>
      </c>
      <c r="K84" t="s">
        <v>791</v>
      </c>
      <c r="L84">
        <v>8003949983</v>
      </c>
      <c r="M84" t="s">
        <v>30</v>
      </c>
    </row>
    <row r="85" spans="9:13" x14ac:dyDescent="0.35">
      <c r="I85">
        <v>96</v>
      </c>
      <c r="J85" t="s">
        <v>5</v>
      </c>
      <c r="K85" t="s">
        <v>791</v>
      </c>
      <c r="L85">
        <v>8001991189</v>
      </c>
      <c r="M85" t="s">
        <v>509</v>
      </c>
    </row>
    <row r="86" spans="9:13" x14ac:dyDescent="0.35">
      <c r="I86">
        <v>300</v>
      </c>
      <c r="J86" t="s">
        <v>5</v>
      </c>
      <c r="K86" t="s">
        <v>791</v>
      </c>
      <c r="L86">
        <v>8001126355</v>
      </c>
      <c r="M86" t="s">
        <v>509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topLeftCell="A24" zoomScale="55" zoomScaleNormal="70" workbookViewId="0">
      <selection activeCell="Q42" sqref="B13:Q42"/>
    </sheetView>
  </sheetViews>
  <sheetFormatPr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-10744</v>
      </c>
    </row>
    <row r="5" spans="3:14" x14ac:dyDescent="0.35">
      <c r="C5" s="17" t="s">
        <v>12</v>
      </c>
      <c r="D5" s="17">
        <f>SUM(K13:K40)</f>
        <v>88074.739999999976</v>
      </c>
    </row>
    <row r="6" spans="3:14" x14ac:dyDescent="0.35">
      <c r="C6" s="27" t="s">
        <v>1</v>
      </c>
      <c r="D6" s="27">
        <f>D4+D5</f>
        <v>77330.739999999976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37</v>
      </c>
      <c r="D13" s="73">
        <v>-903.8</v>
      </c>
      <c r="E13" s="73" t="s">
        <v>592</v>
      </c>
      <c r="F13" s="73">
        <v>39541100000</v>
      </c>
      <c r="G13" s="186" t="s">
        <v>707</v>
      </c>
      <c r="J13" s="17" t="s">
        <v>79</v>
      </c>
      <c r="K13" s="17">
        <v>98.25</v>
      </c>
      <c r="L13" s="17" t="s">
        <v>5</v>
      </c>
      <c r="M13" s="17">
        <v>1212071</v>
      </c>
      <c r="N13" s="17" t="s">
        <v>716</v>
      </c>
    </row>
    <row r="14" spans="3:14" ht="29" x14ac:dyDescent="0.35">
      <c r="C14" s="73" t="s">
        <v>61</v>
      </c>
      <c r="D14" s="73">
        <v>-156</v>
      </c>
      <c r="E14" s="73" t="s">
        <v>708</v>
      </c>
      <c r="F14" s="73">
        <v>94483090000</v>
      </c>
      <c r="G14" s="186" t="s">
        <v>709</v>
      </c>
      <c r="J14" s="17" t="s">
        <v>94</v>
      </c>
      <c r="K14" s="17">
        <v>19.649999999999999</v>
      </c>
      <c r="L14" s="17" t="s">
        <v>5</v>
      </c>
      <c r="M14" s="17">
        <v>1108088</v>
      </c>
      <c r="N14" s="17" t="s">
        <v>717</v>
      </c>
    </row>
    <row r="15" spans="3:14" ht="23.5" customHeight="1" x14ac:dyDescent="0.35">
      <c r="C15" s="73" t="s">
        <v>246</v>
      </c>
      <c r="D15" s="73">
        <v>-5443</v>
      </c>
      <c r="E15" s="73" t="s">
        <v>710</v>
      </c>
      <c r="F15" s="73">
        <v>85523960000</v>
      </c>
      <c r="G15" s="186" t="s">
        <v>711</v>
      </c>
      <c r="J15" s="17" t="s">
        <v>29</v>
      </c>
      <c r="K15" s="17">
        <v>294.74</v>
      </c>
      <c r="L15" s="17" t="s">
        <v>5</v>
      </c>
      <c r="M15" s="17">
        <v>607968</v>
      </c>
      <c r="N15" s="17" t="s">
        <v>718</v>
      </c>
    </row>
    <row r="16" spans="3:14" ht="29.5" customHeight="1" x14ac:dyDescent="0.35">
      <c r="C16" s="73" t="s">
        <v>30</v>
      </c>
      <c r="D16" s="78">
        <v>-239.7</v>
      </c>
      <c r="E16" s="79" t="s">
        <v>549</v>
      </c>
      <c r="F16" s="73">
        <v>70956900000</v>
      </c>
      <c r="G16" s="186" t="s">
        <v>712</v>
      </c>
      <c r="J16" s="17" t="s">
        <v>29</v>
      </c>
      <c r="K16" s="17">
        <v>442.11</v>
      </c>
      <c r="L16" s="17" t="s">
        <v>5</v>
      </c>
      <c r="M16" s="17">
        <v>607955</v>
      </c>
      <c r="N16" s="17" t="s">
        <v>719</v>
      </c>
    </row>
    <row r="17" spans="3:14" ht="16.5" customHeight="1" x14ac:dyDescent="0.35">
      <c r="C17" s="73" t="s">
        <v>30</v>
      </c>
      <c r="D17" s="73">
        <v>-3800</v>
      </c>
      <c r="E17" s="73" t="s">
        <v>713</v>
      </c>
      <c r="F17" s="73">
        <v>70956920000</v>
      </c>
      <c r="G17" s="186" t="s">
        <v>714</v>
      </c>
      <c r="J17" s="17" t="s">
        <v>93</v>
      </c>
      <c r="K17" s="17">
        <v>501.07</v>
      </c>
      <c r="L17" s="17" t="s">
        <v>5</v>
      </c>
      <c r="M17" s="17">
        <v>1029196</v>
      </c>
      <c r="N17" s="17" t="s">
        <v>720</v>
      </c>
    </row>
    <row r="18" spans="3:14" ht="26" customHeight="1" x14ac:dyDescent="0.35">
      <c r="C18" s="73" t="s">
        <v>30</v>
      </c>
      <c r="D18" s="79">
        <v>-201.5</v>
      </c>
      <c r="E18" s="73" t="s">
        <v>276</v>
      </c>
      <c r="F18" s="73">
        <v>70956910000</v>
      </c>
      <c r="G18" s="186" t="s">
        <v>715</v>
      </c>
      <c r="J18" s="17" t="s">
        <v>37</v>
      </c>
      <c r="K18" s="17">
        <v>6631.7</v>
      </c>
      <c r="L18" s="17" t="s">
        <v>5</v>
      </c>
      <c r="M18" s="17">
        <v>941095</v>
      </c>
      <c r="N18" s="17" t="s">
        <v>721</v>
      </c>
    </row>
    <row r="19" spans="3:14" x14ac:dyDescent="0.35">
      <c r="C19" s="73"/>
      <c r="D19" s="73"/>
      <c r="E19" s="73"/>
      <c r="F19" s="73"/>
      <c r="G19" s="73"/>
      <c r="J19" s="17" t="s">
        <v>37</v>
      </c>
      <c r="K19" s="17">
        <v>38350.1</v>
      </c>
      <c r="L19" s="17" t="s">
        <v>5</v>
      </c>
      <c r="M19" s="17">
        <v>941221</v>
      </c>
      <c r="N19" s="17" t="s">
        <v>722</v>
      </c>
    </row>
    <row r="20" spans="3:14" x14ac:dyDescent="0.35">
      <c r="C20" s="73"/>
      <c r="D20" s="73"/>
      <c r="E20" s="73"/>
      <c r="F20" s="73"/>
      <c r="G20" s="73"/>
      <c r="J20" s="17" t="s">
        <v>37</v>
      </c>
      <c r="K20" s="17">
        <v>7694.23</v>
      </c>
      <c r="L20" s="17" t="s">
        <v>5</v>
      </c>
      <c r="M20" s="17">
        <v>941220</v>
      </c>
      <c r="N20" s="17" t="s">
        <v>723</v>
      </c>
    </row>
    <row r="21" spans="3:14" x14ac:dyDescent="0.35">
      <c r="C21" s="73"/>
      <c r="D21" s="73"/>
      <c r="E21" s="73"/>
      <c r="F21" s="73"/>
      <c r="G21" s="73"/>
      <c r="J21" s="17" t="s">
        <v>91</v>
      </c>
      <c r="K21" s="17">
        <v>7565.09</v>
      </c>
      <c r="L21" s="17" t="s">
        <v>5</v>
      </c>
      <c r="M21" s="17">
        <v>836512</v>
      </c>
      <c r="N21" s="17" t="s">
        <v>724</v>
      </c>
    </row>
    <row r="22" spans="3:14" x14ac:dyDescent="0.35">
      <c r="C22" s="73"/>
      <c r="D22" s="73"/>
      <c r="E22" s="73"/>
      <c r="F22" s="73"/>
      <c r="G22" s="73"/>
      <c r="J22" s="17" t="s">
        <v>89</v>
      </c>
      <c r="K22" s="17">
        <v>4421.21</v>
      </c>
      <c r="L22" s="17" t="s">
        <v>5</v>
      </c>
      <c r="M22" s="17">
        <v>770108</v>
      </c>
      <c r="N22" s="17" t="s">
        <v>725</v>
      </c>
    </row>
    <row r="23" spans="3:14" x14ac:dyDescent="0.35">
      <c r="C23" s="73"/>
      <c r="D23" s="73"/>
      <c r="E23" s="73"/>
      <c r="F23" s="73"/>
      <c r="G23" s="73"/>
      <c r="J23" s="17" t="s">
        <v>61</v>
      </c>
      <c r="K23" s="17">
        <v>2259.71</v>
      </c>
      <c r="L23" s="17" t="s">
        <v>5</v>
      </c>
      <c r="M23" s="17">
        <v>672524</v>
      </c>
      <c r="N23" s="17" t="s">
        <v>726</v>
      </c>
    </row>
    <row r="24" spans="3:14" x14ac:dyDescent="0.35">
      <c r="C24" s="73"/>
      <c r="D24" s="73"/>
      <c r="E24" s="73"/>
      <c r="F24" s="73"/>
      <c r="G24" s="73"/>
      <c r="J24" s="17" t="s">
        <v>88</v>
      </c>
      <c r="K24" s="17">
        <v>1031.5899999999999</v>
      </c>
      <c r="L24" s="17" t="s">
        <v>5</v>
      </c>
      <c r="M24" s="17">
        <v>596605</v>
      </c>
      <c r="N24" s="17" t="s">
        <v>727</v>
      </c>
    </row>
    <row r="25" spans="3:14" x14ac:dyDescent="0.35">
      <c r="C25" s="73"/>
      <c r="D25" s="73"/>
      <c r="E25" s="73"/>
      <c r="F25" s="73"/>
      <c r="G25" s="73"/>
      <c r="J25" s="17" t="s">
        <v>52</v>
      </c>
      <c r="K25" s="17">
        <v>3536.91</v>
      </c>
      <c r="L25" s="17" t="s">
        <v>5</v>
      </c>
      <c r="M25" s="17">
        <v>517324</v>
      </c>
      <c r="N25" s="17" t="s">
        <v>728</v>
      </c>
    </row>
    <row r="26" spans="3:14" x14ac:dyDescent="0.35">
      <c r="C26" s="73"/>
      <c r="D26" s="73"/>
      <c r="E26" s="73"/>
      <c r="F26" s="73"/>
      <c r="G26" s="73"/>
      <c r="J26" s="17" t="s">
        <v>52</v>
      </c>
      <c r="K26" s="17">
        <v>1866.71</v>
      </c>
      <c r="L26" s="17" t="s">
        <v>5</v>
      </c>
      <c r="M26" s="17">
        <v>517804</v>
      </c>
      <c r="N26" s="17" t="s">
        <v>729</v>
      </c>
    </row>
    <row r="27" spans="3:14" x14ac:dyDescent="0.35">
      <c r="C27" s="73"/>
      <c r="D27" s="73"/>
      <c r="E27" s="73"/>
      <c r="F27" s="73"/>
      <c r="G27" s="73"/>
      <c r="J27" s="17" t="s">
        <v>52</v>
      </c>
      <c r="K27" s="17">
        <v>1473.7</v>
      </c>
      <c r="L27" s="17" t="s">
        <v>5</v>
      </c>
      <c r="M27" s="17">
        <v>517799</v>
      </c>
      <c r="N27" s="17" t="s">
        <v>730</v>
      </c>
    </row>
    <row r="28" spans="3:14" x14ac:dyDescent="0.35">
      <c r="C28" s="73"/>
      <c r="D28" s="73"/>
      <c r="E28" s="73"/>
      <c r="F28" s="73"/>
      <c r="G28" s="73"/>
      <c r="J28" s="17" t="s">
        <v>56</v>
      </c>
      <c r="K28" s="17">
        <v>3242.23</v>
      </c>
      <c r="L28" s="17" t="s">
        <v>5</v>
      </c>
      <c r="M28" s="17">
        <v>414192</v>
      </c>
      <c r="N28" s="17" t="s">
        <v>731</v>
      </c>
    </row>
    <row r="29" spans="3:14" x14ac:dyDescent="0.35">
      <c r="C29" s="73"/>
      <c r="D29" s="73"/>
      <c r="E29" s="73"/>
      <c r="F29" s="73"/>
      <c r="G29" s="73"/>
      <c r="J29" s="17" t="s">
        <v>245</v>
      </c>
      <c r="K29" s="17">
        <v>2800.05</v>
      </c>
      <c r="L29" s="17" t="s">
        <v>5</v>
      </c>
      <c r="M29" s="17">
        <v>339492</v>
      </c>
      <c r="N29" s="17" t="s">
        <v>732</v>
      </c>
    </row>
    <row r="30" spans="3:14" x14ac:dyDescent="0.35">
      <c r="C30" s="73"/>
      <c r="D30" s="73"/>
      <c r="E30" s="73"/>
      <c r="F30" s="73"/>
      <c r="G30" s="73"/>
      <c r="J30" s="17" t="s">
        <v>60</v>
      </c>
      <c r="K30" s="17">
        <v>1031.5899999999999</v>
      </c>
      <c r="L30" s="17" t="s">
        <v>5</v>
      </c>
      <c r="M30" s="17">
        <v>234407</v>
      </c>
      <c r="N30" s="17" t="s">
        <v>733</v>
      </c>
    </row>
    <row r="31" spans="3:14" x14ac:dyDescent="0.35">
      <c r="C31" s="73"/>
      <c r="D31" s="73"/>
      <c r="E31" s="73"/>
      <c r="F31" s="73"/>
      <c r="G31" s="73"/>
      <c r="J31" s="17" t="s">
        <v>246</v>
      </c>
      <c r="K31" s="17">
        <v>147.37</v>
      </c>
      <c r="L31" s="17" t="s">
        <v>5</v>
      </c>
      <c r="M31" s="17">
        <v>147914</v>
      </c>
      <c r="N31" s="17" t="s">
        <v>734</v>
      </c>
    </row>
    <row r="32" spans="3:14" x14ac:dyDescent="0.35">
      <c r="C32" s="73"/>
      <c r="D32" s="73"/>
      <c r="E32" s="73"/>
      <c r="F32" s="73"/>
      <c r="G32" s="73"/>
      <c r="J32" s="17" t="s">
        <v>67</v>
      </c>
      <c r="K32" s="17">
        <v>147.37</v>
      </c>
      <c r="L32" s="17" t="s">
        <v>5</v>
      </c>
      <c r="M32" s="17">
        <v>1556209</v>
      </c>
      <c r="N32" s="17" t="s">
        <v>735</v>
      </c>
    </row>
    <row r="33" spans="3:14" x14ac:dyDescent="0.35">
      <c r="C33" s="73"/>
      <c r="D33" s="73"/>
      <c r="E33" s="73"/>
      <c r="F33" s="73"/>
      <c r="G33" s="73"/>
      <c r="J33" s="17" t="s">
        <v>67</v>
      </c>
      <c r="K33" s="17">
        <v>442.11</v>
      </c>
      <c r="L33" s="17" t="s">
        <v>5</v>
      </c>
      <c r="M33" s="17">
        <v>1556213</v>
      </c>
      <c r="N33" s="17" t="s">
        <v>736</v>
      </c>
    </row>
    <row r="34" spans="3:14" x14ac:dyDescent="0.35">
      <c r="C34" s="73"/>
      <c r="D34" s="73"/>
      <c r="E34" s="73"/>
      <c r="F34" s="73"/>
      <c r="G34" s="73"/>
      <c r="J34" s="17" t="s">
        <v>67</v>
      </c>
      <c r="K34" s="17">
        <v>1719.33</v>
      </c>
      <c r="L34" s="17" t="s">
        <v>5</v>
      </c>
      <c r="M34" s="17">
        <v>1555163</v>
      </c>
      <c r="N34" s="17" t="s">
        <v>737</v>
      </c>
    </row>
    <row r="35" spans="3:14" x14ac:dyDescent="0.35">
      <c r="C35" s="73"/>
      <c r="D35" s="73"/>
      <c r="E35" s="73"/>
      <c r="F35" s="73"/>
      <c r="G35" s="73"/>
      <c r="J35" s="17" t="s">
        <v>72</v>
      </c>
      <c r="K35" s="17">
        <v>884.22</v>
      </c>
      <c r="L35" s="17" t="s">
        <v>5</v>
      </c>
      <c r="M35" s="17">
        <v>1363385</v>
      </c>
      <c r="N35" s="17" t="s">
        <v>738</v>
      </c>
    </row>
    <row r="36" spans="3:14" x14ac:dyDescent="0.35">
      <c r="C36" s="73"/>
      <c r="D36" s="73"/>
      <c r="E36" s="73"/>
      <c r="F36" s="73"/>
      <c r="G36" s="73"/>
      <c r="J36" s="17" t="s">
        <v>76</v>
      </c>
      <c r="K36" s="17">
        <v>1031.5899999999999</v>
      </c>
      <c r="L36" s="17" t="s">
        <v>5</v>
      </c>
      <c r="M36" s="17">
        <v>1173632</v>
      </c>
      <c r="N36" s="17" t="s">
        <v>739</v>
      </c>
    </row>
    <row r="37" spans="3:14" x14ac:dyDescent="0.35">
      <c r="C37" s="73"/>
      <c r="D37" s="73"/>
      <c r="E37" s="73"/>
      <c r="F37" s="73"/>
      <c r="G37" s="73"/>
      <c r="J37" s="17" t="s">
        <v>247</v>
      </c>
      <c r="K37" s="17">
        <v>147.37</v>
      </c>
      <c r="L37" s="17" t="s">
        <v>5</v>
      </c>
      <c r="M37" s="17">
        <v>1091666</v>
      </c>
      <c r="N37" s="17" t="s">
        <v>740</v>
      </c>
    </row>
    <row r="38" spans="3:14" x14ac:dyDescent="0.35">
      <c r="C38" s="73"/>
      <c r="D38" s="73"/>
      <c r="E38" s="73"/>
      <c r="F38" s="73"/>
      <c r="G38" s="73"/>
      <c r="J38" s="17" t="s">
        <v>247</v>
      </c>
      <c r="K38" s="17">
        <v>147.37</v>
      </c>
      <c r="L38" s="17" t="s">
        <v>5</v>
      </c>
      <c r="M38" s="17">
        <v>1091666</v>
      </c>
      <c r="N38" s="17" t="s">
        <v>741</v>
      </c>
    </row>
    <row r="39" spans="3:14" x14ac:dyDescent="0.35">
      <c r="C39" s="73"/>
      <c r="D39" s="73"/>
      <c r="E39" s="73"/>
      <c r="F39" s="73"/>
      <c r="G39" s="73"/>
      <c r="J39" s="17" t="s">
        <v>742</v>
      </c>
      <c r="K39" s="17">
        <v>147.37</v>
      </c>
      <c r="L39" s="17" t="s">
        <v>5</v>
      </c>
      <c r="M39" s="17">
        <v>910158</v>
      </c>
      <c r="N39" s="17" t="s">
        <v>743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topLeftCell="B1" zoomScale="85" zoomScaleNormal="100" workbookViewId="0">
      <selection activeCell="Q18" sqref="F13:Q18"/>
    </sheetView>
  </sheetViews>
  <sheetFormatPr defaultColWidth="10.90625" defaultRowHeight="14.5" x14ac:dyDescent="0.35"/>
  <cols>
    <col min="2" max="2" width="15.453125" customWidth="1"/>
    <col min="4" max="4" width="11" bestFit="1" customWidth="1"/>
    <col min="6" max="6" width="12.453125" bestFit="1" customWidth="1"/>
    <col min="11" max="11" width="11" bestFit="1" customWidth="1"/>
    <col min="13" max="13" width="11" bestFit="1" customWidth="1"/>
  </cols>
  <sheetData>
    <row r="3" spans="3:15" x14ac:dyDescent="0.35">
      <c r="D3" s="75" t="s">
        <v>112</v>
      </c>
      <c r="E3" s="67"/>
    </row>
    <row r="4" spans="3:15" x14ac:dyDescent="0.35">
      <c r="D4" s="73" t="s">
        <v>113</v>
      </c>
      <c r="E4" s="73">
        <f>SUM(D14:D40)</f>
        <v>0</v>
      </c>
    </row>
    <row r="5" spans="3:15" x14ac:dyDescent="0.35">
      <c r="D5" s="17" t="s">
        <v>12</v>
      </c>
      <c r="E5" s="17">
        <f>SUM(K13:K50)</f>
        <v>51922.17</v>
      </c>
    </row>
    <row r="6" spans="3:15" x14ac:dyDescent="0.35">
      <c r="D6" s="27" t="s">
        <v>1</v>
      </c>
      <c r="E6" s="27">
        <f>E4+E5</f>
        <v>51922.17</v>
      </c>
    </row>
    <row r="11" spans="3:15" ht="39.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x14ac:dyDescent="0.35">
      <c r="D13" s="73"/>
      <c r="E13" s="73"/>
      <c r="F13" s="73"/>
      <c r="G13" s="73"/>
      <c r="H13" s="73"/>
      <c r="J13" t="s">
        <v>53</v>
      </c>
      <c r="K13" s="17">
        <v>294.75</v>
      </c>
      <c r="L13" s="17" t="s">
        <v>5</v>
      </c>
      <c r="M13" s="17">
        <v>1451924</v>
      </c>
      <c r="N13" s="17" t="s">
        <v>616</v>
      </c>
      <c r="O13" s="17"/>
    </row>
    <row r="14" spans="3:15" x14ac:dyDescent="0.35">
      <c r="D14" s="73"/>
      <c r="E14" s="73"/>
      <c r="F14" s="73"/>
      <c r="G14" s="73"/>
      <c r="H14" s="73"/>
      <c r="J14" t="s">
        <v>63</v>
      </c>
      <c r="K14" s="17">
        <v>51627.42</v>
      </c>
      <c r="L14" s="17" t="s">
        <v>5</v>
      </c>
      <c r="M14" s="17">
        <v>1169651</v>
      </c>
      <c r="N14" s="17" t="s">
        <v>617</v>
      </c>
      <c r="O14" s="17"/>
    </row>
    <row r="15" spans="3:15" x14ac:dyDescent="0.35">
      <c r="D15" s="73"/>
      <c r="E15" s="73"/>
      <c r="F15" s="73"/>
      <c r="G15" s="73"/>
      <c r="H15" s="73"/>
      <c r="K15" s="17"/>
      <c r="L15" s="17"/>
      <c r="M15" s="17"/>
      <c r="N15" s="17"/>
      <c r="O15" s="17"/>
    </row>
    <row r="16" spans="3:15" x14ac:dyDescent="0.35">
      <c r="D16" s="73"/>
      <c r="E16" s="78"/>
      <c r="F16" s="79"/>
      <c r="G16" s="73"/>
      <c r="H16" s="73"/>
      <c r="K16" s="17"/>
      <c r="L16" s="17"/>
      <c r="M16" s="17"/>
      <c r="N16" s="17"/>
      <c r="O16" s="17"/>
    </row>
    <row r="17" spans="4:15" x14ac:dyDescent="0.35">
      <c r="D17" s="73"/>
      <c r="E17" s="73"/>
      <c r="F17" s="73"/>
      <c r="G17" s="73"/>
      <c r="H17" s="73"/>
      <c r="K17" s="17"/>
      <c r="L17" s="17"/>
      <c r="M17" s="17"/>
      <c r="N17" s="17"/>
      <c r="O17" s="17"/>
    </row>
    <row r="18" spans="4:15" x14ac:dyDescent="0.35">
      <c r="D18" s="73"/>
      <c r="E18" s="79"/>
      <c r="F18" s="73"/>
      <c r="G18" s="73"/>
      <c r="H18" s="73"/>
      <c r="K18" s="17"/>
      <c r="L18" s="17"/>
      <c r="M18" s="17"/>
      <c r="N18" s="17"/>
      <c r="O18" s="17"/>
    </row>
    <row r="19" spans="4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4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4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4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4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4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4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4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4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4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4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4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4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4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10" zoomScale="65" zoomScaleNormal="65" workbookViewId="0">
      <selection activeCell="S26" sqref="B13:S26"/>
    </sheetView>
  </sheetViews>
  <sheetFormatPr defaultColWidth="8.7265625" defaultRowHeight="14.5" x14ac:dyDescent="0.35"/>
  <cols>
    <col min="3" max="3" width="10.6328125" customWidth="1"/>
    <col min="4" max="4" width="15.08984375" customWidth="1"/>
    <col min="5" max="5" width="37.7265625" customWidth="1"/>
    <col min="6" max="6" width="12.26953125" customWidth="1"/>
    <col min="7" max="7" width="46.81640625" customWidth="1"/>
    <col min="8" max="8" width="7.36328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-242</v>
      </c>
      <c r="E13" s="73" t="s">
        <v>592</v>
      </c>
      <c r="F13" s="73">
        <v>39541090000</v>
      </c>
      <c r="G13" s="186" t="s">
        <v>593</v>
      </c>
      <c r="J13" s="17" t="s">
        <v>93</v>
      </c>
      <c r="K13" s="17">
        <v>71.62</v>
      </c>
      <c r="L13" s="17" t="s">
        <v>5</v>
      </c>
      <c r="M13" s="17">
        <v>1029118</v>
      </c>
      <c r="N13" s="17" t="s">
        <v>604</v>
      </c>
    </row>
    <row r="14" spans="3:14" ht="29" x14ac:dyDescent="0.35">
      <c r="C14" s="73" t="s">
        <v>37</v>
      </c>
      <c r="D14" s="73">
        <v>-308.2</v>
      </c>
      <c r="E14" s="73" t="s">
        <v>594</v>
      </c>
      <c r="F14" s="73">
        <v>37873150000</v>
      </c>
      <c r="G14" s="186" t="s">
        <v>595</v>
      </c>
      <c r="J14" s="17" t="s">
        <v>37</v>
      </c>
      <c r="K14" s="17">
        <v>1563.15</v>
      </c>
      <c r="L14" s="17" t="s">
        <v>5</v>
      </c>
      <c r="M14" s="17">
        <v>941095</v>
      </c>
      <c r="N14" s="17" t="s">
        <v>605</v>
      </c>
    </row>
    <row r="15" spans="3:14" ht="29" x14ac:dyDescent="0.35">
      <c r="C15" s="73" t="s">
        <v>61</v>
      </c>
      <c r="D15" s="73">
        <v>-982.78</v>
      </c>
      <c r="E15" s="73" t="s">
        <v>596</v>
      </c>
      <c r="F15" s="73">
        <v>94483100000</v>
      </c>
      <c r="G15" s="186" t="s">
        <v>597</v>
      </c>
      <c r="J15" s="17" t="s">
        <v>37</v>
      </c>
      <c r="K15" s="17">
        <v>317.33999999999997</v>
      </c>
      <c r="L15" s="17" t="s">
        <v>5</v>
      </c>
      <c r="M15" s="17">
        <v>941218</v>
      </c>
      <c r="N15" s="17" t="s">
        <v>606</v>
      </c>
    </row>
    <row r="16" spans="3:14" ht="29" x14ac:dyDescent="0.35">
      <c r="C16" s="73" t="s">
        <v>48</v>
      </c>
      <c r="D16" s="78">
        <v>-189.9</v>
      </c>
      <c r="E16" s="79" t="s">
        <v>598</v>
      </c>
      <c r="F16" s="73">
        <v>96985720000</v>
      </c>
      <c r="G16" s="186" t="s">
        <v>599</v>
      </c>
      <c r="J16" s="17" t="s">
        <v>37</v>
      </c>
      <c r="K16" s="17">
        <v>4.91</v>
      </c>
      <c r="L16" s="17" t="s">
        <v>5</v>
      </c>
      <c r="M16" s="17">
        <v>941218</v>
      </c>
      <c r="N16" s="17" t="s">
        <v>607</v>
      </c>
    </row>
    <row r="17" spans="3:14" ht="29" x14ac:dyDescent="0.35">
      <c r="C17" s="73" t="s">
        <v>48</v>
      </c>
      <c r="D17" s="73">
        <v>-117</v>
      </c>
      <c r="E17" s="73" t="s">
        <v>598</v>
      </c>
      <c r="F17" s="73">
        <v>96985730000</v>
      </c>
      <c r="G17" s="186" t="s">
        <v>600</v>
      </c>
      <c r="J17" s="17" t="s">
        <v>89</v>
      </c>
      <c r="K17" s="17">
        <v>39.299999999999997</v>
      </c>
      <c r="L17" s="17" t="s">
        <v>5</v>
      </c>
      <c r="M17" s="17">
        <v>770103</v>
      </c>
      <c r="N17" s="17" t="s">
        <v>608</v>
      </c>
    </row>
    <row r="18" spans="3:14" ht="29" x14ac:dyDescent="0.35">
      <c r="C18" s="73" t="s">
        <v>56</v>
      </c>
      <c r="D18" s="79">
        <v>-230.07</v>
      </c>
      <c r="E18" s="73" t="s">
        <v>225</v>
      </c>
      <c r="F18" s="73">
        <v>45035870000</v>
      </c>
      <c r="G18" s="186" t="s">
        <v>601</v>
      </c>
      <c r="J18" s="17" t="s">
        <v>87</v>
      </c>
      <c r="K18" s="17">
        <v>29.47</v>
      </c>
      <c r="L18" s="17" t="s">
        <v>5</v>
      </c>
      <c r="M18" s="17">
        <v>881847</v>
      </c>
      <c r="N18" s="17" t="s">
        <v>609</v>
      </c>
    </row>
    <row r="19" spans="3:14" ht="29" x14ac:dyDescent="0.35">
      <c r="C19" s="73" t="s">
        <v>67</v>
      </c>
      <c r="D19" s="73">
        <v>-194</v>
      </c>
      <c r="E19" s="73" t="s">
        <v>602</v>
      </c>
      <c r="F19" s="73">
        <v>85429430000</v>
      </c>
      <c r="G19" s="186" t="s">
        <v>603</v>
      </c>
      <c r="J19" s="17" t="s">
        <v>480</v>
      </c>
      <c r="K19" s="17">
        <v>319.31</v>
      </c>
      <c r="L19" s="17" t="s">
        <v>5</v>
      </c>
      <c r="M19" s="17">
        <v>685846</v>
      </c>
      <c r="N19" s="17" t="s">
        <v>610</v>
      </c>
    </row>
    <row r="20" spans="3:14" x14ac:dyDescent="0.35">
      <c r="C20" s="73"/>
      <c r="D20" s="73"/>
      <c r="E20" s="73"/>
      <c r="F20" s="73"/>
      <c r="G20" s="73"/>
      <c r="J20" s="17" t="s">
        <v>58</v>
      </c>
      <c r="K20" s="17">
        <v>281.98</v>
      </c>
      <c r="L20" s="17" t="s">
        <v>5</v>
      </c>
      <c r="M20" s="17">
        <v>1276017</v>
      </c>
      <c r="N20" s="17" t="s">
        <v>611</v>
      </c>
    </row>
    <row r="21" spans="3:14" x14ac:dyDescent="0.35">
      <c r="C21" s="73"/>
      <c r="D21" s="73"/>
      <c r="E21" s="73"/>
      <c r="F21" s="73"/>
      <c r="G21" s="73"/>
      <c r="J21" s="17" t="s">
        <v>67</v>
      </c>
      <c r="K21" s="17">
        <v>481.45</v>
      </c>
      <c r="L21" s="17" t="s">
        <v>5</v>
      </c>
      <c r="M21" s="17">
        <v>1556211</v>
      </c>
      <c r="N21" s="17" t="s">
        <v>612</v>
      </c>
    </row>
    <row r="22" spans="3:14" x14ac:dyDescent="0.35">
      <c r="C22" s="73"/>
      <c r="D22" s="73"/>
      <c r="E22" s="73"/>
      <c r="F22" s="73"/>
      <c r="G22" s="73"/>
      <c r="J22" s="17" t="s">
        <v>71</v>
      </c>
      <c r="K22" s="17">
        <v>12.77</v>
      </c>
      <c r="L22" s="17" t="s">
        <v>5</v>
      </c>
      <c r="M22" s="17">
        <v>280430</v>
      </c>
      <c r="N22" s="17" t="s">
        <v>613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338.98</v>
      </c>
      <c r="L23" s="17" t="s">
        <v>5</v>
      </c>
      <c r="M23" s="17">
        <v>1363386</v>
      </c>
      <c r="N23" s="17" t="s">
        <v>614</v>
      </c>
    </row>
    <row r="24" spans="3:14" x14ac:dyDescent="0.35">
      <c r="C24" s="73"/>
      <c r="D24" s="73"/>
      <c r="E24" s="73"/>
      <c r="F24" s="73"/>
      <c r="G24" s="73"/>
      <c r="J24" s="17" t="s">
        <v>30</v>
      </c>
      <c r="K24" s="17">
        <v>825.29</v>
      </c>
      <c r="L24" s="17" t="s">
        <v>5</v>
      </c>
      <c r="M24" s="17">
        <v>1296222</v>
      </c>
      <c r="N24" s="17" t="s">
        <v>615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topLeftCell="A2" zoomScale="63" workbookViewId="0">
      <selection activeCell="F15" sqref="F15"/>
    </sheetView>
  </sheetViews>
  <sheetFormatPr defaultColWidth="8.81640625" defaultRowHeight="14.5" x14ac:dyDescent="0.35"/>
  <cols>
    <col min="4" max="4" width="13.26953125" bestFit="1" customWidth="1"/>
    <col min="6" max="7" width="30.81640625" customWidth="1"/>
    <col min="11" max="11" width="8.90625" bestFit="1" customWidth="1"/>
    <col min="13" max="13" width="12.54296875" bestFit="1" customWidth="1"/>
    <col min="17" max="17" width="8.90625" bestFit="1" customWidth="1"/>
    <col min="19" max="19" width="8.90625" bestFit="1" customWidth="1"/>
  </cols>
  <sheetData>
    <row r="1" spans="3:14" ht="21" customHeight="1" x14ac:dyDescent="0.35"/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SUM(D13:D50)</f>
        <v>-8838.0499999999993</v>
      </c>
    </row>
    <row r="5" spans="3:14" x14ac:dyDescent="0.35">
      <c r="C5" s="17" t="s">
        <v>12</v>
      </c>
      <c r="D5" s="17">
        <f>SUM(K13:K38)</f>
        <v>18037.12</v>
      </c>
    </row>
    <row r="6" spans="3:14" x14ac:dyDescent="0.35">
      <c r="C6" s="27" t="s">
        <v>1</v>
      </c>
      <c r="D6" s="27">
        <f>D4+D5</f>
        <v>9199.07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37</v>
      </c>
      <c r="D13" s="73">
        <v>-2318.1</v>
      </c>
      <c r="E13" s="73" t="s">
        <v>543</v>
      </c>
      <c r="F13" s="73">
        <v>37873170000</v>
      </c>
      <c r="G13" s="186" t="s">
        <v>564</v>
      </c>
      <c r="J13" s="17" t="s">
        <v>93</v>
      </c>
      <c r="K13" s="17">
        <v>112</v>
      </c>
      <c r="L13" s="17" t="s">
        <v>5</v>
      </c>
      <c r="M13" s="17">
        <v>1029196</v>
      </c>
      <c r="N13" s="17" t="s">
        <v>579</v>
      </c>
    </row>
    <row r="14" spans="3:14" ht="29" x14ac:dyDescent="0.35">
      <c r="C14" s="73" t="s">
        <v>37</v>
      </c>
      <c r="D14" s="73">
        <v>-499</v>
      </c>
      <c r="E14" s="73" t="s">
        <v>543</v>
      </c>
      <c r="F14" s="73">
        <v>37873180000</v>
      </c>
      <c r="G14" s="186" t="s">
        <v>565</v>
      </c>
      <c r="J14" s="17" t="s">
        <v>37</v>
      </c>
      <c r="K14" s="17">
        <v>560</v>
      </c>
      <c r="L14" s="17" t="s">
        <v>5</v>
      </c>
      <c r="M14" s="17">
        <v>941210</v>
      </c>
      <c r="N14" s="17" t="s">
        <v>580</v>
      </c>
    </row>
    <row r="15" spans="3:14" ht="29" x14ac:dyDescent="0.35">
      <c r="C15" s="73" t="s">
        <v>90</v>
      </c>
      <c r="D15" s="73">
        <v>-1215.1600000000001</v>
      </c>
      <c r="E15" s="73" t="s">
        <v>224</v>
      </c>
      <c r="F15" s="73">
        <v>10042670000</v>
      </c>
      <c r="G15" s="186" t="s">
        <v>566</v>
      </c>
      <c r="J15" s="17" t="s">
        <v>37</v>
      </c>
      <c r="K15" s="17">
        <v>5267.01</v>
      </c>
      <c r="L15" s="17" t="s">
        <v>5</v>
      </c>
      <c r="M15" s="17">
        <v>941210</v>
      </c>
      <c r="N15" s="17" t="s">
        <v>581</v>
      </c>
    </row>
    <row r="16" spans="3:14" ht="43.5" x14ac:dyDescent="0.35">
      <c r="C16" s="73" t="s">
        <v>61</v>
      </c>
      <c r="D16" s="78">
        <v>-50</v>
      </c>
      <c r="E16" s="79" t="s">
        <v>543</v>
      </c>
      <c r="F16" s="73">
        <v>94483080000</v>
      </c>
      <c r="G16" s="186" t="s">
        <v>567</v>
      </c>
      <c r="J16" s="17" t="s">
        <v>87</v>
      </c>
      <c r="K16" s="17">
        <v>1150.47</v>
      </c>
      <c r="L16" s="17" t="s">
        <v>5</v>
      </c>
      <c r="M16" s="17">
        <v>881776</v>
      </c>
      <c r="N16" s="17" t="s">
        <v>582</v>
      </c>
    </row>
    <row r="17" spans="3:14" ht="29" x14ac:dyDescent="0.35">
      <c r="C17" s="73" t="s">
        <v>48</v>
      </c>
      <c r="D17" s="73">
        <v>-186</v>
      </c>
      <c r="E17" s="73" t="s">
        <v>259</v>
      </c>
      <c r="F17" s="73">
        <v>96985710000</v>
      </c>
      <c r="G17" s="186" t="s">
        <v>568</v>
      </c>
      <c r="J17" s="17" t="s">
        <v>85</v>
      </c>
      <c r="K17" s="17">
        <v>869.48</v>
      </c>
      <c r="L17" s="17" t="s">
        <v>5</v>
      </c>
      <c r="M17" s="17">
        <v>742447</v>
      </c>
      <c r="N17" s="17" t="s">
        <v>583</v>
      </c>
    </row>
    <row r="18" spans="3:14" ht="29" x14ac:dyDescent="0.35">
      <c r="C18" s="73" t="s">
        <v>56</v>
      </c>
      <c r="D18" s="79">
        <v>-295.45999999999998</v>
      </c>
      <c r="E18" s="73" t="s">
        <v>225</v>
      </c>
      <c r="F18" s="73">
        <v>45035880000</v>
      </c>
      <c r="G18" s="186" t="s">
        <v>569</v>
      </c>
      <c r="J18" s="17" t="s">
        <v>245</v>
      </c>
      <c r="K18" s="17">
        <v>1492.36</v>
      </c>
      <c r="L18" s="17" t="s">
        <v>5</v>
      </c>
      <c r="M18" s="17">
        <v>338604</v>
      </c>
      <c r="N18" s="17" t="s">
        <v>584</v>
      </c>
    </row>
    <row r="19" spans="3:14" ht="29" x14ac:dyDescent="0.35">
      <c r="C19" s="73" t="s">
        <v>56</v>
      </c>
      <c r="D19" s="73">
        <v>-449</v>
      </c>
      <c r="E19" s="73" t="s">
        <v>543</v>
      </c>
      <c r="F19" s="73">
        <v>45035900000</v>
      </c>
      <c r="G19" s="186" t="s">
        <v>570</v>
      </c>
      <c r="J19" s="17" t="s">
        <v>58</v>
      </c>
      <c r="K19" s="17">
        <v>1266.3900000000001</v>
      </c>
      <c r="L19" s="17" t="s">
        <v>5</v>
      </c>
      <c r="M19" s="17">
        <v>1275771</v>
      </c>
      <c r="N19" s="17" t="s">
        <v>585</v>
      </c>
    </row>
    <row r="20" spans="3:14" ht="29" x14ac:dyDescent="0.35">
      <c r="C20" s="73" t="s">
        <v>56</v>
      </c>
      <c r="D20" s="73">
        <v>-595.6</v>
      </c>
      <c r="E20" s="73" t="s">
        <v>543</v>
      </c>
      <c r="F20" s="73">
        <v>45035910000</v>
      </c>
      <c r="G20" s="186" t="s">
        <v>571</v>
      </c>
      <c r="J20" s="17" t="s">
        <v>63</v>
      </c>
      <c r="K20" s="17">
        <v>9.82</v>
      </c>
      <c r="L20" s="17" t="s">
        <v>5</v>
      </c>
      <c r="M20" s="17">
        <v>1169652</v>
      </c>
      <c r="N20" s="17" t="s">
        <v>586</v>
      </c>
    </row>
    <row r="21" spans="3:14" ht="29" x14ac:dyDescent="0.35">
      <c r="C21" s="73" t="s">
        <v>50</v>
      </c>
      <c r="D21" s="73">
        <v>-289</v>
      </c>
      <c r="E21" s="73" t="s">
        <v>259</v>
      </c>
      <c r="F21" s="73">
        <v>19136420000</v>
      </c>
      <c r="G21" s="186" t="s">
        <v>572</v>
      </c>
      <c r="J21" s="17" t="s">
        <v>63</v>
      </c>
      <c r="K21" s="17">
        <v>1681</v>
      </c>
      <c r="L21" s="17" t="s">
        <v>5</v>
      </c>
      <c r="M21" s="17">
        <v>1169651</v>
      </c>
      <c r="N21" s="17" t="s">
        <v>587</v>
      </c>
    </row>
    <row r="22" spans="3:14" ht="29" x14ac:dyDescent="0.35">
      <c r="C22" s="73" t="s">
        <v>46</v>
      </c>
      <c r="D22" s="73">
        <v>-1153.03</v>
      </c>
      <c r="E22" s="73" t="s">
        <v>259</v>
      </c>
      <c r="F22" s="73">
        <v>19204750000</v>
      </c>
      <c r="G22" s="186" t="s">
        <v>573</v>
      </c>
      <c r="J22" s="17" t="s">
        <v>71</v>
      </c>
      <c r="K22" s="17">
        <v>826.26</v>
      </c>
      <c r="L22" s="17" t="s">
        <v>5</v>
      </c>
      <c r="M22" s="17">
        <v>280301</v>
      </c>
      <c r="N22" s="17" t="s">
        <v>588</v>
      </c>
    </row>
    <row r="23" spans="3:14" ht="29" x14ac:dyDescent="0.35">
      <c r="C23" s="73" t="s">
        <v>67</v>
      </c>
      <c r="D23" s="73">
        <v>-80.8</v>
      </c>
      <c r="E23" s="73" t="s">
        <v>259</v>
      </c>
      <c r="F23" s="73">
        <v>85429450000</v>
      </c>
      <c r="G23" s="186" t="s">
        <v>574</v>
      </c>
      <c r="J23" s="17" t="s">
        <v>72</v>
      </c>
      <c r="K23" s="17">
        <v>1853.93</v>
      </c>
      <c r="L23" s="17" t="s">
        <v>5</v>
      </c>
      <c r="M23" s="17">
        <v>1363386</v>
      </c>
      <c r="N23" s="17" t="s">
        <v>589</v>
      </c>
    </row>
    <row r="24" spans="3:14" ht="29" x14ac:dyDescent="0.35">
      <c r="C24" s="73" t="s">
        <v>67</v>
      </c>
      <c r="D24" s="73">
        <v>-419.9</v>
      </c>
      <c r="E24" s="73" t="s">
        <v>259</v>
      </c>
      <c r="F24" s="73">
        <v>85429460000</v>
      </c>
      <c r="G24" s="186" t="s">
        <v>575</v>
      </c>
      <c r="J24" s="17" t="s">
        <v>494</v>
      </c>
      <c r="K24" s="17">
        <v>1235.96</v>
      </c>
      <c r="L24" s="17" t="s">
        <v>5</v>
      </c>
      <c r="M24" s="17">
        <v>258165</v>
      </c>
      <c r="N24" s="17" t="s">
        <v>590</v>
      </c>
    </row>
    <row r="25" spans="3:14" ht="29" x14ac:dyDescent="0.35">
      <c r="C25" s="73" t="s">
        <v>67</v>
      </c>
      <c r="D25" s="73">
        <v>-429</v>
      </c>
      <c r="E25" s="73" t="s">
        <v>259</v>
      </c>
      <c r="F25" s="73">
        <v>85429440000</v>
      </c>
      <c r="G25" s="186" t="s">
        <v>576</v>
      </c>
      <c r="J25" s="17" t="s">
        <v>64</v>
      </c>
      <c r="K25" s="17">
        <v>1712.44</v>
      </c>
      <c r="L25" s="17" t="s">
        <v>5</v>
      </c>
      <c r="M25" s="17">
        <v>125520</v>
      </c>
      <c r="N25" s="17" t="s">
        <v>591</v>
      </c>
    </row>
    <row r="26" spans="3:14" ht="29" x14ac:dyDescent="0.35">
      <c r="C26" s="73" t="s">
        <v>31</v>
      </c>
      <c r="D26" s="73">
        <v>-429</v>
      </c>
      <c r="E26" s="73" t="s">
        <v>259</v>
      </c>
      <c r="F26" s="73">
        <v>50597920000</v>
      </c>
      <c r="G26" s="186" t="s">
        <v>577</v>
      </c>
      <c r="J26" s="17"/>
      <c r="K26" s="17"/>
      <c r="L26" s="17"/>
      <c r="M26" s="17"/>
      <c r="N26" s="17"/>
    </row>
    <row r="27" spans="3:14" ht="29" x14ac:dyDescent="0.35">
      <c r="C27" s="73" t="s">
        <v>494</v>
      </c>
      <c r="D27" s="73">
        <v>-429</v>
      </c>
      <c r="E27" s="73" t="s">
        <v>259</v>
      </c>
      <c r="F27" s="73">
        <v>99450540000</v>
      </c>
      <c r="G27" s="186" t="s">
        <v>578</v>
      </c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G9" sqref="G9"/>
    </sheetView>
  </sheetViews>
  <sheetFormatPr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SUM(K13:K30)</f>
        <v>0</v>
      </c>
    </row>
    <row r="5" spans="3:14" x14ac:dyDescent="0.35">
      <c r="C5" s="17" t="s">
        <v>12</v>
      </c>
      <c r="D5" s="17">
        <f>SUM(D13:D32)</f>
        <v>13759</v>
      </c>
    </row>
    <row r="6" spans="3:14" x14ac:dyDescent="0.35">
      <c r="C6" s="27" t="s">
        <v>1</v>
      </c>
      <c r="D6" s="27">
        <f>D4+D5</f>
        <v>13759</v>
      </c>
    </row>
    <row r="11" spans="3:14" ht="39.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x14ac:dyDescent="0.35">
      <c r="C13" s="17" t="s">
        <v>37</v>
      </c>
      <c r="D13" s="17">
        <v>1877</v>
      </c>
      <c r="E13" s="17" t="s">
        <v>5</v>
      </c>
      <c r="F13" s="17">
        <v>533860</v>
      </c>
      <c r="G13" s="17" t="s">
        <v>561</v>
      </c>
    </row>
    <row r="14" spans="3:14" x14ac:dyDescent="0.35">
      <c r="C14" s="17" t="s">
        <v>88</v>
      </c>
      <c r="D14" s="17">
        <v>1819</v>
      </c>
      <c r="E14" s="17" t="s">
        <v>5</v>
      </c>
      <c r="F14" s="17">
        <v>905464</v>
      </c>
      <c r="G14" s="17" t="s">
        <v>562</v>
      </c>
    </row>
    <row r="15" spans="3:14" x14ac:dyDescent="0.35">
      <c r="C15" s="17" t="s">
        <v>476</v>
      </c>
      <c r="D15" s="17">
        <v>611</v>
      </c>
      <c r="E15" s="17" t="s">
        <v>5</v>
      </c>
      <c r="F15" s="17">
        <v>334208</v>
      </c>
      <c r="G15" s="17" t="s">
        <v>43</v>
      </c>
    </row>
    <row r="16" spans="3:14" x14ac:dyDescent="0.35">
      <c r="C16" s="17" t="s">
        <v>478</v>
      </c>
      <c r="D16" s="17">
        <v>1317</v>
      </c>
      <c r="E16" s="17" t="s">
        <v>5</v>
      </c>
      <c r="F16" s="17">
        <v>779272</v>
      </c>
      <c r="G16" s="17" t="s">
        <v>43</v>
      </c>
    </row>
    <row r="17" spans="3:7" x14ac:dyDescent="0.35">
      <c r="C17" s="17" t="s">
        <v>67</v>
      </c>
      <c r="D17" s="17">
        <v>3568</v>
      </c>
      <c r="E17" s="17" t="s">
        <v>5</v>
      </c>
      <c r="F17" s="17">
        <v>242304</v>
      </c>
      <c r="G17" s="17" t="s">
        <v>563</v>
      </c>
    </row>
    <row r="18" spans="3:7" x14ac:dyDescent="0.35">
      <c r="C18" s="17" t="s">
        <v>773</v>
      </c>
      <c r="D18" s="17">
        <v>417</v>
      </c>
      <c r="E18" s="17" t="s">
        <v>5</v>
      </c>
      <c r="F18" s="17">
        <v>945753</v>
      </c>
      <c r="G18" s="17" t="s">
        <v>788</v>
      </c>
    </row>
    <row r="19" spans="3:7" x14ac:dyDescent="0.35">
      <c r="C19" s="17" t="s">
        <v>775</v>
      </c>
      <c r="D19" s="17">
        <v>3205</v>
      </c>
      <c r="E19" s="17" t="s">
        <v>5</v>
      </c>
      <c r="F19" s="17">
        <v>112657</v>
      </c>
      <c r="G19" s="17" t="s">
        <v>129</v>
      </c>
    </row>
    <row r="20" spans="3:7" x14ac:dyDescent="0.35">
      <c r="C20" s="17" t="s">
        <v>777</v>
      </c>
      <c r="D20" s="17">
        <v>945</v>
      </c>
      <c r="E20" s="17" t="s">
        <v>5</v>
      </c>
      <c r="F20" s="17">
        <v>235516</v>
      </c>
      <c r="G20" s="17" t="s">
        <v>43</v>
      </c>
    </row>
    <row r="21" spans="3:7" x14ac:dyDescent="0.35">
      <c r="C21" s="17"/>
      <c r="D21" s="17"/>
      <c r="E21" s="17"/>
      <c r="F21" s="17"/>
      <c r="G21" s="17"/>
    </row>
    <row r="22" spans="3:7" x14ac:dyDescent="0.35">
      <c r="C22" s="17"/>
      <c r="D22" s="17"/>
      <c r="E22" s="17"/>
      <c r="F22" s="17"/>
      <c r="G22" s="17"/>
    </row>
    <row r="23" spans="3:7" x14ac:dyDescent="0.35">
      <c r="C23" s="17"/>
      <c r="D23" s="17"/>
      <c r="E23" s="17"/>
      <c r="F23" s="17"/>
      <c r="G23" s="17"/>
    </row>
    <row r="24" spans="3:7" x14ac:dyDescent="0.35">
      <c r="C24" s="17"/>
      <c r="D24" s="17"/>
      <c r="E24" s="17"/>
      <c r="F24" s="17"/>
      <c r="G24" s="17"/>
    </row>
    <row r="25" spans="3:7" x14ac:dyDescent="0.35">
      <c r="C25" s="17"/>
      <c r="D25" s="17"/>
      <c r="E25" s="17"/>
      <c r="F25" s="17"/>
      <c r="G25" s="17"/>
    </row>
    <row r="26" spans="3:7" x14ac:dyDescent="0.35">
      <c r="C26" s="17"/>
      <c r="D26" s="17"/>
      <c r="E26" s="17"/>
      <c r="F26" s="17"/>
      <c r="G26" s="17"/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zoomScale="63" zoomScaleNormal="56" workbookViewId="0">
      <selection activeCell="N26" sqref="B13:N26"/>
    </sheetView>
  </sheetViews>
  <sheetFormatPr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6328125" customWidth="1"/>
    <col min="7" max="7" width="38.26953125" customWidth="1"/>
    <col min="10" max="10" width="11.6328125" customWidth="1"/>
    <col min="11" max="11" width="18.1796875" customWidth="1"/>
    <col min="12" max="12" width="10.90625" customWidth="1"/>
    <col min="13" max="13" width="12.453125" bestFit="1" customWidth="1"/>
    <col min="14" max="14" width="41.6328125" customWidth="1"/>
    <col min="16" max="16" width="13.7265625" customWidth="1"/>
    <col min="24" max="24" width="8.90625" bestFit="1" customWidth="1"/>
    <col min="27" max="28" width="13.08984375" bestFit="1" customWidth="1"/>
    <col min="29" max="29" width="40.90625" customWidth="1"/>
  </cols>
  <sheetData>
    <row r="3" spans="3:30" x14ac:dyDescent="0.35">
      <c r="C3" s="75" t="s">
        <v>112</v>
      </c>
      <c r="D3" s="67"/>
    </row>
    <row r="4" spans="3:30" x14ac:dyDescent="0.35">
      <c r="C4" s="73" t="s">
        <v>113</v>
      </c>
      <c r="D4" s="73">
        <f>SUM(D13:D24)</f>
        <v>-3917.8500000000004</v>
      </c>
    </row>
    <row r="5" spans="3:30" x14ac:dyDescent="0.35">
      <c r="C5" s="17" t="s">
        <v>12</v>
      </c>
      <c r="D5" s="73">
        <f>SUM(K13:K32)</f>
        <v>5975.4399999999987</v>
      </c>
      <c r="AD5" s="72"/>
    </row>
    <row r="6" spans="3:30" x14ac:dyDescent="0.35">
      <c r="C6" s="27" t="s">
        <v>1</v>
      </c>
      <c r="D6" s="73">
        <f>D4+D5</f>
        <v>2057.5899999999983</v>
      </c>
      <c r="AD6" s="72"/>
    </row>
    <row r="11" spans="3:30" ht="39.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91</v>
      </c>
      <c r="D13" s="73">
        <v>-1595.05</v>
      </c>
      <c r="E13" s="73" t="s">
        <v>524</v>
      </c>
      <c r="F13" s="73">
        <v>25926270000</v>
      </c>
      <c r="G13" s="186" t="s">
        <v>525</v>
      </c>
      <c r="J13" s="17" t="s">
        <v>37</v>
      </c>
      <c r="K13" s="17">
        <v>692.62</v>
      </c>
      <c r="L13" s="17" t="s">
        <v>5</v>
      </c>
      <c r="M13" s="17">
        <v>941210</v>
      </c>
      <c r="N13" s="17" t="s">
        <v>529</v>
      </c>
    </row>
    <row r="14" spans="3:30" ht="29" x14ac:dyDescent="0.35">
      <c r="C14" s="73" t="s">
        <v>56</v>
      </c>
      <c r="D14" s="73">
        <v>-1017.75</v>
      </c>
      <c r="E14" s="73" t="s">
        <v>524</v>
      </c>
      <c r="F14" s="73">
        <v>45035920000</v>
      </c>
      <c r="G14" s="186" t="s">
        <v>526</v>
      </c>
      <c r="J14" s="17" t="s">
        <v>37</v>
      </c>
      <c r="K14" s="17">
        <v>456.8</v>
      </c>
      <c r="L14" s="17" t="s">
        <v>5</v>
      </c>
      <c r="M14" s="17">
        <v>941210</v>
      </c>
      <c r="N14" s="17" t="s">
        <v>530</v>
      </c>
    </row>
    <row r="15" spans="3:30" ht="29" x14ac:dyDescent="0.35">
      <c r="C15" s="73" t="s">
        <v>46</v>
      </c>
      <c r="D15" s="73">
        <v>-335.6</v>
      </c>
      <c r="E15" s="73" t="s">
        <v>259</v>
      </c>
      <c r="F15" s="73">
        <v>19204760000</v>
      </c>
      <c r="G15" s="186" t="s">
        <v>527</v>
      </c>
      <c r="J15" s="17" t="s">
        <v>85</v>
      </c>
      <c r="K15" s="17">
        <v>235.78</v>
      </c>
      <c r="L15" s="17" t="s">
        <v>5</v>
      </c>
      <c r="M15" s="17">
        <v>742447</v>
      </c>
      <c r="N15" s="17" t="s">
        <v>531</v>
      </c>
    </row>
    <row r="16" spans="3:30" ht="29" x14ac:dyDescent="0.35">
      <c r="C16" s="73" t="s">
        <v>34</v>
      </c>
      <c r="D16" s="78">
        <v>-969.45</v>
      </c>
      <c r="E16" s="79" t="s">
        <v>524</v>
      </c>
      <c r="F16" s="73">
        <v>61013320000</v>
      </c>
      <c r="G16" s="186" t="s">
        <v>528</v>
      </c>
      <c r="J16" s="17" t="s">
        <v>245</v>
      </c>
      <c r="K16" s="17">
        <v>92.36</v>
      </c>
      <c r="L16" s="17" t="s">
        <v>5</v>
      </c>
      <c r="M16" s="17">
        <v>338604</v>
      </c>
      <c r="N16" s="17" t="s">
        <v>532</v>
      </c>
    </row>
    <row r="17" spans="3:14" x14ac:dyDescent="0.35">
      <c r="C17" s="73"/>
      <c r="D17" s="73"/>
      <c r="E17" s="73"/>
      <c r="F17" s="73"/>
      <c r="G17" s="73"/>
      <c r="J17" s="17" t="s">
        <v>58</v>
      </c>
      <c r="K17" s="17">
        <v>191.68</v>
      </c>
      <c r="L17" s="17" t="s">
        <v>5</v>
      </c>
      <c r="M17" s="17">
        <v>1275771</v>
      </c>
      <c r="N17" s="17" t="s">
        <v>533</v>
      </c>
    </row>
    <row r="18" spans="3:14" x14ac:dyDescent="0.35">
      <c r="C18" s="73"/>
      <c r="D18" s="79"/>
      <c r="E18" s="73"/>
      <c r="F18" s="73"/>
      <c r="G18" s="73"/>
      <c r="J18" s="17" t="s">
        <v>63</v>
      </c>
      <c r="K18" s="17">
        <v>495.17</v>
      </c>
      <c r="L18" s="17" t="s">
        <v>5</v>
      </c>
      <c r="M18" s="17">
        <v>1169651</v>
      </c>
      <c r="N18" s="17" t="s">
        <v>534</v>
      </c>
    </row>
    <row r="19" spans="3:14" x14ac:dyDescent="0.35">
      <c r="C19" s="73"/>
      <c r="D19" s="73"/>
      <c r="E19" s="73"/>
      <c r="F19" s="73"/>
      <c r="G19" s="73"/>
      <c r="J19" s="17" t="s">
        <v>67</v>
      </c>
      <c r="K19" s="17">
        <v>330.12</v>
      </c>
      <c r="L19" s="17" t="s">
        <v>5</v>
      </c>
      <c r="M19" s="17">
        <v>1556215</v>
      </c>
      <c r="N19" s="17" t="s">
        <v>535</v>
      </c>
    </row>
    <row r="20" spans="3:14" x14ac:dyDescent="0.35">
      <c r="C20" s="73"/>
      <c r="D20" s="73"/>
      <c r="E20" s="73"/>
      <c r="F20" s="73"/>
      <c r="G20" s="73"/>
      <c r="J20" s="17" t="s">
        <v>767</v>
      </c>
      <c r="K20" s="17">
        <v>589.46</v>
      </c>
      <c r="L20" s="17" t="s">
        <v>5</v>
      </c>
      <c r="M20" s="17">
        <v>401203</v>
      </c>
      <c r="N20" s="17" t="s">
        <v>785</v>
      </c>
    </row>
    <row r="21" spans="3:14" x14ac:dyDescent="0.35">
      <c r="C21" s="73"/>
      <c r="D21" s="73"/>
      <c r="E21" s="73"/>
      <c r="F21" s="73"/>
      <c r="G21" s="73"/>
      <c r="J21" s="17" t="s">
        <v>490</v>
      </c>
      <c r="K21" s="17">
        <v>338.93</v>
      </c>
      <c r="L21" s="17" t="s">
        <v>5</v>
      </c>
      <c r="M21" s="17">
        <v>401438</v>
      </c>
      <c r="N21" s="17" t="s">
        <v>536</v>
      </c>
    </row>
    <row r="22" spans="3:14" x14ac:dyDescent="0.35">
      <c r="C22" s="73"/>
      <c r="D22" s="73"/>
      <c r="E22" s="73"/>
      <c r="F22" s="73"/>
      <c r="G22" s="73"/>
      <c r="J22" s="17" t="s">
        <v>72</v>
      </c>
      <c r="K22" s="17">
        <v>1584.84</v>
      </c>
      <c r="L22" s="17" t="s">
        <v>5</v>
      </c>
      <c r="M22" s="17">
        <v>1363386</v>
      </c>
      <c r="N22" s="17" t="s">
        <v>537</v>
      </c>
    </row>
    <row r="23" spans="3:14" x14ac:dyDescent="0.35">
      <c r="C23" s="73"/>
      <c r="D23" s="73"/>
      <c r="E23" s="73"/>
      <c r="F23" s="73"/>
      <c r="G23" s="73"/>
      <c r="J23" s="17" t="s">
        <v>76</v>
      </c>
      <c r="K23" s="17">
        <v>245.62</v>
      </c>
      <c r="L23" s="17" t="s">
        <v>5</v>
      </c>
      <c r="M23" s="17">
        <v>1173633</v>
      </c>
      <c r="N23" s="17" t="s">
        <v>538</v>
      </c>
    </row>
    <row r="24" spans="3:14" x14ac:dyDescent="0.35">
      <c r="C24" s="73"/>
      <c r="D24" s="73"/>
      <c r="E24" s="73"/>
      <c r="F24" s="73"/>
      <c r="G24" s="73"/>
      <c r="J24" s="17" t="s">
        <v>505</v>
      </c>
      <c r="K24" s="17">
        <v>722.06</v>
      </c>
      <c r="L24" s="17" t="s">
        <v>5</v>
      </c>
      <c r="M24" s="17">
        <v>1501535</v>
      </c>
      <c r="N24" s="17" t="s">
        <v>539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209"/>
  <sheetViews>
    <sheetView topLeftCell="A57" zoomScale="53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2508.1799999999998</v>
      </c>
      <c r="C81" t="s">
        <v>5</v>
      </c>
      <c r="D81">
        <v>1212071</v>
      </c>
      <c r="E81" t="s">
        <v>336</v>
      </c>
    </row>
    <row r="82" spans="1:5" x14ac:dyDescent="0.35">
      <c r="A82" t="s">
        <v>77</v>
      </c>
      <c r="B82">
        <v>1371.5</v>
      </c>
      <c r="C82" t="s">
        <v>5</v>
      </c>
      <c r="D82">
        <v>1434591</v>
      </c>
      <c r="E82" t="s">
        <v>337</v>
      </c>
    </row>
    <row r="83" spans="1:5" x14ac:dyDescent="0.35">
      <c r="A83" t="s">
        <v>73</v>
      </c>
      <c r="B83">
        <v>2164.3200000000002</v>
      </c>
      <c r="C83" t="s">
        <v>5</v>
      </c>
      <c r="D83">
        <v>1242010</v>
      </c>
      <c r="E83" t="s">
        <v>338</v>
      </c>
    </row>
    <row r="84" spans="1:5" x14ac:dyDescent="0.35">
      <c r="A84" t="s">
        <v>94</v>
      </c>
      <c r="B84">
        <v>2355.87</v>
      </c>
      <c r="C84" t="s">
        <v>5</v>
      </c>
      <c r="D84">
        <v>1108088</v>
      </c>
      <c r="E84" t="s">
        <v>339</v>
      </c>
    </row>
    <row r="85" spans="1:5" x14ac:dyDescent="0.35">
      <c r="A85" t="s">
        <v>29</v>
      </c>
      <c r="B85">
        <v>71.72</v>
      </c>
      <c r="C85" t="s">
        <v>5</v>
      </c>
      <c r="D85">
        <v>607955</v>
      </c>
      <c r="E85" t="s">
        <v>340</v>
      </c>
    </row>
    <row r="86" spans="1:5" x14ac:dyDescent="0.35">
      <c r="A86" t="s">
        <v>93</v>
      </c>
      <c r="B86">
        <v>1606.29</v>
      </c>
      <c r="C86" t="s">
        <v>5</v>
      </c>
      <c r="D86">
        <v>1029196</v>
      </c>
      <c r="E86" t="s">
        <v>341</v>
      </c>
    </row>
    <row r="87" spans="1:5" x14ac:dyDescent="0.35">
      <c r="A87" t="s">
        <v>33</v>
      </c>
      <c r="B87">
        <v>1770.42</v>
      </c>
      <c r="C87" t="s">
        <v>5</v>
      </c>
      <c r="D87">
        <v>476321</v>
      </c>
      <c r="E87" t="s">
        <v>342</v>
      </c>
    </row>
    <row r="88" spans="1:5" x14ac:dyDescent="0.35">
      <c r="A88" t="s">
        <v>37</v>
      </c>
      <c r="B88">
        <v>1619.07</v>
      </c>
      <c r="C88" t="s">
        <v>5</v>
      </c>
      <c r="D88">
        <v>941095</v>
      </c>
      <c r="E88" t="s">
        <v>343</v>
      </c>
    </row>
    <row r="89" spans="1:5" x14ac:dyDescent="0.35">
      <c r="A89" t="s">
        <v>37</v>
      </c>
      <c r="B89">
        <v>4527.1899999999996</v>
      </c>
      <c r="C89" t="s">
        <v>5</v>
      </c>
      <c r="D89">
        <v>941221</v>
      </c>
      <c r="E89" t="s">
        <v>344</v>
      </c>
    </row>
    <row r="90" spans="1:5" x14ac:dyDescent="0.35">
      <c r="A90" t="s">
        <v>37</v>
      </c>
      <c r="B90">
        <v>3027.99</v>
      </c>
      <c r="C90" t="s">
        <v>5</v>
      </c>
      <c r="D90">
        <v>941220</v>
      </c>
      <c r="E90" t="s">
        <v>345</v>
      </c>
    </row>
    <row r="91" spans="1:5" x14ac:dyDescent="0.35">
      <c r="A91" t="s">
        <v>346</v>
      </c>
      <c r="B91">
        <v>1819.5</v>
      </c>
      <c r="C91" t="s">
        <v>5</v>
      </c>
      <c r="D91">
        <v>1311596</v>
      </c>
      <c r="E91" t="s">
        <v>347</v>
      </c>
    </row>
    <row r="92" spans="1:5" x14ac:dyDescent="0.35">
      <c r="A92" t="s">
        <v>92</v>
      </c>
      <c r="B92">
        <v>1930.5</v>
      </c>
      <c r="C92" t="s">
        <v>5</v>
      </c>
      <c r="D92">
        <v>1158256</v>
      </c>
      <c r="E92" t="s">
        <v>348</v>
      </c>
    </row>
    <row r="93" spans="1:5" x14ac:dyDescent="0.35">
      <c r="A93" t="s">
        <v>91</v>
      </c>
      <c r="B93">
        <v>1240.82</v>
      </c>
      <c r="C93" t="s">
        <v>5</v>
      </c>
      <c r="D93">
        <v>836512</v>
      </c>
      <c r="E93" t="s">
        <v>349</v>
      </c>
    </row>
    <row r="94" spans="1:5" x14ac:dyDescent="0.35">
      <c r="A94" t="s">
        <v>350</v>
      </c>
      <c r="B94">
        <v>1566.03</v>
      </c>
      <c r="C94" t="s">
        <v>5</v>
      </c>
      <c r="D94">
        <v>1194854</v>
      </c>
      <c r="E94" t="s">
        <v>351</v>
      </c>
    </row>
    <row r="95" spans="1:5" x14ac:dyDescent="0.35">
      <c r="A95" t="s">
        <v>40</v>
      </c>
      <c r="B95">
        <v>2325.4699999999998</v>
      </c>
      <c r="C95" t="s">
        <v>5</v>
      </c>
      <c r="D95">
        <v>1098733</v>
      </c>
      <c r="E95" t="s">
        <v>352</v>
      </c>
    </row>
    <row r="96" spans="1:5" x14ac:dyDescent="0.35">
      <c r="A96" t="s">
        <v>45</v>
      </c>
      <c r="B96">
        <v>1037.49</v>
      </c>
      <c r="C96" t="s">
        <v>5</v>
      </c>
      <c r="D96">
        <v>392660</v>
      </c>
      <c r="E96" t="s">
        <v>353</v>
      </c>
    </row>
    <row r="97" spans="1:5" x14ac:dyDescent="0.35">
      <c r="A97" t="s">
        <v>354</v>
      </c>
      <c r="B97">
        <v>566.85</v>
      </c>
      <c r="C97" t="s">
        <v>5</v>
      </c>
      <c r="D97">
        <v>1101037</v>
      </c>
      <c r="E97" t="s">
        <v>357</v>
      </c>
    </row>
    <row r="98" spans="1:5" x14ac:dyDescent="0.35">
      <c r="A98" t="s">
        <v>354</v>
      </c>
      <c r="B98">
        <v>611.1</v>
      </c>
      <c r="C98" t="s">
        <v>5</v>
      </c>
      <c r="D98">
        <v>1101018</v>
      </c>
      <c r="E98" t="s">
        <v>355</v>
      </c>
    </row>
    <row r="99" spans="1:5" x14ac:dyDescent="0.35">
      <c r="A99" t="s">
        <v>354</v>
      </c>
      <c r="B99">
        <v>1211.3499999999999</v>
      </c>
      <c r="C99" t="s">
        <v>5</v>
      </c>
      <c r="D99">
        <v>1101019</v>
      </c>
      <c r="E99" t="s">
        <v>356</v>
      </c>
    </row>
    <row r="100" spans="1:5" x14ac:dyDescent="0.35">
      <c r="A100" t="s">
        <v>65</v>
      </c>
      <c r="B100">
        <v>1742.95</v>
      </c>
      <c r="C100" t="s">
        <v>5</v>
      </c>
      <c r="D100">
        <v>1025924</v>
      </c>
      <c r="E100" t="s">
        <v>358</v>
      </c>
    </row>
    <row r="101" spans="1:5" x14ac:dyDescent="0.35">
      <c r="A101" t="s">
        <v>65</v>
      </c>
      <c r="B101">
        <v>1384.32</v>
      </c>
      <c r="C101" t="s">
        <v>5</v>
      </c>
      <c r="D101">
        <v>1025919</v>
      </c>
      <c r="E101" t="s">
        <v>360</v>
      </c>
    </row>
    <row r="102" spans="1:5" x14ac:dyDescent="0.35">
      <c r="A102" t="s">
        <v>65</v>
      </c>
      <c r="B102">
        <v>1985.53</v>
      </c>
      <c r="C102" t="s">
        <v>5</v>
      </c>
      <c r="D102">
        <v>1025921</v>
      </c>
      <c r="E102" t="s">
        <v>359</v>
      </c>
    </row>
    <row r="103" spans="1:5" x14ac:dyDescent="0.35">
      <c r="A103" t="s">
        <v>361</v>
      </c>
      <c r="B103">
        <v>1443.25</v>
      </c>
      <c r="C103" t="s">
        <v>5</v>
      </c>
      <c r="D103">
        <v>294675</v>
      </c>
      <c r="E103" t="s">
        <v>362</v>
      </c>
    </row>
    <row r="104" spans="1:5" x14ac:dyDescent="0.35">
      <c r="A104" t="s">
        <v>363</v>
      </c>
      <c r="B104">
        <v>1351.85</v>
      </c>
      <c r="C104" t="s">
        <v>5</v>
      </c>
      <c r="D104">
        <v>979339</v>
      </c>
      <c r="E104" t="s">
        <v>364</v>
      </c>
    </row>
    <row r="105" spans="1:5" x14ac:dyDescent="0.35">
      <c r="A105" t="s">
        <v>90</v>
      </c>
      <c r="B105">
        <v>1287.97</v>
      </c>
      <c r="C105" t="s">
        <v>5</v>
      </c>
      <c r="D105">
        <v>938553</v>
      </c>
      <c r="E105" t="s">
        <v>365</v>
      </c>
    </row>
    <row r="106" spans="1:5" x14ac:dyDescent="0.35">
      <c r="A106" t="s">
        <v>89</v>
      </c>
      <c r="B106">
        <v>1350.81</v>
      </c>
      <c r="C106" t="s">
        <v>5</v>
      </c>
      <c r="D106">
        <v>770108</v>
      </c>
      <c r="E106" t="s">
        <v>366</v>
      </c>
    </row>
    <row r="107" spans="1:5" x14ac:dyDescent="0.35">
      <c r="A107" t="s">
        <v>367</v>
      </c>
      <c r="B107">
        <v>820.38</v>
      </c>
      <c r="C107" t="s">
        <v>5</v>
      </c>
      <c r="D107">
        <v>213902</v>
      </c>
      <c r="E107" t="s">
        <v>368</v>
      </c>
    </row>
    <row r="108" spans="1:5" x14ac:dyDescent="0.35">
      <c r="A108" t="s">
        <v>762</v>
      </c>
      <c r="B108">
        <v>29.47</v>
      </c>
      <c r="C108" t="s">
        <v>5</v>
      </c>
      <c r="D108">
        <v>278224</v>
      </c>
      <c r="E108" t="s">
        <v>763</v>
      </c>
    </row>
    <row r="109" spans="1:5" x14ac:dyDescent="0.35">
      <c r="A109" t="s">
        <v>61</v>
      </c>
      <c r="B109">
        <v>1927.56</v>
      </c>
      <c r="C109" t="s">
        <v>5</v>
      </c>
      <c r="D109">
        <v>672524</v>
      </c>
      <c r="E109" t="s">
        <v>369</v>
      </c>
    </row>
    <row r="110" spans="1:5" x14ac:dyDescent="0.35">
      <c r="A110" t="s">
        <v>370</v>
      </c>
      <c r="B110">
        <v>1176.02</v>
      </c>
      <c r="C110" t="s">
        <v>5</v>
      </c>
      <c r="D110">
        <v>129594</v>
      </c>
      <c r="E110" t="s">
        <v>373</v>
      </c>
    </row>
    <row r="111" spans="1:5" x14ac:dyDescent="0.35">
      <c r="A111" t="s">
        <v>370</v>
      </c>
      <c r="B111">
        <v>1535.56</v>
      </c>
      <c r="C111" t="s">
        <v>5</v>
      </c>
      <c r="D111">
        <v>129870</v>
      </c>
      <c r="E111" t="s">
        <v>372</v>
      </c>
    </row>
    <row r="112" spans="1:5" x14ac:dyDescent="0.35">
      <c r="A112" t="s">
        <v>370</v>
      </c>
      <c r="B112">
        <v>379.25</v>
      </c>
      <c r="C112" t="s">
        <v>5</v>
      </c>
      <c r="D112">
        <v>129596</v>
      </c>
      <c r="E112" t="s">
        <v>371</v>
      </c>
    </row>
    <row r="113" spans="1:5" x14ac:dyDescent="0.35">
      <c r="A113" t="s">
        <v>694</v>
      </c>
      <c r="B113">
        <v>521.66999999999996</v>
      </c>
      <c r="C113" t="s">
        <v>5</v>
      </c>
      <c r="D113">
        <v>1466610</v>
      </c>
      <c r="E113" t="s">
        <v>764</v>
      </c>
    </row>
    <row r="114" spans="1:5" x14ac:dyDescent="0.35">
      <c r="A114" t="s">
        <v>88</v>
      </c>
      <c r="B114">
        <v>1966.89</v>
      </c>
      <c r="C114" t="s">
        <v>5</v>
      </c>
      <c r="D114">
        <v>596605</v>
      </c>
      <c r="E114" t="s">
        <v>374</v>
      </c>
    </row>
    <row r="115" spans="1:5" x14ac:dyDescent="0.35">
      <c r="A115" t="s">
        <v>48</v>
      </c>
      <c r="B115">
        <v>1210.3900000000001</v>
      </c>
      <c r="C115" t="s">
        <v>5</v>
      </c>
      <c r="D115">
        <v>1527295</v>
      </c>
      <c r="E115" t="s">
        <v>375</v>
      </c>
    </row>
    <row r="116" spans="1:5" x14ac:dyDescent="0.35">
      <c r="A116" t="s">
        <v>376</v>
      </c>
      <c r="B116">
        <v>1245.71</v>
      </c>
      <c r="C116" t="s">
        <v>5</v>
      </c>
      <c r="D116">
        <v>898381</v>
      </c>
      <c r="E116" t="s">
        <v>377</v>
      </c>
    </row>
    <row r="117" spans="1:5" x14ac:dyDescent="0.35">
      <c r="A117" t="s">
        <v>87</v>
      </c>
      <c r="B117">
        <v>1805.75</v>
      </c>
      <c r="C117" t="s">
        <v>5</v>
      </c>
      <c r="D117">
        <v>881846</v>
      </c>
      <c r="E117" t="s">
        <v>378</v>
      </c>
    </row>
    <row r="118" spans="1:5" x14ac:dyDescent="0.35">
      <c r="A118" t="s">
        <v>52</v>
      </c>
      <c r="B118">
        <v>1793.01</v>
      </c>
      <c r="C118" t="s">
        <v>5</v>
      </c>
      <c r="D118">
        <v>517804</v>
      </c>
      <c r="E118" t="s">
        <v>379</v>
      </c>
    </row>
    <row r="119" spans="1:5" x14ac:dyDescent="0.35">
      <c r="A119" t="s">
        <v>52</v>
      </c>
      <c r="B119">
        <v>1324.32</v>
      </c>
      <c r="C119" t="s">
        <v>5</v>
      </c>
      <c r="D119">
        <v>517799</v>
      </c>
      <c r="E119" t="s">
        <v>380</v>
      </c>
    </row>
    <row r="120" spans="1:5" x14ac:dyDescent="0.35">
      <c r="A120" t="s">
        <v>52</v>
      </c>
      <c r="B120">
        <v>2183.94</v>
      </c>
      <c r="C120" t="s">
        <v>5</v>
      </c>
      <c r="D120">
        <v>517324</v>
      </c>
      <c r="E120" t="s">
        <v>381</v>
      </c>
    </row>
    <row r="121" spans="1:5" x14ac:dyDescent="0.35">
      <c r="A121" t="s">
        <v>382</v>
      </c>
      <c r="B121">
        <v>711.31</v>
      </c>
      <c r="C121" t="s">
        <v>5</v>
      </c>
      <c r="D121">
        <v>790146</v>
      </c>
      <c r="E121" t="s">
        <v>383</v>
      </c>
    </row>
    <row r="122" spans="1:5" x14ac:dyDescent="0.35">
      <c r="A122" t="s">
        <v>86</v>
      </c>
      <c r="B122">
        <v>1485.47</v>
      </c>
      <c r="C122" t="s">
        <v>5</v>
      </c>
      <c r="D122">
        <v>807235</v>
      </c>
      <c r="E122" t="s">
        <v>384</v>
      </c>
    </row>
    <row r="123" spans="1:5" x14ac:dyDescent="0.35">
      <c r="A123" t="s">
        <v>56</v>
      </c>
      <c r="B123">
        <v>1419.65</v>
      </c>
      <c r="C123" t="s">
        <v>5</v>
      </c>
      <c r="D123">
        <v>414192</v>
      </c>
      <c r="E123" t="s">
        <v>385</v>
      </c>
    </row>
    <row r="124" spans="1:5" x14ac:dyDescent="0.35">
      <c r="A124" t="s">
        <v>386</v>
      </c>
      <c r="B124">
        <v>845.86</v>
      </c>
      <c r="C124" t="s">
        <v>5</v>
      </c>
      <c r="D124">
        <v>698285</v>
      </c>
      <c r="E124" t="s">
        <v>387</v>
      </c>
    </row>
    <row r="125" spans="1:5" x14ac:dyDescent="0.35">
      <c r="A125" t="s">
        <v>476</v>
      </c>
      <c r="B125">
        <v>2758.69</v>
      </c>
      <c r="C125" t="s">
        <v>5</v>
      </c>
      <c r="D125">
        <v>898688</v>
      </c>
      <c r="E125" t="s">
        <v>477</v>
      </c>
    </row>
    <row r="126" spans="1:5" x14ac:dyDescent="0.35">
      <c r="A126" t="s">
        <v>85</v>
      </c>
      <c r="B126">
        <v>2346.0500000000002</v>
      </c>
      <c r="C126" t="s">
        <v>5</v>
      </c>
      <c r="D126">
        <v>742446</v>
      </c>
      <c r="E126" t="s">
        <v>388</v>
      </c>
    </row>
    <row r="127" spans="1:5" x14ac:dyDescent="0.35">
      <c r="A127" t="s">
        <v>53</v>
      </c>
      <c r="B127">
        <v>3184.11</v>
      </c>
      <c r="C127" t="s">
        <v>5</v>
      </c>
      <c r="D127">
        <v>1451306</v>
      </c>
      <c r="E127" t="s">
        <v>389</v>
      </c>
    </row>
    <row r="128" spans="1:5" x14ac:dyDescent="0.35">
      <c r="A128" t="s">
        <v>390</v>
      </c>
      <c r="B128">
        <v>800.68</v>
      </c>
      <c r="C128" t="s">
        <v>5</v>
      </c>
      <c r="D128">
        <v>591487</v>
      </c>
      <c r="E128" t="s">
        <v>393</v>
      </c>
    </row>
    <row r="129" spans="1:5" x14ac:dyDescent="0.35">
      <c r="A129" t="s">
        <v>390</v>
      </c>
      <c r="B129">
        <v>609.14</v>
      </c>
      <c r="C129" t="s">
        <v>5</v>
      </c>
      <c r="D129">
        <v>591486</v>
      </c>
      <c r="E129" t="s">
        <v>391</v>
      </c>
    </row>
    <row r="130" spans="1:5" x14ac:dyDescent="0.35">
      <c r="A130" t="s">
        <v>390</v>
      </c>
      <c r="B130">
        <v>177.83</v>
      </c>
      <c r="C130" t="s">
        <v>5</v>
      </c>
      <c r="D130">
        <v>591147</v>
      </c>
      <c r="E130" t="s">
        <v>392</v>
      </c>
    </row>
    <row r="131" spans="1:5" x14ac:dyDescent="0.35">
      <c r="A131" t="s">
        <v>478</v>
      </c>
      <c r="B131">
        <v>1980.63</v>
      </c>
      <c r="C131" t="s">
        <v>5</v>
      </c>
      <c r="D131">
        <v>766625</v>
      </c>
      <c r="E131" t="s">
        <v>479</v>
      </c>
    </row>
    <row r="132" spans="1:5" x14ac:dyDescent="0.35">
      <c r="A132" t="s">
        <v>84</v>
      </c>
      <c r="B132">
        <v>902.87</v>
      </c>
      <c r="C132" t="s">
        <v>5</v>
      </c>
      <c r="D132">
        <v>663483</v>
      </c>
      <c r="E132" t="s">
        <v>394</v>
      </c>
    </row>
    <row r="133" spans="1:5" x14ac:dyDescent="0.35">
      <c r="A133" t="s">
        <v>84</v>
      </c>
      <c r="B133">
        <v>66.8</v>
      </c>
      <c r="C133" t="s">
        <v>5</v>
      </c>
      <c r="D133">
        <v>663586</v>
      </c>
      <c r="E133" t="s">
        <v>395</v>
      </c>
    </row>
    <row r="134" spans="1:5" x14ac:dyDescent="0.35">
      <c r="A134" t="s">
        <v>396</v>
      </c>
      <c r="B134">
        <v>2332.34</v>
      </c>
      <c r="C134" t="s">
        <v>5</v>
      </c>
      <c r="D134">
        <v>1358029</v>
      </c>
      <c r="E134" t="s">
        <v>397</v>
      </c>
    </row>
    <row r="135" spans="1:5" x14ac:dyDescent="0.35">
      <c r="A135" t="s">
        <v>398</v>
      </c>
      <c r="B135">
        <v>862.6</v>
      </c>
      <c r="C135" t="s">
        <v>5</v>
      </c>
      <c r="D135">
        <v>461260</v>
      </c>
      <c r="E135" t="s">
        <v>399</v>
      </c>
    </row>
    <row r="136" spans="1:5" x14ac:dyDescent="0.35">
      <c r="A136" t="s">
        <v>480</v>
      </c>
      <c r="B136">
        <v>2505.1799999999998</v>
      </c>
      <c r="C136" t="s">
        <v>5</v>
      </c>
      <c r="D136">
        <v>685963</v>
      </c>
      <c r="E136" t="s">
        <v>481</v>
      </c>
    </row>
    <row r="137" spans="1:5" x14ac:dyDescent="0.35">
      <c r="A137" t="s">
        <v>245</v>
      </c>
      <c r="B137">
        <v>2927.7</v>
      </c>
      <c r="C137" t="s">
        <v>5</v>
      </c>
      <c r="D137">
        <v>339492</v>
      </c>
      <c r="E137" t="s">
        <v>400</v>
      </c>
    </row>
    <row r="138" spans="1:5" x14ac:dyDescent="0.35">
      <c r="A138" t="s">
        <v>58</v>
      </c>
      <c r="B138">
        <v>4179.34</v>
      </c>
      <c r="C138" t="s">
        <v>5</v>
      </c>
      <c r="D138">
        <v>1275771</v>
      </c>
      <c r="E138" t="s">
        <v>401</v>
      </c>
    </row>
    <row r="139" spans="1:5" x14ac:dyDescent="0.35">
      <c r="A139" t="s">
        <v>482</v>
      </c>
      <c r="B139">
        <v>2331.35</v>
      </c>
      <c r="C139" t="s">
        <v>5</v>
      </c>
      <c r="D139">
        <v>612501</v>
      </c>
      <c r="E139" t="s">
        <v>483</v>
      </c>
    </row>
    <row r="140" spans="1:5" x14ac:dyDescent="0.35">
      <c r="A140" t="s">
        <v>482</v>
      </c>
      <c r="B140">
        <v>2510.14</v>
      </c>
      <c r="C140" t="s">
        <v>5</v>
      </c>
      <c r="D140">
        <v>612501</v>
      </c>
      <c r="E140" t="s">
        <v>484</v>
      </c>
    </row>
    <row r="141" spans="1:5" x14ac:dyDescent="0.35">
      <c r="A141" t="s">
        <v>482</v>
      </c>
      <c r="B141">
        <v>371.36</v>
      </c>
      <c r="C141" t="s">
        <v>5</v>
      </c>
      <c r="D141">
        <v>612537</v>
      </c>
      <c r="E141" t="s">
        <v>485</v>
      </c>
    </row>
    <row r="142" spans="1:5" x14ac:dyDescent="0.35">
      <c r="A142" t="s">
        <v>60</v>
      </c>
      <c r="B142">
        <v>1713.37</v>
      </c>
      <c r="C142" t="s">
        <v>5</v>
      </c>
      <c r="D142">
        <v>234407</v>
      </c>
      <c r="E142" t="s">
        <v>402</v>
      </c>
    </row>
    <row r="143" spans="1:5" x14ac:dyDescent="0.35">
      <c r="A143" t="s">
        <v>63</v>
      </c>
      <c r="B143">
        <v>3204.77</v>
      </c>
      <c r="C143" t="s">
        <v>5</v>
      </c>
      <c r="D143">
        <v>1169683</v>
      </c>
      <c r="E143" t="s">
        <v>405</v>
      </c>
    </row>
    <row r="144" spans="1:5" x14ac:dyDescent="0.35">
      <c r="A144" t="s">
        <v>63</v>
      </c>
      <c r="B144">
        <v>1396.08</v>
      </c>
      <c r="C144" t="s">
        <v>5</v>
      </c>
      <c r="D144">
        <v>1169651</v>
      </c>
      <c r="E144" t="s">
        <v>403</v>
      </c>
    </row>
    <row r="145" spans="1:5" x14ac:dyDescent="0.35">
      <c r="A145" t="s">
        <v>63</v>
      </c>
      <c r="B145">
        <v>3189.07</v>
      </c>
      <c r="C145" t="s">
        <v>5</v>
      </c>
      <c r="D145">
        <v>1169649</v>
      </c>
      <c r="E145" t="s">
        <v>404</v>
      </c>
    </row>
    <row r="146" spans="1:5" x14ac:dyDescent="0.35">
      <c r="A146" t="s">
        <v>486</v>
      </c>
      <c r="B146">
        <v>1544.41</v>
      </c>
      <c r="C146" t="s">
        <v>5</v>
      </c>
      <c r="D146">
        <v>526170</v>
      </c>
      <c r="E146" t="s">
        <v>487</v>
      </c>
    </row>
    <row r="147" spans="1:5" x14ac:dyDescent="0.35">
      <c r="A147" t="s">
        <v>246</v>
      </c>
      <c r="B147">
        <v>2491.48</v>
      </c>
      <c r="C147" t="s">
        <v>5</v>
      </c>
      <c r="D147">
        <v>147914</v>
      </c>
      <c r="E147" t="s">
        <v>406</v>
      </c>
    </row>
    <row r="148" spans="1:5" x14ac:dyDescent="0.35">
      <c r="A148" t="s">
        <v>46</v>
      </c>
      <c r="B148">
        <v>1787.21</v>
      </c>
      <c r="C148" t="s">
        <v>5</v>
      </c>
      <c r="D148">
        <v>1071246</v>
      </c>
      <c r="E148" t="s">
        <v>407</v>
      </c>
    </row>
    <row r="149" spans="1:5" x14ac:dyDescent="0.35">
      <c r="A149" t="s">
        <v>42</v>
      </c>
      <c r="B149">
        <v>1185.81</v>
      </c>
      <c r="C149" t="s">
        <v>5</v>
      </c>
      <c r="D149">
        <v>372904</v>
      </c>
      <c r="E149" t="s">
        <v>408</v>
      </c>
    </row>
    <row r="150" spans="1:5" x14ac:dyDescent="0.35">
      <c r="A150" t="s">
        <v>765</v>
      </c>
      <c r="B150">
        <v>1469.72</v>
      </c>
      <c r="C150" t="s">
        <v>5</v>
      </c>
      <c r="D150">
        <v>464617</v>
      </c>
      <c r="E150" t="s">
        <v>766</v>
      </c>
    </row>
    <row r="151" spans="1:5" x14ac:dyDescent="0.35">
      <c r="A151" t="s">
        <v>67</v>
      </c>
      <c r="B151">
        <v>441.1</v>
      </c>
      <c r="C151" t="s">
        <v>5</v>
      </c>
      <c r="D151">
        <v>1555163</v>
      </c>
      <c r="E151" t="s">
        <v>411</v>
      </c>
    </row>
    <row r="152" spans="1:5" x14ac:dyDescent="0.35">
      <c r="A152" t="s">
        <v>67</v>
      </c>
      <c r="B152">
        <v>1980.63</v>
      </c>
      <c r="C152" t="s">
        <v>5</v>
      </c>
      <c r="D152">
        <v>1556209</v>
      </c>
      <c r="E152" t="s">
        <v>409</v>
      </c>
    </row>
    <row r="153" spans="1:5" x14ac:dyDescent="0.35">
      <c r="A153" t="s">
        <v>67</v>
      </c>
      <c r="B153">
        <v>868.46</v>
      </c>
      <c r="C153" t="s">
        <v>5</v>
      </c>
      <c r="D153">
        <v>1556213</v>
      </c>
      <c r="E153" t="s">
        <v>410</v>
      </c>
    </row>
    <row r="154" spans="1:5" x14ac:dyDescent="0.35">
      <c r="A154" t="s">
        <v>78</v>
      </c>
      <c r="B154">
        <v>2555.38</v>
      </c>
      <c r="C154" t="s">
        <v>5</v>
      </c>
      <c r="D154">
        <v>254875</v>
      </c>
      <c r="E154" t="s">
        <v>412</v>
      </c>
    </row>
    <row r="155" spans="1:5" x14ac:dyDescent="0.35">
      <c r="A155" t="s">
        <v>767</v>
      </c>
      <c r="B155">
        <v>2261.56</v>
      </c>
      <c r="C155" t="s">
        <v>5</v>
      </c>
      <c r="D155">
        <v>401190</v>
      </c>
      <c r="E155" t="s">
        <v>768</v>
      </c>
    </row>
    <row r="156" spans="1:5" x14ac:dyDescent="0.35">
      <c r="A156" t="s">
        <v>34</v>
      </c>
      <c r="B156">
        <v>914.67</v>
      </c>
      <c r="C156" t="s">
        <v>5</v>
      </c>
      <c r="D156">
        <v>1438142</v>
      </c>
      <c r="E156" t="s">
        <v>413</v>
      </c>
    </row>
    <row r="157" spans="1:5" x14ac:dyDescent="0.35">
      <c r="A157" t="s">
        <v>769</v>
      </c>
      <c r="B157">
        <v>215.16</v>
      </c>
      <c r="C157" t="s">
        <v>5</v>
      </c>
      <c r="D157">
        <v>337317</v>
      </c>
      <c r="E157" t="s">
        <v>770</v>
      </c>
    </row>
    <row r="158" spans="1:5" x14ac:dyDescent="0.35">
      <c r="A158" t="s">
        <v>769</v>
      </c>
      <c r="B158">
        <v>2081.8000000000002</v>
      </c>
      <c r="C158" t="s">
        <v>5</v>
      </c>
      <c r="D158">
        <v>337316</v>
      </c>
      <c r="E158" t="s">
        <v>771</v>
      </c>
    </row>
    <row r="159" spans="1:5" x14ac:dyDescent="0.35">
      <c r="A159" t="s">
        <v>769</v>
      </c>
      <c r="B159">
        <v>1259.54</v>
      </c>
      <c r="C159" t="s">
        <v>5</v>
      </c>
      <c r="D159">
        <v>337285</v>
      </c>
      <c r="E159" t="s">
        <v>772</v>
      </c>
    </row>
    <row r="160" spans="1:5" x14ac:dyDescent="0.35">
      <c r="A160" t="s">
        <v>488</v>
      </c>
      <c r="B160">
        <v>2713.45</v>
      </c>
      <c r="C160" t="s">
        <v>5</v>
      </c>
      <c r="D160">
        <v>463713</v>
      </c>
      <c r="E160" t="s">
        <v>489</v>
      </c>
    </row>
    <row r="161" spans="1:5" x14ac:dyDescent="0.35">
      <c r="A161" t="s">
        <v>414</v>
      </c>
      <c r="B161">
        <v>3372.18</v>
      </c>
      <c r="C161" t="s">
        <v>5</v>
      </c>
      <c r="D161">
        <v>990313</v>
      </c>
      <c r="E161" t="s">
        <v>415</v>
      </c>
    </row>
    <row r="162" spans="1:5" x14ac:dyDescent="0.35">
      <c r="A162" t="s">
        <v>773</v>
      </c>
      <c r="B162">
        <v>993.26</v>
      </c>
      <c r="C162" t="s">
        <v>5</v>
      </c>
      <c r="D162">
        <v>270439</v>
      </c>
      <c r="E162" t="s">
        <v>774</v>
      </c>
    </row>
    <row r="163" spans="1:5" x14ac:dyDescent="0.35">
      <c r="A163" t="s">
        <v>490</v>
      </c>
      <c r="B163">
        <v>2565.13</v>
      </c>
      <c r="C163" t="s">
        <v>5</v>
      </c>
      <c r="D163">
        <v>401962</v>
      </c>
      <c r="E163" t="s">
        <v>491</v>
      </c>
    </row>
    <row r="164" spans="1:5" x14ac:dyDescent="0.35">
      <c r="A164" t="s">
        <v>71</v>
      </c>
      <c r="B164">
        <v>542.30999999999995</v>
      </c>
      <c r="C164" t="s">
        <v>5</v>
      </c>
      <c r="D164">
        <v>280413</v>
      </c>
      <c r="E164" t="s">
        <v>417</v>
      </c>
    </row>
    <row r="165" spans="1:5" x14ac:dyDescent="0.35">
      <c r="A165" t="s">
        <v>71</v>
      </c>
      <c r="B165">
        <v>2393.23</v>
      </c>
      <c r="C165" t="s">
        <v>5</v>
      </c>
      <c r="D165">
        <v>280431</v>
      </c>
      <c r="E165" t="s">
        <v>416</v>
      </c>
    </row>
    <row r="166" spans="1:5" x14ac:dyDescent="0.35">
      <c r="A166" t="s">
        <v>418</v>
      </c>
      <c r="B166">
        <v>403.68</v>
      </c>
      <c r="C166" t="s">
        <v>5</v>
      </c>
      <c r="D166">
        <v>911913</v>
      </c>
      <c r="E166" t="s">
        <v>419</v>
      </c>
    </row>
    <row r="167" spans="1:5" x14ac:dyDescent="0.35">
      <c r="A167" t="s">
        <v>418</v>
      </c>
      <c r="B167">
        <v>760.45</v>
      </c>
      <c r="C167" t="s">
        <v>5</v>
      </c>
      <c r="D167">
        <v>911913</v>
      </c>
      <c r="E167" t="s">
        <v>420</v>
      </c>
    </row>
    <row r="168" spans="1:5" x14ac:dyDescent="0.35">
      <c r="A168" t="s">
        <v>492</v>
      </c>
      <c r="B168">
        <v>1667.26</v>
      </c>
      <c r="C168" t="s">
        <v>5</v>
      </c>
      <c r="D168">
        <v>336283</v>
      </c>
      <c r="E168" t="s">
        <v>493</v>
      </c>
    </row>
    <row r="169" spans="1:5" x14ac:dyDescent="0.35">
      <c r="A169" t="s">
        <v>31</v>
      </c>
      <c r="B169">
        <v>1567.96</v>
      </c>
      <c r="C169" t="s">
        <v>5</v>
      </c>
      <c r="D169">
        <v>189244</v>
      </c>
      <c r="E169" t="s">
        <v>421</v>
      </c>
    </row>
    <row r="170" spans="1:5" x14ac:dyDescent="0.35">
      <c r="A170" t="s">
        <v>72</v>
      </c>
      <c r="B170">
        <v>2038.63</v>
      </c>
      <c r="C170" t="s">
        <v>5</v>
      </c>
      <c r="D170">
        <v>1363385</v>
      </c>
      <c r="E170" t="s">
        <v>422</v>
      </c>
    </row>
    <row r="171" spans="1:5" x14ac:dyDescent="0.35">
      <c r="A171" t="s">
        <v>74</v>
      </c>
      <c r="B171">
        <v>2765.61</v>
      </c>
      <c r="C171" t="s">
        <v>5</v>
      </c>
      <c r="D171">
        <v>708562</v>
      </c>
      <c r="E171" t="s">
        <v>426</v>
      </c>
    </row>
    <row r="172" spans="1:5" x14ac:dyDescent="0.35">
      <c r="A172" t="s">
        <v>74</v>
      </c>
      <c r="B172">
        <v>410.67</v>
      </c>
      <c r="C172" t="s">
        <v>5</v>
      </c>
      <c r="D172">
        <v>708536</v>
      </c>
      <c r="E172" t="s">
        <v>425</v>
      </c>
    </row>
    <row r="173" spans="1:5" x14ac:dyDescent="0.35">
      <c r="A173" t="s">
        <v>74</v>
      </c>
      <c r="B173">
        <v>1133.72</v>
      </c>
      <c r="C173" t="s">
        <v>5</v>
      </c>
      <c r="D173">
        <v>804173</v>
      </c>
      <c r="E173" t="s">
        <v>423</v>
      </c>
    </row>
    <row r="174" spans="1:5" x14ac:dyDescent="0.35">
      <c r="A174" t="s">
        <v>74</v>
      </c>
      <c r="B174">
        <v>39.299999999999997</v>
      </c>
      <c r="C174" t="s">
        <v>5</v>
      </c>
      <c r="D174">
        <v>708536</v>
      </c>
      <c r="E174" t="s">
        <v>424</v>
      </c>
    </row>
    <row r="175" spans="1:5" x14ac:dyDescent="0.35">
      <c r="A175" t="s">
        <v>494</v>
      </c>
      <c r="B175">
        <v>2294.0500000000002</v>
      </c>
      <c r="C175" t="s">
        <v>5</v>
      </c>
      <c r="D175">
        <v>258164</v>
      </c>
      <c r="E175" t="s">
        <v>495</v>
      </c>
    </row>
    <row r="176" spans="1:5" x14ac:dyDescent="0.35">
      <c r="A176" t="s">
        <v>494</v>
      </c>
      <c r="B176">
        <v>532.5</v>
      </c>
      <c r="C176" t="s">
        <v>5</v>
      </c>
      <c r="D176">
        <v>258137</v>
      </c>
      <c r="E176" t="s">
        <v>496</v>
      </c>
    </row>
    <row r="177" spans="1:5" x14ac:dyDescent="0.35">
      <c r="A177" t="s">
        <v>494</v>
      </c>
      <c r="B177">
        <v>1107.27</v>
      </c>
      <c r="C177" t="s">
        <v>5</v>
      </c>
      <c r="D177">
        <v>258170</v>
      </c>
      <c r="E177" t="s">
        <v>497</v>
      </c>
    </row>
    <row r="178" spans="1:5" x14ac:dyDescent="0.35">
      <c r="A178" t="s">
        <v>427</v>
      </c>
      <c r="B178">
        <v>1481.51</v>
      </c>
      <c r="C178" t="s">
        <v>5</v>
      </c>
      <c r="D178">
        <v>1294628</v>
      </c>
      <c r="E178" t="s">
        <v>428</v>
      </c>
    </row>
    <row r="179" spans="1:5" x14ac:dyDescent="0.35">
      <c r="A179" t="s">
        <v>775</v>
      </c>
      <c r="B179">
        <v>1545.38</v>
      </c>
      <c r="C179" t="s">
        <v>5</v>
      </c>
      <c r="D179">
        <v>132539</v>
      </c>
      <c r="E179" t="s">
        <v>776</v>
      </c>
    </row>
    <row r="180" spans="1:5" x14ac:dyDescent="0.35">
      <c r="A180" t="s">
        <v>498</v>
      </c>
      <c r="B180">
        <v>801.7</v>
      </c>
      <c r="C180" t="s">
        <v>5</v>
      </c>
      <c r="D180">
        <v>188529</v>
      </c>
      <c r="E180" t="s">
        <v>499</v>
      </c>
    </row>
    <row r="181" spans="1:5" x14ac:dyDescent="0.35">
      <c r="A181" t="s">
        <v>76</v>
      </c>
      <c r="B181">
        <v>2410.92</v>
      </c>
      <c r="C181" t="s">
        <v>5</v>
      </c>
      <c r="D181">
        <v>1173632</v>
      </c>
      <c r="E181" t="s">
        <v>429</v>
      </c>
    </row>
    <row r="182" spans="1:5" x14ac:dyDescent="0.35">
      <c r="A182" t="s">
        <v>430</v>
      </c>
      <c r="B182">
        <v>824.3</v>
      </c>
      <c r="C182" t="s">
        <v>5</v>
      </c>
      <c r="D182">
        <v>586845</v>
      </c>
      <c r="E182" t="s">
        <v>431</v>
      </c>
    </row>
    <row r="183" spans="1:5" x14ac:dyDescent="0.35">
      <c r="A183" t="s">
        <v>777</v>
      </c>
      <c r="B183">
        <v>1336.15</v>
      </c>
      <c r="C183" t="s">
        <v>5</v>
      </c>
      <c r="D183">
        <v>1028948</v>
      </c>
      <c r="E183" t="s">
        <v>778</v>
      </c>
    </row>
    <row r="184" spans="1:5" x14ac:dyDescent="0.35">
      <c r="A184" t="s">
        <v>64</v>
      </c>
      <c r="B184">
        <v>1570.94</v>
      </c>
      <c r="C184" t="s">
        <v>5</v>
      </c>
      <c r="D184">
        <v>125503</v>
      </c>
      <c r="E184" t="s">
        <v>432</v>
      </c>
    </row>
    <row r="185" spans="1:5" x14ac:dyDescent="0.35">
      <c r="A185" t="s">
        <v>247</v>
      </c>
      <c r="B185">
        <v>69.760000000000005</v>
      </c>
      <c r="C185" t="s">
        <v>5</v>
      </c>
      <c r="D185">
        <v>1091666</v>
      </c>
      <c r="E185" t="s">
        <v>433</v>
      </c>
    </row>
    <row r="186" spans="1:5" x14ac:dyDescent="0.35">
      <c r="A186" t="s">
        <v>779</v>
      </c>
      <c r="B186">
        <v>27.51</v>
      </c>
      <c r="C186" t="s">
        <v>5</v>
      </c>
      <c r="D186">
        <v>816250</v>
      </c>
      <c r="E186" t="s">
        <v>780</v>
      </c>
    </row>
    <row r="187" spans="1:5" x14ac:dyDescent="0.35">
      <c r="A187" t="s">
        <v>55</v>
      </c>
      <c r="B187">
        <v>14.74</v>
      </c>
      <c r="C187" t="s">
        <v>5</v>
      </c>
      <c r="D187">
        <v>1535172</v>
      </c>
      <c r="E187" t="s">
        <v>435</v>
      </c>
    </row>
    <row r="188" spans="1:5" x14ac:dyDescent="0.35">
      <c r="A188" t="s">
        <v>55</v>
      </c>
      <c r="B188">
        <v>2232.09</v>
      </c>
      <c r="C188" t="s">
        <v>5</v>
      </c>
      <c r="D188">
        <v>1535103</v>
      </c>
      <c r="E188" t="s">
        <v>434</v>
      </c>
    </row>
    <row r="189" spans="1:5" x14ac:dyDescent="0.35">
      <c r="A189" t="s">
        <v>500</v>
      </c>
      <c r="B189">
        <v>1548.39</v>
      </c>
      <c r="C189" t="s">
        <v>5</v>
      </c>
      <c r="D189">
        <v>131876</v>
      </c>
      <c r="E189" t="s">
        <v>501</v>
      </c>
    </row>
    <row r="190" spans="1:5" x14ac:dyDescent="0.35">
      <c r="A190" t="s">
        <v>49</v>
      </c>
      <c r="B190">
        <v>58.95</v>
      </c>
      <c r="C190" t="s">
        <v>5</v>
      </c>
      <c r="D190">
        <v>1464690</v>
      </c>
      <c r="E190" t="s">
        <v>436</v>
      </c>
    </row>
    <row r="191" spans="1:5" x14ac:dyDescent="0.35">
      <c r="A191" t="s">
        <v>49</v>
      </c>
      <c r="B191">
        <v>2257.67</v>
      </c>
      <c r="C191" t="s">
        <v>5</v>
      </c>
      <c r="D191">
        <v>1464766</v>
      </c>
      <c r="E191" t="s">
        <v>437</v>
      </c>
    </row>
    <row r="192" spans="1:5" x14ac:dyDescent="0.35">
      <c r="A192" t="s">
        <v>438</v>
      </c>
      <c r="B192">
        <v>1599.42</v>
      </c>
      <c r="C192" t="s">
        <v>5</v>
      </c>
      <c r="D192">
        <v>500599</v>
      </c>
      <c r="E192" t="s">
        <v>439</v>
      </c>
    </row>
    <row r="193" spans="1:5" x14ac:dyDescent="0.35">
      <c r="A193" t="s">
        <v>502</v>
      </c>
      <c r="B193">
        <v>2000.3</v>
      </c>
      <c r="C193" t="s">
        <v>5</v>
      </c>
      <c r="D193">
        <v>1569757</v>
      </c>
      <c r="E193" t="s">
        <v>504</v>
      </c>
    </row>
    <row r="194" spans="1:5" x14ac:dyDescent="0.35">
      <c r="A194" t="s">
        <v>502</v>
      </c>
      <c r="B194">
        <v>2029.73</v>
      </c>
      <c r="C194" t="s">
        <v>5</v>
      </c>
      <c r="D194">
        <v>1504939</v>
      </c>
      <c r="E194" t="s">
        <v>503</v>
      </c>
    </row>
    <row r="195" spans="1:5" x14ac:dyDescent="0.35">
      <c r="A195" t="s">
        <v>41</v>
      </c>
      <c r="B195">
        <v>1795.89</v>
      </c>
      <c r="C195" t="s">
        <v>5</v>
      </c>
      <c r="D195">
        <v>1382088</v>
      </c>
      <c r="E195" t="s">
        <v>443</v>
      </c>
    </row>
    <row r="196" spans="1:5" x14ac:dyDescent="0.35">
      <c r="A196" t="s">
        <v>41</v>
      </c>
      <c r="B196">
        <v>131.63999999999999</v>
      </c>
      <c r="C196" t="s">
        <v>5</v>
      </c>
      <c r="D196">
        <v>1382083</v>
      </c>
      <c r="E196" t="s">
        <v>442</v>
      </c>
    </row>
    <row r="197" spans="1:5" x14ac:dyDescent="0.35">
      <c r="A197" t="s">
        <v>41</v>
      </c>
      <c r="B197">
        <v>181.74</v>
      </c>
      <c r="C197" t="s">
        <v>5</v>
      </c>
      <c r="D197">
        <v>1382035</v>
      </c>
      <c r="E197" t="s">
        <v>440</v>
      </c>
    </row>
    <row r="198" spans="1:5" x14ac:dyDescent="0.35">
      <c r="A198" t="s">
        <v>41</v>
      </c>
      <c r="B198">
        <v>186.67</v>
      </c>
      <c r="C198" t="s">
        <v>5</v>
      </c>
      <c r="D198">
        <v>1382035</v>
      </c>
      <c r="E198" t="s">
        <v>441</v>
      </c>
    </row>
    <row r="199" spans="1:5" x14ac:dyDescent="0.35">
      <c r="A199" t="s">
        <v>444</v>
      </c>
      <c r="B199">
        <v>1771.34</v>
      </c>
      <c r="C199" t="s">
        <v>5</v>
      </c>
      <c r="D199">
        <v>395079</v>
      </c>
      <c r="E199" t="s">
        <v>445</v>
      </c>
    </row>
    <row r="200" spans="1:5" x14ac:dyDescent="0.35">
      <c r="A200" t="s">
        <v>505</v>
      </c>
      <c r="B200">
        <v>3906.27</v>
      </c>
      <c r="C200" t="s">
        <v>5</v>
      </c>
      <c r="D200">
        <v>1490526</v>
      </c>
      <c r="E200" t="s">
        <v>508</v>
      </c>
    </row>
    <row r="201" spans="1:5" x14ac:dyDescent="0.35">
      <c r="A201" t="s">
        <v>505</v>
      </c>
      <c r="B201">
        <v>55.02</v>
      </c>
      <c r="C201" t="s">
        <v>5</v>
      </c>
      <c r="D201">
        <v>1490517</v>
      </c>
      <c r="E201" t="s">
        <v>507</v>
      </c>
    </row>
    <row r="202" spans="1:5" x14ac:dyDescent="0.35">
      <c r="A202" t="s">
        <v>505</v>
      </c>
      <c r="B202">
        <v>881.25</v>
      </c>
      <c r="C202" t="s">
        <v>5</v>
      </c>
      <c r="D202">
        <v>1490319</v>
      </c>
      <c r="E202" t="s">
        <v>506</v>
      </c>
    </row>
    <row r="203" spans="1:5" x14ac:dyDescent="0.35">
      <c r="A203" t="s">
        <v>30</v>
      </c>
      <c r="B203">
        <v>728.98</v>
      </c>
      <c r="C203" t="s">
        <v>5</v>
      </c>
      <c r="D203">
        <v>1296222</v>
      </c>
      <c r="E203" t="s">
        <v>446</v>
      </c>
    </row>
    <row r="204" spans="1:5" x14ac:dyDescent="0.35">
      <c r="A204" t="s">
        <v>248</v>
      </c>
      <c r="B204">
        <v>1064.99</v>
      </c>
      <c r="C204" t="s">
        <v>5</v>
      </c>
      <c r="D204">
        <v>299282</v>
      </c>
      <c r="E204" t="s">
        <v>447</v>
      </c>
    </row>
    <row r="205" spans="1:5" x14ac:dyDescent="0.35">
      <c r="A205" t="s">
        <v>82</v>
      </c>
      <c r="B205">
        <v>329.13</v>
      </c>
      <c r="C205" t="s">
        <v>5</v>
      </c>
      <c r="D205">
        <v>192719</v>
      </c>
      <c r="E205" t="s">
        <v>449</v>
      </c>
    </row>
    <row r="206" spans="1:5" x14ac:dyDescent="0.35">
      <c r="A206" t="s">
        <v>82</v>
      </c>
      <c r="B206">
        <v>2895.32</v>
      </c>
      <c r="C206" t="s">
        <v>5</v>
      </c>
      <c r="D206">
        <v>192654</v>
      </c>
      <c r="E206" t="s">
        <v>450</v>
      </c>
    </row>
    <row r="207" spans="1:5" x14ac:dyDescent="0.35">
      <c r="A207" t="s">
        <v>82</v>
      </c>
      <c r="B207">
        <v>476.49</v>
      </c>
      <c r="C207" t="s">
        <v>5</v>
      </c>
      <c r="D207">
        <v>192717</v>
      </c>
      <c r="E207" t="s">
        <v>448</v>
      </c>
    </row>
    <row r="208" spans="1:5" x14ac:dyDescent="0.35">
      <c r="A208" t="s">
        <v>509</v>
      </c>
      <c r="B208">
        <v>1707.51</v>
      </c>
      <c r="C208" t="s">
        <v>5</v>
      </c>
      <c r="D208">
        <v>1340374</v>
      </c>
      <c r="E208" t="s">
        <v>510</v>
      </c>
    </row>
    <row r="209" spans="1:5" x14ac:dyDescent="0.35">
      <c r="A209" t="s">
        <v>451</v>
      </c>
      <c r="B209">
        <v>443.07</v>
      </c>
      <c r="C209" t="s">
        <v>5</v>
      </c>
      <c r="D209">
        <v>1544831</v>
      </c>
      <c r="E209" t="s">
        <v>452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99"/>
  <sheetViews>
    <sheetView topLeftCell="A230" workbookViewId="0"/>
  </sheetViews>
  <sheetFormatPr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72.5" x14ac:dyDescent="0.35">
      <c r="A86" t="s">
        <v>90</v>
      </c>
      <c r="B86">
        <v>-448.5</v>
      </c>
      <c r="C86" t="s">
        <v>224</v>
      </c>
      <c r="D86">
        <v>10042690000</v>
      </c>
      <c r="E86" s="187" t="s">
        <v>453</v>
      </c>
    </row>
    <row r="87" spans="1:5" ht="58" x14ac:dyDescent="0.35">
      <c r="A87" t="s">
        <v>90</v>
      </c>
      <c r="B87">
        <v>-1345.5</v>
      </c>
      <c r="C87" t="s">
        <v>224</v>
      </c>
      <c r="D87">
        <v>10042680000</v>
      </c>
      <c r="E87" s="187" t="s">
        <v>454</v>
      </c>
    </row>
    <row r="88" spans="1:5" ht="72.5" x14ac:dyDescent="0.35">
      <c r="A88" t="s">
        <v>56</v>
      </c>
      <c r="B88">
        <v>-8966.9</v>
      </c>
      <c r="C88" t="s">
        <v>225</v>
      </c>
      <c r="D88">
        <v>45035860000</v>
      </c>
      <c r="E88" s="187" t="s">
        <v>455</v>
      </c>
    </row>
    <row r="89" spans="1:5" ht="87" x14ac:dyDescent="0.35">
      <c r="A89" t="s">
        <v>50</v>
      </c>
      <c r="B89">
        <v>-648.15</v>
      </c>
      <c r="C89" t="s">
        <v>224</v>
      </c>
      <c r="D89">
        <v>19136400000</v>
      </c>
      <c r="E89" s="187" t="s">
        <v>456</v>
      </c>
    </row>
    <row r="90" spans="1:5" ht="72.5" x14ac:dyDescent="0.35">
      <c r="A90" t="s">
        <v>765</v>
      </c>
      <c r="B90">
        <v>-3259.1</v>
      </c>
      <c r="C90" t="s">
        <v>224</v>
      </c>
      <c r="D90">
        <v>12131700000</v>
      </c>
      <c r="E90" s="187" t="s">
        <v>781</v>
      </c>
    </row>
    <row r="91" spans="1:5" ht="87" x14ac:dyDescent="0.35">
      <c r="A91" t="s">
        <v>67</v>
      </c>
      <c r="B91">
        <v>-2088</v>
      </c>
      <c r="C91" t="s">
        <v>224</v>
      </c>
      <c r="D91">
        <v>85429420000</v>
      </c>
      <c r="E91" s="187" t="s">
        <v>457</v>
      </c>
    </row>
    <row r="92" spans="1:5" ht="101.5" x14ac:dyDescent="0.35">
      <c r="A92" t="s">
        <v>34</v>
      </c>
      <c r="B92">
        <v>-50000</v>
      </c>
      <c r="D92">
        <v>175694291</v>
      </c>
      <c r="E92" s="187" t="s">
        <v>458</v>
      </c>
    </row>
    <row r="93" spans="1:5" ht="72.5" x14ac:dyDescent="0.35">
      <c r="A93" t="s">
        <v>459</v>
      </c>
      <c r="B93">
        <v>-32735</v>
      </c>
      <c r="C93" t="s">
        <v>224</v>
      </c>
      <c r="D93">
        <v>62748000000</v>
      </c>
      <c r="E93" s="187" t="s">
        <v>460</v>
      </c>
    </row>
    <row r="94" spans="1:5" ht="87" x14ac:dyDescent="0.35">
      <c r="A94" t="s">
        <v>418</v>
      </c>
      <c r="B94">
        <v>-347.5</v>
      </c>
      <c r="C94" t="s">
        <v>224</v>
      </c>
      <c r="D94">
        <v>90089470000</v>
      </c>
      <c r="E94" s="187" t="s">
        <v>461</v>
      </c>
    </row>
    <row r="95" spans="1:5" ht="101.5" x14ac:dyDescent="0.35">
      <c r="A95" t="s">
        <v>418</v>
      </c>
      <c r="B95">
        <v>-1150</v>
      </c>
      <c r="C95" t="s">
        <v>462</v>
      </c>
      <c r="D95">
        <v>90089480000</v>
      </c>
      <c r="E95" s="187" t="s">
        <v>463</v>
      </c>
    </row>
    <row r="96" spans="1:5" ht="87" x14ac:dyDescent="0.35">
      <c r="A96" t="s">
        <v>418</v>
      </c>
      <c r="B96">
        <v>-486.5</v>
      </c>
      <c r="C96" t="s">
        <v>224</v>
      </c>
      <c r="D96">
        <v>90089460000</v>
      </c>
      <c r="E96" s="187" t="s">
        <v>464</v>
      </c>
    </row>
    <row r="97" spans="1:5" ht="72.5" x14ac:dyDescent="0.35">
      <c r="A97" t="s">
        <v>418</v>
      </c>
      <c r="B97">
        <v>-32414.34</v>
      </c>
      <c r="C97" t="s">
        <v>224</v>
      </c>
      <c r="D97">
        <v>90089450000</v>
      </c>
      <c r="E97" s="187" t="s">
        <v>465</v>
      </c>
    </row>
    <row r="98" spans="1:5" x14ac:dyDescent="0.35">
      <c r="A98" t="s">
        <v>494</v>
      </c>
      <c r="B98">
        <v>-32401.63</v>
      </c>
      <c r="D98">
        <v>172399792</v>
      </c>
      <c r="E98" t="s">
        <v>691</v>
      </c>
    </row>
    <row r="99" spans="1:5" ht="87" x14ac:dyDescent="0.35">
      <c r="A99" t="s">
        <v>494</v>
      </c>
      <c r="B99">
        <v>-2182.6999999999998</v>
      </c>
      <c r="C99" t="s">
        <v>224</v>
      </c>
      <c r="D99">
        <v>99450530000</v>
      </c>
      <c r="E99" s="187" t="s">
        <v>511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06"/>
  <sheetViews>
    <sheetView topLeftCell="A70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113.92</v>
      </c>
      <c r="C81" t="s">
        <v>5</v>
      </c>
      <c r="D81">
        <v>1210905</v>
      </c>
      <c r="E81" t="s">
        <v>466</v>
      </c>
    </row>
    <row r="82" spans="1:5" x14ac:dyDescent="0.35">
      <c r="A82" t="s">
        <v>782</v>
      </c>
      <c r="B82">
        <v>31.43</v>
      </c>
      <c r="C82" t="s">
        <v>5</v>
      </c>
      <c r="D82">
        <v>487034</v>
      </c>
      <c r="E82" t="s">
        <v>783</v>
      </c>
    </row>
    <row r="83" spans="1:5" x14ac:dyDescent="0.35">
      <c r="A83" t="s">
        <v>73</v>
      </c>
      <c r="B83">
        <v>64.819999999999993</v>
      </c>
      <c r="C83" t="s">
        <v>5</v>
      </c>
      <c r="D83">
        <v>1241127</v>
      </c>
      <c r="E83" t="s">
        <v>467</v>
      </c>
    </row>
    <row r="84" spans="1:5" x14ac:dyDescent="0.35">
      <c r="A84" t="s">
        <v>92</v>
      </c>
      <c r="B84">
        <v>402</v>
      </c>
      <c r="C84" t="s">
        <v>5</v>
      </c>
      <c r="D84">
        <v>10143</v>
      </c>
      <c r="E84" t="s">
        <v>468</v>
      </c>
    </row>
    <row r="85" spans="1:5" x14ac:dyDescent="0.35">
      <c r="A85" t="s">
        <v>91</v>
      </c>
      <c r="B85">
        <v>182</v>
      </c>
      <c r="C85" t="s">
        <v>5</v>
      </c>
      <c r="D85">
        <v>10141</v>
      </c>
      <c r="E85" t="s">
        <v>468</v>
      </c>
    </row>
    <row r="86" spans="1:5" x14ac:dyDescent="0.35">
      <c r="A86" t="s">
        <v>45</v>
      </c>
      <c r="B86">
        <v>85.62</v>
      </c>
      <c r="C86" t="s">
        <v>5</v>
      </c>
      <c r="D86">
        <v>391661</v>
      </c>
      <c r="E86" t="s">
        <v>469</v>
      </c>
    </row>
    <row r="87" spans="1:5" x14ac:dyDescent="0.35">
      <c r="A87" t="s">
        <v>89</v>
      </c>
      <c r="B87">
        <v>52.05</v>
      </c>
      <c r="C87" t="s">
        <v>5</v>
      </c>
      <c r="D87">
        <v>768485</v>
      </c>
      <c r="E87" t="s">
        <v>470</v>
      </c>
    </row>
    <row r="88" spans="1:5" x14ac:dyDescent="0.35">
      <c r="A88" t="s">
        <v>52</v>
      </c>
      <c r="B88">
        <v>113</v>
      </c>
      <c r="C88" t="s">
        <v>5</v>
      </c>
      <c r="D88">
        <v>10140</v>
      </c>
      <c r="E88" t="s">
        <v>468</v>
      </c>
    </row>
    <row r="89" spans="1:5" x14ac:dyDescent="0.35">
      <c r="A89" t="s">
        <v>476</v>
      </c>
      <c r="B89">
        <v>117.84</v>
      </c>
      <c r="C89" t="s">
        <v>5</v>
      </c>
      <c r="D89">
        <v>462516</v>
      </c>
      <c r="E89" t="s">
        <v>512</v>
      </c>
    </row>
    <row r="90" spans="1:5" x14ac:dyDescent="0.35">
      <c r="A90" t="s">
        <v>85</v>
      </c>
      <c r="B90">
        <v>96</v>
      </c>
      <c r="C90" t="s">
        <v>5</v>
      </c>
      <c r="D90">
        <v>10142</v>
      </c>
      <c r="E90" t="s">
        <v>468</v>
      </c>
    </row>
    <row r="91" spans="1:5" x14ac:dyDescent="0.35">
      <c r="A91" t="s">
        <v>53</v>
      </c>
      <c r="B91">
        <v>438.56</v>
      </c>
      <c r="C91" t="s">
        <v>5</v>
      </c>
      <c r="D91">
        <v>1450281</v>
      </c>
      <c r="E91" t="s">
        <v>471</v>
      </c>
    </row>
    <row r="92" spans="1:5" x14ac:dyDescent="0.35">
      <c r="A92" t="s">
        <v>396</v>
      </c>
      <c r="B92">
        <v>1203</v>
      </c>
      <c r="C92" t="s">
        <v>5</v>
      </c>
      <c r="D92">
        <v>10138</v>
      </c>
      <c r="E92" t="s">
        <v>468</v>
      </c>
    </row>
    <row r="93" spans="1:5" x14ac:dyDescent="0.35">
      <c r="A93" t="s">
        <v>46</v>
      </c>
      <c r="B93">
        <v>580</v>
      </c>
      <c r="C93" t="s">
        <v>5</v>
      </c>
      <c r="D93">
        <v>10137</v>
      </c>
      <c r="E93" t="s">
        <v>468</v>
      </c>
    </row>
    <row r="94" spans="1:5" x14ac:dyDescent="0.35">
      <c r="A94" t="s">
        <v>767</v>
      </c>
      <c r="B94">
        <v>60</v>
      </c>
      <c r="C94" t="s">
        <v>5</v>
      </c>
      <c r="D94">
        <v>10146</v>
      </c>
      <c r="E94" t="s">
        <v>468</v>
      </c>
    </row>
    <row r="95" spans="1:5" x14ac:dyDescent="0.35">
      <c r="A95" t="s">
        <v>488</v>
      </c>
      <c r="B95">
        <v>81.510000000000005</v>
      </c>
      <c r="C95" t="s">
        <v>5</v>
      </c>
      <c r="D95">
        <v>431660</v>
      </c>
      <c r="E95" t="s">
        <v>513</v>
      </c>
    </row>
    <row r="96" spans="1:5" x14ac:dyDescent="0.35">
      <c r="A96" t="s">
        <v>414</v>
      </c>
      <c r="B96">
        <v>214.09</v>
      </c>
      <c r="C96" t="s">
        <v>5</v>
      </c>
      <c r="D96">
        <v>988727</v>
      </c>
      <c r="E96" t="s">
        <v>472</v>
      </c>
    </row>
    <row r="97" spans="1:5" x14ac:dyDescent="0.35">
      <c r="A97" t="s">
        <v>74</v>
      </c>
      <c r="B97">
        <v>44</v>
      </c>
      <c r="C97" t="s">
        <v>5</v>
      </c>
      <c r="D97">
        <v>10136</v>
      </c>
      <c r="E97" t="s">
        <v>468</v>
      </c>
    </row>
    <row r="98" spans="1:5" x14ac:dyDescent="0.35">
      <c r="A98" t="s">
        <v>494</v>
      </c>
      <c r="B98">
        <v>230</v>
      </c>
      <c r="C98" t="s">
        <v>5</v>
      </c>
      <c r="D98">
        <v>10144</v>
      </c>
      <c r="E98" t="s">
        <v>468</v>
      </c>
    </row>
    <row r="99" spans="1:5" x14ac:dyDescent="0.35">
      <c r="A99" t="s">
        <v>427</v>
      </c>
      <c r="B99">
        <v>62</v>
      </c>
      <c r="C99" t="s">
        <v>5</v>
      </c>
      <c r="D99">
        <v>10139</v>
      </c>
      <c r="E99" t="s">
        <v>468</v>
      </c>
    </row>
    <row r="100" spans="1:5" x14ac:dyDescent="0.35">
      <c r="A100" t="s">
        <v>473</v>
      </c>
      <c r="B100">
        <v>84</v>
      </c>
      <c r="C100" t="s">
        <v>5</v>
      </c>
      <c r="D100">
        <v>10135</v>
      </c>
      <c r="E100" t="s">
        <v>468</v>
      </c>
    </row>
    <row r="101" spans="1:5" x14ac:dyDescent="0.35">
      <c r="A101" t="s">
        <v>430</v>
      </c>
      <c r="B101">
        <v>538</v>
      </c>
      <c r="C101" t="s">
        <v>5</v>
      </c>
      <c r="D101">
        <v>10134</v>
      </c>
      <c r="E101" t="s">
        <v>468</v>
      </c>
    </row>
    <row r="102" spans="1:5" x14ac:dyDescent="0.35">
      <c r="A102" t="s">
        <v>64</v>
      </c>
      <c r="B102">
        <v>118.83</v>
      </c>
      <c r="C102" t="s">
        <v>5</v>
      </c>
      <c r="D102">
        <v>124987</v>
      </c>
      <c r="E102" t="s">
        <v>474</v>
      </c>
    </row>
    <row r="103" spans="1:5" x14ac:dyDescent="0.35">
      <c r="A103" t="s">
        <v>784</v>
      </c>
      <c r="B103">
        <v>196</v>
      </c>
      <c r="C103" t="s">
        <v>5</v>
      </c>
      <c r="D103">
        <v>10145</v>
      </c>
      <c r="E103" t="s">
        <v>468</v>
      </c>
    </row>
    <row r="104" spans="1:5" x14ac:dyDescent="0.35">
      <c r="A104" t="s">
        <v>500</v>
      </c>
      <c r="B104">
        <v>63.83</v>
      </c>
      <c r="C104" t="s">
        <v>5</v>
      </c>
      <c r="D104">
        <v>131728</v>
      </c>
      <c r="E104" t="s">
        <v>514</v>
      </c>
    </row>
    <row r="105" spans="1:5" x14ac:dyDescent="0.35">
      <c r="A105" t="s">
        <v>438</v>
      </c>
      <c r="B105">
        <v>173.83</v>
      </c>
      <c r="C105" t="s">
        <v>5</v>
      </c>
      <c r="D105">
        <v>496549</v>
      </c>
      <c r="E105" t="s">
        <v>475</v>
      </c>
    </row>
    <row r="106" spans="1:5" x14ac:dyDescent="0.35">
      <c r="A106" t="s">
        <v>248</v>
      </c>
      <c r="B106">
        <v>234</v>
      </c>
      <c r="C106" t="s">
        <v>5</v>
      </c>
      <c r="D106">
        <v>10133</v>
      </c>
      <c r="E106" t="s">
        <v>468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topLeftCell="A10" zoomScale="68" workbookViewId="0">
      <selection activeCell="G19" sqref="B13:G19"/>
    </sheetView>
  </sheetViews>
  <sheetFormatPr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36328125" bestFit="1" customWidth="1"/>
    <col min="7" max="7" width="19.089843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762</v>
      </c>
      <c r="D13" s="73">
        <v>-300</v>
      </c>
      <c r="E13" s="73" t="s">
        <v>786</v>
      </c>
      <c r="F13" s="73">
        <v>53407450000</v>
      </c>
      <c r="G13" s="186" t="s">
        <v>787</v>
      </c>
      <c r="J13" s="17" t="s">
        <v>94</v>
      </c>
      <c r="K13" s="17">
        <v>884.25</v>
      </c>
      <c r="L13" s="17" t="s">
        <v>5</v>
      </c>
      <c r="M13" s="17">
        <v>1107991</v>
      </c>
      <c r="N13" s="17" t="s">
        <v>551</v>
      </c>
    </row>
    <row r="14" spans="3:14" ht="58" x14ac:dyDescent="0.35">
      <c r="C14" s="73" t="s">
        <v>540</v>
      </c>
      <c r="D14" s="73">
        <v>-263.7</v>
      </c>
      <c r="E14" s="73" t="s">
        <v>541</v>
      </c>
      <c r="F14" s="73">
        <v>17090610000</v>
      </c>
      <c r="G14" s="186" t="s">
        <v>542</v>
      </c>
      <c r="J14" s="17" t="s">
        <v>93</v>
      </c>
      <c r="K14" s="17">
        <v>294.75</v>
      </c>
      <c r="L14" s="17" t="s">
        <v>5</v>
      </c>
      <c r="M14" s="17">
        <v>1029196</v>
      </c>
      <c r="N14" s="17" t="s">
        <v>552</v>
      </c>
    </row>
    <row r="15" spans="3:14" ht="43.5" x14ac:dyDescent="0.35">
      <c r="C15" s="73" t="s">
        <v>31</v>
      </c>
      <c r="D15" s="73">
        <v>-89.8</v>
      </c>
      <c r="E15" s="73" t="s">
        <v>543</v>
      </c>
      <c r="F15" s="73">
        <v>50597910000</v>
      </c>
      <c r="G15" s="186" t="s">
        <v>544</v>
      </c>
      <c r="J15" s="17" t="s">
        <v>37</v>
      </c>
      <c r="K15" s="17">
        <v>1768.5</v>
      </c>
      <c r="L15" s="17" t="s">
        <v>5</v>
      </c>
      <c r="M15" s="17">
        <v>941210</v>
      </c>
      <c r="N15" s="17" t="s">
        <v>553</v>
      </c>
    </row>
    <row r="16" spans="3:14" ht="43.5" x14ac:dyDescent="0.35">
      <c r="C16" s="73" t="s">
        <v>31</v>
      </c>
      <c r="D16" s="78">
        <v>-263.7</v>
      </c>
      <c r="E16" s="79" t="s">
        <v>545</v>
      </c>
      <c r="F16" s="73">
        <v>50597900000</v>
      </c>
      <c r="G16" s="186" t="s">
        <v>546</v>
      </c>
      <c r="J16" s="17" t="s">
        <v>37</v>
      </c>
      <c r="K16" s="17">
        <v>14152.94</v>
      </c>
      <c r="L16" s="17" t="s">
        <v>5</v>
      </c>
      <c r="M16" s="17">
        <v>941219</v>
      </c>
      <c r="N16" s="17" t="s">
        <v>554</v>
      </c>
    </row>
    <row r="17" spans="3:14" ht="43.5" x14ac:dyDescent="0.35">
      <c r="C17" s="73" t="s">
        <v>31</v>
      </c>
      <c r="D17" s="73">
        <v>-2151.94</v>
      </c>
      <c r="E17" s="73" t="s">
        <v>547</v>
      </c>
      <c r="F17" s="73">
        <v>54207420000</v>
      </c>
      <c r="G17" s="186" t="s">
        <v>548</v>
      </c>
      <c r="J17" s="17" t="s">
        <v>37</v>
      </c>
      <c r="K17" s="17">
        <v>1326.37</v>
      </c>
      <c r="L17" s="17" t="s">
        <v>5</v>
      </c>
      <c r="M17" s="17">
        <v>941210</v>
      </c>
      <c r="N17" s="17" t="s">
        <v>555</v>
      </c>
    </row>
    <row r="18" spans="3:14" ht="29" x14ac:dyDescent="0.35">
      <c r="C18" s="73" t="s">
        <v>49</v>
      </c>
      <c r="D18" s="79">
        <v>-29.9</v>
      </c>
      <c r="E18" s="73" t="s">
        <v>549</v>
      </c>
      <c r="F18" s="73">
        <v>17978120000</v>
      </c>
      <c r="G18" s="186" t="s">
        <v>550</v>
      </c>
      <c r="J18" s="17" t="s">
        <v>91</v>
      </c>
      <c r="K18" s="17">
        <v>2348.1799999999998</v>
      </c>
      <c r="L18" s="17" t="s">
        <v>5</v>
      </c>
      <c r="M18" s="17">
        <v>836512</v>
      </c>
      <c r="N18" s="17" t="s">
        <v>556</v>
      </c>
    </row>
    <row r="19" spans="3:14" x14ac:dyDescent="0.35">
      <c r="C19" s="73"/>
      <c r="D19" s="73"/>
      <c r="E19" s="73"/>
      <c r="F19" s="73"/>
      <c r="G19" s="73"/>
      <c r="J19" s="17" t="s">
        <v>89</v>
      </c>
      <c r="K19" s="17">
        <v>599.32000000000005</v>
      </c>
      <c r="L19" s="17" t="s">
        <v>5</v>
      </c>
      <c r="M19" s="17">
        <v>770109</v>
      </c>
      <c r="N19" s="17" t="s">
        <v>557</v>
      </c>
    </row>
    <row r="20" spans="3:14" x14ac:dyDescent="0.35">
      <c r="C20" s="73"/>
      <c r="D20" s="73"/>
      <c r="E20" s="73"/>
      <c r="F20" s="73"/>
      <c r="G20" s="73"/>
      <c r="J20" s="17" t="s">
        <v>55</v>
      </c>
      <c r="K20" s="17">
        <v>24.56</v>
      </c>
      <c r="L20" s="17" t="s">
        <v>5</v>
      </c>
      <c r="M20" s="17">
        <v>1535103</v>
      </c>
      <c r="N20" s="17" t="s">
        <v>558</v>
      </c>
    </row>
    <row r="21" spans="3:14" x14ac:dyDescent="0.35">
      <c r="C21" s="73"/>
      <c r="D21" s="73"/>
      <c r="E21" s="73"/>
      <c r="F21" s="73"/>
      <c r="G21" s="73"/>
      <c r="J21" s="17" t="s">
        <v>49</v>
      </c>
      <c r="K21" s="17">
        <v>3001.36</v>
      </c>
      <c r="L21" s="17" t="s">
        <v>5</v>
      </c>
      <c r="M21" s="17">
        <v>1464690</v>
      </c>
      <c r="N21" s="17" t="s">
        <v>559</v>
      </c>
    </row>
    <row r="22" spans="3:14" x14ac:dyDescent="0.35">
      <c r="C22" s="73"/>
      <c r="D22" s="73"/>
      <c r="E22" s="73"/>
      <c r="F22" s="73"/>
      <c r="G22" s="73"/>
      <c r="J22" s="17" t="s">
        <v>30</v>
      </c>
      <c r="K22" s="17">
        <v>638.62</v>
      </c>
      <c r="L22" s="17" t="s">
        <v>5</v>
      </c>
      <c r="M22" s="17">
        <v>1296400</v>
      </c>
      <c r="N22" s="17" t="s">
        <v>560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103</v>
      </c>
      <c r="D2">
        <v>1030</v>
      </c>
    </row>
    <row r="3" spans="1:4" x14ac:dyDescent="0.35">
      <c r="A3" t="s">
        <v>193</v>
      </c>
      <c r="B3" t="s">
        <v>111</v>
      </c>
      <c r="C3">
        <v>82</v>
      </c>
      <c r="D3">
        <v>656</v>
      </c>
    </row>
    <row r="4" spans="1:4" x14ac:dyDescent="0.35">
      <c r="A4" t="s">
        <v>164</v>
      </c>
      <c r="B4" t="s">
        <v>110</v>
      </c>
      <c r="C4">
        <v>72</v>
      </c>
      <c r="D4">
        <v>1440</v>
      </c>
    </row>
    <row r="5" spans="1:4" x14ac:dyDescent="0.35">
      <c r="A5" t="s">
        <v>184</v>
      </c>
      <c r="B5" t="s">
        <v>111</v>
      </c>
      <c r="C5">
        <v>61</v>
      </c>
      <c r="D5">
        <v>610</v>
      </c>
    </row>
    <row r="6" spans="1:4" x14ac:dyDescent="0.35">
      <c r="A6" t="s">
        <v>173</v>
      </c>
      <c r="B6" t="s">
        <v>232</v>
      </c>
      <c r="C6">
        <v>60</v>
      </c>
      <c r="D6">
        <v>1080</v>
      </c>
    </row>
    <row r="7" spans="1:4" x14ac:dyDescent="0.35">
      <c r="A7" t="s">
        <v>185</v>
      </c>
      <c r="B7" t="s">
        <v>111</v>
      </c>
      <c r="C7">
        <v>56</v>
      </c>
      <c r="D7">
        <v>1120</v>
      </c>
    </row>
    <row r="8" spans="1:4" x14ac:dyDescent="0.35">
      <c r="A8" t="s">
        <v>160</v>
      </c>
      <c r="B8" t="s">
        <v>234</v>
      </c>
      <c r="C8">
        <v>51</v>
      </c>
      <c r="D8">
        <v>765</v>
      </c>
    </row>
    <row r="9" spans="1:4" x14ac:dyDescent="0.35">
      <c r="A9" t="s">
        <v>134</v>
      </c>
      <c r="B9" t="s">
        <v>233</v>
      </c>
      <c r="C9">
        <v>50</v>
      </c>
      <c r="D9">
        <v>1500</v>
      </c>
    </row>
    <row r="10" spans="1:4" x14ac:dyDescent="0.35">
      <c r="A10" t="s">
        <v>175</v>
      </c>
      <c r="B10" t="s">
        <v>232</v>
      </c>
      <c r="C10">
        <v>50</v>
      </c>
      <c r="D10">
        <v>1250</v>
      </c>
    </row>
    <row r="11" spans="1:4" x14ac:dyDescent="0.35">
      <c r="A11" t="s">
        <v>130</v>
      </c>
      <c r="B11" t="s">
        <v>233</v>
      </c>
      <c r="C11">
        <v>48</v>
      </c>
      <c r="D11">
        <v>1440</v>
      </c>
    </row>
    <row r="12" spans="1:4" x14ac:dyDescent="0.35">
      <c r="A12" t="s">
        <v>182</v>
      </c>
      <c r="B12" t="s">
        <v>232</v>
      </c>
      <c r="C12">
        <v>47</v>
      </c>
      <c r="D12">
        <v>940</v>
      </c>
    </row>
    <row r="13" spans="1:4" x14ac:dyDescent="0.35">
      <c r="A13" t="s">
        <v>181</v>
      </c>
      <c r="B13" t="s">
        <v>232</v>
      </c>
      <c r="C13">
        <v>45</v>
      </c>
      <c r="D13">
        <v>900</v>
      </c>
    </row>
    <row r="14" spans="1:4" x14ac:dyDescent="0.35">
      <c r="A14" t="s">
        <v>178</v>
      </c>
      <c r="B14" t="s">
        <v>232</v>
      </c>
      <c r="C14">
        <v>44</v>
      </c>
      <c r="D14">
        <v>1100</v>
      </c>
    </row>
    <row r="15" spans="1:4" x14ac:dyDescent="0.35">
      <c r="A15" t="s">
        <v>140</v>
      </c>
      <c r="B15" t="s">
        <v>233</v>
      </c>
      <c r="C15">
        <v>43</v>
      </c>
      <c r="D15">
        <v>1161</v>
      </c>
    </row>
    <row r="16" spans="1:4" x14ac:dyDescent="0.35">
      <c r="A16" t="s">
        <v>132</v>
      </c>
      <c r="B16" t="s">
        <v>233</v>
      </c>
      <c r="C16">
        <v>41</v>
      </c>
      <c r="D16">
        <v>1230</v>
      </c>
    </row>
    <row r="17" spans="1:4" x14ac:dyDescent="0.35">
      <c r="A17" t="s">
        <v>163</v>
      </c>
      <c r="B17" t="s">
        <v>110</v>
      </c>
      <c r="C17">
        <v>41</v>
      </c>
      <c r="D17">
        <v>1148</v>
      </c>
    </row>
    <row r="18" spans="1:4" x14ac:dyDescent="0.35">
      <c r="A18" t="s">
        <v>183</v>
      </c>
      <c r="B18" t="s">
        <v>111</v>
      </c>
      <c r="C18">
        <v>40</v>
      </c>
      <c r="D18">
        <v>400</v>
      </c>
    </row>
    <row r="19" spans="1:4" x14ac:dyDescent="0.35">
      <c r="A19" t="s">
        <v>191</v>
      </c>
      <c r="B19" t="s">
        <v>111</v>
      </c>
      <c r="C19">
        <v>35</v>
      </c>
      <c r="D19">
        <v>700</v>
      </c>
    </row>
    <row r="20" spans="1:4" x14ac:dyDescent="0.35">
      <c r="A20" t="s">
        <v>145</v>
      </c>
      <c r="B20" t="s">
        <v>233</v>
      </c>
      <c r="C20">
        <v>31</v>
      </c>
      <c r="D20">
        <v>868</v>
      </c>
    </row>
    <row r="21" spans="1:4" x14ac:dyDescent="0.35">
      <c r="A21" t="s">
        <v>195</v>
      </c>
      <c r="B21" t="s">
        <v>111</v>
      </c>
      <c r="C21">
        <v>29</v>
      </c>
      <c r="D21">
        <v>232</v>
      </c>
    </row>
    <row r="22" spans="1:4" x14ac:dyDescent="0.35">
      <c r="A22" t="s">
        <v>179</v>
      </c>
      <c r="B22" t="s">
        <v>232</v>
      </c>
      <c r="C22">
        <v>29</v>
      </c>
      <c r="D22">
        <v>812</v>
      </c>
    </row>
    <row r="23" spans="1:4" x14ac:dyDescent="0.35">
      <c r="A23" t="s">
        <v>149</v>
      </c>
      <c r="B23" t="s">
        <v>233</v>
      </c>
      <c r="C23">
        <v>27</v>
      </c>
      <c r="D23">
        <v>756</v>
      </c>
    </row>
    <row r="24" spans="1:4" x14ac:dyDescent="0.35">
      <c r="A24" t="s">
        <v>165</v>
      </c>
      <c r="B24" t="s">
        <v>110</v>
      </c>
      <c r="C24">
        <v>27</v>
      </c>
      <c r="D24">
        <v>540</v>
      </c>
    </row>
    <row r="25" spans="1:4" x14ac:dyDescent="0.35">
      <c r="A25" t="s">
        <v>131</v>
      </c>
      <c r="B25" t="s">
        <v>233</v>
      </c>
      <c r="C25">
        <v>27</v>
      </c>
      <c r="D25">
        <v>810</v>
      </c>
    </row>
    <row r="26" spans="1:4" x14ac:dyDescent="0.35">
      <c r="A26" t="s">
        <v>172</v>
      </c>
      <c r="B26" t="s">
        <v>232</v>
      </c>
      <c r="C26">
        <v>26</v>
      </c>
      <c r="D26">
        <v>910</v>
      </c>
    </row>
    <row r="27" spans="1:4" x14ac:dyDescent="0.35">
      <c r="A27" t="s">
        <v>186</v>
      </c>
      <c r="B27" t="s">
        <v>111</v>
      </c>
      <c r="C27">
        <v>25</v>
      </c>
      <c r="D27">
        <v>375</v>
      </c>
    </row>
    <row r="28" spans="1:4" x14ac:dyDescent="0.35">
      <c r="A28" t="s">
        <v>157</v>
      </c>
      <c r="B28" t="s">
        <v>234</v>
      </c>
      <c r="C28">
        <v>24</v>
      </c>
      <c r="D28">
        <v>576</v>
      </c>
    </row>
    <row r="29" spans="1:4" x14ac:dyDescent="0.35">
      <c r="A29" t="s">
        <v>170</v>
      </c>
      <c r="B29" t="s">
        <v>232</v>
      </c>
      <c r="C29">
        <v>24</v>
      </c>
      <c r="D29">
        <v>840</v>
      </c>
    </row>
    <row r="30" spans="1:4" x14ac:dyDescent="0.35">
      <c r="A30" t="s">
        <v>189</v>
      </c>
      <c r="B30" t="s">
        <v>236</v>
      </c>
      <c r="C30">
        <v>23</v>
      </c>
      <c r="D30">
        <v>414</v>
      </c>
    </row>
    <row r="31" spans="1:4" x14ac:dyDescent="0.35">
      <c r="A31" t="s">
        <v>155</v>
      </c>
      <c r="B31" t="s">
        <v>234</v>
      </c>
      <c r="C31">
        <v>22</v>
      </c>
      <c r="D31">
        <v>528</v>
      </c>
    </row>
    <row r="32" spans="1:4" x14ac:dyDescent="0.35">
      <c r="A32" t="s">
        <v>188</v>
      </c>
      <c r="B32" t="s">
        <v>236</v>
      </c>
      <c r="C32">
        <v>20</v>
      </c>
      <c r="D32">
        <v>360</v>
      </c>
    </row>
    <row r="33" spans="1:4" x14ac:dyDescent="0.35">
      <c r="A33" t="s">
        <v>198</v>
      </c>
      <c r="B33" t="s">
        <v>236</v>
      </c>
      <c r="C33">
        <v>19</v>
      </c>
      <c r="D33">
        <v>475</v>
      </c>
    </row>
    <row r="34" spans="1:4" x14ac:dyDescent="0.35">
      <c r="A34" t="s">
        <v>144</v>
      </c>
      <c r="B34" t="s">
        <v>233</v>
      </c>
      <c r="C34">
        <v>18</v>
      </c>
      <c r="D34">
        <v>270</v>
      </c>
    </row>
    <row r="35" spans="1:4" x14ac:dyDescent="0.35">
      <c r="A35" t="s">
        <v>153</v>
      </c>
      <c r="B35" t="s">
        <v>233</v>
      </c>
      <c r="C35">
        <v>17</v>
      </c>
      <c r="D35">
        <v>510</v>
      </c>
    </row>
    <row r="36" spans="1:4" x14ac:dyDescent="0.35">
      <c r="A36" t="s">
        <v>187</v>
      </c>
      <c r="B36" t="s">
        <v>236</v>
      </c>
      <c r="C36">
        <v>17</v>
      </c>
      <c r="D36">
        <v>306</v>
      </c>
    </row>
    <row r="37" spans="1:4" x14ac:dyDescent="0.35">
      <c r="A37" t="s">
        <v>147</v>
      </c>
      <c r="B37" t="s">
        <v>233</v>
      </c>
      <c r="C37">
        <v>15</v>
      </c>
      <c r="D37">
        <v>420</v>
      </c>
    </row>
    <row r="38" spans="1:4" x14ac:dyDescent="0.35">
      <c r="A38" t="s">
        <v>161</v>
      </c>
      <c r="B38" t="s">
        <v>110</v>
      </c>
      <c r="C38">
        <v>15</v>
      </c>
      <c r="D38">
        <v>420</v>
      </c>
    </row>
    <row r="39" spans="1:4" x14ac:dyDescent="0.35">
      <c r="A39" t="s">
        <v>154</v>
      </c>
      <c r="B39" t="s">
        <v>234</v>
      </c>
      <c r="C39">
        <v>15</v>
      </c>
      <c r="D39">
        <v>360</v>
      </c>
    </row>
    <row r="40" spans="1:4" x14ac:dyDescent="0.35">
      <c r="A40" t="s">
        <v>156</v>
      </c>
      <c r="B40" t="s">
        <v>234</v>
      </c>
      <c r="C40">
        <v>15</v>
      </c>
      <c r="D40">
        <v>360</v>
      </c>
    </row>
    <row r="41" spans="1:4" x14ac:dyDescent="0.35">
      <c r="A41" t="s">
        <v>168</v>
      </c>
      <c r="B41" t="s">
        <v>110</v>
      </c>
      <c r="C41">
        <v>15</v>
      </c>
      <c r="D41">
        <v>420</v>
      </c>
    </row>
    <row r="42" spans="1:4" x14ac:dyDescent="0.35">
      <c r="A42" t="s">
        <v>169</v>
      </c>
      <c r="B42" t="s">
        <v>110</v>
      </c>
      <c r="C42">
        <v>15</v>
      </c>
      <c r="D42">
        <v>420</v>
      </c>
    </row>
    <row r="43" spans="1:4" x14ac:dyDescent="0.35">
      <c r="A43" t="s">
        <v>180</v>
      </c>
      <c r="B43" t="s">
        <v>232</v>
      </c>
      <c r="C43">
        <v>15</v>
      </c>
      <c r="D43">
        <v>420</v>
      </c>
    </row>
    <row r="44" spans="1:4" x14ac:dyDescent="0.35">
      <c r="A44" t="s">
        <v>143</v>
      </c>
      <c r="B44" t="s">
        <v>233</v>
      </c>
      <c r="C44">
        <v>15</v>
      </c>
      <c r="D44">
        <v>225</v>
      </c>
    </row>
    <row r="45" spans="1:4" x14ac:dyDescent="0.35">
      <c r="A45" t="s">
        <v>166</v>
      </c>
      <c r="B45" t="s">
        <v>110</v>
      </c>
      <c r="C45">
        <v>13</v>
      </c>
      <c r="D45">
        <v>260</v>
      </c>
    </row>
    <row r="46" spans="1:4" x14ac:dyDescent="0.35">
      <c r="A46" t="s">
        <v>194</v>
      </c>
      <c r="B46" t="s">
        <v>236</v>
      </c>
      <c r="C46">
        <v>12</v>
      </c>
      <c r="D46">
        <v>180</v>
      </c>
    </row>
    <row r="47" spans="1:4" x14ac:dyDescent="0.35">
      <c r="A47" t="s">
        <v>159</v>
      </c>
      <c r="B47" t="s">
        <v>234</v>
      </c>
      <c r="C47">
        <v>12</v>
      </c>
      <c r="D47">
        <v>288</v>
      </c>
    </row>
    <row r="48" spans="1:4" x14ac:dyDescent="0.35">
      <c r="A48" t="s">
        <v>133</v>
      </c>
      <c r="B48" t="s">
        <v>233</v>
      </c>
      <c r="C48">
        <v>10</v>
      </c>
      <c r="D48">
        <v>300</v>
      </c>
    </row>
    <row r="49" spans="1:4" x14ac:dyDescent="0.35">
      <c r="A49" t="s">
        <v>141</v>
      </c>
      <c r="B49" t="s">
        <v>233</v>
      </c>
      <c r="C49">
        <v>7</v>
      </c>
      <c r="D49">
        <v>189</v>
      </c>
    </row>
    <row r="50" spans="1:4" x14ac:dyDescent="0.35">
      <c r="A50" t="s">
        <v>162</v>
      </c>
      <c r="B50" t="s">
        <v>110</v>
      </c>
      <c r="C50">
        <v>6</v>
      </c>
      <c r="D50">
        <v>168</v>
      </c>
    </row>
    <row r="51" spans="1:4" x14ac:dyDescent="0.35">
      <c r="A51" t="s">
        <v>196</v>
      </c>
      <c r="B51" t="s">
        <v>236</v>
      </c>
      <c r="C51">
        <v>6</v>
      </c>
      <c r="D51">
        <v>60</v>
      </c>
    </row>
    <row r="52" spans="1:4" x14ac:dyDescent="0.35">
      <c r="A52" t="s">
        <v>138</v>
      </c>
      <c r="B52" t="s">
        <v>233</v>
      </c>
      <c r="C52">
        <v>6</v>
      </c>
      <c r="D52">
        <v>162</v>
      </c>
    </row>
    <row r="53" spans="1:4" x14ac:dyDescent="0.35">
      <c r="A53" t="s">
        <v>135</v>
      </c>
      <c r="B53" t="s">
        <v>233</v>
      </c>
      <c r="C53">
        <v>5</v>
      </c>
      <c r="D53">
        <v>135</v>
      </c>
    </row>
    <row r="54" spans="1:4" x14ac:dyDescent="0.35">
      <c r="A54" t="s">
        <v>136</v>
      </c>
      <c r="B54" t="s">
        <v>233</v>
      </c>
      <c r="C54">
        <v>3</v>
      </c>
      <c r="D54">
        <v>120</v>
      </c>
    </row>
    <row r="55" spans="1:4" x14ac:dyDescent="0.35">
      <c r="A55" t="s">
        <v>139</v>
      </c>
      <c r="B55" t="s">
        <v>233</v>
      </c>
      <c r="C55">
        <v>3</v>
      </c>
      <c r="D55">
        <v>81</v>
      </c>
    </row>
    <row r="56" spans="1:4" x14ac:dyDescent="0.35">
      <c r="A56" t="s">
        <v>158</v>
      </c>
      <c r="B56" t="s">
        <v>234</v>
      </c>
      <c r="C56">
        <v>1</v>
      </c>
      <c r="D56">
        <v>24</v>
      </c>
    </row>
    <row r="57" spans="1:4" x14ac:dyDescent="0.35">
      <c r="A57" t="s">
        <v>197</v>
      </c>
      <c r="B57" t="s">
        <v>236</v>
      </c>
      <c r="C57">
        <v>1</v>
      </c>
      <c r="D57">
        <v>10</v>
      </c>
    </row>
    <row r="58" spans="1:4" x14ac:dyDescent="0.35">
      <c r="A58" t="s">
        <v>237</v>
      </c>
      <c r="B58" t="s">
        <v>233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Master kiosk</vt:lpstr>
      <vt:lpstr>Inn Kiosk</vt:lpstr>
      <vt:lpstr>Vippsutskrifter</vt:lpstr>
      <vt:lpstr>Terminalutskrifter</vt:lpstr>
      <vt:lpstr>Sheet1</vt:lpstr>
      <vt:lpstr>Salg_Total</vt:lpstr>
      <vt:lpstr>Inkjøp</vt:lpstr>
      <vt:lpstr>Vipps_salg_Klar_til_sammensveis</vt:lpstr>
      <vt:lpstr>Krympefest</vt:lpstr>
      <vt:lpstr>Premiere Leaugue</vt:lpstr>
      <vt:lpstr>Oktober</vt:lpstr>
      <vt:lpstr>GammelVipps</vt:lpstr>
      <vt:lpstr>November</vt:lpstr>
      <vt:lpstr>Desember</vt:lpstr>
      <vt:lpstr>GammelVipps (2)</vt:lpstr>
      <vt:lpstr>Vipps_Totalraport</vt:lpstr>
      <vt:lpstr>TerminalV1</vt:lpstr>
      <vt:lpstr>TerminalV2</vt:lpstr>
      <vt:lpstr>Terminal_Totalraport</vt:lpstr>
      <vt:lpstr>Terminal_Salg_klar_til_sammensv</vt:lpstr>
      <vt:lpstr>Salg_Totalraport_Ferdigprodukt</vt:lpstr>
      <vt:lpstr>Redaksjonen</vt:lpstr>
      <vt:lpstr>Kjøregodtgjørelse</vt:lpstr>
      <vt:lpstr>Misjonsløp</vt:lpstr>
      <vt:lpstr>Nattcup</vt:lpstr>
      <vt:lpstr>Basar</vt:lpstr>
      <vt:lpstr>Barrista</vt:lpstr>
      <vt:lpstr>Milkshake</vt:lpstr>
      <vt:lpstr>Panteruss</vt:lpstr>
      <vt:lpstr>Isruss</vt:lpstr>
      <vt:lpstr>Vippsutskrifter Python</vt:lpstr>
      <vt:lpstr>Inn Kiosk Python</vt:lpstr>
      <vt:lpstr>Terminalutskrifter Python</vt:lpstr>
      <vt:lpstr>Måneskinstur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2026-01-17T12:03:05Z</dcterms:modified>
</cp:coreProperties>
</file>